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iger\Desktop\Thesis\"/>
    </mc:Choice>
  </mc:AlternateContent>
  <xr:revisionPtr revIDLastSave="0" documentId="13_ncr:1_{1C7C4AA5-E602-41AB-B1DF-840616AABDFD}" xr6:coauthVersionLast="47" xr6:coauthVersionMax="47" xr10:uidLastSave="{00000000-0000-0000-0000-000000000000}"/>
  <bookViews>
    <workbookView xWindow="-4008" yWindow="-17388" windowWidth="30936" windowHeight="16776" firstSheet="1" activeTab="1" xr2:uid="{00000000-000D-0000-FFFF-FFFF00000000}"/>
  </bookViews>
  <sheets>
    <sheet name="site_model_risk" sheetId="1" state="hidden" r:id="rId1"/>
    <sheet name="Table 21" sheetId="29" r:id="rId2"/>
    <sheet name="Table 22" sheetId="15" r:id="rId3"/>
    <sheet name="Table 23" sheetId="16" r:id="rId4"/>
    <sheet name="Table 24" sheetId="17" r:id="rId5"/>
    <sheet name="Table 25" sheetId="19" r:id="rId6"/>
    <sheet name="Table 26" sheetId="20" r:id="rId7"/>
    <sheet name="risk_score_divergence" sheetId="2" state="hidden" r:id="rId8"/>
    <sheet name="pairwise_agreement" sheetId="6" state="hidden" r:id="rId9"/>
    <sheet name="indicator_model" sheetId="3" state="hidden" r:id="rId10"/>
    <sheet name="processing_stats" sheetId="4" state="hidden" r:id="rId11"/>
    <sheet name="disagreement" sheetId="5" state="hidden" r:id="rId12"/>
    <sheet name="fleiss_kappa" sheetId="7" state="hidden" r:id="rId13"/>
    <sheet name="hallucination_by_model" sheetId="8" state="hidden" r:id="rId14"/>
    <sheet name="Table 27" sheetId="24" r:id="rId15"/>
    <sheet name="Table 28" sheetId="26" r:id="rId16"/>
    <sheet name="Table 29" sheetId="27" r:id="rId17"/>
    <sheet name="hallucination_by_indicator" sheetId="9" state="hidden" r:id="rId18"/>
    <sheet name="human_alignment_by_model" sheetId="10" state="hidden" r:id="rId19"/>
    <sheet name="Table 30" sheetId="28" r:id="rId20"/>
    <sheet name="human_alignment_by_indicator" sheetId="11" state="hidden" r:id="rId21"/>
    <sheet name="trustworthiness" sheetId="12" state="hidden" r:id="rId22"/>
    <sheet name="validation_notes" sheetId="13" state="hidden" r:id="rId23"/>
    <sheet name="stability_detail" sheetId="21" state="hidden" r:id="rId24"/>
    <sheet name="stability_by_model" sheetId="22" state="hidden" r:id="rId25"/>
    <sheet name="stability_by_indicator" sheetId="23" state="hidden" r:id="rId26"/>
  </sheets>
  <definedNames>
    <definedName name="_xlnm._FilterDatabase" localSheetId="9" hidden="1">indicator_model!$A$1:$J$72</definedName>
    <definedName name="_xlnm._FilterDatabase" localSheetId="0" hidden="1">site_model_risk!$A$1:$R$81</definedName>
    <definedName name="_xlnm._FilterDatabase" localSheetId="14" hidden="1">'Table 27'!$E$2:$E$17</definedName>
    <definedName name="_Toc231161166" localSheetId="1">'Table 21'!$A$1</definedName>
    <definedName name="_Toc231161169" localSheetId="4">'Table 24'!$A$1</definedName>
    <definedName name="_Toc231161170" localSheetId="5">'Table 25'!$A$1</definedName>
    <definedName name="_Toc231161172" localSheetId="14">'Table 27'!$A$1</definedName>
    <definedName name="_Toc231161175" localSheetId="19">'Table 30'!$A$1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29" l="1"/>
  <c r="D6" i="29"/>
  <c r="E6" i="29"/>
  <c r="F6" i="29"/>
  <c r="B6" i="29"/>
  <c r="C5" i="29"/>
  <c r="F5" i="29" s="1"/>
  <c r="D5" i="29"/>
  <c r="E5" i="29"/>
  <c r="B5" i="29"/>
  <c r="C4" i="29"/>
  <c r="D4" i="29"/>
  <c r="F4" i="29" s="1"/>
  <c r="E4" i="29"/>
  <c r="B4" i="29"/>
  <c r="C3" i="29"/>
  <c r="D3" i="29"/>
  <c r="E3" i="29"/>
  <c r="B3" i="29"/>
  <c r="F3" i="29" s="1"/>
  <c r="M4" i="3"/>
  <c r="B3" i="15" a="1"/>
  <c r="B3" i="15" s="1"/>
  <c r="C4" i="28"/>
  <c r="C6" i="28"/>
  <c r="C5" i="28"/>
  <c r="C3" i="28"/>
  <c r="D4" i="28"/>
  <c r="D6" i="28"/>
  <c r="D5" i="28"/>
  <c r="D3" i="28"/>
  <c r="B4" i="28"/>
  <c r="B6" i="28"/>
  <c r="B5" i="28"/>
  <c r="B3" i="28"/>
  <c r="B18" i="20" a="1"/>
  <c r="B18" i="20" s="1"/>
  <c r="C18" i="20" a="1"/>
  <c r="C18" i="20" s="1"/>
  <c r="D18" i="20" a="1"/>
  <c r="D18" i="20" s="1"/>
  <c r="E18" i="20" a="1"/>
  <c r="E18" i="20" s="1"/>
  <c r="B19" i="20" a="1"/>
  <c r="B19" i="20" s="1"/>
  <c r="C19" i="20" a="1"/>
  <c r="C19" i="20" s="1"/>
  <c r="D19" i="20" a="1"/>
  <c r="D19" i="20" s="1"/>
  <c r="E19" i="20" a="1"/>
  <c r="E19" i="20" s="1"/>
  <c r="B20" i="20" a="1"/>
  <c r="B20" i="20" s="1"/>
  <c r="C20" i="20" a="1"/>
  <c r="C20" i="20" s="1"/>
  <c r="D20" i="20" a="1"/>
  <c r="D20" i="20" s="1"/>
  <c r="E20" i="20" a="1"/>
  <c r="E20" i="20" s="1"/>
  <c r="B21" i="20" a="1"/>
  <c r="B21" i="20" s="1"/>
  <c r="C21" i="20" a="1"/>
  <c r="C21" i="20" s="1"/>
  <c r="D21" i="20" a="1"/>
  <c r="D21" i="20" s="1"/>
  <c r="E21" i="20" a="1"/>
  <c r="E21" i="20" s="1"/>
  <c r="B22" i="20" a="1"/>
  <c r="B22" i="20" s="1"/>
  <c r="C22" i="20" a="1"/>
  <c r="C22" i="20" s="1"/>
  <c r="D22" i="20" a="1"/>
  <c r="D22" i="20" s="1"/>
  <c r="E22" i="20" a="1"/>
  <c r="E22" i="20" s="1"/>
  <c r="B23" i="20" a="1"/>
  <c r="B23" i="20" s="1"/>
  <c r="C23" i="20" a="1"/>
  <c r="C23" i="20" s="1"/>
  <c r="D23" i="20" a="1"/>
  <c r="D23" i="20" s="1"/>
  <c r="E23" i="20" a="1"/>
  <c r="E23" i="20" s="1"/>
  <c r="B24" i="20" a="1"/>
  <c r="B24" i="20" s="1"/>
  <c r="C24" i="20" a="1"/>
  <c r="C24" i="20" s="1"/>
  <c r="D24" i="20" a="1"/>
  <c r="D24" i="20" s="1"/>
  <c r="E24" i="20" a="1"/>
  <c r="E24" i="20" s="1"/>
  <c r="B25" i="20" a="1"/>
  <c r="B25" i="20" s="1"/>
  <c r="C25" i="20" a="1"/>
  <c r="C25" i="20" s="1"/>
  <c r="D25" i="20" a="1"/>
  <c r="D25" i="20" s="1"/>
  <c r="E25" i="20" a="1"/>
  <c r="E25" i="20" s="1"/>
  <c r="C17" i="20" a="1"/>
  <c r="C17" i="20" s="1"/>
  <c r="D17" i="20" a="1"/>
  <c r="D17" i="20" s="1"/>
  <c r="E17" i="20" a="1"/>
  <c r="E17" i="20" s="1"/>
  <c r="B17" i="20" a="1"/>
  <c r="B17" i="20" s="1"/>
  <c r="E3" i="20" a="1"/>
  <c r="E3" i="20" s="1"/>
  <c r="B3" i="20" a="1"/>
  <c r="B3" i="20" s="1"/>
  <c r="E4" i="20" a="1"/>
  <c r="E4" i="20" s="1"/>
  <c r="E5" i="20" a="1"/>
  <c r="E5" i="20" s="1"/>
  <c r="E6" i="20" a="1"/>
  <c r="E6" i="20" s="1"/>
  <c r="E7" i="20" a="1"/>
  <c r="E7" i="20" s="1"/>
  <c r="E8" i="20" a="1"/>
  <c r="E8" i="20" s="1"/>
  <c r="E9" i="20" a="1"/>
  <c r="E9" i="20" s="1"/>
  <c r="E10" i="20" a="1"/>
  <c r="E10" i="20" s="1"/>
  <c r="E11" i="20" a="1"/>
  <c r="E11" i="20" s="1"/>
  <c r="D4" i="20" a="1"/>
  <c r="D4" i="20" s="1"/>
  <c r="D5" i="20" a="1"/>
  <c r="D5" i="20" s="1"/>
  <c r="D6" i="20" a="1"/>
  <c r="D6" i="20" s="1"/>
  <c r="D7" i="20" a="1"/>
  <c r="D7" i="20" s="1"/>
  <c r="D8" i="20" a="1"/>
  <c r="D8" i="20" s="1"/>
  <c r="D9" i="20" a="1"/>
  <c r="D9" i="20" s="1"/>
  <c r="D10" i="20" a="1"/>
  <c r="D10" i="20" s="1"/>
  <c r="D11" i="20" a="1"/>
  <c r="D11" i="20" s="1"/>
  <c r="C3" i="20" a="1"/>
  <c r="C3" i="20" s="1"/>
  <c r="D3" i="20" a="1"/>
  <c r="D3" i="20" s="1"/>
  <c r="B4" i="20" a="1"/>
  <c r="B4" i="20" s="1"/>
  <c r="C4" i="20" a="1"/>
  <c r="C4" i="20" s="1"/>
  <c r="B5" i="20" a="1"/>
  <c r="B5" i="20" s="1"/>
  <c r="C5" i="20" a="1"/>
  <c r="C5" i="20" s="1"/>
  <c r="B6" i="20" a="1"/>
  <c r="B6" i="20" s="1"/>
  <c r="C6" i="20" a="1"/>
  <c r="C6" i="20" s="1"/>
  <c r="B7" i="20" a="1"/>
  <c r="B7" i="20" s="1"/>
  <c r="C7" i="20" a="1"/>
  <c r="C7" i="20" s="1"/>
  <c r="B8" i="20" a="1"/>
  <c r="B8" i="20" s="1"/>
  <c r="C8" i="20" a="1"/>
  <c r="C8" i="20" s="1"/>
  <c r="B9" i="20" a="1"/>
  <c r="B9" i="20" s="1"/>
  <c r="C9" i="20" a="1"/>
  <c r="C9" i="20" s="1"/>
  <c r="B10" i="20" a="1"/>
  <c r="B10" i="20" s="1"/>
  <c r="C10" i="20" a="1"/>
  <c r="C10" i="20" s="1"/>
  <c r="B11" i="20" a="1"/>
  <c r="B11" i="20" s="1"/>
  <c r="C11" i="20" a="1"/>
  <c r="C11" i="20" s="1"/>
  <c r="E4" i="15" a="1"/>
  <c r="E4" i="15" s="1"/>
  <c r="E5" i="15" a="1"/>
  <c r="E5" i="15" s="1"/>
  <c r="E6" i="15" a="1"/>
  <c r="E6" i="15" s="1"/>
  <c r="E7" i="15" a="1"/>
  <c r="E7" i="15" s="1"/>
  <c r="E8" i="15" a="1"/>
  <c r="E8" i="15" s="1"/>
  <c r="E9" i="15" a="1"/>
  <c r="E9" i="15" s="1"/>
  <c r="E10" i="15" a="1"/>
  <c r="E10" i="15" s="1"/>
  <c r="E11" i="15" a="1"/>
  <c r="E11" i="15" s="1"/>
  <c r="E12" i="15" a="1"/>
  <c r="E12" i="15" s="1"/>
  <c r="E13" i="15" a="1"/>
  <c r="E13" i="15" s="1"/>
  <c r="E14" i="15" a="1"/>
  <c r="E14" i="15" s="1"/>
  <c r="E15" i="15" a="1"/>
  <c r="E15" i="15" s="1"/>
  <c r="E16" i="15" a="1"/>
  <c r="E16" i="15" s="1"/>
  <c r="E17" i="15" a="1"/>
  <c r="E17" i="15" s="1"/>
  <c r="E18" i="15" a="1"/>
  <c r="E18" i="15" s="1"/>
  <c r="E19" i="15" a="1"/>
  <c r="E19" i="15" s="1"/>
  <c r="E20" i="15" a="1"/>
  <c r="E20" i="15" s="1"/>
  <c r="E21" i="15" a="1"/>
  <c r="E21" i="15" s="1"/>
  <c r="E22" i="15" a="1"/>
  <c r="E22" i="15" s="1"/>
  <c r="E3" i="15" a="1"/>
  <c r="E3" i="15" s="1"/>
  <c r="D4" i="15" a="1"/>
  <c r="D4" i="15" s="1"/>
  <c r="D5" i="15" a="1"/>
  <c r="D5" i="15" s="1"/>
  <c r="D6" i="15" a="1"/>
  <c r="D6" i="15"/>
  <c r="D7" i="15" a="1"/>
  <c r="D7" i="15" s="1"/>
  <c r="D8" i="15" a="1"/>
  <c r="D8" i="15" s="1"/>
  <c r="D9" i="15" a="1"/>
  <c r="D9" i="15" s="1"/>
  <c r="D10" i="15" a="1"/>
  <c r="D10" i="15" s="1"/>
  <c r="D11" i="15" a="1"/>
  <c r="D11" i="15" s="1"/>
  <c r="D12" i="15" a="1"/>
  <c r="D12" i="15" s="1"/>
  <c r="D13" i="15" a="1"/>
  <c r="D13" i="15" s="1"/>
  <c r="D14" i="15" a="1"/>
  <c r="D14" i="15" s="1"/>
  <c r="D15" i="15" a="1"/>
  <c r="D15" i="15" s="1"/>
  <c r="D16" i="15" a="1"/>
  <c r="D16" i="15" s="1"/>
  <c r="D17" i="15" a="1"/>
  <c r="D17" i="15" s="1"/>
  <c r="D18" i="15" a="1"/>
  <c r="D18" i="15" s="1"/>
  <c r="D19" i="15" a="1"/>
  <c r="D19" i="15" s="1"/>
  <c r="D20" i="15" a="1"/>
  <c r="D20" i="15" s="1"/>
  <c r="D21" i="15" a="1"/>
  <c r="D21" i="15" s="1"/>
  <c r="D22" i="15" a="1"/>
  <c r="D22" i="15" s="1"/>
  <c r="D3" i="15" a="1"/>
  <c r="D3" i="15" s="1"/>
  <c r="C4" i="15" a="1"/>
  <c r="C4" i="15" s="1"/>
  <c r="C5" i="15" a="1"/>
  <c r="C5" i="15" s="1"/>
  <c r="C6" i="15" a="1"/>
  <c r="C6" i="15" s="1"/>
  <c r="C7" i="15" a="1"/>
  <c r="C7" i="15"/>
  <c r="C8" i="15" a="1"/>
  <c r="C8" i="15" s="1"/>
  <c r="C9" i="15" a="1"/>
  <c r="C9" i="15" s="1"/>
  <c r="C10" i="15" a="1"/>
  <c r="C10" i="15" s="1"/>
  <c r="C11" i="15" a="1"/>
  <c r="C11" i="15" s="1"/>
  <c r="C12" i="15" a="1"/>
  <c r="C12" i="15" s="1"/>
  <c r="C13" i="15" a="1"/>
  <c r="C13" i="15"/>
  <c r="C14" i="15" a="1"/>
  <c r="C14" i="15" s="1"/>
  <c r="C15" i="15" a="1"/>
  <c r="C15" i="15" s="1"/>
  <c r="C16" i="15" a="1"/>
  <c r="C16" i="15" s="1"/>
  <c r="C17" i="15" a="1"/>
  <c r="C17" i="15" s="1"/>
  <c r="C18" i="15" a="1"/>
  <c r="C18" i="15" s="1"/>
  <c r="C19" i="15" a="1"/>
  <c r="C19" i="15" s="1"/>
  <c r="C20" i="15" a="1"/>
  <c r="C20" i="15" s="1"/>
  <c r="C21" i="15" a="1"/>
  <c r="C21" i="15" s="1"/>
  <c r="C22" i="15" a="1"/>
  <c r="C22" i="15" s="1"/>
  <c r="C3" i="15" a="1"/>
  <c r="C3" i="15" s="1"/>
  <c r="B4" i="15" a="1"/>
  <c r="B4" i="15" s="1"/>
  <c r="B5" i="15" a="1"/>
  <c r="B5" i="15"/>
  <c r="B6" i="15" a="1"/>
  <c r="B6" i="15" s="1"/>
  <c r="B7" i="15" a="1"/>
  <c r="B7" i="15" s="1"/>
  <c r="B8" i="15" a="1"/>
  <c r="B8" i="15" s="1"/>
  <c r="B9" i="15" a="1"/>
  <c r="B9" i="15" s="1"/>
  <c r="B10" i="15" a="1"/>
  <c r="B10" i="15" s="1"/>
  <c r="B11" i="15" a="1"/>
  <c r="B11" i="15"/>
  <c r="B12" i="15" a="1"/>
  <c r="B12" i="15" s="1"/>
  <c r="B13" i="15" a="1"/>
  <c r="B13" i="15" s="1"/>
  <c r="B14" i="15" a="1"/>
  <c r="B14" i="15" s="1"/>
  <c r="B15" i="15" a="1"/>
  <c r="B15" i="15" s="1"/>
  <c r="B16" i="15" a="1"/>
  <c r="B16" i="15" s="1"/>
  <c r="B17" i="15" a="1"/>
  <c r="B17" i="15" s="1"/>
  <c r="B18" i="15" a="1"/>
  <c r="B18" i="15" s="1"/>
  <c r="B19" i="15" a="1"/>
  <c r="B19" i="15" s="1"/>
  <c r="B20" i="15" a="1"/>
  <c r="B20" i="15" s="1"/>
  <c r="B21" i="15" a="1"/>
  <c r="B21" i="15" s="1"/>
  <c r="B22" i="15" a="1"/>
  <c r="B22" i="15" s="1"/>
  <c r="F23" i="20" l="1"/>
  <c r="F24" i="20"/>
  <c r="F18" i="20"/>
  <c r="F25" i="20"/>
  <c r="F20" i="20"/>
  <c r="F22" i="20"/>
  <c r="F19" i="20"/>
  <c r="F17" i="20"/>
  <c r="F21" i="20"/>
  <c r="F3" i="20"/>
  <c r="F7" i="15"/>
  <c r="F9" i="20"/>
  <c r="F4" i="20"/>
  <c r="F5" i="20"/>
  <c r="F11" i="20"/>
  <c r="F7" i="20"/>
  <c r="F6" i="20"/>
  <c r="F8" i="20"/>
  <c r="F10" i="20"/>
  <c r="F3" i="15"/>
  <c r="F6" i="15"/>
  <c r="F12" i="15"/>
  <c r="F21" i="15"/>
  <c r="F11" i="15"/>
  <c r="F20" i="15"/>
  <c r="F10" i="15"/>
  <c r="F19" i="15"/>
  <c r="F9" i="15"/>
  <c r="F8" i="15"/>
  <c r="F15" i="15"/>
  <c r="F5" i="15"/>
  <c r="F14" i="15"/>
  <c r="F4" i="15"/>
  <c r="F22" i="15"/>
  <c r="F18" i="15"/>
  <c r="F13" i="15"/>
  <c r="F17" i="15"/>
  <c r="F16" i="15"/>
  <c r="G7" i="15"/>
  <c r="G17" i="15"/>
  <c r="G21" i="15"/>
  <c r="G10" i="15"/>
  <c r="G20" i="15"/>
  <c r="G9" i="15"/>
  <c r="G16" i="15"/>
  <c r="G22" i="15"/>
  <c r="G11" i="15"/>
  <c r="G6" i="15"/>
  <c r="G14" i="15"/>
  <c r="G19" i="15"/>
  <c r="G18" i="15"/>
  <c r="G8" i="15"/>
  <c r="G13" i="15"/>
  <c r="G4" i="15"/>
  <c r="G12" i="15"/>
  <c r="G3" i="15"/>
  <c r="G5" i="15"/>
  <c r="G15" i="1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<sst xmlns="http://schemas.openxmlformats.org/spreadsheetml/2006/main" count="7138" uniqueCount="484">
  <si>
    <t>run_type</t>
  </si>
  <si>
    <t>run_no</t>
  </si>
  <si>
    <t>site_name</t>
  </si>
  <si>
    <t>domain</t>
  </si>
  <si>
    <t>model</t>
  </si>
  <si>
    <t>weighted_risk_score</t>
  </si>
  <si>
    <t>unweighted_risk_score</t>
  </si>
  <si>
    <t>max_weighted_score</t>
  </si>
  <si>
    <t>hallucination_count</t>
  </si>
  <si>
    <t>validation_denominator</t>
  </si>
  <si>
    <t>indicator_count</t>
  </si>
  <si>
    <t>total_chunks</t>
  </si>
  <si>
    <t>successful_chunks</t>
  </si>
  <si>
    <t>malformed_chunks</t>
  </si>
  <si>
    <t>chunk_coverage</t>
  </si>
  <si>
    <t>weighted_risk_ratio</t>
  </si>
  <si>
    <t>risk_tier</t>
  </si>
  <si>
    <t>hallucination_rate</t>
  </si>
  <si>
    <t>main</t>
  </si>
  <si>
    <t>About You</t>
  </si>
  <si>
    <t>aboutyou.de</t>
  </si>
  <si>
    <t>CLAUDE</t>
  </si>
  <si>
    <t>Low Risk</t>
  </si>
  <si>
    <t>GEMINI</t>
  </si>
  <si>
    <t>GPT</t>
  </si>
  <si>
    <t>LLAMA</t>
  </si>
  <si>
    <t>Allegro</t>
  </si>
  <si>
    <t>allegro.pl</t>
  </si>
  <si>
    <t>Amazon</t>
  </si>
  <si>
    <t>amazon.de</t>
  </si>
  <si>
    <t>Answear</t>
  </si>
  <si>
    <t>answear.com</t>
  </si>
  <si>
    <t>Bol.com</t>
  </si>
  <si>
    <t>bol.com</t>
  </si>
  <si>
    <t>Boozt</t>
  </si>
  <si>
    <t>boozt.com</t>
  </si>
  <si>
    <t>Carrefour</t>
  </si>
  <si>
    <t>carrefour.fr</t>
  </si>
  <si>
    <t>Cdiscount</t>
  </si>
  <si>
    <t>cdiscount.com</t>
  </si>
  <si>
    <t>Decathlon</t>
  </si>
  <si>
    <t>decathlon.es</t>
  </si>
  <si>
    <t>Medium Risk</t>
  </si>
  <si>
    <t>Douglas</t>
  </si>
  <si>
    <t>douglas.de</t>
  </si>
  <si>
    <t>El Corte Ingles</t>
  </si>
  <si>
    <t>elcorteingles.es</t>
  </si>
  <si>
    <t>Fnac</t>
  </si>
  <si>
    <t>fnac.com</t>
  </si>
  <si>
    <t>MediaMarkt</t>
  </si>
  <si>
    <t>mediamarkt.de</t>
  </si>
  <si>
    <t>Notino</t>
  </si>
  <si>
    <t>notino.pl</t>
  </si>
  <si>
    <t>Otto</t>
  </si>
  <si>
    <t>otto.de</t>
  </si>
  <si>
    <t>Smyths Toys</t>
  </si>
  <si>
    <t>smythstoys.com</t>
  </si>
  <si>
    <t>Vinted</t>
  </si>
  <si>
    <t>vinted.lt</t>
  </si>
  <si>
    <t>Zalando</t>
  </si>
  <si>
    <t>zalando.com</t>
  </si>
  <si>
    <t>Zooplus</t>
  </si>
  <si>
    <t>zooplus.de</t>
  </si>
  <si>
    <t>eMAG</t>
  </si>
  <si>
    <t>emag.ro</t>
  </si>
  <si>
    <t>min_unweighted_risk_score</t>
  </si>
  <si>
    <t>max_unweighted_risk_score</t>
  </si>
  <si>
    <t>min_weighted_risk_score</t>
  </si>
  <si>
    <t>max_weighted_risk_score</t>
  </si>
  <si>
    <t>n_models</t>
  </si>
  <si>
    <t>unweighted_risk_score_range</t>
  </si>
  <si>
    <t>weighted_risk_score_range</t>
  </si>
  <si>
    <t>meaningful_unweighted_divergence</t>
  </si>
  <si>
    <t>indicator_id</t>
  </si>
  <si>
    <t>indicator_name</t>
  </si>
  <si>
    <t>mean_score</t>
  </si>
  <si>
    <t>total_flags</t>
  </si>
  <si>
    <t>R01</t>
  </si>
  <si>
    <t>Freely given consent</t>
  </si>
  <si>
    <t>R02</t>
  </si>
  <si>
    <t>Right to withdraw</t>
  </si>
  <si>
    <t>R03</t>
  </si>
  <si>
    <t>Demonstrability of consent</t>
  </si>
  <si>
    <t>R04</t>
  </si>
  <si>
    <t>Specific consent (granularity)</t>
  </si>
  <si>
    <t>R05</t>
  </si>
  <si>
    <t>Informed consent</t>
  </si>
  <si>
    <t>R06</t>
  </si>
  <si>
    <t>Unambiguous indication</t>
  </si>
  <si>
    <t>R07</t>
  </si>
  <si>
    <t>Identity of controller</t>
  </si>
  <si>
    <t>R08</t>
  </si>
  <si>
    <t>Contact details</t>
  </si>
  <si>
    <t>R09</t>
  </si>
  <si>
    <t>Purpose specification</t>
  </si>
  <si>
    <t>R10</t>
  </si>
  <si>
    <t>Legal basis disclosure</t>
  </si>
  <si>
    <t>R11</t>
  </si>
  <si>
    <t>Third-party recipients</t>
  </si>
  <si>
    <t>R12</t>
  </si>
  <si>
    <t>International transfers</t>
  </si>
  <si>
    <t>R13</t>
  </si>
  <si>
    <t>Data retention period</t>
  </si>
  <si>
    <t>R14</t>
  </si>
  <si>
    <t>Data subject rights</t>
  </si>
  <si>
    <t>R15</t>
  </si>
  <si>
    <t>Complaint mechanism</t>
  </si>
  <si>
    <t>R16</t>
  </si>
  <si>
    <t>Pre-consent tracking disclosure</t>
  </si>
  <si>
    <t>R17</t>
  </si>
  <si>
    <t>Equal prominence of choices</t>
  </si>
  <si>
    <t>R18</t>
  </si>
  <si>
    <t>Layered information / clarity of information</t>
  </si>
  <si>
    <t>avg_chunk_count</t>
  </si>
  <si>
    <t>avg_chunk_coverage</t>
  </si>
  <si>
    <t>total_hallucinations</t>
  </si>
  <si>
    <t>indicator_rows</t>
  </si>
  <si>
    <t>disagreement_cases</t>
  </si>
  <si>
    <t>total_cases</t>
  </si>
  <si>
    <t>disagreement_rate</t>
  </si>
  <si>
    <t>model_a</t>
  </si>
  <si>
    <t>model_b</t>
  </si>
  <si>
    <t>pairwise_agreement</t>
  </si>
  <si>
    <t>n_cases</t>
  </si>
  <si>
    <t>fleiss_kappa</t>
  </si>
  <si>
    <t>n_sites</t>
  </si>
  <si>
    <t>AE</t>
  </si>
  <si>
    <t>H</t>
  </si>
  <si>
    <t>MC</t>
  </si>
  <si>
    <t>VC</t>
  </si>
  <si>
    <t>groundedness_rate</t>
  </si>
  <si>
    <t>human_validated_rows</t>
  </si>
  <si>
    <t>human_agreements</t>
  </si>
  <si>
    <t>human_disagreements</t>
  </si>
  <si>
    <t>human_alignment_rate</t>
  </si>
  <si>
    <t>groundedness_pass_gt_90pct</t>
  </si>
  <si>
    <t>stability_from_repeat_workbook</t>
  </si>
  <si>
    <t>llm_score</t>
  </si>
  <si>
    <t>human_score</t>
  </si>
  <si>
    <t>validation_category</t>
  </si>
  <si>
    <t>validation_category_norm</t>
  </si>
  <si>
    <t>validation_note</t>
  </si>
  <si>
    <t>evidence_quote</t>
  </si>
  <si>
    <t>Minor formatting differences in extracted quote.</t>
  </si>
  <si>
    <t>In order to offer you a personal user experience, we and our 35 partners need your consent (click on "Ok"). If you do not consent (click "opt-out"), we will limit our use of cookies and technologies to those that are strictly necessary to make our site safe, secure and available in the way you want ("performance") - but we will not be able to provide you with the full ABOUT YOU experience.</t>
  </si>
  <si>
    <t>You can adjust your consent individually by clicking on "Settings" and revoke it at any time with effect for the future.</t>
  </si>
  <si>
    <t>With your consent, we would like to store and/or retrieve information on your end device (e.g. IP address, user ID, browser information, device identifiers) and use this information for the following purposes: to identify you on third party sites (including using pseudonymised email addresses and phone numbers); to show you personalised ads and content, here and on third party sites ("personalised ads and content"); for ad and content measurement; to better understand you ("market research") and so that we can develop even better products and services for you ("product development").</t>
  </si>
  <si>
    <t>Hallucination: fabricated evidence not present in source.</t>
  </si>
  <si>
    <t>Consent is described as resulting from clicking "Ok" or adjusting settings.</t>
  </si>
  <si>
    <t>Different but relevant evidence excerpts selected across models.</t>
  </si>
  <si>
    <t>The legal basis for this processing is your consent (Art. 6 (1) a) GDPR).</t>
  </si>
  <si>
    <t>Relevant section exists, but model failed to identify it.</t>
  </si>
  <si>
    <t>NO_EVIDENCE_FOUND</t>
  </si>
  <si>
    <t>Generic retention wording, but relevant.</t>
  </si>
  <si>
    <t>The information is stored and automatically deleted after the aforementioned purposes have been achieved. The standard periods for deletion are based on the criterion of necessity.</t>
  </si>
  <si>
    <t>Evidence spans two paragraphs</t>
  </si>
  <si>
    <t>In addition to the right to revoke your consent given to us, you are entitled to the following further rights if the respective legal requirements are met: the right of access about your personal data stored by us (Art. 15 GDPR), in particular you can request information about the processing purposes, the categories of personal data, the categories of recipients to whom your data has been or will be disclosed, the planned storage period, the origin of your data, if it has not been collected directly from you.</t>
  </si>
  <si>
    <t>Best evidence: explicit complaint right and supervisory authority reference.</t>
  </si>
  <si>
    <t>Both "Reject" and "Ok" buttons are visible on the first layer, with equal size, color (black background with white text), and placement side by side. The "Settings" option is smaller and less prominent but does not replace reject.</t>
  </si>
  <si>
    <t>same evidence</t>
  </si>
  <si>
    <t>You can easily jump directly to the section you are interested in by clicking on the respective chapter headings.</t>
  </si>
  <si>
    <t>Granular option found by other models.</t>
  </si>
  <si>
    <t>By giving your consent to the storage of information on your terminal equipment, and to the access and processing of data, including in the sphere of profiling as well as market and statistical analysis, you will easily find exactly what you are searching for and what you need on Allegro.</t>
  </si>
  <si>
    <t>Consent is described as resulting from explicit actions such as clicking "I agree" or "I do not agree".</t>
  </si>
  <si>
    <t>Minor formatting/paraphrase difference; evidence verified.</t>
  </si>
  <si>
    <t>While the connection with the server is being established, after you have given the relevant consents if any are required, the server saves a cookie on your end device.</t>
  </si>
  <si>
    <t>Over-extraction: merged fragments from different sections.</t>
  </si>
  <si>
    <t>We use your personal information to operate, provide, and improve the Amazon Services that we offer our customers. These purposes include: Purchase and delivery of products and services, Provide, troubleshoot, and improve Amazon Services, Recommendations and personalization, Advertising, Fraud prevention and credit risks, Comply with legal obligations, Communicate with you.</t>
  </si>
  <si>
    <t>Subject to applicable law and in certain instances, you have the following rights: Access and portability, Deletion, Objection and restriction, Correction, Withdraw your consent.</t>
  </si>
  <si>
    <t>Reject and accept comparable; under-flagged asymmetry.</t>
  </si>
  <si>
    <t>Both "Discard optional" and "Accept all" buttons are visible on the first layer, with comparable size and border style; "Accept all" is black with white text, "Discard optional" is white with black border and text, both placed side by side.</t>
  </si>
  <si>
    <t>All models identified the same evidence.</t>
  </si>
  <si>
    <t>You can always adjust or withdraw your choice afterwards via "Data usage settings" in our "privacy policy" and/or "cookie policy" (which can be found at the bottom of the website) or under "Data &amp; Preferences" in your customer account.</t>
  </si>
  <si>
    <t>Complete agreement across models.</t>
  </si>
  <si>
    <t>Via "Set it yourself" you can indicate more specifically what you accept.</t>
  </si>
  <si>
    <t>See also our privacy policy and cookie policy.</t>
  </si>
  <si>
    <t>Bol bases this processing on its legitimate interest: informing about our range and providing inspiration when choosing a gift for a child.</t>
  </si>
  <si>
    <t>Finally, you have the right to turn to the Dutch Data Protection Authority with your complaint.</t>
  </si>
  <si>
    <t>Relevant evidence exists, but model failed to identify it.</t>
  </si>
  <si>
    <t>Consent is described as resulting from clicking "Accept all".</t>
  </si>
  <si>
    <t>Cookies and similar technology are enabled only if the user has provided a separate consent when visiting our website.</t>
  </si>
  <si>
    <t>You can consent to all or part of these trackers and data processing or refuse them, except for those necessary for the operation of this site.</t>
  </si>
  <si>
    <t>Learn more about our cookie policy</t>
  </si>
  <si>
    <t>You can withdraw your consent at any time by clicking on the "Manage my cookies" link at the bottom of the page or in our personal data and cookie protection policy.</t>
  </si>
  <si>
    <t>See the details of these purposes.</t>
  </si>
  <si>
    <t>Bundled-purpose risk; granular option found by others.</t>
  </si>
  <si>
    <t>With your consent, we and our 36 partners use cookies or similar technologies to process your personal data for the following purposes: storing and/or accessing information on your device, providing you with personalized advertising, measuring audience and content performance on decathlon.es, and personalizing your experience on the site.</t>
  </si>
  <si>
    <t>You can withdraw your consent at any time by clicking on "Configure cookies" or by accessing our Cookie Policy.</t>
  </si>
  <si>
    <t>Consent is described as resulting from explicit actions such as clicking "Accept."</t>
  </si>
  <si>
    <t>We want you to know that you have the right to file a complaint with the supervisory authority in www.aepd.es.</t>
  </si>
  <si>
    <t>We recommend that you allow us to use cookies and other technologies (including AI) and to process the personal data collected with them (i.e. your website use) for these purposes through your consent.</t>
  </si>
  <si>
    <t>We may transfer the data to the following companies: Creditreform Boniversum GmbH, Hellersbergstrasse 11, 41460 Neuss.</t>
  </si>
  <si>
    <t>False positive; Privacy Shield/SCCs disclosed.</t>
  </si>
  <si>
    <t>There is a risk that your data will not be protected in the same way with these US companies as it is in the European Union.</t>
  </si>
  <si>
    <t>Specific durations present; over-strict reading.</t>
  </si>
  <si>
    <t>The data is stored for a period of 7 days, after which the IP address is automatically deleted. For security reasons, we store this information in log files for a longer period of time, but without the IP address, and delete it after 31 days.</t>
  </si>
  <si>
    <t>The privacy policy is lengthy and dense, with information scattered across multiple sections.</t>
  </si>
  <si>
    <t>Personal data will be retained subsequently, for a general period of 6 years, unless other legal provisions requiring the retention of personal data for a longer period.</t>
  </si>
  <si>
    <t>In case of that you consider it necessary, you can present a claim to the Spanish Data Protection Agency, on the website www.aepd.es.</t>
  </si>
  <si>
    <t>Best agreement across models: all identified absence of consent record-keeping evidence.</t>
  </si>
  <si>
    <t>Unsupported inference; formatting differences only. Interpretaion is wromg</t>
  </si>
  <si>
    <t>By clicking on the "Accept all" button, you agree that your data (such as site activity and device information) will be used by us and our partners for the above purposes.</t>
  </si>
  <si>
    <t>same quote across models</t>
  </si>
  <si>
    <t>Learn more about cookies in the Cookie Policy.</t>
  </si>
  <si>
    <t>Mentions DPO contact details rather than explicit controller identification.</t>
  </si>
  <si>
    <t>We remind you that you can contact the eMAG Data Protection Officer at any time by sending your request. by any of the following ways: by e-mail to: data.protection@emag.ro or by mail or courier to the address: 6 Gara Herastrau Street, Globalworth Square Office Building, 8th floor, Sector 2, Bucharest – with the mention to the attention of the eMAG Data Protection Officer.</t>
  </si>
  <si>
    <t>Evidence lists specific purposes; risk inference unsupported.</t>
  </si>
  <si>
    <t>Cookies are used for the following purposes: for the operation of the website, for the analysis of the behavior of website visitors, for advertising.</t>
  </si>
  <si>
    <t>Relevant legal basis disclosure exists, but model failed to identify it.</t>
  </si>
  <si>
    <t>Relevant recipient disclosure exists, but model failed to identify it.</t>
  </si>
  <si>
    <t>Relevant transfer disclosure exists, but model failed to identify it.</t>
  </si>
  <si>
    <t>Retention criterion identified; risk inference unsupported.</t>
  </si>
  <si>
    <t>You have the right to lodge a complaint with the supervisory authority regarding the processing of your personal data.</t>
  </si>
  <si>
    <t>The personal data collected in particular via cookies and trackers [...] are processed jointly by: FNAC DARTY PARTICIPATIONS &amp; SERVICES RCS Créteil B 775 661 390 and FNAC DIRECT RCS Créteil B 377 853 536</t>
  </si>
  <si>
    <t>FNAC DARTY uses your personal data mainly for the following purposes: Order and customer relationship management, Payment for your orders or subscriptions, Personalisation of our services and the messages we send to you.</t>
  </si>
  <si>
    <t>Granular categories found by other models.</t>
  </si>
  <si>
    <t>By clicking on "Allow all", you voluntarily consent to the convenience and marketing data processing.</t>
  </si>
  <si>
    <t>Accept solid vs reject outline; missed asymmetry.</t>
  </si>
  <si>
    <t>Both "Reject All" and "Allow All" buttons are visible on the first layer. "Reject All" is a white button with black border and text, "Allow All" is a solid red button with white text. Both buttons are similar in size and placed side by side at the bottom of the banner.</t>
  </si>
  <si>
    <t>We process personal data to tailor the content to our users and recommend products that they will be interested in.</t>
  </si>
  <si>
    <t>Consent is bundled for individual data uses in order to store and/or retrieve information on your device (IP address, user ID, browser information, device identifiers).</t>
  </si>
  <si>
    <t>You also have the right to lodge a complaint with a supervisory authority.</t>
  </si>
  <si>
    <t>"Cookie Policy / Privacy Policy"</t>
  </si>
  <si>
    <t>"to improve the quality of our website, for example, when we see that a particular toy has an increasing number of views, we can make it more prominent on our website"</t>
  </si>
  <si>
    <t>False positive; legal-basis table found by others.</t>
  </si>
  <si>
    <t>False positive; recipient categories listed.</t>
  </si>
  <si>
    <t>False positive; Chapter V safeguards disclosed.</t>
  </si>
  <si>
    <t>You will see a cookie notice at the bottom of the window and you will be able to either accept all cookies or customize your cookie settings.</t>
  </si>
  <si>
    <t>Please contact us via this form or by email at privacysupport@vinted.lt.</t>
  </si>
  <si>
    <t>False positive; legitimate-interest basis disclosed.</t>
  </si>
  <si>
    <t>The right to lodge a complaint with a supervisory authority is mentioned under "Which data protection rights do I have"'</t>
  </si>
  <si>
    <t>Reject as text link; missed prominence asymmetry.</t>
  </si>
  <si>
    <t>The banner shows three visible options on the first layer: "Only essential", "Set preferences", and "Accept all". "Only essential" acts as a reject/decline option and is visually comparable in size and contrast to "Accept all". Both are placed at the bottom with similar prominence, and no option requires opening another layer to reject.</t>
  </si>
  <si>
    <t>False positive; recipient disclosure present.</t>
  </si>
  <si>
    <t>False positive; specific deletion period disclosed.</t>
  </si>
  <si>
    <t>Correct score, but quote mentions company activity, not explicit controller identification.</t>
  </si>
  <si>
    <t>ABOUT YOU maintains social media profiles on social networks</t>
  </si>
  <si>
    <t>The legal basis for this data processing is Art. 6 (1) a) GDPR, Art. 6 (1) b) GDPR and Art. 6 (f) GDPR.</t>
  </si>
  <si>
    <t>Best evidence: explicit third-party disclosure.</t>
  </si>
  <si>
    <t>In addition to the third parties named in our Privacy Policy and in our CMP by name, we may disclose personal data to a third party in particular if</t>
  </si>
  <si>
    <t>Best evidence</t>
  </si>
  <si>
    <t>7. Recipients outside the EEA</t>
  </si>
  <si>
    <t>Best evidence: specific retention periods and legal criteria.</t>
  </si>
  <si>
    <t>we are obliged to retain this information for tax audits and financial audits for up to ten years. Even if there is no legal obligation to retain data, we may refrain from immediate deletion in certain cases permitted by law. This applies, for example, if the information in question may still be required for further contract processing or legal prosecution or legal defense (e.g. in the case of complaints). The relevant criterion for the duration of the blocking is then the respective statutory limitation periods, after the expiry of which we then delete the information. As a rule, the limitation periods end 3 years after the end of the year in which you made a purchase from us.</t>
  </si>
  <si>
    <t>Best evidence: explicit list of GDPR data subject rights.</t>
  </si>
  <si>
    <t>the right of access about your personal data stored by us (Art. 15 GDPR), in particular you can request information about the processing purposes, the categories of personal data, the categories of recipients to whom your data has been or will be disclosed, the planned storage period, the origin of your data, if it has not been collected directly from you</t>
  </si>
  <si>
    <t>You also have the right to complain to a supervisory authority. In particular, you can contact the supervisory authority of your usual place of residence or workplace or our company headquarters.</t>
  </si>
  <si>
    <t>We use most Cookies based on your consent. We ask you for this consent in our Consent Management Plattform ("CMP" and/or "Preference Center").</t>
  </si>
  <si>
    <t>Contents
You can easily jump directly to the section you are interested in by clicking on the respective chapter headings.</t>
  </si>
  <si>
    <t>Best evidence: transfers and EC safeguards disclosed.</t>
  </si>
  <si>
    <t>Transfers out of the European Economic Area: Whenever we transfer personal information to countries outside of the European Economic Area, we ensure that the information is transferred in accordance with this Privacy Notice and as permitted by the applicable laws on data protection. We rely on European Commission adequacy decisions or use contracts with standard safeguards published by the European Commission</t>
  </si>
  <si>
    <t>Subject to applicable law and in certain instances, you have the following rights: Access and portability... Deletion... Objection and restriction... Correction... Withdraw your consent.</t>
  </si>
  <si>
    <t>Best evidence: explicit consent record-keeping for demonstrability.</t>
  </si>
  <si>
    <t>We store information regarding the request made and the person who made the request in order to ensure that compliance can be demonstrated and to establish, defend or pursue possible claims of data subjects. The register of requests is stored in a way that ensures the integrity and confidentiality of the data contained therein.</t>
  </si>
  <si>
    <t>Specific retention periods present; over-strict reading.</t>
  </si>
  <si>
    <t>As a rule, data are processed for the duration of the provision of the service or the execution of the order, until the consent is withdrawn or an effective objection to data processing is submitted in cases where the legal basis for data processing is the legitimate interest of the Administrator.</t>
  </si>
  <si>
    <t>Best evidence: solid vs outline prominence asymmetry.</t>
  </si>
  <si>
    <t>Three buttons are visible at the bottom of the banner: "Accept all" (solid dark blue fill, white text), "Custom settings" (outline style, blue text), and "To refuse" (outline style, blue text). The "Accept all" button has a filled background providing high contrast and strong visual weight, while the reject option "To refuse" uses only an outline with no fill, making it visually less prominent.</t>
  </si>
  <si>
    <t>Best evidence: documentation of consent retained explicitly.</t>
  </si>
  <si>
    <t>However, we will keep documentation of your consent for a period of up to 5 years after your consent has been withdrawn.</t>
  </si>
  <si>
    <t>Reject button equally prominent; over-flagged.</t>
  </si>
  <si>
    <t>Three buttons are visible on the first layer: "Settings" (light grey fill, dark text, outline style), "Only necessary" (solid black fill, white text), and "Accept all" (solid black fill, white text). The "Settings" button is visually de-emphasised with a grey/outline style compared to the two solid black buttons. To fully reject cookies, the user must click "Settings" to access granular controls, while "Accept all" is immediately actionable on the first layer with high-contrast solid styling.</t>
  </si>
  <si>
    <t>Best evidence: SCCs for US transfers identified.</t>
  </si>
  <si>
    <t>Personal data concerning you may be transmitted to service providers located in third countries that are not members of the European Union, namely the United States. These data transfers are governed by a cross-border data flow agreement established in accordance with the standard contractual clauses for controller to processor issued by the European Commission and currently in force.</t>
  </si>
  <si>
    <t>Best evidence: named partners and categories.</t>
  </si>
  <si>
    <t>Cdiscount and its 87 partners (see our partners) use trackers (such as cookies) to register and/or access information stored on your device</t>
  </si>
  <si>
    <t>Missed conditioning of services on consent.</t>
  </si>
  <si>
    <t>By clicking "Reject and close," you reject cookies that require consent and will not have access to, among other things, personalized offers, services, or advertising.</t>
  </si>
  <si>
    <t>We want you to know that you have the right to lodge a complaint with the www.aepd.es supervisory authority.</t>
  </si>
  <si>
    <t>Best evidence: large button vs small text link.</t>
  </si>
  <si>
    <t>A large, solid dark-blue "Accept" button with a checkmark is prominently displayed at the bottom center of the banner. The only rejection option visible is "Decline and close", rendered as a small blue hyperlink-style text in the top-right corner of the banner, with no button styling, no fill, and significantly smaller visual weight.</t>
  </si>
  <si>
    <t>Best evidence: tracking activated by default on visit.</t>
  </si>
  <si>
    <t>When you visit our website and our apps, they are activated by default.</t>
  </si>
  <si>
    <t>Best evidence: solid vs outline button contrast.</t>
  </si>
  <si>
    <t>Three buttons are visible: "ONLY ABSOLUTELY NECESSARY" (outline/white fill), "MORE INFORMATION" (outline/white fill), and "ALLOW EVERYONE" (solid black fill with white text). The accept button uses a high-contrast solid black background, while the reject option uses a low-contrast outline style with no fill.</t>
  </si>
  <si>
    <t>Best evidence: explicit access with only necessary cookies after refusal.</t>
  </si>
  <si>
    <t>If you choose "Decline all", we will only use cookies that are strictly necessary for the operation of the site and will not display personalized advertisements.</t>
  </si>
  <si>
    <t>same evidence 3 models</t>
  </si>
  <si>
    <t>You can change your preferences at any time by clicking on "Manage preferences".</t>
  </si>
  <si>
    <t>Best evidence: explicit preference management option.</t>
  </si>
  <si>
    <t>I accept all
Refuse all
Manage your preferences</t>
  </si>
  <si>
    <t>Best evidence: explicit affirmative action required ("Accept all").</t>
  </si>
  <si>
    <t>Best evidence: full legal name and registered office of the controller.</t>
  </si>
  <si>
    <t>This policy refers to cookies and similar technologies used, as applicable, in the websites and applications operated by SC DANTE INTERNATIONAL SA with its registered office in Bucharest, Şoseaua Virtuții, no. 148, sector 6, (hereinafter referred to as eMAG).</t>
  </si>
  <si>
    <t>Best evidence: email and postal address provided.</t>
  </si>
  <si>
    <t>we encourage you to contact eMAG's Data Protection Officer at data.protection@emag.ro e-mail address or by mail or courier at str. Gara Herăstrău, nr. 6, Globalworth Square Office Building, 8th floor, Sector 2, Bucharest – with the mention: to the attention of eMAG's Data Protection Officer.</t>
  </si>
  <si>
    <t>Best evidence: multiple distinct processing purposes explicitly listed.</t>
  </si>
  <si>
    <t>for the operation of the website,
for the analysis of the behavior of website visitors,
for advertising.</t>
  </si>
  <si>
    <t>Best evidence: explicit contract performance legal basis.</t>
  </si>
  <si>
    <t>The processing of your personal data for these purposes is in most cases necessary for the conclusion and execution of a contract between eMAG and you. Also, certain processing subsumed to these purposes is required by applicable legislation, including tax and accounting legislation.</t>
  </si>
  <si>
    <t>Best evidence: detailed categories of third-party recipients explicitly listed.</t>
  </si>
  <si>
    <t>Where appropriate, we may transmit or provide access to certain of your personal data. to the following categories of recipients:
companies within the same group of companies as eMAG;
eMAG Marketplace partners;
courier service providers;
payment/banking service providers;
marketing / telemarketing service providers;
market research service providers;
insurance companies;
IT service providers;
to other companies with whom we may develop joint market offering programs for our goods and services.</t>
  </si>
  <si>
    <t>Best evidence: transfers outside EU/EEA and safeguards explicitly disclosed.</t>
  </si>
  <si>
    <t>In the event that your personal data will be transferred outside the European Union or the EEA, the transfer will be carried out (a) pursuant to Article 45 GDPR, respectively on the basis of a decision of the European Commission by which it decides that the third country in question ensures an adequate level of protection, (b) pursuant to Article 46(2)(b) GDPR, respectively on the basis of mandatory corporate rules or (c) pursuant to Article 46(2)(c) GDPR, respectively on the basis of the standard contractual clauses adopted by the European Commission.</t>
  </si>
  <si>
    <t>As a general rule, we will store your personal data. For as long as you have an account on the eMAG platform.</t>
  </si>
  <si>
    <t>Best evidence: multiple GDPR data subject rights explicitly listed.</t>
  </si>
  <si>
    <t>The General Data Protection Regulation recognises a number of rights in relation to your personal data. Personal data. You can request access to your data, the correction of any mistakes in our files and/or object to the processing of your personal data. You can also exercise your right to complain to the competent supervisory authority or to take legal action. Where applicable, you may also have the right to request the erasure of your personal data. the right to restrict the processing of your personal data. and the right to data portability.</t>
  </si>
  <si>
    <t>Best evidence: layered structure and linked policies explicitly referenced.</t>
  </si>
  <si>
    <t>This policy is complemented by the eMAG policy on the protection of personal data in general that you can find here and the Terms and Conditions of the website that you can find here, which we encourage you to read, which include additional useful information, including regarding the eMAG data protection officer, all purposes of data processing by eMAG, your rights, as well as their exceptions and limitations, etc.</t>
  </si>
  <si>
    <t>Over-flagged; non-essential trackers are consent-gated.</t>
  </si>
  <si>
    <t>When you visit our website fnac.com, trackers are placed by FNAC DARTY and/or third parties on your computer, mobile phone or tablet.</t>
  </si>
  <si>
    <t>Best evidence: solid accept vs outline/text reject.</t>
  </si>
  <si>
    <t>The "I AGREE" button is a large, solid dark-filled button with high-contrast white text, placed in the bottom-right corner. The "MANAGE MY PREFERENCES" button is an outline-only button with no fill, placed to the left. There is no direct "Reject" or "Decline" button on this layer; refusal requires navigating through "Manage My Preferences". Additionally, "Continue without accepting" is available as a plain text link in the top-right corner, significantly less visually prominent than the solid "I AGREE" button.</t>
  </si>
  <si>
    <t>Best evidence: solid red accept vs outline reject.</t>
  </si>
  <si>
    <t>The "Allow All" button is a solid red filled rectangle with white text, while the "Reject All" button is an outline-only rectangle with black text on white background. Both buttons are the same size and placed side by side on the same layer.</t>
  </si>
  <si>
    <t>Accept only necessary cookies
Accept everything</t>
  </si>
  <si>
    <t>Best evidence: full legal name and registered office.</t>
  </si>
  <si>
    <t>Notino, s.r.o., Londynské náměstí 881/6, 63900 Brno, Czech Republic, REGON: 27609057, NIP: CZ27609057, Company registered at the Municipal Court in Prague under number C118634</t>
  </si>
  <si>
    <t>Best evidence: standard contractual clauses identified.</t>
  </si>
  <si>
    <t>such a transfer by us will only take place if our processor undertakes to comply with the standard contractual clauses issued by the European Commission, which are available here.</t>
  </si>
  <si>
    <t>Best evidence: explicit retention periods identified.</t>
  </si>
  <si>
    <t>in the case of accounting documents issued by us, we as the administrator are obliged to store the data for at least 10 years from their issuance.</t>
  </si>
  <si>
    <t>Best evidence: large button vs minor text link.</t>
  </si>
  <si>
    <t>The "Accept everything" button is a large, solid black filled button with white text at the bottom of the banner. The only reject/decline option visible is "Accept only necessary cookies", rendered as a small grey underlined hyperlink-style text at the very top of the banner, significantly smaller and lower contrast than the accept button. The "More information" button is an outline/bordered button that leads to further settings, not a direct rejection.</t>
  </si>
  <si>
    <t>Best evidence: red accept vs grey reject button.</t>
  </si>
  <si>
    <t>The "OK" button is a large, solid red/filled button with white text on the right side. The "Decline consent" button is a light grey, low-contrast button on the left. The "More information" link in the center is styled as a plain underlined text link, not a button.</t>
  </si>
  <si>
    <t>Cookie Policy / Privacy Policy</t>
  </si>
  <si>
    <t>Vague retention only; no specific durations.</t>
  </si>
  <si>
    <t>We will only retain your personal data for as long as necessary to fulfil the purposes we collected it for, including for the purposes of satisfying any legal, accounting, or reporting requirements.</t>
  </si>
  <si>
    <t>The "Yes, I am happy" (accept) button and "Reject all" button are both solid blue filled buttons of similar size and placement on the right side. However, "Manage my cookies" on the left uses only an outline/border style with no fill, making it visually less prominent. The reject option ("Reject all") is solid blue and comparable to accept, but the manage/withdraw option is clearly de-emphasised via outline styling.</t>
  </si>
  <si>
    <t>Best evidence: explicit consent records identified.</t>
  </si>
  <si>
    <t>Legal and compliance data , such as consent records, claims, copies of documents proving ownership of your Vinted account, and your agreements with us.</t>
  </si>
  <si>
    <t>Best evidence: no reject-all button on first layer.</t>
  </si>
  <si>
    <t>The "Accept all" button is solid teal/dark green with white text (high contrast, filled style). The "Select the necessary ones" button has a teal outline with teal text on white background (lower visual weight). "Manage cookies" appears as a plain teal text link with no button styling at all.</t>
  </si>
  <si>
    <t>Best evidence: solid accept vs outline reject.</t>
  </si>
  <si>
    <t>Three buttons are visible: "Adjust settings" (light grey, outline style), 'Agreed, let's continue.' (solid dark green, high contrast, bold white text), and "Only necessary cookies" (light grey, outline style). The accept button is visually dominant due to its solid green fill and high contrast, while the reject option ("Only necessary cookies") uses a low-contrast grey outline style identical to the settings button.</t>
  </si>
  <si>
    <t>Insofar as we process personal data (e.g. the IP address) in this context, the legal basis for this is Art. 6 (1) f) GDPR.</t>
  </si>
  <si>
    <t>Generic section title, but relevant.</t>
  </si>
  <si>
    <t>8. Your Rights</t>
  </si>
  <si>
    <t>Best evidence: explicit consent requirement before non-essential cookies.</t>
  </si>
  <si>
    <t>We use most Cookies based on your consent. We ask you for this consent in our Consent Management Plattform ( „CMP“ and/or “Preference Center”).</t>
  </si>
  <si>
    <t>Contents You can easily jump directly to the section you are interested in by clicking on the respective chapter headings.</t>
  </si>
  <si>
    <t>Unsupported inference; withdrawal mechanism is available.</t>
  </si>
  <si>
    <t>After exercising the right to object, sign out from your Allegro account on all devices and clear the cookies on them in line with the instructions for the browser. Furthermore, if you consented to cookies while logged in, opt out of them by logging in to your account and using the cookie management dashboard.</t>
  </si>
  <si>
    <t>Preference persistence over-read as consent demonstrability.</t>
  </si>
  <si>
    <t>Your choices concerning the use of cookies expressed upon logging in to Allegro are associated with your Allegro account and remembered also when you log in to the account from another device or browser</t>
  </si>
  <si>
    <t>You can change your choices at any time by visiting Cookies and advertising choices. and When you consent to our use your personal information for a specified purpose, you may withdraw your consent at any time and we will stop any further use of your data for that purpose.</t>
  </si>
  <si>
    <t>Click “Decline” to reject, or “Customise” to make more detailed advertising choices, or learn more. and You can also withdraw your consent for certain purposes directly, for instance on the Customise third-party advertising cookies page.</t>
  </si>
  <si>
    <t>Amazon Europe Core SARL, Amazon EU SARL and Amazon Media EU SARL, all three at 38 avenue John F. Kennedy L-1855, Luxembourg, and Amazon Digital Germany GmbH, at Anni-Albers-Str. 21, 80807 Munich and Further, the data protection officer for the above-mentioned data controllers can be contacted at eu-privacy@amazon.de.</t>
  </si>
  <si>
    <t>Data Use Purposes, Data Categories and Legal Bases and To help you better understand each purpose, please click here to see the categories of personal information we typically use for each purpose and the legal bases we rely on.</t>
  </si>
  <si>
    <t>operational cookies will remain on your browser for 13 months from your last visit to Amazon Services, except for cookies used to remember your privacy settings, which may remain on your browser for up to 5 years. Other cookies remain on your browser for 13 months after you provide us with your consent to use these cookies. and For these reasons, we normally retain transactional data related to orders for products and services, for example, customer name, ordered product, order date, delivery address, payment method, price, and VAT for 10 years.</t>
  </si>
  <si>
    <t>What Rights Do I Have' Subject to applicable law and in certain instances, you have the following rights: Access and portability. ... Deletion. ... Objection and restriction. ... Correction. ... Withdraw your consent.</t>
  </si>
  <si>
    <t>Analytics "in any case" over-read as pre-consent.</t>
  </si>
  <si>
    <t>In any case, we use cookies and similar tools that are necessary to enable you to make purchases, to enhance your shopping experiences and to provide our services, as detailed in our Cookie notice. We also use these cookies to understand how customers use our services (for example, by measuring site visits) so we can make improvements.</t>
  </si>
  <si>
    <t>1.7. What are your rights in relation to your personal data?
1.7.1. Right to access
1.7.2. Right to rectification
1.7.3. Right to erasure</t>
  </si>
  <si>
    <t>You can change your choices at any time by clicking on "Setting your cookies" at the bottom of each page of our site. You can disable the cookies you have consented to at any time, free of charge, using the opt-out options offered and described below.</t>
  </si>
  <si>
    <t>Consent-storage duration over-read as demonstrability.</t>
  </si>
  <si>
    <t>The retention period for your choices (consent or refusal of cookies) is six months from the date your consent is obtained.</t>
  </si>
  <si>
    <t>You can consent to all or part of these trackers and data processing or refuse them. A module allows you to choose which cookies you wish to accept and which you wish to refuse on our site.</t>
  </si>
  <si>
    <t>Accept All Refuse everything Setting up. During your first visit to our site, you will be asked to accept or refuse the use of certain cookies.</t>
  </si>
  <si>
    <t>the legal bases of which are as follows: your consent, the performance of a contract concluded with you, our legitimate interest, or our legal and regulatory obligations. (followed by a table mapping purposes to legal bases)</t>
  </si>
  <si>
    <t>False positive; CNIL complaint right found by others.</t>
  </si>
  <si>
    <t>With your consent, we and our 36 partners use cookies or similar technologies to process your personal data for the following purposes: storing and/or accessing information on your device, providing you with personalized advertising, measuring audience and content performance on decathlon.es, and personalizing your experience on the site. ... Accept</t>
  </si>
  <si>
    <t>With your consent, we and our 36 partners use cookies or similar technologies to process your personal data for the following purposes: storing and/or accessing information on your device, providing you with personalized advertising, measuring audience and content performance on decathlon.es, and personalizing your experience on the site. and Legal basis of processing We process your data in order to be able to execute the subscription rental agreement entered into with DECATHLON.</t>
  </si>
  <si>
    <t>Safeguards confirmed by other models.</t>
  </si>
  <si>
    <t>International transfers of your data may take place to these social networks, which may not be located in countries with a level of data protection comparable to the GDPR.</t>
  </si>
  <si>
    <t>Complexity inference; others found it navigable.</t>
  </si>
  <si>
    <t>In the case of the AWIN and Resolution affiliate platforms, the operators of the respective platforms record the commissions payable by Douglas and earned by the respective affiliates under their own responsibility and settle these commissions on their own behalf to Douglas and the respective affiliates. With the EASY Marketing affiliate platform, the operator records the commissions incurred on behalf of Douglas and the accounting is carried out by Douglas for the benefit of the respective affiliates. In the case of AWIN and Resolution affiliate platforms, the operators of the respective platforms record the commissions payable by Douglas and earned by the respective affiliates at their own risk and settle these commissions in their own name to Douglas and the relevant affiliates. With the EASY Marketing affiliate platform, the operator records the commissions incurred on behalf of Douglas and the accounting is maintained by Douglas for the benefit of the respective affiliates. In the case of the AWIN and Resolution affiliate platforms, the operators of the respective platforms record the commissions payable by Douglas and earned by the respective affiliates at their own risk and settle these commissions in their own name to Douglas and the relevant affiliates. With theEASY Marketing affiliate operator records commissions incurred on behalf of Douglas and accounting is handled by Douglas for the benefit of the respective affiliates.</t>
  </si>
  <si>
    <t>To manage or disable these cookies, click on Configure Cookies. You can allow, block, or delete cookies installed on your computer by configuring your internet browser settings.</t>
  </si>
  <si>
    <t>To manage or disable these cookies, click on Configure Cookies. In this Cookie Policy you will find the description and purpose of each of the cookies used, as well as their name, the sending server, their expiration and in some cases the existence of international data transfer.</t>
  </si>
  <si>
    <t>Best evidence: retention linked to account duration and additional criteria.</t>
  </si>
  <si>
    <t>As a general rule, we will store your personal data. For as long as you have an account on the eMAG platform. You can ask us at any time to delete certain information or close your account, and we will comply with these requests, subject to the retention of certain information, including after the closure of your account, in situations where applicable law or our legitimate interests require it.</t>
  </si>
  <si>
    <t>Best evidence: explicit statement that only necessary cookies remain after refusal.</t>
  </si>
  <si>
    <t>Policy on the use of cookies and similar technologies Manage preferences 1. Policy on the use of cookies and similar technologies ... This policy is complemented by the eMAG policy on the protection of personal data in general that you can find here and the Terms and Conditions of the website that you can find here...</t>
  </si>
  <si>
    <t>The data we collect may be transmitted to service providers (subcontractors) / Data sharing between FNAC and DARTY / Data sharing within the FNAC DARTY group / The categories of recipients who may receive personal data from FNAC DARTY are: Franchisees who use the FNAC or DARTY brands, Marketplace sellers, Partner sites that operate services related to our site when you use those services (e.g., Photo Work Partner), Insurance, financing or credit institutions if you subscribe to these services (e.g. CA CONSUMER FINANCE, Garantie Privée), Advertisers using FNAC DARTY's advertising services such as commercial partners as well as marketing and advertising agencies and their advertisers, Partners, customer reviews and satisfaction surveys (e.g. Verified reviews), Affiliate Partners, Social Networks, Police authorities in the context of judicial requisitions concerning the fight against fraud or other authorised third parties, Customs services in the event of delivery abroad, Carriers, Payment services.</t>
  </si>
  <si>
    <t>Narrow voice-system documentation only; not general demonstrability.</t>
  </si>
  <si>
    <t>The consent is given via the voice dialog system and is documented with the communication connection data.</t>
  </si>
  <si>
    <t>Vague retention treated as sufficient.</t>
  </si>
  <si>
    <t>We process and store your personal data only for the period necessary to fulfil the purpose of processing or if this has been provided for in laws or regulations. After the purpose has ceased to exist or has been fulfilled, your personal data will be deleted or blocked. In the event of blocking, the data will be deleted as soon as there are no statutory or contractual retention periods to the contrary.</t>
  </si>
  <si>
    <t>Unsupported inference from browser-settings text.</t>
  </si>
  <si>
    <t>In your browser, you can disable cookies completely or limit them to the types you choose. However, this will limit the operation of our websites and you will not be able to use the full range of features we offer, including logging in to your customer account.</t>
  </si>
  <si>
    <t>Legal bases identified by other models.</t>
  </si>
  <si>
    <t>SCC safeguard found by other models.</t>
  </si>
  <si>
    <t>Specific durations found by other models.</t>
  </si>
  <si>
    <t>However, this does not apply to personal data that is necessary for the fulfilment of our statutory obligations and that we are obliged to store in accordance with the law (e.g. the execution of an order placed) or in order to protect our legitimate interests. Personal data will also be deleted if this data is no longer needed for a specific purpose or if the storage of personal data is inadmissible for other reasons specified by law.</t>
  </si>
  <si>
    <t>7. What rights does the data subject have and how can he or she exercise them' ... 8. Contact Us ... 9. Effective Date</t>
  </si>
  <si>
    <t>Table of contents, The detailed descriptions of the topics dealt with in the individual sub-points are sometimes preceded by a short summary. This short summary serves the purpose of giving you an overview of the respective topic. If you need further information on this, you will find it in the detailed explanations following the short summary.</t>
  </si>
  <si>
    <t>Cookie Policy FAQs</t>
  </si>
  <si>
    <t>Click "Manage cookies" or visit the privacy policy page at any time. Cookie policy.</t>
  </si>
  <si>
    <t>please contact us via this form or by email at privacysupport@vinted.lt . To the Data Protection Officer UAB Vinted Švitrigailos g. 13 LT-03228 Vilnius Lithuania</t>
  </si>
  <si>
    <t>You can adjust your preferences at any time. For more information, please read our privacy notice and legal notice. and You may withdraw consent at any time with effect for the future, for example by asking the employee on the phone to stop the recording.</t>
  </si>
  <si>
    <t>Narrow newsletter logging over-read as demonstrability.</t>
  </si>
  <si>
    <t>If you subscribe to a newsletter, we temporarily save your IP address as well as the time of your subscription and confirmation. This allows us to verify that you have actually subscribed to the newsletter and to detect any unauthorised use of your email address.</t>
  </si>
  <si>
    <t>This may mean that your data is also processed in the USA and China. ... Should personal data be transmitted to the USA, we have concluded the Standard Contractual Clauses with Google.</t>
  </si>
  <si>
    <t>With your consent, we would like to enable performance, functional and marketing cookies to improve your experience with our website and to show you relevant products and services, as well as to personalize advertising. You can make changes at any time in our preference center ("Adjust settings"). We distinguish between the following types of cookies: 2.1. Strictly necessary cookies [...] 2.2 Performance cookies [...] 2.3. Functional cookies [...] 2.4. Cookies for marketing purposes.</t>
  </si>
  <si>
    <t>Legal basis: Art. 6 para. 1 lit. f) GDPR. [...] Legal basis: Art. 6 para. 1 lit. a) GDPR. [...] Legal basis: Art. 6 para. 1 lit. b) GDPR.</t>
  </si>
  <si>
    <t>With your consent, we would like to enable performance, functional and marketing cookies to improve your experience with our website and to show you relevant products and services, as well as to personalize advertising. [...] Legal basis: Art. 6 para. 1 lit. a) GDPR.</t>
  </si>
  <si>
    <t>Brief overview 1. Who is the controller of data processing' [...] 8. How can I withdraw my consent or object' A. General information on data protection at zooplus 1. Scope and Definitions [...]</t>
  </si>
  <si>
    <t xml:space="preserve">Different evidence quote </t>
  </si>
  <si>
    <t>We store the decision made by you in this respect as to whether you wish to give consent in order to be able to implement it accordingly.</t>
  </si>
  <si>
    <t>Privacy Policy</t>
  </si>
  <si>
    <t>No relevant evidence identified.</t>
  </si>
  <si>
    <t>Generic wording, but relevant.</t>
  </si>
  <si>
    <t>3. Purposes of the Data Processing, Legal Bases and Legitimate Interests pursued by the Controller or a Third Party, as well as Categories of Recipients</t>
  </si>
  <si>
    <t>The legal basis for this is Art. 6 (1) f) GDPR. Our legitimate interest results from the Ensure smooth connection establishment, Ensuring a comfortable use of our Marketplace, Evaluation of system security and stability.</t>
  </si>
  <si>
    <t>Minor capitalization normalization observed ("we" -&gt; "We") without semantic change.</t>
  </si>
  <si>
    <t>We and our Partners use Cookies or similar technologies</t>
  </si>
  <si>
    <t>Minimal but relevant evidence.</t>
  </si>
  <si>
    <t>USA (we rely in this respect on the "DPF")</t>
  </si>
  <si>
    <t>Shorter but relevant retention disclosure.</t>
  </si>
  <si>
    <t>We store the data collected for the processing of the contract - unless we use it for our own marketing purposes - for the duration of the respective contract and until the expiry of the respective statutory or possible contractual warranty and guarantee rights and applicable limitation periods.</t>
  </si>
  <si>
    <t>Shorter but relevant complaint disclosure.</t>
  </si>
  <si>
    <t>You also have the right to complain to a supervisory authority.</t>
  </si>
  <si>
    <t>Retention text misread as consent record-keeping.</t>
  </si>
  <si>
    <t>We keep your personal information to enable your continued use of Amazon Services, for as long as it is required in order to fulfil the relevant purposes described in this Privacy Notice</t>
  </si>
  <si>
    <t>We share customers' personal information only as described below and with Amazon.com, Inc. and the subsidiaries that Amazon.com, Inc. controls</t>
  </si>
  <si>
    <t>You can always adjust or withdraw your choice afterwards via "Data usage settings" in our "privacy policy" and/or "cookie policy"</t>
  </si>
  <si>
    <t>Via "Set it yourself" you can indicate more specifically what you accept</t>
  </si>
  <si>
    <t>See also our privacy policy and cookie policy</t>
  </si>
  <si>
    <t>The policy text is detailed and provides specific information about data processing, indicating a reasonable level of clarity.</t>
  </si>
  <si>
    <t>Saw default-activation text but did not flag risk.</t>
  </si>
  <si>
    <t>COOKIE POLICY ...  Cookies policy</t>
  </si>
  <si>
    <t>Trade name and registered address clearly identify the controller.</t>
  </si>
  <si>
    <t>eMAG is the trade name of DANTE INTERNAŢIONAL S.A., a legal entity of Romanian nationality, having its registered office in Bucharest, Șoseaua Virtuţii nr. 148, sector 6</t>
  </si>
  <si>
    <t>Shorter but relevant contact disclosure.</t>
  </si>
  <si>
    <t>by e-mail to: data.protection@emag.ro or by mail or courier to the address: 6 Gara Herastrau Street</t>
  </si>
  <si>
    <t>Shorter but relevant legal basis disclosure.</t>
  </si>
  <si>
    <t>The processing of your personal data for these purposes is in most cases necessary for the conclusion and execution of a contract between eMAG and you.</t>
  </si>
  <si>
    <t>Generic but relevant recipient disclosure.</t>
  </si>
  <si>
    <t>by us and our partners</t>
  </si>
  <si>
    <t>Shorter but relevant transfer disclosure.</t>
  </si>
  <si>
    <t>In the event that your personal data will be transferred outside the European Union or the EEA, the transfer will be carried out (a) pursuant to Article 45 GDPR, respectively on the basis of a decision of the European Commission by which it decides that the third country in question ensures an adequate level of protection</t>
  </si>
  <si>
    <t>Minor extraction mismatch; evidence verified.</t>
  </si>
  <si>
    <t>As a general rule, we will store your personal data for as long as you have an account on the eMAG platform.</t>
  </si>
  <si>
    <t>You have the right to lodge a complaint with the supervisory authority regarding the processing of your personal data</t>
  </si>
  <si>
    <t>The text data generated in the chat process as well as technical usage and communication data (e.g. time of the request, technical identification features) will be stored for up to 30 days</t>
  </si>
  <si>
    <t>We will only retain your personal data for as long as necessary to fulfil the purposes we collected it for</t>
  </si>
  <si>
    <t>We only store your data for as long as is necessary for the purposes stated above. When it is no longer needed, we delete or anonymize the data. We generally keep your data for as long as you actively use Vinted, and for up to 5 years after you stop using it.</t>
  </si>
  <si>
    <t>Table 21. Total Risk Flags by Model and Indicator Group</t>
  </si>
  <si>
    <t>GPT-4o</t>
  </si>
  <si>
    <t>Claude 4.6</t>
  </si>
  <si>
    <t>Total</t>
  </si>
  <si>
    <t>Validity of Consent (R01–R06)</t>
  </si>
  <si>
    <t>Transparency (R07–R15, R18)</t>
  </si>
  <si>
    <t>Accountability and Tech (R16–R17)</t>
  </si>
  <si>
    <t>Total Risks Detected</t>
  </si>
  <si>
    <t>Table 22. Severity-Weighted Risk Scores by Site and Model</t>
  </si>
  <si>
    <t>Site</t>
  </si>
  <si>
    <t>Claude</t>
  </si>
  <si>
    <t>Gemini</t>
  </si>
  <si>
    <t>Llama</t>
  </si>
  <si>
    <t>Range W</t>
  </si>
  <si>
    <t>Risk Tier</t>
  </si>
  <si>
    <t>Table 23. Pairwise Agreement Between Models</t>
  </si>
  <si>
    <t>Claude 4.6 – Llama 3.3</t>
  </si>
  <si>
    <t>Gemini 2.5 – Llama 3.3</t>
  </si>
  <si>
    <t>Claude 4.6 – Gemini 2.5</t>
  </si>
  <si>
    <t>GPT-4o – Llama 3.3</t>
  </si>
  <si>
    <t>Claude 4.6 – GPT-4o</t>
  </si>
  <si>
    <t>Gemini 2.5 – GPT-4o</t>
  </si>
  <si>
    <t>Pre-consent tracking</t>
  </si>
  <si>
    <t>Clarity of information</t>
  </si>
  <si>
    <t>Table 24. Indicator-Level Divergence</t>
  </si>
  <si>
    <t>Divergence</t>
  </si>
  <si>
    <t>Indicator</t>
  </si>
  <si>
    <t>ID</t>
  </si>
  <si>
    <t>Right to Withdraw</t>
  </si>
  <si>
    <t>Demonstrability of Consent</t>
  </si>
  <si>
    <t>Freely Given Consent</t>
  </si>
  <si>
    <t>Specific Consent</t>
  </si>
  <si>
    <t>Purpose Specification</t>
  </si>
  <si>
    <t>Legal Basis Disclosure</t>
  </si>
  <si>
    <t>Third-Party Recipients</t>
  </si>
  <si>
    <t>International Transfers</t>
  </si>
  <si>
    <t>Data Retention Period</t>
  </si>
  <si>
    <t>Complaint Mechanism</t>
  </si>
  <si>
    <t>Pre-Consent Tracking</t>
  </si>
  <si>
    <t>Layered Information</t>
  </si>
  <si>
    <t>Table 25. Fleiss' Kappa by Indicator</t>
  </si>
  <si>
    <t>Weighted Range</t>
  </si>
  <si>
    <t>Unweighted Range</t>
  </si>
  <si>
    <t>Table 26. Sites with Meaningful Divergence (Unweighted)</t>
  </si>
  <si>
    <t>Table 26. Sites with Meaningful Divergence (Weighted Range)</t>
  </si>
  <si>
    <t>stable</t>
  </si>
  <si>
    <t>stable_cases</t>
  </si>
  <si>
    <t>stability_rate</t>
  </si>
  <si>
    <t>Table 27. Output Stability Across Three Runs (10 sites, all applicable indicators)</t>
  </si>
  <si>
    <t>Llama 3.3 70B</t>
  </si>
  <si>
    <t>Gemini 2.5 Flash</t>
  </si>
  <si>
    <t>Table 28. Unstable Indicators by Model (Stability Rate &lt; 100%)</t>
  </si>
  <si>
    <t>Model</t>
  </si>
  <si>
    <t>Table 29. Hallucination Rate by Model (full dataset)</t>
  </si>
  <si>
    <t>Table 30. LLM Trustworthiness Profile</t>
  </si>
  <si>
    <t>indicator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</si>
</sst>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2" x14ac:knownFonts="1">
    <font>
      <sz val="11"/>
      <color theme="1"/>
      <name val="Calibri"/>
      <family val="2"/>
      <scheme val="minor"/>
    </font>
    <font>
      <b/>
      <sz val="11"/>
      <name val="Calibri"/>
    </font>
    <font>
      <sz val="11"/>
      <color theme="1"/>
      <name val="Calibri"/>
      <family val="2"/>
      <scheme val="minor"/>
    </font>
    <font>
      <sz val="11"/>
      <name val="Calibri"/>
      <family val="2"/>
      <scheme val="minor"/>
    </font>
    <font>
      <sz val="12"/>
      <color theme="1"/>
      <name val="Times New Roman"/>
      <family val="1"/>
    </font>
    <font>
      <b/>
      <sz val="11"/>
      <name val="Calibri"/>
      <family val="2"/>
    </font>
    <font>
      <b/>
      <sz val="12"/>
      <color theme="1"/>
      <name val="Times New Roman"/>
      <family val="1"/>
    </font>
    <font>
      <b/>
      <sz val="12"/>
      <name val="Times New Roman"/>
      <family val="1"/>
    </font>
    <font>
      <sz val="12"/>
      <name val="Times New Roman"/>
      <family val="1"/>
    </font>
    <font>
      <sz val="12"/>
      <name val="Calibri"/>
      <family val="2"/>
      <scheme val="minor"/>
    </font>
    <font>
      <sz val="12"/>
      <color rgb="FF000000"/>
      <name val="Times New Roman"/>
      <family val="1"/>
    </font>
    <font>
      <b/>
      <sz val="12"/>
      <color rgb="FF000000"/>
      <name val="Times New Roman"/>
      <family val="1"/>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31">
    <xf numFmtId="0" fontId="0" fillId="0" borderId="0" xfId="0"/>
    <xf numFmtId="0" fontId="1" fillId="0" borderId="1" xfId="0" applyFont="1" applyBorder="1" applyAlignment="1">
      <alignment horizontal="center" vertical="top"/>
    </xf>
    <xf numFmtId="0" fontId="3" fillId="0" borderId="0" xfId="0" applyFont="1"/>
    <xf numFmtId="9" fontId="0" fillId="0" borderId="0" xfId="1" applyFont="1"/>
    <xf numFmtId="0" fontId="5" fillId="0" borderId="1" xfId="0" applyFont="1" applyBorder="1" applyAlignment="1">
      <alignment horizontal="center" vertical="top"/>
    </xf>
    <xf numFmtId="0" fontId="8" fillId="0" borderId="0" xfId="0" applyFont="1"/>
    <xf numFmtId="0" fontId="7" fillId="0" borderId="1" xfId="0" applyFont="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horizontal="center" vertical="center" wrapText="1"/>
    </xf>
    <xf numFmtId="0" fontId="9" fillId="0" borderId="0" xfId="0" applyFont="1"/>
    <xf numFmtId="0" fontId="8" fillId="0" borderId="1" xfId="0" applyFont="1" applyBorder="1" applyAlignment="1">
      <alignment horizontal="left" vertical="center"/>
    </xf>
    <xf numFmtId="0" fontId="8" fillId="0" borderId="1" xfId="0" applyFont="1" applyBorder="1" applyAlignment="1">
      <alignment horizontal="center" vertical="center"/>
    </xf>
    <xf numFmtId="0" fontId="7" fillId="0" borderId="1" xfId="0" applyFont="1" applyBorder="1" applyAlignment="1">
      <alignment horizontal="center" vertical="top"/>
    </xf>
    <xf numFmtId="0" fontId="4" fillId="0" borderId="1" xfId="0" applyFont="1" applyBorder="1"/>
    <xf numFmtId="164" fontId="4" fillId="0" borderId="1" xfId="1" applyNumberFormat="1" applyFont="1" applyBorder="1"/>
    <xf numFmtId="0" fontId="7" fillId="0" borderId="1" xfId="0" applyFont="1" applyBorder="1" applyAlignment="1">
      <alignment horizontal="left" vertical="top"/>
    </xf>
    <xf numFmtId="9" fontId="4" fillId="0" borderId="1" xfId="1" applyFont="1" applyBorder="1"/>
    <xf numFmtId="0" fontId="6" fillId="0" borderId="1" xfId="0" applyFont="1" applyBorder="1"/>
    <xf numFmtId="165" fontId="4" fillId="0" borderId="1" xfId="0" applyNumberFormat="1" applyFont="1" applyBorder="1"/>
    <xf numFmtId="10" fontId="4" fillId="0" borderId="1" xfId="1" applyNumberFormat="1" applyFont="1" applyBorder="1"/>
    <xf numFmtId="0" fontId="7" fillId="0" borderId="0" xfId="0" applyFont="1"/>
    <xf numFmtId="9" fontId="7" fillId="0" borderId="1" xfId="1" applyFont="1" applyBorder="1" applyAlignment="1">
      <alignment horizontal="center" vertical="top"/>
    </xf>
    <xf numFmtId="0" fontId="10" fillId="0" borderId="1" xfId="0" applyFont="1" applyBorder="1" applyAlignment="1">
      <alignment vertical="center" wrapText="1"/>
    </xf>
    <xf numFmtId="0" fontId="11" fillId="0" borderId="1" xfId="0" applyFont="1" applyBorder="1" applyAlignment="1">
      <alignment vertical="center" wrapText="1"/>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1" xfId="0" applyFont="1" applyBorder="1" applyAlignment="1">
      <alignment horizontal="center" vertical="center"/>
    </xf>
    <xf numFmtId="0" fontId="7"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cellXfs>
  <cellStyles count="2">
    <cellStyle name="Normal" xfId="0" builtinId="0"/>
    <cellStyle name="Per 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1"/>
  <sheetViews>
    <sheetView workbookViewId="0">
      <selection activeCell="H31" sqref="H31"/>
    </sheetView>
  </sheetViews>
  <sheetFormatPr defaultRowHeight="14.4" x14ac:dyDescent="0.3"/>
  <cols>
    <col min="1" max="1" width="8.6640625" bestFit="1" customWidth="1"/>
    <col min="2" max="2" width="7.109375" bestFit="1" customWidth="1"/>
    <col min="3" max="3" width="12.5546875" bestFit="1" customWidth="1"/>
    <col min="4" max="4" width="14.33203125" bestFit="1" customWidth="1"/>
    <col min="5" max="5" width="7.6640625" bestFit="1" customWidth="1"/>
    <col min="6" max="6" width="18.33203125" bestFit="1" customWidth="1"/>
    <col min="7" max="7" width="20.5546875" bestFit="1" customWidth="1"/>
    <col min="8" max="8" width="19" bestFit="1" customWidth="1"/>
    <col min="9" max="9" width="18" bestFit="1" customWidth="1"/>
    <col min="10" max="10" width="21.6640625" bestFit="1" customWidth="1"/>
    <col min="11" max="11" width="14.44140625" bestFit="1" customWidth="1"/>
    <col min="12" max="12" width="11.88671875" bestFit="1" customWidth="1"/>
    <col min="13" max="13" width="16.5546875" bestFit="1" customWidth="1"/>
    <col min="14" max="14" width="17.5546875" bestFit="1" customWidth="1"/>
    <col min="15" max="15" width="15" bestFit="1" customWidth="1"/>
    <col min="16" max="16" width="17.77734375" bestFit="1" customWidth="1"/>
    <col min="17" max="17" width="11.33203125" bestFit="1" customWidth="1"/>
    <col min="18" max="18" width="16.33203125" bestFit="1"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t="s">
        <v>18</v>
      </c>
      <c r="B2">
        <v>1</v>
      </c>
      <c r="C2" t="s">
        <v>19</v>
      </c>
      <c r="D2" t="s">
        <v>20</v>
      </c>
      <c r="E2" t="s">
        <v>21</v>
      </c>
      <c r="F2">
        <v>3</v>
      </c>
      <c r="G2">
        <v>1</v>
      </c>
      <c r="H2">
        <v>42</v>
      </c>
      <c r="I2">
        <v>0</v>
      </c>
      <c r="J2">
        <v>18</v>
      </c>
      <c r="K2">
        <v>18</v>
      </c>
      <c r="L2">
        <v>2</v>
      </c>
      <c r="M2">
        <v>2</v>
      </c>
      <c r="N2">
        <v>0</v>
      </c>
      <c r="O2">
        <v>1</v>
      </c>
      <c r="P2">
        <v>7.1428571428571425E-2</v>
      </c>
      <c r="Q2" t="s">
        <v>22</v>
      </c>
      <c r="R2">
        <v>0</v>
      </c>
    </row>
    <row r="3" spans="1:18" x14ac:dyDescent="0.3">
      <c r="A3" t="s">
        <v>18</v>
      </c>
      <c r="B3">
        <v>1</v>
      </c>
      <c r="C3" t="s">
        <v>19</v>
      </c>
      <c r="D3" t="s">
        <v>20</v>
      </c>
      <c r="E3" t="s">
        <v>23</v>
      </c>
      <c r="F3">
        <v>3</v>
      </c>
      <c r="G3">
        <v>1</v>
      </c>
      <c r="H3">
        <v>42</v>
      </c>
      <c r="I3">
        <v>0</v>
      </c>
      <c r="J3">
        <v>18</v>
      </c>
      <c r="K3">
        <v>18</v>
      </c>
      <c r="L3">
        <v>2</v>
      </c>
      <c r="M3">
        <v>2</v>
      </c>
      <c r="N3">
        <v>0</v>
      </c>
      <c r="O3">
        <v>1</v>
      </c>
      <c r="P3">
        <v>7.1428571428571425E-2</v>
      </c>
      <c r="Q3" t="s">
        <v>22</v>
      </c>
      <c r="R3">
        <v>0</v>
      </c>
    </row>
    <row r="4" spans="1:18" x14ac:dyDescent="0.3">
      <c r="A4" t="s">
        <v>18</v>
      </c>
      <c r="B4">
        <v>1</v>
      </c>
      <c r="C4" t="s">
        <v>19</v>
      </c>
      <c r="D4" t="s">
        <v>20</v>
      </c>
      <c r="E4" t="s">
        <v>24</v>
      </c>
      <c r="F4">
        <v>8</v>
      </c>
      <c r="G4">
        <v>3</v>
      </c>
      <c r="H4">
        <v>42</v>
      </c>
      <c r="I4">
        <v>1</v>
      </c>
      <c r="J4">
        <v>18</v>
      </c>
      <c r="K4">
        <v>18</v>
      </c>
      <c r="L4">
        <v>2</v>
      </c>
      <c r="M4">
        <v>2</v>
      </c>
      <c r="N4">
        <v>0</v>
      </c>
      <c r="O4">
        <v>1</v>
      </c>
      <c r="P4">
        <v>0.19047619047619049</v>
      </c>
      <c r="Q4" t="s">
        <v>22</v>
      </c>
      <c r="R4">
        <v>5.5555555555555552E-2</v>
      </c>
    </row>
    <row r="5" spans="1:18" x14ac:dyDescent="0.3">
      <c r="A5" t="s">
        <v>18</v>
      </c>
      <c r="B5">
        <v>1</v>
      </c>
      <c r="C5" t="s">
        <v>19</v>
      </c>
      <c r="D5" t="s">
        <v>20</v>
      </c>
      <c r="E5" t="s">
        <v>25</v>
      </c>
      <c r="F5">
        <v>3</v>
      </c>
      <c r="G5">
        <v>1</v>
      </c>
      <c r="H5">
        <v>39</v>
      </c>
      <c r="I5">
        <v>0</v>
      </c>
      <c r="J5">
        <v>16</v>
      </c>
      <c r="K5">
        <v>17</v>
      </c>
      <c r="L5">
        <v>2</v>
      </c>
      <c r="M5">
        <v>2</v>
      </c>
      <c r="N5">
        <v>0</v>
      </c>
      <c r="O5">
        <v>1</v>
      </c>
      <c r="P5">
        <v>7.6923076923076927E-2</v>
      </c>
      <c r="Q5" t="s">
        <v>22</v>
      </c>
      <c r="R5">
        <v>0</v>
      </c>
    </row>
    <row r="6" spans="1:18" x14ac:dyDescent="0.3">
      <c r="A6" t="s">
        <v>18</v>
      </c>
      <c r="B6">
        <v>1</v>
      </c>
      <c r="C6" t="s">
        <v>26</v>
      </c>
      <c r="D6" t="s">
        <v>27</v>
      </c>
      <c r="E6" t="s">
        <v>21</v>
      </c>
      <c r="F6">
        <v>2</v>
      </c>
      <c r="G6">
        <v>1</v>
      </c>
      <c r="H6">
        <v>42</v>
      </c>
      <c r="I6">
        <v>0</v>
      </c>
      <c r="J6">
        <v>15</v>
      </c>
      <c r="K6">
        <v>18</v>
      </c>
      <c r="L6">
        <v>4</v>
      </c>
      <c r="M6">
        <v>4</v>
      </c>
      <c r="N6">
        <v>0</v>
      </c>
      <c r="O6">
        <v>1</v>
      </c>
      <c r="P6">
        <v>4.7619047619047623E-2</v>
      </c>
      <c r="Q6" t="s">
        <v>22</v>
      </c>
      <c r="R6">
        <v>0</v>
      </c>
    </row>
    <row r="7" spans="1:18" x14ac:dyDescent="0.3">
      <c r="A7" t="s">
        <v>18</v>
      </c>
      <c r="B7">
        <v>1</v>
      </c>
      <c r="C7" t="s">
        <v>26</v>
      </c>
      <c r="D7" t="s">
        <v>27</v>
      </c>
      <c r="E7" t="s">
        <v>23</v>
      </c>
      <c r="F7">
        <v>3</v>
      </c>
      <c r="G7">
        <v>1</v>
      </c>
      <c r="H7">
        <v>42</v>
      </c>
      <c r="I7">
        <v>0</v>
      </c>
      <c r="J7">
        <v>18</v>
      </c>
      <c r="K7">
        <v>18</v>
      </c>
      <c r="L7">
        <v>4</v>
      </c>
      <c r="M7">
        <v>4</v>
      </c>
      <c r="N7">
        <v>0</v>
      </c>
      <c r="O7">
        <v>1</v>
      </c>
      <c r="P7">
        <v>7.1428571428571425E-2</v>
      </c>
      <c r="Q7" t="s">
        <v>22</v>
      </c>
      <c r="R7">
        <v>0</v>
      </c>
    </row>
    <row r="8" spans="1:18" x14ac:dyDescent="0.3">
      <c r="A8" t="s">
        <v>18</v>
      </c>
      <c r="B8">
        <v>1</v>
      </c>
      <c r="C8" t="s">
        <v>26</v>
      </c>
      <c r="D8" t="s">
        <v>27</v>
      </c>
      <c r="E8" t="s">
        <v>24</v>
      </c>
      <c r="F8">
        <v>5</v>
      </c>
      <c r="G8">
        <v>2</v>
      </c>
      <c r="H8">
        <v>42</v>
      </c>
      <c r="I8">
        <v>1</v>
      </c>
      <c r="J8">
        <v>17</v>
      </c>
      <c r="K8">
        <v>18</v>
      </c>
      <c r="L8">
        <v>4</v>
      </c>
      <c r="M8">
        <v>4</v>
      </c>
      <c r="N8">
        <v>0</v>
      </c>
      <c r="O8">
        <v>1</v>
      </c>
      <c r="P8">
        <v>0.119047619047619</v>
      </c>
      <c r="Q8" t="s">
        <v>22</v>
      </c>
      <c r="R8">
        <v>5.8823529411764712E-2</v>
      </c>
    </row>
    <row r="9" spans="1:18" x14ac:dyDescent="0.3">
      <c r="A9" t="s">
        <v>18</v>
      </c>
      <c r="B9">
        <v>1</v>
      </c>
      <c r="C9" t="s">
        <v>26</v>
      </c>
      <c r="D9" t="s">
        <v>27</v>
      </c>
      <c r="E9" t="s">
        <v>25</v>
      </c>
      <c r="F9">
        <v>2</v>
      </c>
      <c r="G9">
        <v>1</v>
      </c>
      <c r="H9">
        <v>39</v>
      </c>
      <c r="I9">
        <v>0</v>
      </c>
      <c r="J9">
        <v>14</v>
      </c>
      <c r="K9">
        <v>17</v>
      </c>
      <c r="L9">
        <v>4</v>
      </c>
      <c r="M9">
        <v>4</v>
      </c>
      <c r="N9">
        <v>0</v>
      </c>
      <c r="O9">
        <v>1</v>
      </c>
      <c r="P9">
        <v>5.128205128205128E-2</v>
      </c>
      <c r="Q9" t="s">
        <v>22</v>
      </c>
      <c r="R9">
        <v>0</v>
      </c>
    </row>
    <row r="10" spans="1:18" x14ac:dyDescent="0.3">
      <c r="A10" t="s">
        <v>18</v>
      </c>
      <c r="B10">
        <v>1</v>
      </c>
      <c r="C10" t="s">
        <v>28</v>
      </c>
      <c r="D10" t="s">
        <v>29</v>
      </c>
      <c r="E10" t="s">
        <v>21</v>
      </c>
      <c r="F10">
        <v>5</v>
      </c>
      <c r="G10">
        <v>2</v>
      </c>
      <c r="H10">
        <v>42</v>
      </c>
      <c r="I10">
        <v>0</v>
      </c>
      <c r="J10">
        <v>16</v>
      </c>
      <c r="K10">
        <v>18</v>
      </c>
      <c r="L10">
        <v>1</v>
      </c>
      <c r="M10">
        <v>1</v>
      </c>
      <c r="N10">
        <v>0</v>
      </c>
      <c r="O10">
        <v>1</v>
      </c>
      <c r="P10">
        <v>0.119047619047619</v>
      </c>
      <c r="Q10" t="s">
        <v>22</v>
      </c>
      <c r="R10">
        <v>0</v>
      </c>
    </row>
    <row r="11" spans="1:18" x14ac:dyDescent="0.3">
      <c r="A11" t="s">
        <v>18</v>
      </c>
      <c r="B11">
        <v>1</v>
      </c>
      <c r="C11" t="s">
        <v>28</v>
      </c>
      <c r="D11" t="s">
        <v>29</v>
      </c>
      <c r="E11" t="s">
        <v>23</v>
      </c>
      <c r="F11">
        <v>8</v>
      </c>
      <c r="G11">
        <v>3</v>
      </c>
      <c r="H11">
        <v>42</v>
      </c>
      <c r="I11">
        <v>0</v>
      </c>
      <c r="J11">
        <v>18</v>
      </c>
      <c r="K11">
        <v>18</v>
      </c>
      <c r="L11">
        <v>1</v>
      </c>
      <c r="M11">
        <v>1</v>
      </c>
      <c r="N11">
        <v>0</v>
      </c>
      <c r="O11">
        <v>1</v>
      </c>
      <c r="P11">
        <v>0.19047619047619049</v>
      </c>
      <c r="Q11" t="s">
        <v>22</v>
      </c>
      <c r="R11">
        <v>0</v>
      </c>
    </row>
    <row r="12" spans="1:18" x14ac:dyDescent="0.3">
      <c r="A12" t="s">
        <v>18</v>
      </c>
      <c r="B12">
        <v>1</v>
      </c>
      <c r="C12" t="s">
        <v>28</v>
      </c>
      <c r="D12" t="s">
        <v>29</v>
      </c>
      <c r="E12" t="s">
        <v>24</v>
      </c>
      <c r="F12">
        <v>5</v>
      </c>
      <c r="G12">
        <v>2</v>
      </c>
      <c r="H12">
        <v>42</v>
      </c>
      <c r="I12">
        <v>0</v>
      </c>
      <c r="J12">
        <v>17</v>
      </c>
      <c r="K12">
        <v>18</v>
      </c>
      <c r="L12">
        <v>1</v>
      </c>
      <c r="M12">
        <v>1</v>
      </c>
      <c r="N12">
        <v>0</v>
      </c>
      <c r="O12">
        <v>1</v>
      </c>
      <c r="P12">
        <v>0.119047619047619</v>
      </c>
      <c r="Q12" t="s">
        <v>22</v>
      </c>
      <c r="R12">
        <v>0</v>
      </c>
    </row>
    <row r="13" spans="1:18" x14ac:dyDescent="0.3">
      <c r="A13" t="s">
        <v>18</v>
      </c>
      <c r="B13">
        <v>1</v>
      </c>
      <c r="C13" t="s">
        <v>28</v>
      </c>
      <c r="D13" t="s">
        <v>29</v>
      </c>
      <c r="E13" t="s">
        <v>25</v>
      </c>
      <c r="F13">
        <v>0</v>
      </c>
      <c r="G13">
        <v>0</v>
      </c>
      <c r="H13">
        <v>39</v>
      </c>
      <c r="I13">
        <v>0</v>
      </c>
      <c r="J13">
        <v>15</v>
      </c>
      <c r="K13">
        <v>17</v>
      </c>
      <c r="L13">
        <v>1</v>
      </c>
      <c r="M13">
        <v>1</v>
      </c>
      <c r="N13">
        <v>0</v>
      </c>
      <c r="O13">
        <v>1</v>
      </c>
      <c r="P13">
        <v>0</v>
      </c>
      <c r="Q13" t="s">
        <v>22</v>
      </c>
      <c r="R13">
        <v>0</v>
      </c>
    </row>
    <row r="14" spans="1:18" x14ac:dyDescent="0.3">
      <c r="A14" t="s">
        <v>18</v>
      </c>
      <c r="B14">
        <v>1</v>
      </c>
      <c r="C14" t="s">
        <v>30</v>
      </c>
      <c r="D14" t="s">
        <v>31</v>
      </c>
      <c r="E14" t="s">
        <v>21</v>
      </c>
      <c r="F14">
        <v>4</v>
      </c>
      <c r="G14">
        <v>2</v>
      </c>
      <c r="H14">
        <v>42</v>
      </c>
      <c r="I14">
        <v>0</v>
      </c>
      <c r="J14">
        <v>17</v>
      </c>
      <c r="K14">
        <v>18</v>
      </c>
      <c r="L14">
        <v>2</v>
      </c>
      <c r="M14">
        <v>2</v>
      </c>
      <c r="N14">
        <v>0</v>
      </c>
      <c r="O14">
        <v>1</v>
      </c>
      <c r="P14">
        <v>9.5238095238095233E-2</v>
      </c>
      <c r="Q14" t="s">
        <v>22</v>
      </c>
      <c r="R14">
        <v>0</v>
      </c>
    </row>
    <row r="15" spans="1:18" x14ac:dyDescent="0.3">
      <c r="A15" t="s">
        <v>18</v>
      </c>
      <c r="B15">
        <v>1</v>
      </c>
      <c r="C15" t="s">
        <v>30</v>
      </c>
      <c r="D15" t="s">
        <v>31</v>
      </c>
      <c r="E15" t="s">
        <v>23</v>
      </c>
      <c r="F15">
        <v>5</v>
      </c>
      <c r="G15">
        <v>2</v>
      </c>
      <c r="H15">
        <v>42</v>
      </c>
      <c r="I15">
        <v>0</v>
      </c>
      <c r="J15">
        <v>17</v>
      </c>
      <c r="K15">
        <v>18</v>
      </c>
      <c r="L15">
        <v>2</v>
      </c>
      <c r="M15">
        <v>2</v>
      </c>
      <c r="N15">
        <v>0</v>
      </c>
      <c r="O15">
        <v>1</v>
      </c>
      <c r="P15">
        <v>0.119047619047619</v>
      </c>
      <c r="Q15" t="s">
        <v>22</v>
      </c>
      <c r="R15">
        <v>0</v>
      </c>
    </row>
    <row r="16" spans="1:18" x14ac:dyDescent="0.3">
      <c r="A16" t="s">
        <v>18</v>
      </c>
      <c r="B16">
        <v>1</v>
      </c>
      <c r="C16" t="s">
        <v>30</v>
      </c>
      <c r="D16" t="s">
        <v>31</v>
      </c>
      <c r="E16" t="s">
        <v>24</v>
      </c>
      <c r="F16">
        <v>0</v>
      </c>
      <c r="G16">
        <v>0</v>
      </c>
      <c r="H16">
        <v>42</v>
      </c>
      <c r="I16">
        <v>0</v>
      </c>
      <c r="J16">
        <v>17</v>
      </c>
      <c r="K16">
        <v>18</v>
      </c>
      <c r="L16">
        <v>2</v>
      </c>
      <c r="M16">
        <v>2</v>
      </c>
      <c r="N16">
        <v>0</v>
      </c>
      <c r="O16">
        <v>1</v>
      </c>
      <c r="P16">
        <v>0</v>
      </c>
      <c r="Q16" t="s">
        <v>22</v>
      </c>
      <c r="R16">
        <v>0</v>
      </c>
    </row>
    <row r="17" spans="1:18" x14ac:dyDescent="0.3">
      <c r="A17" t="s">
        <v>18</v>
      </c>
      <c r="B17">
        <v>1</v>
      </c>
      <c r="C17" t="s">
        <v>30</v>
      </c>
      <c r="D17" t="s">
        <v>31</v>
      </c>
      <c r="E17" t="s">
        <v>25</v>
      </c>
      <c r="F17">
        <v>2</v>
      </c>
      <c r="G17">
        <v>1</v>
      </c>
      <c r="H17">
        <v>39</v>
      </c>
      <c r="I17">
        <v>0</v>
      </c>
      <c r="J17">
        <v>15</v>
      </c>
      <c r="K17">
        <v>17</v>
      </c>
      <c r="L17">
        <v>2</v>
      </c>
      <c r="M17">
        <v>2</v>
      </c>
      <c r="N17">
        <v>0</v>
      </c>
      <c r="O17">
        <v>1</v>
      </c>
      <c r="P17">
        <v>5.128205128205128E-2</v>
      </c>
      <c r="Q17" t="s">
        <v>22</v>
      </c>
      <c r="R17">
        <v>0</v>
      </c>
    </row>
    <row r="18" spans="1:18" x14ac:dyDescent="0.3">
      <c r="A18" t="s">
        <v>18</v>
      </c>
      <c r="B18">
        <v>1</v>
      </c>
      <c r="C18" t="s">
        <v>32</v>
      </c>
      <c r="D18" t="s">
        <v>33</v>
      </c>
      <c r="E18" t="s">
        <v>21</v>
      </c>
      <c r="F18">
        <v>5</v>
      </c>
      <c r="G18">
        <v>2</v>
      </c>
      <c r="H18">
        <v>42</v>
      </c>
      <c r="I18">
        <v>0</v>
      </c>
      <c r="J18">
        <v>18</v>
      </c>
      <c r="K18">
        <v>18</v>
      </c>
      <c r="L18">
        <v>2</v>
      </c>
      <c r="M18">
        <v>2</v>
      </c>
      <c r="N18">
        <v>0</v>
      </c>
      <c r="O18">
        <v>1</v>
      </c>
      <c r="P18">
        <v>0.119047619047619</v>
      </c>
      <c r="Q18" t="s">
        <v>22</v>
      </c>
      <c r="R18">
        <v>0</v>
      </c>
    </row>
    <row r="19" spans="1:18" x14ac:dyDescent="0.3">
      <c r="A19" t="s">
        <v>18</v>
      </c>
      <c r="B19">
        <v>1</v>
      </c>
      <c r="C19" t="s">
        <v>32</v>
      </c>
      <c r="D19" t="s">
        <v>33</v>
      </c>
      <c r="E19" t="s">
        <v>23</v>
      </c>
      <c r="F19">
        <v>5</v>
      </c>
      <c r="G19">
        <v>2</v>
      </c>
      <c r="H19">
        <v>42</v>
      </c>
      <c r="I19">
        <v>0</v>
      </c>
      <c r="J19">
        <v>17</v>
      </c>
      <c r="K19">
        <v>18</v>
      </c>
      <c r="L19">
        <v>2</v>
      </c>
      <c r="M19">
        <v>2</v>
      </c>
      <c r="N19">
        <v>0</v>
      </c>
      <c r="O19">
        <v>1</v>
      </c>
      <c r="P19">
        <v>0.119047619047619</v>
      </c>
      <c r="Q19" t="s">
        <v>22</v>
      </c>
      <c r="R19">
        <v>0</v>
      </c>
    </row>
    <row r="20" spans="1:18" x14ac:dyDescent="0.3">
      <c r="A20" t="s">
        <v>18</v>
      </c>
      <c r="B20">
        <v>1</v>
      </c>
      <c r="C20" t="s">
        <v>32</v>
      </c>
      <c r="D20" t="s">
        <v>33</v>
      </c>
      <c r="E20" t="s">
        <v>24</v>
      </c>
      <c r="F20">
        <v>5</v>
      </c>
      <c r="G20">
        <v>2</v>
      </c>
      <c r="H20">
        <v>42</v>
      </c>
      <c r="I20">
        <v>0</v>
      </c>
      <c r="J20">
        <v>17</v>
      </c>
      <c r="K20">
        <v>18</v>
      </c>
      <c r="L20">
        <v>2</v>
      </c>
      <c r="M20">
        <v>2</v>
      </c>
      <c r="N20">
        <v>0</v>
      </c>
      <c r="O20">
        <v>1</v>
      </c>
      <c r="P20">
        <v>0.119047619047619</v>
      </c>
      <c r="Q20" t="s">
        <v>22</v>
      </c>
      <c r="R20">
        <v>0</v>
      </c>
    </row>
    <row r="21" spans="1:18" x14ac:dyDescent="0.3">
      <c r="A21" t="s">
        <v>18</v>
      </c>
      <c r="B21">
        <v>1</v>
      </c>
      <c r="C21" t="s">
        <v>32</v>
      </c>
      <c r="D21" t="s">
        <v>33</v>
      </c>
      <c r="E21" t="s">
        <v>25</v>
      </c>
      <c r="F21">
        <v>2</v>
      </c>
      <c r="G21">
        <v>1</v>
      </c>
      <c r="H21">
        <v>39</v>
      </c>
      <c r="I21">
        <v>0</v>
      </c>
      <c r="J21">
        <v>15</v>
      </c>
      <c r="K21">
        <v>17</v>
      </c>
      <c r="L21">
        <v>2</v>
      </c>
      <c r="M21">
        <v>2</v>
      </c>
      <c r="N21">
        <v>0</v>
      </c>
      <c r="O21">
        <v>1</v>
      </c>
      <c r="P21">
        <v>5.128205128205128E-2</v>
      </c>
      <c r="Q21" t="s">
        <v>22</v>
      </c>
      <c r="R21">
        <v>0</v>
      </c>
    </row>
    <row r="22" spans="1:18" x14ac:dyDescent="0.3">
      <c r="A22" t="s">
        <v>18</v>
      </c>
      <c r="B22">
        <v>1</v>
      </c>
      <c r="C22" t="s">
        <v>34</v>
      </c>
      <c r="D22" t="s">
        <v>35</v>
      </c>
      <c r="E22" t="s">
        <v>21</v>
      </c>
      <c r="F22">
        <v>3</v>
      </c>
      <c r="G22">
        <v>1</v>
      </c>
      <c r="H22">
        <v>42</v>
      </c>
      <c r="I22">
        <v>0</v>
      </c>
      <c r="J22">
        <v>15</v>
      </c>
      <c r="K22">
        <v>18</v>
      </c>
      <c r="L22">
        <v>2</v>
      </c>
      <c r="M22">
        <v>2</v>
      </c>
      <c r="N22">
        <v>0</v>
      </c>
      <c r="O22">
        <v>1</v>
      </c>
      <c r="P22">
        <v>7.1428571428571425E-2</v>
      </c>
      <c r="Q22" t="s">
        <v>22</v>
      </c>
      <c r="R22">
        <v>0</v>
      </c>
    </row>
    <row r="23" spans="1:18" x14ac:dyDescent="0.3">
      <c r="A23" t="s">
        <v>18</v>
      </c>
      <c r="B23">
        <v>1</v>
      </c>
      <c r="C23" t="s">
        <v>34</v>
      </c>
      <c r="D23" t="s">
        <v>35</v>
      </c>
      <c r="E23" t="s">
        <v>23</v>
      </c>
      <c r="F23">
        <v>0</v>
      </c>
      <c r="G23">
        <v>0</v>
      </c>
      <c r="H23">
        <v>42</v>
      </c>
      <c r="I23">
        <v>0</v>
      </c>
      <c r="J23">
        <v>17</v>
      </c>
      <c r="K23">
        <v>18</v>
      </c>
      <c r="L23">
        <v>2</v>
      </c>
      <c r="M23">
        <v>2</v>
      </c>
      <c r="N23">
        <v>0</v>
      </c>
      <c r="O23">
        <v>1</v>
      </c>
      <c r="P23">
        <v>0</v>
      </c>
      <c r="Q23" t="s">
        <v>22</v>
      </c>
      <c r="R23">
        <v>0</v>
      </c>
    </row>
    <row r="24" spans="1:18" x14ac:dyDescent="0.3">
      <c r="A24" t="s">
        <v>18</v>
      </c>
      <c r="B24">
        <v>1</v>
      </c>
      <c r="C24" t="s">
        <v>34</v>
      </c>
      <c r="D24" t="s">
        <v>35</v>
      </c>
      <c r="E24" t="s">
        <v>24</v>
      </c>
      <c r="F24">
        <v>2</v>
      </c>
      <c r="G24">
        <v>1</v>
      </c>
      <c r="H24">
        <v>42</v>
      </c>
      <c r="I24">
        <v>2</v>
      </c>
      <c r="J24">
        <v>17</v>
      </c>
      <c r="K24">
        <v>18</v>
      </c>
      <c r="L24">
        <v>2</v>
      </c>
      <c r="M24">
        <v>2</v>
      </c>
      <c r="N24">
        <v>0</v>
      </c>
      <c r="O24">
        <v>1</v>
      </c>
      <c r="P24">
        <v>4.7619047619047623E-2</v>
      </c>
      <c r="Q24" t="s">
        <v>22</v>
      </c>
      <c r="R24">
        <v>0.1176470588235294</v>
      </c>
    </row>
    <row r="25" spans="1:18" x14ac:dyDescent="0.3">
      <c r="A25" t="s">
        <v>18</v>
      </c>
      <c r="B25">
        <v>1</v>
      </c>
      <c r="C25" t="s">
        <v>34</v>
      </c>
      <c r="D25" t="s">
        <v>35</v>
      </c>
      <c r="E25" t="s">
        <v>25</v>
      </c>
      <c r="F25">
        <v>2</v>
      </c>
      <c r="G25">
        <v>1</v>
      </c>
      <c r="H25">
        <v>39</v>
      </c>
      <c r="I25">
        <v>0</v>
      </c>
      <c r="J25">
        <v>14</v>
      </c>
      <c r="K25">
        <v>17</v>
      </c>
      <c r="L25">
        <v>2</v>
      </c>
      <c r="M25">
        <v>2</v>
      </c>
      <c r="N25">
        <v>0</v>
      </c>
      <c r="O25">
        <v>1</v>
      </c>
      <c r="P25">
        <v>5.128205128205128E-2</v>
      </c>
      <c r="Q25" t="s">
        <v>22</v>
      </c>
      <c r="R25">
        <v>0</v>
      </c>
    </row>
    <row r="26" spans="1:18" x14ac:dyDescent="0.3">
      <c r="A26" t="s">
        <v>18</v>
      </c>
      <c r="B26">
        <v>1</v>
      </c>
      <c r="C26" t="s">
        <v>36</v>
      </c>
      <c r="D26" t="s">
        <v>37</v>
      </c>
      <c r="E26" t="s">
        <v>21</v>
      </c>
      <c r="F26">
        <v>5</v>
      </c>
      <c r="G26">
        <v>2</v>
      </c>
      <c r="H26">
        <v>42</v>
      </c>
      <c r="I26">
        <v>0</v>
      </c>
      <c r="J26">
        <v>16</v>
      </c>
      <c r="K26">
        <v>18</v>
      </c>
      <c r="L26">
        <v>2</v>
      </c>
      <c r="M26">
        <v>2</v>
      </c>
      <c r="N26">
        <v>0</v>
      </c>
      <c r="O26">
        <v>1</v>
      </c>
      <c r="P26">
        <v>0.119047619047619</v>
      </c>
      <c r="Q26" t="s">
        <v>22</v>
      </c>
      <c r="R26">
        <v>0</v>
      </c>
    </row>
    <row r="27" spans="1:18" x14ac:dyDescent="0.3">
      <c r="A27" t="s">
        <v>18</v>
      </c>
      <c r="B27">
        <v>1</v>
      </c>
      <c r="C27" t="s">
        <v>36</v>
      </c>
      <c r="D27" t="s">
        <v>37</v>
      </c>
      <c r="E27" t="s">
        <v>23</v>
      </c>
      <c r="F27">
        <v>3</v>
      </c>
      <c r="G27">
        <v>1</v>
      </c>
      <c r="H27">
        <v>42</v>
      </c>
      <c r="I27">
        <v>1</v>
      </c>
      <c r="J27">
        <v>16</v>
      </c>
      <c r="K27">
        <v>18</v>
      </c>
      <c r="L27">
        <v>2</v>
      </c>
      <c r="M27">
        <v>2</v>
      </c>
      <c r="N27">
        <v>0</v>
      </c>
      <c r="O27">
        <v>1</v>
      </c>
      <c r="P27">
        <v>7.1428571428571425E-2</v>
      </c>
      <c r="Q27" t="s">
        <v>22</v>
      </c>
      <c r="R27">
        <v>6.25E-2</v>
      </c>
    </row>
    <row r="28" spans="1:18" x14ac:dyDescent="0.3">
      <c r="A28" t="s">
        <v>18</v>
      </c>
      <c r="B28">
        <v>1</v>
      </c>
      <c r="C28" t="s">
        <v>36</v>
      </c>
      <c r="D28" t="s">
        <v>37</v>
      </c>
      <c r="E28" t="s">
        <v>24</v>
      </c>
      <c r="F28">
        <v>5</v>
      </c>
      <c r="G28">
        <v>2</v>
      </c>
      <c r="H28">
        <v>42</v>
      </c>
      <c r="I28">
        <v>0</v>
      </c>
      <c r="J28">
        <v>17</v>
      </c>
      <c r="K28">
        <v>18</v>
      </c>
      <c r="L28">
        <v>2</v>
      </c>
      <c r="M28">
        <v>2</v>
      </c>
      <c r="N28">
        <v>0</v>
      </c>
      <c r="O28">
        <v>1</v>
      </c>
      <c r="P28">
        <v>0.119047619047619</v>
      </c>
      <c r="Q28" t="s">
        <v>22</v>
      </c>
      <c r="R28">
        <v>0</v>
      </c>
    </row>
    <row r="29" spans="1:18" x14ac:dyDescent="0.3">
      <c r="A29" t="s">
        <v>18</v>
      </c>
      <c r="B29">
        <v>1</v>
      </c>
      <c r="C29" t="s">
        <v>36</v>
      </c>
      <c r="D29" t="s">
        <v>37</v>
      </c>
      <c r="E29" t="s">
        <v>25</v>
      </c>
      <c r="F29">
        <v>2</v>
      </c>
      <c r="G29">
        <v>1</v>
      </c>
      <c r="H29">
        <v>39</v>
      </c>
      <c r="I29">
        <v>0</v>
      </c>
      <c r="J29">
        <v>14</v>
      </c>
      <c r="K29">
        <v>17</v>
      </c>
      <c r="L29">
        <v>2</v>
      </c>
      <c r="M29">
        <v>2</v>
      </c>
      <c r="N29">
        <v>0</v>
      </c>
      <c r="O29">
        <v>1</v>
      </c>
      <c r="P29">
        <v>5.128205128205128E-2</v>
      </c>
      <c r="Q29" t="s">
        <v>22</v>
      </c>
      <c r="R29">
        <v>0</v>
      </c>
    </row>
    <row r="30" spans="1:18" x14ac:dyDescent="0.3">
      <c r="A30" t="s">
        <v>18</v>
      </c>
      <c r="B30">
        <v>1</v>
      </c>
      <c r="C30" t="s">
        <v>38</v>
      </c>
      <c r="D30" t="s">
        <v>39</v>
      </c>
      <c r="E30" t="s">
        <v>21</v>
      </c>
      <c r="F30">
        <v>5</v>
      </c>
      <c r="G30">
        <v>2</v>
      </c>
      <c r="H30">
        <v>42</v>
      </c>
      <c r="I30">
        <v>0</v>
      </c>
      <c r="J30">
        <v>16</v>
      </c>
      <c r="K30">
        <v>18</v>
      </c>
      <c r="L30">
        <v>2</v>
      </c>
      <c r="M30">
        <v>2</v>
      </c>
      <c r="N30">
        <v>0</v>
      </c>
      <c r="O30">
        <v>1</v>
      </c>
      <c r="P30">
        <v>0.119047619047619</v>
      </c>
      <c r="Q30" t="s">
        <v>22</v>
      </c>
      <c r="R30">
        <v>0</v>
      </c>
    </row>
    <row r="31" spans="1:18" x14ac:dyDescent="0.3">
      <c r="A31" t="s">
        <v>18</v>
      </c>
      <c r="B31">
        <v>1</v>
      </c>
      <c r="C31" t="s">
        <v>38</v>
      </c>
      <c r="D31" t="s">
        <v>39</v>
      </c>
      <c r="E31" t="s">
        <v>23</v>
      </c>
      <c r="F31">
        <v>7</v>
      </c>
      <c r="G31">
        <v>3</v>
      </c>
      <c r="H31">
        <v>42</v>
      </c>
      <c r="I31">
        <v>0</v>
      </c>
      <c r="J31">
        <v>17</v>
      </c>
      <c r="K31">
        <v>18</v>
      </c>
      <c r="L31">
        <v>2</v>
      </c>
      <c r="M31">
        <v>1</v>
      </c>
      <c r="N31">
        <v>1</v>
      </c>
      <c r="O31">
        <v>0.5</v>
      </c>
      <c r="P31">
        <v>0.16666666666666671</v>
      </c>
      <c r="Q31" t="s">
        <v>22</v>
      </c>
      <c r="R31">
        <v>0</v>
      </c>
    </row>
    <row r="32" spans="1:18" x14ac:dyDescent="0.3">
      <c r="A32" t="s">
        <v>18</v>
      </c>
      <c r="B32">
        <v>1</v>
      </c>
      <c r="C32" t="s">
        <v>38</v>
      </c>
      <c r="D32" t="s">
        <v>39</v>
      </c>
      <c r="E32" t="s">
        <v>24</v>
      </c>
      <c r="F32">
        <v>5</v>
      </c>
      <c r="G32">
        <v>2</v>
      </c>
      <c r="H32">
        <v>42</v>
      </c>
      <c r="I32">
        <v>0</v>
      </c>
      <c r="J32">
        <v>16</v>
      </c>
      <c r="K32">
        <v>18</v>
      </c>
      <c r="L32">
        <v>2</v>
      </c>
      <c r="M32">
        <v>2</v>
      </c>
      <c r="N32">
        <v>0</v>
      </c>
      <c r="O32">
        <v>1</v>
      </c>
      <c r="P32">
        <v>0.119047619047619</v>
      </c>
      <c r="Q32" t="s">
        <v>22</v>
      </c>
      <c r="R32">
        <v>0</v>
      </c>
    </row>
    <row r="33" spans="1:18" x14ac:dyDescent="0.3">
      <c r="A33" t="s">
        <v>18</v>
      </c>
      <c r="B33">
        <v>1</v>
      </c>
      <c r="C33" t="s">
        <v>38</v>
      </c>
      <c r="D33" t="s">
        <v>39</v>
      </c>
      <c r="E33" t="s">
        <v>25</v>
      </c>
      <c r="F33">
        <v>2</v>
      </c>
      <c r="G33">
        <v>1</v>
      </c>
      <c r="H33">
        <v>39</v>
      </c>
      <c r="I33">
        <v>1</v>
      </c>
      <c r="J33">
        <v>14</v>
      </c>
      <c r="K33">
        <v>17</v>
      </c>
      <c r="L33">
        <v>2</v>
      </c>
      <c r="M33">
        <v>2</v>
      </c>
      <c r="N33">
        <v>0</v>
      </c>
      <c r="O33">
        <v>1</v>
      </c>
      <c r="P33">
        <v>5.128205128205128E-2</v>
      </c>
      <c r="Q33" t="s">
        <v>22</v>
      </c>
      <c r="R33">
        <v>7.1428571428571425E-2</v>
      </c>
    </row>
    <row r="34" spans="1:18" x14ac:dyDescent="0.3">
      <c r="A34" t="s">
        <v>18</v>
      </c>
      <c r="B34">
        <v>1</v>
      </c>
      <c r="C34" t="s">
        <v>40</v>
      </c>
      <c r="D34" t="s">
        <v>41</v>
      </c>
      <c r="E34" t="s">
        <v>21</v>
      </c>
      <c r="F34">
        <v>5</v>
      </c>
      <c r="G34">
        <v>2</v>
      </c>
      <c r="H34">
        <v>42</v>
      </c>
      <c r="I34">
        <v>0</v>
      </c>
      <c r="J34">
        <v>15</v>
      </c>
      <c r="K34">
        <v>18</v>
      </c>
      <c r="L34">
        <v>3</v>
      </c>
      <c r="M34">
        <v>3</v>
      </c>
      <c r="N34">
        <v>0</v>
      </c>
      <c r="O34">
        <v>1</v>
      </c>
      <c r="P34">
        <v>0.119047619047619</v>
      </c>
      <c r="Q34" t="s">
        <v>22</v>
      </c>
      <c r="R34">
        <v>0</v>
      </c>
    </row>
    <row r="35" spans="1:18" x14ac:dyDescent="0.3">
      <c r="A35" t="s">
        <v>18</v>
      </c>
      <c r="B35">
        <v>1</v>
      </c>
      <c r="C35" t="s">
        <v>40</v>
      </c>
      <c r="D35" t="s">
        <v>41</v>
      </c>
      <c r="E35" t="s">
        <v>23</v>
      </c>
      <c r="F35">
        <v>13</v>
      </c>
      <c r="G35">
        <v>5</v>
      </c>
      <c r="H35">
        <v>42</v>
      </c>
      <c r="I35">
        <v>0</v>
      </c>
      <c r="J35">
        <v>17</v>
      </c>
      <c r="K35">
        <v>18</v>
      </c>
      <c r="L35">
        <v>3</v>
      </c>
      <c r="M35">
        <v>2</v>
      </c>
      <c r="N35">
        <v>1</v>
      </c>
      <c r="O35">
        <v>0.66666666666666663</v>
      </c>
      <c r="P35">
        <v>0.30952380952380948</v>
      </c>
      <c r="Q35" t="s">
        <v>42</v>
      </c>
      <c r="R35">
        <v>0</v>
      </c>
    </row>
    <row r="36" spans="1:18" x14ac:dyDescent="0.3">
      <c r="A36" t="s">
        <v>18</v>
      </c>
      <c r="B36">
        <v>1</v>
      </c>
      <c r="C36" t="s">
        <v>40</v>
      </c>
      <c r="D36" t="s">
        <v>41</v>
      </c>
      <c r="E36" t="s">
        <v>24</v>
      </c>
      <c r="F36">
        <v>11</v>
      </c>
      <c r="G36">
        <v>4</v>
      </c>
      <c r="H36">
        <v>42</v>
      </c>
      <c r="I36">
        <v>1</v>
      </c>
      <c r="J36">
        <v>18</v>
      </c>
      <c r="K36">
        <v>18</v>
      </c>
      <c r="L36">
        <v>3</v>
      </c>
      <c r="M36">
        <v>3</v>
      </c>
      <c r="N36">
        <v>0</v>
      </c>
      <c r="O36">
        <v>1</v>
      </c>
      <c r="P36">
        <v>0.26190476190476192</v>
      </c>
      <c r="Q36" t="s">
        <v>42</v>
      </c>
      <c r="R36">
        <v>5.5555555555555552E-2</v>
      </c>
    </row>
    <row r="37" spans="1:18" x14ac:dyDescent="0.3">
      <c r="A37" t="s">
        <v>18</v>
      </c>
      <c r="B37">
        <v>1</v>
      </c>
      <c r="C37" t="s">
        <v>40</v>
      </c>
      <c r="D37" t="s">
        <v>41</v>
      </c>
      <c r="E37" t="s">
        <v>25</v>
      </c>
      <c r="F37">
        <v>2</v>
      </c>
      <c r="G37">
        <v>1</v>
      </c>
      <c r="H37">
        <v>39</v>
      </c>
      <c r="I37">
        <v>0</v>
      </c>
      <c r="J37">
        <v>16</v>
      </c>
      <c r="K37">
        <v>17</v>
      </c>
      <c r="L37">
        <v>3</v>
      </c>
      <c r="M37">
        <v>3</v>
      </c>
      <c r="N37">
        <v>0</v>
      </c>
      <c r="O37">
        <v>1</v>
      </c>
      <c r="P37">
        <v>5.128205128205128E-2</v>
      </c>
      <c r="Q37" t="s">
        <v>22</v>
      </c>
      <c r="R37">
        <v>0</v>
      </c>
    </row>
    <row r="38" spans="1:18" x14ac:dyDescent="0.3">
      <c r="A38" t="s">
        <v>18</v>
      </c>
      <c r="B38">
        <v>1</v>
      </c>
      <c r="C38" t="s">
        <v>43</v>
      </c>
      <c r="D38" t="s">
        <v>44</v>
      </c>
      <c r="E38" t="s">
        <v>21</v>
      </c>
      <c r="F38">
        <v>8</v>
      </c>
      <c r="G38">
        <v>3</v>
      </c>
      <c r="H38">
        <v>42</v>
      </c>
      <c r="I38">
        <v>0</v>
      </c>
      <c r="J38">
        <v>18</v>
      </c>
      <c r="K38">
        <v>18</v>
      </c>
      <c r="L38">
        <v>2</v>
      </c>
      <c r="M38">
        <v>2</v>
      </c>
      <c r="N38">
        <v>0</v>
      </c>
      <c r="O38">
        <v>1</v>
      </c>
      <c r="P38">
        <v>0.19047619047619049</v>
      </c>
      <c r="Q38" t="s">
        <v>22</v>
      </c>
      <c r="R38">
        <v>0</v>
      </c>
    </row>
    <row r="39" spans="1:18" x14ac:dyDescent="0.3">
      <c r="A39" t="s">
        <v>18</v>
      </c>
      <c r="B39">
        <v>1</v>
      </c>
      <c r="C39" t="s">
        <v>43</v>
      </c>
      <c r="D39" t="s">
        <v>44</v>
      </c>
      <c r="E39" t="s">
        <v>23</v>
      </c>
      <c r="F39">
        <v>5</v>
      </c>
      <c r="G39">
        <v>2</v>
      </c>
      <c r="H39">
        <v>42</v>
      </c>
      <c r="I39">
        <v>0</v>
      </c>
      <c r="J39">
        <v>18</v>
      </c>
      <c r="K39">
        <v>18</v>
      </c>
      <c r="L39">
        <v>2</v>
      </c>
      <c r="M39">
        <v>1</v>
      </c>
      <c r="N39">
        <v>1</v>
      </c>
      <c r="O39">
        <v>0.5</v>
      </c>
      <c r="P39">
        <v>0.119047619047619</v>
      </c>
      <c r="Q39" t="s">
        <v>22</v>
      </c>
      <c r="R39">
        <v>0</v>
      </c>
    </row>
    <row r="40" spans="1:18" x14ac:dyDescent="0.3">
      <c r="A40" t="s">
        <v>18</v>
      </c>
      <c r="B40">
        <v>1</v>
      </c>
      <c r="C40" t="s">
        <v>43</v>
      </c>
      <c r="D40" t="s">
        <v>44</v>
      </c>
      <c r="E40" t="s">
        <v>24</v>
      </c>
      <c r="F40">
        <v>13</v>
      </c>
      <c r="G40">
        <v>6</v>
      </c>
      <c r="H40">
        <v>42</v>
      </c>
      <c r="I40">
        <v>2</v>
      </c>
      <c r="J40">
        <v>17</v>
      </c>
      <c r="K40">
        <v>18</v>
      </c>
      <c r="L40">
        <v>2</v>
      </c>
      <c r="M40">
        <v>2</v>
      </c>
      <c r="N40">
        <v>0</v>
      </c>
      <c r="O40">
        <v>1</v>
      </c>
      <c r="P40">
        <v>0.30952380952380948</v>
      </c>
      <c r="Q40" t="s">
        <v>42</v>
      </c>
      <c r="R40">
        <v>0.1176470588235294</v>
      </c>
    </row>
    <row r="41" spans="1:18" x14ac:dyDescent="0.3">
      <c r="A41" t="s">
        <v>18</v>
      </c>
      <c r="B41">
        <v>1</v>
      </c>
      <c r="C41" t="s">
        <v>43</v>
      </c>
      <c r="D41" t="s">
        <v>44</v>
      </c>
      <c r="E41" t="s">
        <v>25</v>
      </c>
      <c r="F41">
        <v>2</v>
      </c>
      <c r="G41">
        <v>1</v>
      </c>
      <c r="H41">
        <v>39</v>
      </c>
      <c r="I41">
        <v>0</v>
      </c>
      <c r="J41">
        <v>15</v>
      </c>
      <c r="K41">
        <v>17</v>
      </c>
      <c r="L41">
        <v>2</v>
      </c>
      <c r="M41">
        <v>2</v>
      </c>
      <c r="N41">
        <v>0</v>
      </c>
      <c r="O41">
        <v>1</v>
      </c>
      <c r="P41">
        <v>5.128205128205128E-2</v>
      </c>
      <c r="Q41" t="s">
        <v>22</v>
      </c>
      <c r="R41">
        <v>0</v>
      </c>
    </row>
    <row r="42" spans="1:18" x14ac:dyDescent="0.3">
      <c r="A42" t="s">
        <v>18</v>
      </c>
      <c r="B42">
        <v>1</v>
      </c>
      <c r="C42" t="s">
        <v>45</v>
      </c>
      <c r="D42" t="s">
        <v>46</v>
      </c>
      <c r="E42" t="s">
        <v>21</v>
      </c>
      <c r="F42">
        <v>2</v>
      </c>
      <c r="G42">
        <v>1</v>
      </c>
      <c r="H42">
        <v>42</v>
      </c>
      <c r="I42">
        <v>0</v>
      </c>
      <c r="J42">
        <v>16</v>
      </c>
      <c r="K42">
        <v>18</v>
      </c>
      <c r="L42">
        <v>2</v>
      </c>
      <c r="M42">
        <v>2</v>
      </c>
      <c r="N42">
        <v>0</v>
      </c>
      <c r="O42">
        <v>1</v>
      </c>
      <c r="P42">
        <v>4.7619047619047623E-2</v>
      </c>
      <c r="Q42" t="s">
        <v>22</v>
      </c>
      <c r="R42">
        <v>0</v>
      </c>
    </row>
    <row r="43" spans="1:18" x14ac:dyDescent="0.3">
      <c r="A43" t="s">
        <v>18</v>
      </c>
      <c r="B43">
        <v>1</v>
      </c>
      <c r="C43" t="s">
        <v>45</v>
      </c>
      <c r="D43" t="s">
        <v>46</v>
      </c>
      <c r="E43" t="s">
        <v>23</v>
      </c>
      <c r="F43">
        <v>2</v>
      </c>
      <c r="G43">
        <v>1</v>
      </c>
      <c r="H43">
        <v>42</v>
      </c>
      <c r="I43">
        <v>0</v>
      </c>
      <c r="J43">
        <v>16</v>
      </c>
      <c r="K43">
        <v>18</v>
      </c>
      <c r="L43">
        <v>2</v>
      </c>
      <c r="M43">
        <v>2</v>
      </c>
      <c r="N43">
        <v>0</v>
      </c>
      <c r="O43">
        <v>1</v>
      </c>
      <c r="P43">
        <v>4.7619047619047623E-2</v>
      </c>
      <c r="Q43" t="s">
        <v>22</v>
      </c>
      <c r="R43">
        <v>0</v>
      </c>
    </row>
    <row r="44" spans="1:18" x14ac:dyDescent="0.3">
      <c r="A44" t="s">
        <v>18</v>
      </c>
      <c r="B44">
        <v>1</v>
      </c>
      <c r="C44" t="s">
        <v>45</v>
      </c>
      <c r="D44" t="s">
        <v>46</v>
      </c>
      <c r="E44" t="s">
        <v>24</v>
      </c>
      <c r="F44">
        <v>2</v>
      </c>
      <c r="G44">
        <v>1</v>
      </c>
      <c r="H44">
        <v>42</v>
      </c>
      <c r="I44">
        <v>0</v>
      </c>
      <c r="J44">
        <v>13</v>
      </c>
      <c r="K44">
        <v>18</v>
      </c>
      <c r="L44">
        <v>2</v>
      </c>
      <c r="M44">
        <v>2</v>
      </c>
      <c r="N44">
        <v>0</v>
      </c>
      <c r="O44">
        <v>1</v>
      </c>
      <c r="P44">
        <v>4.7619047619047623E-2</v>
      </c>
      <c r="Q44" t="s">
        <v>22</v>
      </c>
      <c r="R44">
        <v>0</v>
      </c>
    </row>
    <row r="45" spans="1:18" x14ac:dyDescent="0.3">
      <c r="A45" t="s">
        <v>18</v>
      </c>
      <c r="B45">
        <v>1</v>
      </c>
      <c r="C45" t="s">
        <v>45</v>
      </c>
      <c r="D45" t="s">
        <v>46</v>
      </c>
      <c r="E45" t="s">
        <v>25</v>
      </c>
      <c r="F45">
        <v>2</v>
      </c>
      <c r="G45">
        <v>1</v>
      </c>
      <c r="H45">
        <v>39</v>
      </c>
      <c r="I45">
        <v>0</v>
      </c>
      <c r="J45">
        <v>14</v>
      </c>
      <c r="K45">
        <v>17</v>
      </c>
      <c r="L45">
        <v>2</v>
      </c>
      <c r="M45">
        <v>2</v>
      </c>
      <c r="N45">
        <v>0</v>
      </c>
      <c r="O45">
        <v>1</v>
      </c>
      <c r="P45">
        <v>5.128205128205128E-2</v>
      </c>
      <c r="Q45" t="s">
        <v>22</v>
      </c>
      <c r="R45">
        <v>0</v>
      </c>
    </row>
    <row r="46" spans="1:18" x14ac:dyDescent="0.3">
      <c r="A46" t="s">
        <v>18</v>
      </c>
      <c r="B46">
        <v>1</v>
      </c>
      <c r="C46" t="s">
        <v>47</v>
      </c>
      <c r="D46" t="s">
        <v>48</v>
      </c>
      <c r="E46" t="s">
        <v>21</v>
      </c>
      <c r="F46">
        <v>8</v>
      </c>
      <c r="G46">
        <v>3</v>
      </c>
      <c r="H46">
        <v>42</v>
      </c>
      <c r="I46">
        <v>0</v>
      </c>
      <c r="J46">
        <v>17</v>
      </c>
      <c r="K46">
        <v>18</v>
      </c>
      <c r="L46">
        <v>2</v>
      </c>
      <c r="M46">
        <v>2</v>
      </c>
      <c r="N46">
        <v>0</v>
      </c>
      <c r="O46">
        <v>1</v>
      </c>
      <c r="P46">
        <v>0.19047619047619049</v>
      </c>
      <c r="Q46" t="s">
        <v>22</v>
      </c>
      <c r="R46">
        <v>0</v>
      </c>
    </row>
    <row r="47" spans="1:18" x14ac:dyDescent="0.3">
      <c r="A47" t="s">
        <v>18</v>
      </c>
      <c r="B47">
        <v>1</v>
      </c>
      <c r="C47" t="s">
        <v>47</v>
      </c>
      <c r="D47" t="s">
        <v>48</v>
      </c>
      <c r="E47" t="s">
        <v>23</v>
      </c>
      <c r="F47">
        <v>5</v>
      </c>
      <c r="G47">
        <v>2</v>
      </c>
      <c r="H47">
        <v>42</v>
      </c>
      <c r="I47">
        <v>0</v>
      </c>
      <c r="J47">
        <v>18</v>
      </c>
      <c r="K47">
        <v>18</v>
      </c>
      <c r="L47">
        <v>2</v>
      </c>
      <c r="M47">
        <v>2</v>
      </c>
      <c r="N47">
        <v>0</v>
      </c>
      <c r="O47">
        <v>1</v>
      </c>
      <c r="P47">
        <v>0.119047619047619</v>
      </c>
      <c r="Q47" t="s">
        <v>22</v>
      </c>
      <c r="R47">
        <v>0</v>
      </c>
    </row>
    <row r="48" spans="1:18" x14ac:dyDescent="0.3">
      <c r="A48" t="s">
        <v>18</v>
      </c>
      <c r="B48">
        <v>1</v>
      </c>
      <c r="C48" t="s">
        <v>47</v>
      </c>
      <c r="D48" t="s">
        <v>48</v>
      </c>
      <c r="E48" t="s">
        <v>24</v>
      </c>
      <c r="F48">
        <v>5</v>
      </c>
      <c r="G48">
        <v>2</v>
      </c>
      <c r="H48">
        <v>42</v>
      </c>
      <c r="I48">
        <v>0</v>
      </c>
      <c r="J48">
        <v>17</v>
      </c>
      <c r="K48">
        <v>18</v>
      </c>
      <c r="L48">
        <v>2</v>
      </c>
      <c r="M48">
        <v>2</v>
      </c>
      <c r="N48">
        <v>0</v>
      </c>
      <c r="O48">
        <v>1</v>
      </c>
      <c r="P48">
        <v>0.119047619047619</v>
      </c>
      <c r="Q48" t="s">
        <v>22</v>
      </c>
      <c r="R48">
        <v>0</v>
      </c>
    </row>
    <row r="49" spans="1:18" x14ac:dyDescent="0.3">
      <c r="A49" t="s">
        <v>18</v>
      </c>
      <c r="B49">
        <v>1</v>
      </c>
      <c r="C49" t="s">
        <v>47</v>
      </c>
      <c r="D49" t="s">
        <v>48</v>
      </c>
      <c r="E49" t="s">
        <v>25</v>
      </c>
      <c r="F49">
        <v>2</v>
      </c>
      <c r="G49">
        <v>1</v>
      </c>
      <c r="H49">
        <v>39</v>
      </c>
      <c r="I49">
        <v>0</v>
      </c>
      <c r="J49">
        <v>15</v>
      </c>
      <c r="K49">
        <v>17</v>
      </c>
      <c r="L49">
        <v>2</v>
      </c>
      <c r="M49">
        <v>2</v>
      </c>
      <c r="N49">
        <v>0</v>
      </c>
      <c r="O49">
        <v>1</v>
      </c>
      <c r="P49">
        <v>5.128205128205128E-2</v>
      </c>
      <c r="Q49" t="s">
        <v>22</v>
      </c>
      <c r="R49">
        <v>0</v>
      </c>
    </row>
    <row r="50" spans="1:18" x14ac:dyDescent="0.3">
      <c r="A50" t="s">
        <v>18</v>
      </c>
      <c r="B50">
        <v>1</v>
      </c>
      <c r="C50" t="s">
        <v>49</v>
      </c>
      <c r="D50" t="s">
        <v>50</v>
      </c>
      <c r="E50" t="s">
        <v>21</v>
      </c>
      <c r="F50">
        <v>6</v>
      </c>
      <c r="G50">
        <v>3</v>
      </c>
      <c r="H50">
        <v>42</v>
      </c>
      <c r="I50">
        <v>0</v>
      </c>
      <c r="J50">
        <v>17</v>
      </c>
      <c r="K50">
        <v>18</v>
      </c>
      <c r="L50">
        <v>2</v>
      </c>
      <c r="M50">
        <v>2</v>
      </c>
      <c r="N50">
        <v>0</v>
      </c>
      <c r="O50">
        <v>1</v>
      </c>
      <c r="P50">
        <v>0.14285714285714279</v>
      </c>
      <c r="Q50" t="s">
        <v>22</v>
      </c>
      <c r="R50">
        <v>0</v>
      </c>
    </row>
    <row r="51" spans="1:18" x14ac:dyDescent="0.3">
      <c r="A51" t="s">
        <v>18</v>
      </c>
      <c r="B51">
        <v>1</v>
      </c>
      <c r="C51" t="s">
        <v>49</v>
      </c>
      <c r="D51" t="s">
        <v>50</v>
      </c>
      <c r="E51" t="s">
        <v>23</v>
      </c>
      <c r="F51">
        <v>3</v>
      </c>
      <c r="G51">
        <v>1</v>
      </c>
      <c r="H51">
        <v>42</v>
      </c>
      <c r="I51">
        <v>0</v>
      </c>
      <c r="J51">
        <v>16</v>
      </c>
      <c r="K51">
        <v>18</v>
      </c>
      <c r="L51">
        <v>2</v>
      </c>
      <c r="M51">
        <v>2</v>
      </c>
      <c r="N51">
        <v>0</v>
      </c>
      <c r="O51">
        <v>1</v>
      </c>
      <c r="P51">
        <v>7.1428571428571425E-2</v>
      </c>
      <c r="Q51" t="s">
        <v>22</v>
      </c>
      <c r="R51">
        <v>0</v>
      </c>
    </row>
    <row r="52" spans="1:18" x14ac:dyDescent="0.3">
      <c r="A52" t="s">
        <v>18</v>
      </c>
      <c r="B52">
        <v>1</v>
      </c>
      <c r="C52" t="s">
        <v>49</v>
      </c>
      <c r="D52" t="s">
        <v>50</v>
      </c>
      <c r="E52" t="s">
        <v>24</v>
      </c>
      <c r="F52">
        <v>6</v>
      </c>
      <c r="G52">
        <v>3</v>
      </c>
      <c r="H52">
        <v>42</v>
      </c>
      <c r="I52">
        <v>0</v>
      </c>
      <c r="J52">
        <v>17</v>
      </c>
      <c r="K52">
        <v>18</v>
      </c>
      <c r="L52">
        <v>2</v>
      </c>
      <c r="M52">
        <v>2</v>
      </c>
      <c r="N52">
        <v>0</v>
      </c>
      <c r="O52">
        <v>1</v>
      </c>
      <c r="P52">
        <v>0.14285714285714279</v>
      </c>
      <c r="Q52" t="s">
        <v>22</v>
      </c>
      <c r="R52">
        <v>0</v>
      </c>
    </row>
    <row r="53" spans="1:18" x14ac:dyDescent="0.3">
      <c r="A53" t="s">
        <v>18</v>
      </c>
      <c r="B53">
        <v>1</v>
      </c>
      <c r="C53" t="s">
        <v>49</v>
      </c>
      <c r="D53" t="s">
        <v>50</v>
      </c>
      <c r="E53" t="s">
        <v>25</v>
      </c>
      <c r="F53">
        <v>2</v>
      </c>
      <c r="G53">
        <v>1</v>
      </c>
      <c r="H53">
        <v>39</v>
      </c>
      <c r="I53">
        <v>0</v>
      </c>
      <c r="J53">
        <v>14</v>
      </c>
      <c r="K53">
        <v>17</v>
      </c>
      <c r="L53">
        <v>2</v>
      </c>
      <c r="M53">
        <v>2</v>
      </c>
      <c r="N53">
        <v>0</v>
      </c>
      <c r="O53">
        <v>1</v>
      </c>
      <c r="P53">
        <v>5.128205128205128E-2</v>
      </c>
      <c r="Q53" t="s">
        <v>22</v>
      </c>
      <c r="R53">
        <v>0</v>
      </c>
    </row>
    <row r="54" spans="1:18" x14ac:dyDescent="0.3">
      <c r="A54" t="s">
        <v>18</v>
      </c>
      <c r="B54">
        <v>1</v>
      </c>
      <c r="C54" t="s">
        <v>51</v>
      </c>
      <c r="D54" t="s">
        <v>52</v>
      </c>
      <c r="E54" t="s">
        <v>21</v>
      </c>
      <c r="F54">
        <v>5</v>
      </c>
      <c r="G54">
        <v>2</v>
      </c>
      <c r="H54">
        <v>42</v>
      </c>
      <c r="I54">
        <v>0</v>
      </c>
      <c r="J54">
        <v>15</v>
      </c>
      <c r="K54">
        <v>18</v>
      </c>
      <c r="L54">
        <v>2</v>
      </c>
      <c r="M54">
        <v>2</v>
      </c>
      <c r="N54">
        <v>0</v>
      </c>
      <c r="O54">
        <v>1</v>
      </c>
      <c r="P54">
        <v>0.119047619047619</v>
      </c>
      <c r="Q54" t="s">
        <v>22</v>
      </c>
      <c r="R54">
        <v>0</v>
      </c>
    </row>
    <row r="55" spans="1:18" x14ac:dyDescent="0.3">
      <c r="A55" t="s">
        <v>18</v>
      </c>
      <c r="B55">
        <v>1</v>
      </c>
      <c r="C55" t="s">
        <v>51</v>
      </c>
      <c r="D55" t="s">
        <v>52</v>
      </c>
      <c r="E55" t="s">
        <v>23</v>
      </c>
      <c r="F55">
        <v>13</v>
      </c>
      <c r="G55">
        <v>6</v>
      </c>
      <c r="H55">
        <v>42</v>
      </c>
      <c r="I55">
        <v>0</v>
      </c>
      <c r="J55">
        <v>16</v>
      </c>
      <c r="K55">
        <v>18</v>
      </c>
      <c r="L55">
        <v>2</v>
      </c>
      <c r="M55">
        <v>1</v>
      </c>
      <c r="N55">
        <v>1</v>
      </c>
      <c r="O55">
        <v>0.5</v>
      </c>
      <c r="P55">
        <v>0.30952380952380948</v>
      </c>
      <c r="Q55" t="s">
        <v>42</v>
      </c>
      <c r="R55">
        <v>0</v>
      </c>
    </row>
    <row r="56" spans="1:18" x14ac:dyDescent="0.3">
      <c r="A56" t="s">
        <v>18</v>
      </c>
      <c r="B56">
        <v>1</v>
      </c>
      <c r="C56" t="s">
        <v>51</v>
      </c>
      <c r="D56" t="s">
        <v>52</v>
      </c>
      <c r="E56" t="s">
        <v>24</v>
      </c>
      <c r="F56">
        <v>5</v>
      </c>
      <c r="G56">
        <v>2</v>
      </c>
      <c r="H56">
        <v>42</v>
      </c>
      <c r="I56">
        <v>0</v>
      </c>
      <c r="J56">
        <v>12</v>
      </c>
      <c r="K56">
        <v>18</v>
      </c>
      <c r="L56">
        <v>2</v>
      </c>
      <c r="M56">
        <v>2</v>
      </c>
      <c r="N56">
        <v>0</v>
      </c>
      <c r="O56">
        <v>1</v>
      </c>
      <c r="P56">
        <v>0.119047619047619</v>
      </c>
      <c r="Q56" t="s">
        <v>22</v>
      </c>
      <c r="R56">
        <v>0</v>
      </c>
    </row>
    <row r="57" spans="1:18" x14ac:dyDescent="0.3">
      <c r="A57" t="s">
        <v>18</v>
      </c>
      <c r="B57">
        <v>1</v>
      </c>
      <c r="C57" t="s">
        <v>51</v>
      </c>
      <c r="D57" t="s">
        <v>52</v>
      </c>
      <c r="E57" t="s">
        <v>25</v>
      </c>
      <c r="F57">
        <v>2</v>
      </c>
      <c r="G57">
        <v>1</v>
      </c>
      <c r="H57">
        <v>39</v>
      </c>
      <c r="I57">
        <v>0</v>
      </c>
      <c r="J57">
        <v>15</v>
      </c>
      <c r="K57">
        <v>17</v>
      </c>
      <c r="L57">
        <v>2</v>
      </c>
      <c r="M57">
        <v>2</v>
      </c>
      <c r="N57">
        <v>0</v>
      </c>
      <c r="O57">
        <v>1</v>
      </c>
      <c r="P57">
        <v>5.128205128205128E-2</v>
      </c>
      <c r="Q57" t="s">
        <v>22</v>
      </c>
      <c r="R57">
        <v>0</v>
      </c>
    </row>
    <row r="58" spans="1:18" x14ac:dyDescent="0.3">
      <c r="A58" t="s">
        <v>18</v>
      </c>
      <c r="B58">
        <v>1</v>
      </c>
      <c r="C58" t="s">
        <v>53</v>
      </c>
      <c r="D58" t="s">
        <v>54</v>
      </c>
      <c r="E58" t="s">
        <v>21</v>
      </c>
      <c r="F58">
        <v>3</v>
      </c>
      <c r="G58">
        <v>1</v>
      </c>
      <c r="H58">
        <v>42</v>
      </c>
      <c r="I58">
        <v>0</v>
      </c>
      <c r="J58">
        <v>17</v>
      </c>
      <c r="K58">
        <v>18</v>
      </c>
      <c r="L58">
        <v>4</v>
      </c>
      <c r="M58">
        <v>4</v>
      </c>
      <c r="N58">
        <v>0</v>
      </c>
      <c r="O58">
        <v>1</v>
      </c>
      <c r="P58">
        <v>7.1428571428571425E-2</v>
      </c>
      <c r="Q58" t="s">
        <v>22</v>
      </c>
      <c r="R58">
        <v>0</v>
      </c>
    </row>
    <row r="59" spans="1:18" x14ac:dyDescent="0.3">
      <c r="A59" t="s">
        <v>18</v>
      </c>
      <c r="B59">
        <v>1</v>
      </c>
      <c r="C59" t="s">
        <v>53</v>
      </c>
      <c r="D59" t="s">
        <v>54</v>
      </c>
      <c r="E59" t="s">
        <v>23</v>
      </c>
      <c r="F59">
        <v>8</v>
      </c>
      <c r="G59">
        <v>3</v>
      </c>
      <c r="H59">
        <v>42</v>
      </c>
      <c r="I59">
        <v>0</v>
      </c>
      <c r="J59">
        <v>17</v>
      </c>
      <c r="K59">
        <v>18</v>
      </c>
      <c r="L59">
        <v>4</v>
      </c>
      <c r="M59">
        <v>3</v>
      </c>
      <c r="N59">
        <v>1</v>
      </c>
      <c r="O59">
        <v>0.75</v>
      </c>
      <c r="P59">
        <v>0.19047619047619049</v>
      </c>
      <c r="Q59" t="s">
        <v>22</v>
      </c>
      <c r="R59">
        <v>0</v>
      </c>
    </row>
    <row r="60" spans="1:18" x14ac:dyDescent="0.3">
      <c r="A60" t="s">
        <v>18</v>
      </c>
      <c r="B60">
        <v>1</v>
      </c>
      <c r="C60" t="s">
        <v>53</v>
      </c>
      <c r="D60" t="s">
        <v>54</v>
      </c>
      <c r="E60" t="s">
        <v>24</v>
      </c>
      <c r="F60">
        <v>8</v>
      </c>
      <c r="G60">
        <v>3</v>
      </c>
      <c r="H60">
        <v>42</v>
      </c>
      <c r="I60">
        <v>1</v>
      </c>
      <c r="J60">
        <v>17</v>
      </c>
      <c r="K60">
        <v>18</v>
      </c>
      <c r="L60">
        <v>4</v>
      </c>
      <c r="M60">
        <v>4</v>
      </c>
      <c r="N60">
        <v>0</v>
      </c>
      <c r="O60">
        <v>1</v>
      </c>
      <c r="P60">
        <v>0.19047619047619049</v>
      </c>
      <c r="Q60" t="s">
        <v>22</v>
      </c>
      <c r="R60">
        <v>5.8823529411764712E-2</v>
      </c>
    </row>
    <row r="61" spans="1:18" x14ac:dyDescent="0.3">
      <c r="A61" t="s">
        <v>18</v>
      </c>
      <c r="B61">
        <v>1</v>
      </c>
      <c r="C61" t="s">
        <v>53</v>
      </c>
      <c r="D61" t="s">
        <v>54</v>
      </c>
      <c r="E61" t="s">
        <v>25</v>
      </c>
      <c r="F61">
        <v>2</v>
      </c>
      <c r="G61">
        <v>1</v>
      </c>
      <c r="H61">
        <v>39</v>
      </c>
      <c r="I61">
        <v>0</v>
      </c>
      <c r="J61">
        <v>15</v>
      </c>
      <c r="K61">
        <v>17</v>
      </c>
      <c r="L61">
        <v>4</v>
      </c>
      <c r="M61">
        <v>4</v>
      </c>
      <c r="N61">
        <v>0</v>
      </c>
      <c r="O61">
        <v>1</v>
      </c>
      <c r="P61">
        <v>5.128205128205128E-2</v>
      </c>
      <c r="Q61" t="s">
        <v>22</v>
      </c>
      <c r="R61">
        <v>0</v>
      </c>
    </row>
    <row r="62" spans="1:18" x14ac:dyDescent="0.3">
      <c r="A62" t="s">
        <v>18</v>
      </c>
      <c r="B62">
        <v>1</v>
      </c>
      <c r="C62" t="s">
        <v>55</v>
      </c>
      <c r="D62" t="s">
        <v>56</v>
      </c>
      <c r="E62" t="s">
        <v>21</v>
      </c>
      <c r="F62">
        <v>6</v>
      </c>
      <c r="G62">
        <v>3</v>
      </c>
      <c r="H62">
        <v>42</v>
      </c>
      <c r="I62">
        <v>0</v>
      </c>
      <c r="J62">
        <v>14</v>
      </c>
      <c r="K62">
        <v>18</v>
      </c>
      <c r="L62">
        <v>1</v>
      </c>
      <c r="M62">
        <v>1</v>
      </c>
      <c r="N62">
        <v>0</v>
      </c>
      <c r="O62">
        <v>1</v>
      </c>
      <c r="P62">
        <v>0.14285714285714279</v>
      </c>
      <c r="Q62" t="s">
        <v>22</v>
      </c>
      <c r="R62">
        <v>0</v>
      </c>
    </row>
    <row r="63" spans="1:18" x14ac:dyDescent="0.3">
      <c r="A63" t="s">
        <v>18</v>
      </c>
      <c r="B63">
        <v>1</v>
      </c>
      <c r="C63" t="s">
        <v>55</v>
      </c>
      <c r="D63" t="s">
        <v>56</v>
      </c>
      <c r="E63" t="s">
        <v>23</v>
      </c>
      <c r="F63">
        <v>2</v>
      </c>
      <c r="G63">
        <v>1</v>
      </c>
      <c r="H63">
        <v>42</v>
      </c>
      <c r="I63">
        <v>1</v>
      </c>
      <c r="J63">
        <v>16</v>
      </c>
      <c r="K63">
        <v>18</v>
      </c>
      <c r="L63">
        <v>1</v>
      </c>
      <c r="M63">
        <v>1</v>
      </c>
      <c r="N63">
        <v>0</v>
      </c>
      <c r="O63">
        <v>1</v>
      </c>
      <c r="P63">
        <v>4.7619047619047623E-2</v>
      </c>
      <c r="Q63" t="s">
        <v>22</v>
      </c>
      <c r="R63">
        <v>6.25E-2</v>
      </c>
    </row>
    <row r="64" spans="1:18" x14ac:dyDescent="0.3">
      <c r="A64" t="s">
        <v>18</v>
      </c>
      <c r="B64">
        <v>1</v>
      </c>
      <c r="C64" t="s">
        <v>55</v>
      </c>
      <c r="D64" t="s">
        <v>56</v>
      </c>
      <c r="E64" t="s">
        <v>24</v>
      </c>
      <c r="F64">
        <v>10</v>
      </c>
      <c r="G64">
        <v>5</v>
      </c>
      <c r="H64">
        <v>42</v>
      </c>
      <c r="I64">
        <v>1</v>
      </c>
      <c r="J64">
        <v>12</v>
      </c>
      <c r="K64">
        <v>18</v>
      </c>
      <c r="L64">
        <v>1</v>
      </c>
      <c r="M64">
        <v>1</v>
      </c>
      <c r="N64">
        <v>0</v>
      </c>
      <c r="O64">
        <v>1</v>
      </c>
      <c r="P64">
        <v>0.23809523809523811</v>
      </c>
      <c r="Q64" t="s">
        <v>42</v>
      </c>
      <c r="R64">
        <v>8.3333333333333329E-2</v>
      </c>
    </row>
    <row r="65" spans="1:18" x14ac:dyDescent="0.3">
      <c r="A65" t="s">
        <v>18</v>
      </c>
      <c r="B65">
        <v>1</v>
      </c>
      <c r="C65" t="s">
        <v>55</v>
      </c>
      <c r="D65" t="s">
        <v>56</v>
      </c>
      <c r="E65" t="s">
        <v>25</v>
      </c>
      <c r="F65">
        <v>2</v>
      </c>
      <c r="G65">
        <v>1</v>
      </c>
      <c r="H65">
        <v>39</v>
      </c>
      <c r="I65">
        <v>0</v>
      </c>
      <c r="J65">
        <v>16</v>
      </c>
      <c r="K65">
        <v>17</v>
      </c>
      <c r="L65">
        <v>1</v>
      </c>
      <c r="M65">
        <v>1</v>
      </c>
      <c r="N65">
        <v>0</v>
      </c>
      <c r="O65">
        <v>1</v>
      </c>
      <c r="P65">
        <v>5.128205128205128E-2</v>
      </c>
      <c r="Q65" t="s">
        <v>22</v>
      </c>
      <c r="R65">
        <v>0</v>
      </c>
    </row>
    <row r="66" spans="1:18" x14ac:dyDescent="0.3">
      <c r="A66" t="s">
        <v>18</v>
      </c>
      <c r="B66">
        <v>1</v>
      </c>
      <c r="C66" t="s">
        <v>57</v>
      </c>
      <c r="D66" t="s">
        <v>58</v>
      </c>
      <c r="E66" t="s">
        <v>21</v>
      </c>
      <c r="F66">
        <v>3</v>
      </c>
      <c r="G66">
        <v>1</v>
      </c>
      <c r="H66">
        <v>42</v>
      </c>
      <c r="I66">
        <v>0</v>
      </c>
      <c r="J66">
        <v>16</v>
      </c>
      <c r="K66">
        <v>18</v>
      </c>
      <c r="L66">
        <v>3</v>
      </c>
      <c r="M66">
        <v>3</v>
      </c>
      <c r="N66">
        <v>0</v>
      </c>
      <c r="O66">
        <v>1</v>
      </c>
      <c r="P66">
        <v>7.1428571428571425E-2</v>
      </c>
      <c r="Q66" t="s">
        <v>22</v>
      </c>
      <c r="R66">
        <v>0</v>
      </c>
    </row>
    <row r="67" spans="1:18" x14ac:dyDescent="0.3">
      <c r="A67" t="s">
        <v>18</v>
      </c>
      <c r="B67">
        <v>1</v>
      </c>
      <c r="C67" t="s">
        <v>57</v>
      </c>
      <c r="D67" t="s">
        <v>58</v>
      </c>
      <c r="E67" t="s">
        <v>23</v>
      </c>
      <c r="F67">
        <v>3</v>
      </c>
      <c r="G67">
        <v>1</v>
      </c>
      <c r="H67">
        <v>42</v>
      </c>
      <c r="I67">
        <v>0</v>
      </c>
      <c r="J67">
        <v>18</v>
      </c>
      <c r="K67">
        <v>18</v>
      </c>
      <c r="L67">
        <v>3</v>
      </c>
      <c r="M67">
        <v>3</v>
      </c>
      <c r="N67">
        <v>0</v>
      </c>
      <c r="O67">
        <v>1</v>
      </c>
      <c r="P67">
        <v>7.1428571428571425E-2</v>
      </c>
      <c r="Q67" t="s">
        <v>22</v>
      </c>
      <c r="R67">
        <v>0</v>
      </c>
    </row>
    <row r="68" spans="1:18" x14ac:dyDescent="0.3">
      <c r="A68" t="s">
        <v>18</v>
      </c>
      <c r="B68">
        <v>1</v>
      </c>
      <c r="C68" t="s">
        <v>57</v>
      </c>
      <c r="D68" t="s">
        <v>58</v>
      </c>
      <c r="E68" t="s">
        <v>24</v>
      </c>
      <c r="F68">
        <v>7</v>
      </c>
      <c r="G68">
        <v>3</v>
      </c>
      <c r="H68">
        <v>42</v>
      </c>
      <c r="I68">
        <v>0</v>
      </c>
      <c r="J68">
        <v>17</v>
      </c>
      <c r="K68">
        <v>18</v>
      </c>
      <c r="L68">
        <v>3</v>
      </c>
      <c r="M68">
        <v>3</v>
      </c>
      <c r="N68">
        <v>0</v>
      </c>
      <c r="O68">
        <v>1</v>
      </c>
      <c r="P68">
        <v>0.16666666666666671</v>
      </c>
      <c r="Q68" t="s">
        <v>22</v>
      </c>
      <c r="R68">
        <v>0</v>
      </c>
    </row>
    <row r="69" spans="1:18" x14ac:dyDescent="0.3">
      <c r="A69" t="s">
        <v>18</v>
      </c>
      <c r="B69">
        <v>1</v>
      </c>
      <c r="C69" t="s">
        <v>57</v>
      </c>
      <c r="D69" t="s">
        <v>58</v>
      </c>
      <c r="E69" t="s">
        <v>25</v>
      </c>
      <c r="F69">
        <v>2</v>
      </c>
      <c r="G69">
        <v>1</v>
      </c>
      <c r="H69">
        <v>39</v>
      </c>
      <c r="I69">
        <v>0</v>
      </c>
      <c r="J69">
        <v>15</v>
      </c>
      <c r="K69">
        <v>17</v>
      </c>
      <c r="L69">
        <v>3</v>
      </c>
      <c r="M69">
        <v>3</v>
      </c>
      <c r="N69">
        <v>0</v>
      </c>
      <c r="O69">
        <v>1</v>
      </c>
      <c r="P69">
        <v>5.128205128205128E-2</v>
      </c>
      <c r="Q69" t="s">
        <v>22</v>
      </c>
      <c r="R69">
        <v>0</v>
      </c>
    </row>
    <row r="70" spans="1:18" x14ac:dyDescent="0.3">
      <c r="A70" t="s">
        <v>18</v>
      </c>
      <c r="B70">
        <v>1</v>
      </c>
      <c r="C70" t="s">
        <v>59</v>
      </c>
      <c r="D70" t="s">
        <v>60</v>
      </c>
      <c r="E70" t="s">
        <v>21</v>
      </c>
      <c r="F70">
        <v>5</v>
      </c>
      <c r="G70">
        <v>2</v>
      </c>
      <c r="H70">
        <v>42</v>
      </c>
      <c r="I70">
        <v>0</v>
      </c>
      <c r="J70">
        <v>15</v>
      </c>
      <c r="K70">
        <v>18</v>
      </c>
      <c r="L70">
        <v>4</v>
      </c>
      <c r="M70">
        <v>4</v>
      </c>
      <c r="N70">
        <v>0</v>
      </c>
      <c r="O70">
        <v>1</v>
      </c>
      <c r="P70">
        <v>0.119047619047619</v>
      </c>
      <c r="Q70" t="s">
        <v>22</v>
      </c>
      <c r="R70">
        <v>0</v>
      </c>
    </row>
    <row r="71" spans="1:18" x14ac:dyDescent="0.3">
      <c r="A71" t="s">
        <v>18</v>
      </c>
      <c r="B71">
        <v>1</v>
      </c>
      <c r="C71" t="s">
        <v>59</v>
      </c>
      <c r="D71" t="s">
        <v>60</v>
      </c>
      <c r="E71" t="s">
        <v>23</v>
      </c>
      <c r="F71">
        <v>3</v>
      </c>
      <c r="G71">
        <v>1</v>
      </c>
      <c r="H71">
        <v>42</v>
      </c>
      <c r="I71">
        <v>0</v>
      </c>
      <c r="J71">
        <v>17</v>
      </c>
      <c r="K71">
        <v>18</v>
      </c>
      <c r="L71">
        <v>4</v>
      </c>
      <c r="M71">
        <v>4</v>
      </c>
      <c r="N71">
        <v>0</v>
      </c>
      <c r="O71">
        <v>1</v>
      </c>
      <c r="P71">
        <v>7.1428571428571425E-2</v>
      </c>
      <c r="Q71" t="s">
        <v>22</v>
      </c>
      <c r="R71">
        <v>0</v>
      </c>
    </row>
    <row r="72" spans="1:18" x14ac:dyDescent="0.3">
      <c r="A72" t="s">
        <v>18</v>
      </c>
      <c r="B72">
        <v>1</v>
      </c>
      <c r="C72" t="s">
        <v>59</v>
      </c>
      <c r="D72" t="s">
        <v>60</v>
      </c>
      <c r="E72" t="s">
        <v>24</v>
      </c>
      <c r="F72">
        <v>2</v>
      </c>
      <c r="G72">
        <v>1</v>
      </c>
      <c r="H72">
        <v>42</v>
      </c>
      <c r="I72">
        <v>1</v>
      </c>
      <c r="J72">
        <v>17</v>
      </c>
      <c r="K72">
        <v>18</v>
      </c>
      <c r="L72">
        <v>4</v>
      </c>
      <c r="M72">
        <v>4</v>
      </c>
      <c r="N72">
        <v>0</v>
      </c>
      <c r="O72">
        <v>1</v>
      </c>
      <c r="P72">
        <v>4.7619047619047623E-2</v>
      </c>
      <c r="Q72" t="s">
        <v>22</v>
      </c>
      <c r="R72">
        <v>5.8823529411764712E-2</v>
      </c>
    </row>
    <row r="73" spans="1:18" x14ac:dyDescent="0.3">
      <c r="A73" t="s">
        <v>18</v>
      </c>
      <c r="B73">
        <v>1</v>
      </c>
      <c r="C73" t="s">
        <v>59</v>
      </c>
      <c r="D73" t="s">
        <v>60</v>
      </c>
      <c r="E73" t="s">
        <v>25</v>
      </c>
      <c r="F73">
        <v>2</v>
      </c>
      <c r="G73">
        <v>1</v>
      </c>
      <c r="H73">
        <v>39</v>
      </c>
      <c r="I73">
        <v>0</v>
      </c>
      <c r="J73">
        <v>14</v>
      </c>
      <c r="K73">
        <v>17</v>
      </c>
      <c r="L73">
        <v>4</v>
      </c>
      <c r="M73">
        <v>4</v>
      </c>
      <c r="N73">
        <v>0</v>
      </c>
      <c r="O73">
        <v>1</v>
      </c>
      <c r="P73">
        <v>5.128205128205128E-2</v>
      </c>
      <c r="Q73" t="s">
        <v>22</v>
      </c>
      <c r="R73">
        <v>0</v>
      </c>
    </row>
    <row r="74" spans="1:18" x14ac:dyDescent="0.3">
      <c r="A74" t="s">
        <v>18</v>
      </c>
      <c r="B74">
        <v>1</v>
      </c>
      <c r="C74" t="s">
        <v>61</v>
      </c>
      <c r="D74" t="s">
        <v>62</v>
      </c>
      <c r="E74" t="s">
        <v>21</v>
      </c>
      <c r="F74">
        <v>3</v>
      </c>
      <c r="G74">
        <v>1</v>
      </c>
      <c r="H74">
        <v>42</v>
      </c>
      <c r="I74">
        <v>0</v>
      </c>
      <c r="J74">
        <v>15</v>
      </c>
      <c r="K74">
        <v>18</v>
      </c>
      <c r="L74">
        <v>1</v>
      </c>
      <c r="M74">
        <v>1</v>
      </c>
      <c r="N74">
        <v>0</v>
      </c>
      <c r="O74">
        <v>1</v>
      </c>
      <c r="P74">
        <v>7.1428571428571425E-2</v>
      </c>
      <c r="Q74" t="s">
        <v>22</v>
      </c>
      <c r="R74">
        <v>0</v>
      </c>
    </row>
    <row r="75" spans="1:18" x14ac:dyDescent="0.3">
      <c r="A75" t="s">
        <v>18</v>
      </c>
      <c r="B75">
        <v>1</v>
      </c>
      <c r="C75" t="s">
        <v>61</v>
      </c>
      <c r="D75" t="s">
        <v>62</v>
      </c>
      <c r="E75" t="s">
        <v>23</v>
      </c>
      <c r="F75">
        <v>5</v>
      </c>
      <c r="G75">
        <v>2</v>
      </c>
      <c r="H75">
        <v>42</v>
      </c>
      <c r="I75">
        <v>0</v>
      </c>
      <c r="J75">
        <v>16</v>
      </c>
      <c r="K75">
        <v>18</v>
      </c>
      <c r="L75">
        <v>1</v>
      </c>
      <c r="M75">
        <v>1</v>
      </c>
      <c r="N75">
        <v>0</v>
      </c>
      <c r="O75">
        <v>1</v>
      </c>
      <c r="P75">
        <v>0.119047619047619</v>
      </c>
      <c r="Q75" t="s">
        <v>22</v>
      </c>
      <c r="R75">
        <v>0</v>
      </c>
    </row>
    <row r="76" spans="1:18" x14ac:dyDescent="0.3">
      <c r="A76" t="s">
        <v>18</v>
      </c>
      <c r="B76">
        <v>1</v>
      </c>
      <c r="C76" t="s">
        <v>61</v>
      </c>
      <c r="D76" t="s">
        <v>62</v>
      </c>
      <c r="E76" t="s">
        <v>24</v>
      </c>
      <c r="F76">
        <v>9</v>
      </c>
      <c r="G76">
        <v>4</v>
      </c>
      <c r="H76">
        <v>42</v>
      </c>
      <c r="I76">
        <v>0</v>
      </c>
      <c r="J76">
        <v>15</v>
      </c>
      <c r="K76">
        <v>18</v>
      </c>
      <c r="L76">
        <v>1</v>
      </c>
      <c r="M76">
        <v>1</v>
      </c>
      <c r="N76">
        <v>0</v>
      </c>
      <c r="O76">
        <v>1</v>
      </c>
      <c r="P76">
        <v>0.2142857142857143</v>
      </c>
      <c r="Q76" t="s">
        <v>22</v>
      </c>
      <c r="R76">
        <v>0</v>
      </c>
    </row>
    <row r="77" spans="1:18" x14ac:dyDescent="0.3">
      <c r="A77" t="s">
        <v>18</v>
      </c>
      <c r="B77">
        <v>1</v>
      </c>
      <c r="C77" t="s">
        <v>61</v>
      </c>
      <c r="D77" t="s">
        <v>62</v>
      </c>
      <c r="E77" t="s">
        <v>25</v>
      </c>
      <c r="F77">
        <v>2</v>
      </c>
      <c r="G77">
        <v>1</v>
      </c>
      <c r="H77">
        <v>39</v>
      </c>
      <c r="I77">
        <v>0</v>
      </c>
      <c r="J77">
        <v>14</v>
      </c>
      <c r="K77">
        <v>17</v>
      </c>
      <c r="L77">
        <v>1</v>
      </c>
      <c r="M77">
        <v>1</v>
      </c>
      <c r="N77">
        <v>0</v>
      </c>
      <c r="O77">
        <v>1</v>
      </c>
      <c r="P77">
        <v>5.128205128205128E-2</v>
      </c>
      <c r="Q77" t="s">
        <v>22</v>
      </c>
      <c r="R77">
        <v>0</v>
      </c>
    </row>
    <row r="78" spans="1:18" x14ac:dyDescent="0.3">
      <c r="A78" t="s">
        <v>18</v>
      </c>
      <c r="B78">
        <v>1</v>
      </c>
      <c r="C78" t="s">
        <v>63</v>
      </c>
      <c r="D78" t="s">
        <v>64</v>
      </c>
      <c r="E78" t="s">
        <v>21</v>
      </c>
      <c r="F78">
        <v>3</v>
      </c>
      <c r="G78">
        <v>2</v>
      </c>
      <c r="H78">
        <v>42</v>
      </c>
      <c r="I78">
        <v>0</v>
      </c>
      <c r="J78">
        <v>18</v>
      </c>
      <c r="K78">
        <v>18</v>
      </c>
      <c r="L78">
        <v>2</v>
      </c>
      <c r="M78">
        <v>2</v>
      </c>
      <c r="N78">
        <v>0</v>
      </c>
      <c r="O78">
        <v>1</v>
      </c>
      <c r="P78">
        <v>7.1428571428571425E-2</v>
      </c>
      <c r="Q78" t="s">
        <v>22</v>
      </c>
      <c r="R78">
        <v>0</v>
      </c>
    </row>
    <row r="79" spans="1:18" x14ac:dyDescent="0.3">
      <c r="A79" t="s">
        <v>18</v>
      </c>
      <c r="B79">
        <v>1</v>
      </c>
      <c r="C79" t="s">
        <v>63</v>
      </c>
      <c r="D79" t="s">
        <v>64</v>
      </c>
      <c r="E79" t="s">
        <v>23</v>
      </c>
      <c r="F79">
        <v>2</v>
      </c>
      <c r="G79">
        <v>1</v>
      </c>
      <c r="H79">
        <v>42</v>
      </c>
      <c r="I79">
        <v>0</v>
      </c>
      <c r="J79">
        <v>18</v>
      </c>
      <c r="K79">
        <v>18</v>
      </c>
      <c r="L79">
        <v>2</v>
      </c>
      <c r="M79">
        <v>2</v>
      </c>
      <c r="N79">
        <v>0</v>
      </c>
      <c r="O79">
        <v>1</v>
      </c>
      <c r="P79">
        <v>4.7619047619047623E-2</v>
      </c>
      <c r="Q79" t="s">
        <v>22</v>
      </c>
      <c r="R79">
        <v>0</v>
      </c>
    </row>
    <row r="80" spans="1:18" x14ac:dyDescent="0.3">
      <c r="A80" t="s">
        <v>18</v>
      </c>
      <c r="B80">
        <v>1</v>
      </c>
      <c r="C80" t="s">
        <v>63</v>
      </c>
      <c r="D80" t="s">
        <v>64</v>
      </c>
      <c r="E80" t="s">
        <v>24</v>
      </c>
      <c r="F80">
        <v>15</v>
      </c>
      <c r="G80">
        <v>7</v>
      </c>
      <c r="H80">
        <v>42</v>
      </c>
      <c r="I80">
        <v>0</v>
      </c>
      <c r="J80">
        <v>14</v>
      </c>
      <c r="K80">
        <v>18</v>
      </c>
      <c r="L80">
        <v>2</v>
      </c>
      <c r="M80">
        <v>2</v>
      </c>
      <c r="N80">
        <v>0</v>
      </c>
      <c r="O80">
        <v>1</v>
      </c>
      <c r="P80">
        <v>0.35714285714285721</v>
      </c>
      <c r="Q80" t="s">
        <v>42</v>
      </c>
      <c r="R80">
        <v>0</v>
      </c>
    </row>
    <row r="81" spans="1:18" x14ac:dyDescent="0.3">
      <c r="A81" t="s">
        <v>18</v>
      </c>
      <c r="B81">
        <v>1</v>
      </c>
      <c r="C81" t="s">
        <v>63</v>
      </c>
      <c r="D81" t="s">
        <v>64</v>
      </c>
      <c r="E81" t="s">
        <v>25</v>
      </c>
      <c r="F81">
        <v>2</v>
      </c>
      <c r="G81">
        <v>1</v>
      </c>
      <c r="H81">
        <v>39</v>
      </c>
      <c r="I81">
        <v>0</v>
      </c>
      <c r="J81">
        <v>14</v>
      </c>
      <c r="K81">
        <v>17</v>
      </c>
      <c r="L81">
        <v>2</v>
      </c>
      <c r="M81">
        <v>2</v>
      </c>
      <c r="N81">
        <v>0</v>
      </c>
      <c r="O81">
        <v>1</v>
      </c>
      <c r="P81">
        <v>5.128205128205128E-2</v>
      </c>
      <c r="Q81" t="s">
        <v>22</v>
      </c>
      <c r="R81">
        <v>0</v>
      </c>
    </row>
  </sheetData>
  <autoFilter ref="A1:R8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882F3-B15F-4DF7-B7E3-FD990BC8589A}">
  <dimension ref="A1:F6"/>
  <sheetViews>
    <sheetView tabSelected="1" workbookViewId="0">
      <selection activeCell="I29" sqref="I29"/>
    </sheetView>
  </sheetViews>
  <sheetFormatPr defaultColWidth="20.44140625" defaultRowHeight="14.4" x14ac:dyDescent="0.3"/>
  <cols>
    <col min="1" max="1" width="29" bestFit="1" customWidth="1"/>
    <col min="2" max="6" width="13.109375" customWidth="1"/>
  </cols>
  <sheetData>
    <row r="1" spans="1:6" ht="15.6" x14ac:dyDescent="0.3">
      <c r="A1" s="24" t="s">
        <v>428</v>
      </c>
      <c r="B1" s="25"/>
      <c r="C1" s="25"/>
      <c r="D1" s="25"/>
      <c r="E1" s="25"/>
      <c r="F1" s="26"/>
    </row>
    <row r="2" spans="1:6" ht="15.6" x14ac:dyDescent="0.3">
      <c r="A2" s="17"/>
      <c r="B2" s="17" t="s">
        <v>24</v>
      </c>
      <c r="C2" s="17" t="s">
        <v>21</v>
      </c>
      <c r="D2" s="17" t="s">
        <v>23</v>
      </c>
      <c r="E2" s="17" t="s">
        <v>25</v>
      </c>
      <c r="F2" s="17" t="s">
        <v>431</v>
      </c>
    </row>
    <row r="3" spans="1:6" ht="15.6" x14ac:dyDescent="0.3">
      <c r="A3" s="22" t="s">
        <v>432</v>
      </c>
      <c r="B3" s="13">
        <f>SUMIFS(indicator_model!$G$2:$G$72,indicator_model!$E$2:$E$72,B$2,indicator_model!$C$2:$C$72,"&gt;=R01",indicator_model!$C$2:$C$72,"&lt;=R06")</f>
        <v>27</v>
      </c>
      <c r="C3" s="13">
        <f>SUMIFS(indicator_model!$G$2:$G$72,indicator_model!$E$2:$E$72,C$2,indicator_model!$C$2:$C$72,"&gt;=R01",indicator_model!$C$2:$C$72,"&lt;=R06")</f>
        <v>15</v>
      </c>
      <c r="D3" s="13">
        <f>SUMIFS(indicator_model!$G$2:$G$72,indicator_model!$E$2:$E$72,D$2,indicator_model!$C$2:$C$72,"&gt;=R01",indicator_model!$C$2:$C$72,"&lt;=R06")</f>
        <v>18</v>
      </c>
      <c r="E3" s="13">
        <f>SUMIFS(indicator_model!$G$2:$G$72,indicator_model!$E$2:$E$72,E$2,indicator_model!$C$2:$C$72,"&gt;=R01",indicator_model!$C$2:$C$72,"&lt;=R06")</f>
        <v>19</v>
      </c>
      <c r="F3" s="13">
        <f>SUM(B3:E3)</f>
        <v>79</v>
      </c>
    </row>
    <row r="4" spans="1:6" ht="15.6" x14ac:dyDescent="0.3">
      <c r="A4" s="22" t="s">
        <v>433</v>
      </c>
      <c r="B4" s="13">
        <f>SUMIFS(indicator_model!$G$2:$G$72,indicator_model!$E$2:$E$72,B$2,indicator_model!$C$2:$C$72,"&gt;=R07",indicator_model!$C$2:$C$72,"&lt;=R15")+SUMIFS(indicator_model!$G$2:$G$72,indicator_model!$E$2:$E$72,B$2,indicator_model!$C$2:$C$72,"R18")</f>
        <v>17</v>
      </c>
      <c r="C4" s="13">
        <f>SUMIFS(indicator_model!$G$2:$G$72,indicator_model!$E$2:$E$72,C$2,indicator_model!$C$2:$C$72,"&gt;=R07",indicator_model!$C$2:$C$72,"&lt;=R15")+SUMIFS(indicator_model!$G$2:$G$72,indicator_model!$E$2:$E$72,C$2,indicator_model!$C$2:$C$72,"R18")</f>
        <v>4</v>
      </c>
      <c r="D4" s="13">
        <f>SUMIFS(indicator_model!$G$2:$G$72,indicator_model!$E$2:$E$72,D$2,indicator_model!$C$2:$C$72,"&gt;=R07",indicator_model!$C$2:$C$72,"&lt;=R15")+SUMIFS(indicator_model!$G$2:$G$72,indicator_model!$E$2:$E$72,D$2,indicator_model!$C$2:$C$72,"R18")</f>
        <v>6</v>
      </c>
      <c r="E4" s="13">
        <f>SUMIFS(indicator_model!$G$2:$G$72,indicator_model!$E$2:$E$72,E$2,indicator_model!$C$2:$C$72,"&gt;=R07",indicator_model!$C$2:$C$72,"&lt;=R15")+SUMIFS(indicator_model!$G$2:$G$72,indicator_model!$E$2:$E$72,E$2,indicator_model!$C$2:$C$72,"R18")</f>
        <v>0</v>
      </c>
      <c r="F4" s="13">
        <f t="shared" ref="F4:F5" si="0">SUM(B4:E4)</f>
        <v>27</v>
      </c>
    </row>
    <row r="5" spans="1:6" ht="31.2" x14ac:dyDescent="0.3">
      <c r="A5" s="22" t="s">
        <v>434</v>
      </c>
      <c r="B5" s="13">
        <f>SUMIFS(indicator_model!$G$2:$G$72,indicator_model!$E$2:$E$72,B$2,indicator_model!$C$2:$C$72,"&gt;=R16",indicator_model!$C$2:$C$72,"&lt;=R17")</f>
        <v>11</v>
      </c>
      <c r="C5" s="13">
        <f>SUMIFS(indicator_model!$G$2:$G$72,indicator_model!$E$2:$E$72,C$2,indicator_model!$C$2:$C$72,"&gt;=R16",indicator_model!$C$2:$C$72,"&lt;=R17")</f>
        <v>18</v>
      </c>
      <c r="D5" s="13">
        <f>SUMIFS(indicator_model!$G$2:$G$72,indicator_model!$E$2:$E$72,D$2,indicator_model!$C$2:$C$72,"&gt;=R16",indicator_model!$C$2:$C$72,"&lt;=R17")</f>
        <v>15</v>
      </c>
      <c r="E5" s="13">
        <f>SUMIFS(indicator_model!$G$2:$G$72,indicator_model!$E$2:$E$72,E$2,indicator_model!$C$2:$C$72,"&gt;=R16",indicator_model!$C$2:$C$72,"&lt;=R17")</f>
        <v>0</v>
      </c>
      <c r="F5" s="13">
        <f t="shared" si="0"/>
        <v>44</v>
      </c>
    </row>
    <row r="6" spans="1:6" ht="15.6" x14ac:dyDescent="0.3">
      <c r="A6" s="23" t="s">
        <v>435</v>
      </c>
      <c r="B6" s="17">
        <f>SUM(B3:B5)</f>
        <v>55</v>
      </c>
      <c r="C6" s="17">
        <f t="shared" ref="C6:F6" si="1">SUM(C3:C5)</f>
        <v>37</v>
      </c>
      <c r="D6" s="17">
        <f t="shared" si="1"/>
        <v>39</v>
      </c>
      <c r="E6" s="17">
        <f t="shared" si="1"/>
        <v>19</v>
      </c>
      <c r="F6" s="17">
        <f t="shared" si="1"/>
        <v>150</v>
      </c>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FBBAF-D2CE-4397-B176-2CD31F6CDD09}">
  <dimension ref="A1:G22"/>
  <sheetViews>
    <sheetView zoomScaleNormal="100" workbookViewId="0">
      <selection sqref="A1:G1"/>
    </sheetView>
  </sheetViews>
  <sheetFormatPr defaultColWidth="18.109375" defaultRowHeight="15.6" x14ac:dyDescent="0.3"/>
  <cols>
    <col min="1" max="1" width="15.77734375" style="9" customWidth="1"/>
    <col min="2" max="6" width="11.21875" style="9" customWidth="1"/>
    <col min="7" max="7" width="15.5546875" style="9" customWidth="1"/>
    <col min="8" max="16384" width="18.109375" style="9"/>
  </cols>
  <sheetData>
    <row r="1" spans="1:7" x14ac:dyDescent="0.3">
      <c r="A1" s="27" t="s">
        <v>436</v>
      </c>
      <c r="B1" s="27"/>
      <c r="C1" s="27"/>
      <c r="D1" s="27"/>
      <c r="E1" s="27"/>
      <c r="F1" s="27"/>
      <c r="G1" s="27"/>
    </row>
    <row r="2" spans="1:7" x14ac:dyDescent="0.3">
      <c r="A2" s="6" t="s">
        <v>437</v>
      </c>
      <c r="B2" s="6" t="s">
        <v>21</v>
      </c>
      <c r="C2" s="6" t="s">
        <v>23</v>
      </c>
      <c r="D2" s="6" t="s">
        <v>24</v>
      </c>
      <c r="E2" s="6" t="s">
        <v>25</v>
      </c>
      <c r="F2" s="6" t="s">
        <v>441</v>
      </c>
      <c r="G2" s="6" t="s">
        <v>442</v>
      </c>
    </row>
    <row r="3" spans="1:7" x14ac:dyDescent="0.3">
      <c r="A3" s="10" t="s">
        <v>19</v>
      </c>
      <c r="B3" s="11" cm="1">
        <f t="array" ref="B3">SUMPRODUCT((site_model_risk!$C$2:$C$500=A3)*(site_model_risk!$E$2:$E$500=B$2)*site_model_risk!$F$2:$F$500)</f>
        <v>3</v>
      </c>
      <c r="C3" s="11" cm="1">
        <f t="array" ref="C3">SUMPRODUCT((site_model_risk!$C$2:$C$500=$A3)*(site_model_risk!$E$2:$E$500=C$2)*site_model_risk!$F$2:$F$500)</f>
        <v>3</v>
      </c>
      <c r="D3" s="11" cm="1">
        <f t="array" ref="D3">SUMPRODUCT((site_model_risk!$C$2:$C$500=$A3)*(site_model_risk!$E$2:$E$500=D$2)*site_model_risk!$F$2:$F$500)</f>
        <v>8</v>
      </c>
      <c r="E3" s="11" cm="1">
        <f t="array" ref="E3">SUMPRODUCT((site_model_risk!$C$2:$C$500=$A3)*(site_model_risk!$E$2:$E$500=E$2)*site_model_risk!$F$2:$F$500)</f>
        <v>3</v>
      </c>
      <c r="F3" s="11">
        <f>MAX(B3:E3)-MIN(B3:E3)</f>
        <v>5</v>
      </c>
      <c r="G3" s="11" t="str">
        <f t="shared" ref="G3:G22" si="0">IF(MAX(B3:E3)&gt;=30,"Critical",IF(MAX(B3:E3)&gt;=20,"High Risk",IF(MAX(B3:E3)&gt;=10,"Medium Risk","Low Risk")))</f>
        <v>Low Risk</v>
      </c>
    </row>
    <row r="4" spans="1:7" x14ac:dyDescent="0.3">
      <c r="A4" s="10" t="s">
        <v>26</v>
      </c>
      <c r="B4" s="11" cm="1">
        <f t="array" ref="B4">SUMPRODUCT((site_model_risk!$C$2:$C$500=A4)*(site_model_risk!$E$2:$E$500=B$2)*site_model_risk!$F$2:$F$500)</f>
        <v>2</v>
      </c>
      <c r="C4" s="11" cm="1">
        <f t="array" ref="C4">SUMPRODUCT((site_model_risk!$C$2:$C$500=$A4)*(site_model_risk!$E$2:$E$500=C$2)*site_model_risk!$F$2:$F$500)</f>
        <v>3</v>
      </c>
      <c r="D4" s="11" cm="1">
        <f t="array" ref="D4">SUMPRODUCT((site_model_risk!$C$2:$C$500=$A4)*(site_model_risk!$E$2:$E$500=D$2)*site_model_risk!$F$2:$F$500)</f>
        <v>5</v>
      </c>
      <c r="E4" s="11" cm="1">
        <f t="array" ref="E4">SUMPRODUCT((site_model_risk!$C$2:$C$500=$A4)*(site_model_risk!$E$2:$E$500=E$2)*site_model_risk!$F$2:$F$500)</f>
        <v>2</v>
      </c>
      <c r="F4" s="11">
        <f t="shared" ref="F4:F22" si="1">MAX(B4:E4)-MIN(B4:E4)</f>
        <v>3</v>
      </c>
      <c r="G4" s="11" t="str">
        <f t="shared" si="0"/>
        <v>Low Risk</v>
      </c>
    </row>
    <row r="5" spans="1:7" x14ac:dyDescent="0.3">
      <c r="A5" s="10" t="s">
        <v>28</v>
      </c>
      <c r="B5" s="11" cm="1">
        <f t="array" ref="B5">SUMPRODUCT((site_model_risk!$C$2:$C$500=A5)*(site_model_risk!$E$2:$E$500=B$2)*site_model_risk!$F$2:$F$500)</f>
        <v>5</v>
      </c>
      <c r="C5" s="11" cm="1">
        <f t="array" ref="C5">SUMPRODUCT((site_model_risk!$C$2:$C$500=$A5)*(site_model_risk!$E$2:$E$500=C$2)*site_model_risk!$F$2:$F$500)</f>
        <v>8</v>
      </c>
      <c r="D5" s="11" cm="1">
        <f t="array" ref="D5">SUMPRODUCT((site_model_risk!$C$2:$C$500=$A5)*(site_model_risk!$E$2:$E$500=D$2)*site_model_risk!$F$2:$F$500)</f>
        <v>5</v>
      </c>
      <c r="E5" s="11" cm="1">
        <f t="array" ref="E5">SUMPRODUCT((site_model_risk!$C$2:$C$500=$A5)*(site_model_risk!$E$2:$E$500=E$2)*site_model_risk!$F$2:$F$500)</f>
        <v>0</v>
      </c>
      <c r="F5" s="11">
        <f t="shared" si="1"/>
        <v>8</v>
      </c>
      <c r="G5" s="11" t="str">
        <f t="shared" si="0"/>
        <v>Low Risk</v>
      </c>
    </row>
    <row r="6" spans="1:7" x14ac:dyDescent="0.3">
      <c r="A6" s="10" t="s">
        <v>30</v>
      </c>
      <c r="B6" s="11" cm="1">
        <f t="array" ref="B6">SUMPRODUCT((site_model_risk!$C$2:$C$500=A6)*(site_model_risk!$E$2:$E$500=B$2)*site_model_risk!$F$2:$F$500)</f>
        <v>4</v>
      </c>
      <c r="C6" s="11" cm="1">
        <f t="array" ref="C6">SUMPRODUCT((site_model_risk!$C$2:$C$500=$A6)*(site_model_risk!$E$2:$E$500=C$2)*site_model_risk!$F$2:$F$500)</f>
        <v>5</v>
      </c>
      <c r="D6" s="11" cm="1">
        <f t="array" ref="D6">SUMPRODUCT((site_model_risk!$C$2:$C$500=$A6)*(site_model_risk!$E$2:$E$500=D$2)*site_model_risk!$F$2:$F$500)</f>
        <v>0</v>
      </c>
      <c r="E6" s="11" cm="1">
        <f t="array" ref="E6">SUMPRODUCT((site_model_risk!$C$2:$C$500=$A6)*(site_model_risk!$E$2:$E$500=E$2)*site_model_risk!$F$2:$F$500)</f>
        <v>2</v>
      </c>
      <c r="F6" s="11">
        <f t="shared" si="1"/>
        <v>5</v>
      </c>
      <c r="G6" s="11" t="str">
        <f t="shared" si="0"/>
        <v>Low Risk</v>
      </c>
    </row>
    <row r="7" spans="1:7" x14ac:dyDescent="0.3">
      <c r="A7" s="10" t="s">
        <v>32</v>
      </c>
      <c r="B7" s="11" cm="1">
        <f t="array" ref="B7">SUMPRODUCT((site_model_risk!$C$2:$C$500=A7)*(site_model_risk!$E$2:$E$500=B$2)*site_model_risk!$F$2:$F$500)</f>
        <v>5</v>
      </c>
      <c r="C7" s="11" cm="1">
        <f t="array" ref="C7">SUMPRODUCT((site_model_risk!$C$2:$C$500=$A7)*(site_model_risk!$E$2:$E$500=C$2)*site_model_risk!$F$2:$F$500)</f>
        <v>5</v>
      </c>
      <c r="D7" s="11" cm="1">
        <f t="array" ref="D7">SUMPRODUCT((site_model_risk!$C$2:$C$500=$A7)*(site_model_risk!$E$2:$E$500=D$2)*site_model_risk!$F$2:$F$500)</f>
        <v>5</v>
      </c>
      <c r="E7" s="11" cm="1">
        <f t="array" ref="E7">SUMPRODUCT((site_model_risk!$C$2:$C$500=$A7)*(site_model_risk!$E$2:$E$500=E$2)*site_model_risk!$F$2:$F$500)</f>
        <v>2</v>
      </c>
      <c r="F7" s="11">
        <f>MAX(B7:E7)-MIN(B7:E7)</f>
        <v>3</v>
      </c>
      <c r="G7" s="11" t="str">
        <f t="shared" si="0"/>
        <v>Low Risk</v>
      </c>
    </row>
    <row r="8" spans="1:7" x14ac:dyDescent="0.3">
      <c r="A8" s="10" t="s">
        <v>34</v>
      </c>
      <c r="B8" s="11" cm="1">
        <f t="array" ref="B8">SUMPRODUCT((site_model_risk!$C$2:$C$500=A8)*(site_model_risk!$E$2:$E$500=B$2)*site_model_risk!$F$2:$F$500)</f>
        <v>3</v>
      </c>
      <c r="C8" s="11" cm="1">
        <f t="array" ref="C8">SUMPRODUCT((site_model_risk!$C$2:$C$500=$A8)*(site_model_risk!$E$2:$E$500=C$2)*site_model_risk!$F$2:$F$500)</f>
        <v>0</v>
      </c>
      <c r="D8" s="11" cm="1">
        <f t="array" ref="D8">SUMPRODUCT((site_model_risk!$C$2:$C$500=$A8)*(site_model_risk!$E$2:$E$500=D$2)*site_model_risk!$F$2:$F$500)</f>
        <v>2</v>
      </c>
      <c r="E8" s="11" cm="1">
        <f t="array" ref="E8">SUMPRODUCT((site_model_risk!$C$2:$C$500=$A8)*(site_model_risk!$E$2:$E$500=E$2)*site_model_risk!$F$2:$F$500)</f>
        <v>2</v>
      </c>
      <c r="F8" s="11">
        <f t="shared" si="1"/>
        <v>3</v>
      </c>
      <c r="G8" s="11" t="str">
        <f t="shared" si="0"/>
        <v>Low Risk</v>
      </c>
    </row>
    <row r="9" spans="1:7" x14ac:dyDescent="0.3">
      <c r="A9" s="10" t="s">
        <v>36</v>
      </c>
      <c r="B9" s="11" cm="1">
        <f t="array" ref="B9">SUMPRODUCT((site_model_risk!$C$2:$C$500=A9)*(site_model_risk!$E$2:$E$500=B$2)*site_model_risk!$F$2:$F$500)</f>
        <v>5</v>
      </c>
      <c r="C9" s="11" cm="1">
        <f t="array" ref="C9">SUMPRODUCT((site_model_risk!$C$2:$C$500=$A9)*(site_model_risk!$E$2:$E$500=C$2)*site_model_risk!$F$2:$F$500)</f>
        <v>3</v>
      </c>
      <c r="D9" s="11" cm="1">
        <f t="array" ref="D9">SUMPRODUCT((site_model_risk!$C$2:$C$500=$A9)*(site_model_risk!$E$2:$E$500=D$2)*site_model_risk!$F$2:$F$500)</f>
        <v>5</v>
      </c>
      <c r="E9" s="11" cm="1">
        <f t="array" ref="E9">SUMPRODUCT((site_model_risk!$C$2:$C$500=$A9)*(site_model_risk!$E$2:$E$500=E$2)*site_model_risk!$F$2:$F$500)</f>
        <v>2</v>
      </c>
      <c r="F9" s="11">
        <f t="shared" si="1"/>
        <v>3</v>
      </c>
      <c r="G9" s="11" t="str">
        <f t="shared" si="0"/>
        <v>Low Risk</v>
      </c>
    </row>
    <row r="10" spans="1:7" x14ac:dyDescent="0.3">
      <c r="A10" s="10" t="s">
        <v>38</v>
      </c>
      <c r="B10" s="11" cm="1">
        <f t="array" ref="B10">SUMPRODUCT((site_model_risk!$C$2:$C$500=A10)*(site_model_risk!$E$2:$E$500=B$2)*site_model_risk!$F$2:$F$500)</f>
        <v>5</v>
      </c>
      <c r="C10" s="11" cm="1">
        <f t="array" ref="C10">SUMPRODUCT((site_model_risk!$C$2:$C$500=$A10)*(site_model_risk!$E$2:$E$500=C$2)*site_model_risk!$F$2:$F$500)</f>
        <v>7</v>
      </c>
      <c r="D10" s="11" cm="1">
        <f t="array" ref="D10">SUMPRODUCT((site_model_risk!$C$2:$C$500=$A10)*(site_model_risk!$E$2:$E$500=D$2)*site_model_risk!$F$2:$F$500)</f>
        <v>5</v>
      </c>
      <c r="E10" s="11" cm="1">
        <f t="array" ref="E10">SUMPRODUCT((site_model_risk!$C$2:$C$500=$A10)*(site_model_risk!$E$2:$E$500=E$2)*site_model_risk!$F$2:$F$500)</f>
        <v>2</v>
      </c>
      <c r="F10" s="11">
        <f t="shared" si="1"/>
        <v>5</v>
      </c>
      <c r="G10" s="11" t="str">
        <f t="shared" si="0"/>
        <v>Low Risk</v>
      </c>
    </row>
    <row r="11" spans="1:7" x14ac:dyDescent="0.3">
      <c r="A11" s="10" t="s">
        <v>40</v>
      </c>
      <c r="B11" s="11" cm="1">
        <f t="array" ref="B11">SUMPRODUCT((site_model_risk!$C$2:$C$500=A11)*(site_model_risk!$E$2:$E$500=B$2)*site_model_risk!$F$2:$F$500)</f>
        <v>5</v>
      </c>
      <c r="C11" s="11" cm="1">
        <f t="array" ref="C11">SUMPRODUCT((site_model_risk!$C$2:$C$500=$A11)*(site_model_risk!$E$2:$E$500=C$2)*site_model_risk!$F$2:$F$500)</f>
        <v>13</v>
      </c>
      <c r="D11" s="11" cm="1">
        <f t="array" ref="D11">SUMPRODUCT((site_model_risk!$C$2:$C$500=$A11)*(site_model_risk!$E$2:$E$500=D$2)*site_model_risk!$F$2:$F$500)</f>
        <v>11</v>
      </c>
      <c r="E11" s="11" cm="1">
        <f t="array" ref="E11">SUMPRODUCT((site_model_risk!$C$2:$C$500=$A11)*(site_model_risk!$E$2:$E$500=E$2)*site_model_risk!$F$2:$F$500)</f>
        <v>2</v>
      </c>
      <c r="F11" s="11">
        <f t="shared" si="1"/>
        <v>11</v>
      </c>
      <c r="G11" s="11" t="str">
        <f t="shared" si="0"/>
        <v>Medium Risk</v>
      </c>
    </row>
    <row r="12" spans="1:7" x14ac:dyDescent="0.3">
      <c r="A12" s="10" t="s">
        <v>43</v>
      </c>
      <c r="B12" s="11" cm="1">
        <f t="array" ref="B12">SUMPRODUCT((site_model_risk!$C$2:$C$500=A12)*(site_model_risk!$E$2:$E$500=B$2)*site_model_risk!$F$2:$F$500)</f>
        <v>8</v>
      </c>
      <c r="C12" s="11" cm="1">
        <f t="array" ref="C12">SUMPRODUCT((site_model_risk!$C$2:$C$500=$A12)*(site_model_risk!$E$2:$E$500=C$2)*site_model_risk!$F$2:$F$500)</f>
        <v>5</v>
      </c>
      <c r="D12" s="11" cm="1">
        <f t="array" ref="D12">SUMPRODUCT((site_model_risk!$C$2:$C$500=$A12)*(site_model_risk!$E$2:$E$500=D$2)*site_model_risk!$F$2:$F$500)</f>
        <v>13</v>
      </c>
      <c r="E12" s="11" cm="1">
        <f t="array" ref="E12">SUMPRODUCT((site_model_risk!$C$2:$C$500=$A12)*(site_model_risk!$E$2:$E$500=E$2)*site_model_risk!$F$2:$F$500)</f>
        <v>2</v>
      </c>
      <c r="F12" s="11">
        <f t="shared" si="1"/>
        <v>11</v>
      </c>
      <c r="G12" s="11" t="str">
        <f t="shared" si="0"/>
        <v>Medium Risk</v>
      </c>
    </row>
    <row r="13" spans="1:7" x14ac:dyDescent="0.3">
      <c r="A13" s="10" t="s">
        <v>45</v>
      </c>
      <c r="B13" s="11" cm="1">
        <f t="array" ref="B13">SUMPRODUCT((site_model_risk!$C$2:$C$500=A13)*(site_model_risk!$E$2:$E$500=B$2)*site_model_risk!$F$2:$F$500)</f>
        <v>2</v>
      </c>
      <c r="C13" s="11" cm="1">
        <f t="array" ref="C13">SUMPRODUCT((site_model_risk!$C$2:$C$500=$A13)*(site_model_risk!$E$2:$E$500=C$2)*site_model_risk!$F$2:$F$500)</f>
        <v>2</v>
      </c>
      <c r="D13" s="11" cm="1">
        <f t="array" ref="D13">SUMPRODUCT((site_model_risk!$C$2:$C$500=$A13)*(site_model_risk!$E$2:$E$500=D$2)*site_model_risk!$F$2:$F$500)</f>
        <v>2</v>
      </c>
      <c r="E13" s="11" cm="1">
        <f t="array" ref="E13">SUMPRODUCT((site_model_risk!$C$2:$C$500=$A13)*(site_model_risk!$E$2:$E$500=E$2)*site_model_risk!$F$2:$F$500)</f>
        <v>2</v>
      </c>
      <c r="F13" s="11">
        <f t="shared" si="1"/>
        <v>0</v>
      </c>
      <c r="G13" s="11" t="str">
        <f t="shared" si="0"/>
        <v>Low Risk</v>
      </c>
    </row>
    <row r="14" spans="1:7" x14ac:dyDescent="0.3">
      <c r="A14" s="10" t="s">
        <v>63</v>
      </c>
      <c r="B14" s="11" cm="1">
        <f t="array" ref="B14">SUMPRODUCT((site_model_risk!$C$2:$C$500=A14)*(site_model_risk!$E$2:$E$500=B$2)*site_model_risk!$F$2:$F$500)</f>
        <v>3</v>
      </c>
      <c r="C14" s="11" cm="1">
        <f t="array" ref="C14">SUMPRODUCT((site_model_risk!$C$2:$C$500=$A14)*(site_model_risk!$E$2:$E$500=C$2)*site_model_risk!$F$2:$F$500)</f>
        <v>2</v>
      </c>
      <c r="D14" s="11" cm="1">
        <f t="array" ref="D14">SUMPRODUCT((site_model_risk!$C$2:$C$500=$A14)*(site_model_risk!$E$2:$E$500=D$2)*site_model_risk!$F$2:$F$500)</f>
        <v>15</v>
      </c>
      <c r="E14" s="11" cm="1">
        <f t="array" ref="E14">SUMPRODUCT((site_model_risk!$C$2:$C$500=$A14)*(site_model_risk!$E$2:$E$500=E$2)*site_model_risk!$F$2:$F$500)</f>
        <v>2</v>
      </c>
      <c r="F14" s="11">
        <f t="shared" si="1"/>
        <v>13</v>
      </c>
      <c r="G14" s="11" t="str">
        <f t="shared" si="0"/>
        <v>Medium Risk</v>
      </c>
    </row>
    <row r="15" spans="1:7" x14ac:dyDescent="0.3">
      <c r="A15" s="10" t="s">
        <v>47</v>
      </c>
      <c r="B15" s="11" cm="1">
        <f t="array" ref="B15">SUMPRODUCT((site_model_risk!$C$2:$C$500=A15)*(site_model_risk!$E$2:$E$500=B$2)*site_model_risk!$F$2:$F$500)</f>
        <v>8</v>
      </c>
      <c r="C15" s="11" cm="1">
        <f t="array" ref="C15">SUMPRODUCT((site_model_risk!$C$2:$C$500=$A15)*(site_model_risk!$E$2:$E$500=C$2)*site_model_risk!$F$2:$F$500)</f>
        <v>5</v>
      </c>
      <c r="D15" s="11" cm="1">
        <f t="array" ref="D15">SUMPRODUCT((site_model_risk!$C$2:$C$500=$A15)*(site_model_risk!$E$2:$E$500=D$2)*site_model_risk!$F$2:$F$500)</f>
        <v>5</v>
      </c>
      <c r="E15" s="11" cm="1">
        <f t="array" ref="E15">SUMPRODUCT((site_model_risk!$C$2:$C$500=$A15)*(site_model_risk!$E$2:$E$500=E$2)*site_model_risk!$F$2:$F$500)</f>
        <v>2</v>
      </c>
      <c r="F15" s="11">
        <f t="shared" si="1"/>
        <v>6</v>
      </c>
      <c r="G15" s="11" t="str">
        <f t="shared" si="0"/>
        <v>Low Risk</v>
      </c>
    </row>
    <row r="16" spans="1:7" x14ac:dyDescent="0.3">
      <c r="A16" s="10" t="s">
        <v>49</v>
      </c>
      <c r="B16" s="11" cm="1">
        <f t="array" ref="B16">SUMPRODUCT((site_model_risk!$C$2:$C$500=A16)*(site_model_risk!$E$2:$E$500=B$2)*site_model_risk!$F$2:$F$500)</f>
        <v>6</v>
      </c>
      <c r="C16" s="11" cm="1">
        <f t="array" ref="C16">SUMPRODUCT((site_model_risk!$C$2:$C$500=$A16)*(site_model_risk!$E$2:$E$500=C$2)*site_model_risk!$F$2:$F$500)</f>
        <v>3</v>
      </c>
      <c r="D16" s="11" cm="1">
        <f t="array" ref="D16">SUMPRODUCT((site_model_risk!$C$2:$C$500=$A16)*(site_model_risk!$E$2:$E$500=D$2)*site_model_risk!$F$2:$F$500)</f>
        <v>6</v>
      </c>
      <c r="E16" s="11" cm="1">
        <f t="array" ref="E16">SUMPRODUCT((site_model_risk!$C$2:$C$500=$A16)*(site_model_risk!$E$2:$E$500=E$2)*site_model_risk!$F$2:$F$500)</f>
        <v>2</v>
      </c>
      <c r="F16" s="11">
        <f t="shared" si="1"/>
        <v>4</v>
      </c>
      <c r="G16" s="11" t="str">
        <f t="shared" si="0"/>
        <v>Low Risk</v>
      </c>
    </row>
    <row r="17" spans="1:7" x14ac:dyDescent="0.3">
      <c r="A17" s="10" t="s">
        <v>51</v>
      </c>
      <c r="B17" s="11" cm="1">
        <f t="array" ref="B17">SUMPRODUCT((site_model_risk!$C$2:$C$500=A17)*(site_model_risk!$E$2:$E$500=B$2)*site_model_risk!$F$2:$F$500)</f>
        <v>5</v>
      </c>
      <c r="C17" s="11" cm="1">
        <f t="array" ref="C17">SUMPRODUCT((site_model_risk!$C$2:$C$500=$A17)*(site_model_risk!$E$2:$E$500=C$2)*site_model_risk!$F$2:$F$500)</f>
        <v>13</v>
      </c>
      <c r="D17" s="11" cm="1">
        <f t="array" ref="D17">SUMPRODUCT((site_model_risk!$C$2:$C$500=$A17)*(site_model_risk!$E$2:$E$500=D$2)*site_model_risk!$F$2:$F$500)</f>
        <v>5</v>
      </c>
      <c r="E17" s="11" cm="1">
        <f t="array" ref="E17">SUMPRODUCT((site_model_risk!$C$2:$C$500=$A17)*(site_model_risk!$E$2:$E$500=E$2)*site_model_risk!$F$2:$F$500)</f>
        <v>2</v>
      </c>
      <c r="F17" s="11">
        <f t="shared" si="1"/>
        <v>11</v>
      </c>
      <c r="G17" s="11" t="str">
        <f t="shared" si="0"/>
        <v>Medium Risk</v>
      </c>
    </row>
    <row r="18" spans="1:7" x14ac:dyDescent="0.3">
      <c r="A18" s="10" t="s">
        <v>53</v>
      </c>
      <c r="B18" s="11" cm="1">
        <f t="array" ref="B18">SUMPRODUCT((site_model_risk!$C$2:$C$500=A18)*(site_model_risk!$E$2:$E$500=B$2)*site_model_risk!$F$2:$F$500)</f>
        <v>3</v>
      </c>
      <c r="C18" s="11" cm="1">
        <f t="array" ref="C18">SUMPRODUCT((site_model_risk!$C$2:$C$500=$A18)*(site_model_risk!$E$2:$E$500=C$2)*site_model_risk!$F$2:$F$500)</f>
        <v>8</v>
      </c>
      <c r="D18" s="11" cm="1">
        <f t="array" ref="D18">SUMPRODUCT((site_model_risk!$C$2:$C$500=$A18)*(site_model_risk!$E$2:$E$500=D$2)*site_model_risk!$F$2:$F$500)</f>
        <v>8</v>
      </c>
      <c r="E18" s="11" cm="1">
        <f t="array" ref="E18">SUMPRODUCT((site_model_risk!$C$2:$C$500=$A18)*(site_model_risk!$E$2:$E$500=E$2)*site_model_risk!$F$2:$F$500)</f>
        <v>2</v>
      </c>
      <c r="F18" s="11">
        <f t="shared" si="1"/>
        <v>6</v>
      </c>
      <c r="G18" s="11" t="str">
        <f t="shared" si="0"/>
        <v>Low Risk</v>
      </c>
    </row>
    <row r="19" spans="1:7" x14ac:dyDescent="0.3">
      <c r="A19" s="10" t="s">
        <v>55</v>
      </c>
      <c r="B19" s="11" cm="1">
        <f t="array" ref="B19">SUMPRODUCT((site_model_risk!$C$2:$C$500=A19)*(site_model_risk!$E$2:$E$500=B$2)*site_model_risk!$F$2:$F$500)</f>
        <v>6</v>
      </c>
      <c r="C19" s="11" cm="1">
        <f t="array" ref="C19">SUMPRODUCT((site_model_risk!$C$2:$C$500=$A19)*(site_model_risk!$E$2:$E$500=C$2)*site_model_risk!$F$2:$F$500)</f>
        <v>2</v>
      </c>
      <c r="D19" s="11" cm="1">
        <f t="array" ref="D19">SUMPRODUCT((site_model_risk!$C$2:$C$500=$A19)*(site_model_risk!$E$2:$E$500=D$2)*site_model_risk!$F$2:$F$500)</f>
        <v>10</v>
      </c>
      <c r="E19" s="11" cm="1">
        <f t="array" ref="E19">SUMPRODUCT((site_model_risk!$C$2:$C$500=$A19)*(site_model_risk!$E$2:$E$500=E$2)*site_model_risk!$F$2:$F$500)</f>
        <v>2</v>
      </c>
      <c r="F19" s="11">
        <f t="shared" si="1"/>
        <v>8</v>
      </c>
      <c r="G19" s="11" t="str">
        <f t="shared" si="0"/>
        <v>Medium Risk</v>
      </c>
    </row>
    <row r="20" spans="1:7" x14ac:dyDescent="0.3">
      <c r="A20" s="10" t="s">
        <v>57</v>
      </c>
      <c r="B20" s="11" cm="1">
        <f t="array" ref="B20">SUMPRODUCT((site_model_risk!$C$2:$C$500=A20)*(site_model_risk!$E$2:$E$500=B$2)*site_model_risk!$F$2:$F$500)</f>
        <v>3</v>
      </c>
      <c r="C20" s="11" cm="1">
        <f t="array" ref="C20">SUMPRODUCT((site_model_risk!$C$2:$C$500=$A20)*(site_model_risk!$E$2:$E$500=C$2)*site_model_risk!$F$2:$F$500)</f>
        <v>3</v>
      </c>
      <c r="D20" s="11" cm="1">
        <f t="array" ref="D20">SUMPRODUCT((site_model_risk!$C$2:$C$500=$A20)*(site_model_risk!$E$2:$E$500=D$2)*site_model_risk!$F$2:$F$500)</f>
        <v>7</v>
      </c>
      <c r="E20" s="11" cm="1">
        <f t="array" ref="E20">SUMPRODUCT((site_model_risk!$C$2:$C$500=$A20)*(site_model_risk!$E$2:$E$500=E$2)*site_model_risk!$F$2:$F$500)</f>
        <v>2</v>
      </c>
      <c r="F20" s="11">
        <f t="shared" si="1"/>
        <v>5</v>
      </c>
      <c r="G20" s="11" t="str">
        <f t="shared" si="0"/>
        <v>Low Risk</v>
      </c>
    </row>
    <row r="21" spans="1:7" x14ac:dyDescent="0.3">
      <c r="A21" s="10" t="s">
        <v>59</v>
      </c>
      <c r="B21" s="11" cm="1">
        <f t="array" ref="B21">SUMPRODUCT((site_model_risk!$C$2:$C$500=A21)*(site_model_risk!$E$2:$E$500=B$2)*site_model_risk!$F$2:$F$500)</f>
        <v>5</v>
      </c>
      <c r="C21" s="11" cm="1">
        <f t="array" ref="C21">SUMPRODUCT((site_model_risk!$C$2:$C$500=$A21)*(site_model_risk!$E$2:$E$500=C$2)*site_model_risk!$F$2:$F$500)</f>
        <v>3</v>
      </c>
      <c r="D21" s="11" cm="1">
        <f t="array" ref="D21">SUMPRODUCT((site_model_risk!$C$2:$C$500=$A21)*(site_model_risk!$E$2:$E$500=D$2)*site_model_risk!$F$2:$F$500)</f>
        <v>2</v>
      </c>
      <c r="E21" s="11" cm="1">
        <f t="array" ref="E21">SUMPRODUCT((site_model_risk!$C$2:$C$500=$A21)*(site_model_risk!$E$2:$E$500=E$2)*site_model_risk!$F$2:$F$500)</f>
        <v>2</v>
      </c>
      <c r="F21" s="11">
        <f t="shared" si="1"/>
        <v>3</v>
      </c>
      <c r="G21" s="11" t="str">
        <f t="shared" si="0"/>
        <v>Low Risk</v>
      </c>
    </row>
    <row r="22" spans="1:7" x14ac:dyDescent="0.3">
      <c r="A22" s="10" t="s">
        <v>61</v>
      </c>
      <c r="B22" s="11" cm="1">
        <f t="array" ref="B22">SUMPRODUCT((site_model_risk!$C$2:$C$500=A22)*(site_model_risk!$E$2:$E$500=B$2)*site_model_risk!$F$2:$F$500)</f>
        <v>3</v>
      </c>
      <c r="C22" s="11" cm="1">
        <f t="array" ref="C22">SUMPRODUCT((site_model_risk!$C$2:$C$500=$A22)*(site_model_risk!$E$2:$E$500=C$2)*site_model_risk!$F$2:$F$500)</f>
        <v>5</v>
      </c>
      <c r="D22" s="11" cm="1">
        <f t="array" ref="D22">SUMPRODUCT((site_model_risk!$C$2:$C$500=$A22)*(site_model_risk!$E$2:$E$500=D$2)*site_model_risk!$F$2:$F$500)</f>
        <v>9</v>
      </c>
      <c r="E22" s="11" cm="1">
        <f t="array" ref="E22">SUMPRODUCT((site_model_risk!$C$2:$C$500=$A22)*(site_model_risk!$E$2:$E$500=E$2)*site_model_risk!$F$2:$F$500)</f>
        <v>2</v>
      </c>
      <c r="F22" s="11">
        <f t="shared" si="1"/>
        <v>7</v>
      </c>
      <c r="G22" s="11" t="str">
        <f t="shared" si="0"/>
        <v>Low Risk</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BB840-02BE-4BAC-B355-91FCC75F98E8}">
  <dimension ref="A1:E8"/>
  <sheetViews>
    <sheetView zoomScaleNormal="100" workbookViewId="0">
      <selection activeCell="D11" sqref="D11"/>
    </sheetView>
  </sheetViews>
  <sheetFormatPr defaultColWidth="12.88671875" defaultRowHeight="14.4" x14ac:dyDescent="0.3"/>
  <cols>
    <col min="1" max="1" width="9.5546875" style="2" bestFit="1" customWidth="1"/>
    <col min="2" max="2" width="8.77734375" style="2" bestFit="1" customWidth="1"/>
    <col min="3" max="3" width="22.88671875" style="2" bestFit="1" customWidth="1"/>
    <col min="4" max="4" width="20.109375" style="2" bestFit="1" customWidth="1"/>
    <col min="5" max="5" width="8.21875" style="2" bestFit="1" customWidth="1"/>
    <col min="6" max="16384" width="12.88671875" style="2"/>
  </cols>
  <sheetData>
    <row r="1" spans="1:5" ht="15.6" x14ac:dyDescent="0.3">
      <c r="A1" s="27" t="s">
        <v>443</v>
      </c>
      <c r="B1" s="27"/>
      <c r="C1" s="27"/>
      <c r="D1" s="27"/>
      <c r="E1" s="27"/>
    </row>
    <row r="2" spans="1:5" ht="15.6" x14ac:dyDescent="0.3">
      <c r="A2" s="12" t="s">
        <v>120</v>
      </c>
      <c r="B2" s="12" t="s">
        <v>121</v>
      </c>
      <c r="C2" s="12"/>
      <c r="D2" s="12" t="s">
        <v>122</v>
      </c>
      <c r="E2" s="12" t="s">
        <v>123</v>
      </c>
    </row>
    <row r="3" spans="1:5" ht="15.6" x14ac:dyDescent="0.3">
      <c r="A3" s="13" t="s">
        <v>21</v>
      </c>
      <c r="B3" s="13" t="s">
        <v>25</v>
      </c>
      <c r="C3" s="7" t="s">
        <v>444</v>
      </c>
      <c r="D3" s="14">
        <v>0.96470588235294119</v>
      </c>
      <c r="E3" s="13">
        <v>340</v>
      </c>
    </row>
    <row r="4" spans="1:5" ht="15.6" x14ac:dyDescent="0.3">
      <c r="A4" s="13" t="s">
        <v>23</v>
      </c>
      <c r="B4" s="13" t="s">
        <v>25</v>
      </c>
      <c r="C4" s="7" t="s">
        <v>445</v>
      </c>
      <c r="D4" s="14">
        <v>0.94117647058823528</v>
      </c>
      <c r="E4" s="13">
        <v>340</v>
      </c>
    </row>
    <row r="5" spans="1:5" ht="15.6" x14ac:dyDescent="0.3">
      <c r="A5" s="13" t="s">
        <v>21</v>
      </c>
      <c r="B5" s="13" t="s">
        <v>23</v>
      </c>
      <c r="C5" s="7" t="s">
        <v>446</v>
      </c>
      <c r="D5" s="14">
        <v>0.92222222222222228</v>
      </c>
      <c r="E5" s="13">
        <v>360</v>
      </c>
    </row>
    <row r="6" spans="1:5" ht="15.6" x14ac:dyDescent="0.3">
      <c r="A6" s="13" t="s">
        <v>24</v>
      </c>
      <c r="B6" s="13" t="s">
        <v>25</v>
      </c>
      <c r="C6" s="7" t="s">
        <v>447</v>
      </c>
      <c r="D6" s="14">
        <v>0.9205882352941176</v>
      </c>
      <c r="E6" s="13">
        <v>340</v>
      </c>
    </row>
    <row r="7" spans="1:5" ht="15.6" x14ac:dyDescent="0.3">
      <c r="A7" s="13" t="s">
        <v>21</v>
      </c>
      <c r="B7" s="13" t="s">
        <v>24</v>
      </c>
      <c r="C7" s="7" t="s">
        <v>448</v>
      </c>
      <c r="D7" s="14">
        <v>0.90555555555555556</v>
      </c>
      <c r="E7" s="13">
        <v>360</v>
      </c>
    </row>
    <row r="8" spans="1:5" ht="15.6" x14ac:dyDescent="0.3">
      <c r="A8" s="13" t="s">
        <v>23</v>
      </c>
      <c r="B8" s="13" t="s">
        <v>24</v>
      </c>
      <c r="C8" s="7" t="s">
        <v>449</v>
      </c>
      <c r="D8" s="14">
        <v>0.88888888888888884</v>
      </c>
      <c r="E8" s="13">
        <v>360</v>
      </c>
    </row>
  </sheetData>
  <sortState xmlns:xlrd2="http://schemas.microsoft.com/office/spreadsheetml/2017/richdata2" ref="A2:E21">
    <sortCondition descending="1" ref="D2:D21"/>
  </sortState>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DCA0B-A5D2-4410-A3FC-BB18EBD3A63E}">
  <dimension ref="A1:C20"/>
  <sheetViews>
    <sheetView zoomScaleNormal="100" workbookViewId="0">
      <selection activeCell="J18" sqref="J18"/>
    </sheetView>
  </sheetViews>
  <sheetFormatPr defaultRowHeight="14.4" x14ac:dyDescent="0.3"/>
  <cols>
    <col min="1" max="1" width="12" customWidth="1"/>
    <col min="2" max="2" width="29.6640625" customWidth="1"/>
    <col min="3" max="3" width="20.33203125" customWidth="1"/>
  </cols>
  <sheetData>
    <row r="1" spans="1:3" ht="15.6" x14ac:dyDescent="0.3">
      <c r="A1" s="27" t="s">
        <v>452</v>
      </c>
      <c r="B1" s="27"/>
      <c r="C1" s="27"/>
    </row>
    <row r="2" spans="1:3" ht="15.6" x14ac:dyDescent="0.3">
      <c r="A2" s="15" t="s">
        <v>455</v>
      </c>
      <c r="B2" s="15" t="s">
        <v>454</v>
      </c>
      <c r="C2" s="15" t="s">
        <v>453</v>
      </c>
    </row>
    <row r="3" spans="1:3" ht="15.6" x14ac:dyDescent="0.3">
      <c r="A3" s="13" t="s">
        <v>81</v>
      </c>
      <c r="B3" s="13" t="s">
        <v>82</v>
      </c>
      <c r="C3" s="16">
        <v>0.55000000000000004</v>
      </c>
    </row>
    <row r="4" spans="1:3" ht="15.6" x14ac:dyDescent="0.3">
      <c r="A4" s="13" t="s">
        <v>83</v>
      </c>
      <c r="B4" s="13" t="s">
        <v>84</v>
      </c>
      <c r="C4" s="16">
        <v>0.35</v>
      </c>
    </row>
    <row r="5" spans="1:3" ht="15.6" x14ac:dyDescent="0.3">
      <c r="A5" s="13" t="s">
        <v>101</v>
      </c>
      <c r="B5" s="13" t="s">
        <v>102</v>
      </c>
      <c r="C5" s="16">
        <v>0.35</v>
      </c>
    </row>
    <row r="6" spans="1:3" ht="15.6" x14ac:dyDescent="0.3">
      <c r="A6" s="13" t="s">
        <v>99</v>
      </c>
      <c r="B6" s="13" t="s">
        <v>100</v>
      </c>
      <c r="C6" s="16">
        <v>0.3</v>
      </c>
    </row>
    <row r="7" spans="1:3" ht="15.6" x14ac:dyDescent="0.3">
      <c r="A7" s="13" t="s">
        <v>109</v>
      </c>
      <c r="B7" s="13" t="s">
        <v>110</v>
      </c>
      <c r="C7" s="16">
        <v>0.25</v>
      </c>
    </row>
    <row r="8" spans="1:3" ht="15.6" x14ac:dyDescent="0.3">
      <c r="A8" s="13" t="s">
        <v>95</v>
      </c>
      <c r="B8" s="13" t="s">
        <v>96</v>
      </c>
      <c r="C8" s="16">
        <v>0.2</v>
      </c>
    </row>
    <row r="9" spans="1:3" ht="15.6" x14ac:dyDescent="0.3">
      <c r="A9" s="13" t="s">
        <v>97</v>
      </c>
      <c r="B9" s="13" t="s">
        <v>98</v>
      </c>
      <c r="C9" s="16">
        <v>0.15</v>
      </c>
    </row>
    <row r="10" spans="1:3" ht="15.6" x14ac:dyDescent="0.3">
      <c r="A10" s="13" t="s">
        <v>107</v>
      </c>
      <c r="B10" s="13" t="s">
        <v>450</v>
      </c>
      <c r="C10" s="16">
        <v>0.15</v>
      </c>
    </row>
    <row r="11" spans="1:3" ht="15.6" x14ac:dyDescent="0.3">
      <c r="A11" s="13" t="s">
        <v>79</v>
      </c>
      <c r="B11" s="13" t="s">
        <v>80</v>
      </c>
      <c r="C11" s="16">
        <v>0.1</v>
      </c>
    </row>
    <row r="12" spans="1:3" ht="15.6" x14ac:dyDescent="0.3">
      <c r="A12" s="13" t="s">
        <v>77</v>
      </c>
      <c r="B12" s="13" t="s">
        <v>78</v>
      </c>
      <c r="C12" s="16">
        <v>0.05</v>
      </c>
    </row>
    <row r="13" spans="1:3" ht="15.6" x14ac:dyDescent="0.3">
      <c r="A13" s="13" t="s">
        <v>93</v>
      </c>
      <c r="B13" s="13" t="s">
        <v>94</v>
      </c>
      <c r="C13" s="16">
        <v>0.05</v>
      </c>
    </row>
    <row r="14" spans="1:3" ht="15.6" x14ac:dyDescent="0.3">
      <c r="A14" s="13" t="s">
        <v>105</v>
      </c>
      <c r="B14" s="13" t="s">
        <v>106</v>
      </c>
      <c r="C14" s="16">
        <v>0.05</v>
      </c>
    </row>
    <row r="15" spans="1:3" ht="15.6" x14ac:dyDescent="0.3">
      <c r="A15" s="13" t="s">
        <v>111</v>
      </c>
      <c r="B15" s="13" t="s">
        <v>451</v>
      </c>
      <c r="C15" s="16">
        <v>0.05</v>
      </c>
    </row>
    <row r="16" spans="1:3" ht="15.6" x14ac:dyDescent="0.3">
      <c r="A16" s="13" t="s">
        <v>85</v>
      </c>
      <c r="B16" s="13" t="s">
        <v>86</v>
      </c>
      <c r="C16" s="16">
        <v>0</v>
      </c>
    </row>
    <row r="17" spans="1:3" ht="15.6" x14ac:dyDescent="0.3">
      <c r="A17" s="13" t="s">
        <v>87</v>
      </c>
      <c r="B17" s="13" t="s">
        <v>88</v>
      </c>
      <c r="C17" s="16">
        <v>0</v>
      </c>
    </row>
    <row r="18" spans="1:3" ht="15.6" x14ac:dyDescent="0.3">
      <c r="A18" s="13" t="s">
        <v>89</v>
      </c>
      <c r="B18" s="13" t="s">
        <v>90</v>
      </c>
      <c r="C18" s="16">
        <v>0</v>
      </c>
    </row>
    <row r="19" spans="1:3" ht="15.6" x14ac:dyDescent="0.3">
      <c r="A19" s="13" t="s">
        <v>91</v>
      </c>
      <c r="B19" s="13" t="s">
        <v>92</v>
      </c>
      <c r="C19" s="16">
        <v>0</v>
      </c>
    </row>
    <row r="20" spans="1:3" ht="15.6" x14ac:dyDescent="0.3">
      <c r="A20" s="13" t="s">
        <v>103</v>
      </c>
      <c r="B20" s="13" t="s">
        <v>104</v>
      </c>
      <c r="C20" s="16">
        <v>0</v>
      </c>
    </row>
  </sheetData>
  <sortState xmlns:xlrd2="http://schemas.microsoft.com/office/spreadsheetml/2017/richdata2" ref="A2:C20">
    <sortCondition descending="1" ref="C2:C20"/>
  </sortState>
  <mergeCells count="1">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96FAB-769E-4C5D-B6FC-9793B43392C2}">
  <dimension ref="A1:C15"/>
  <sheetViews>
    <sheetView zoomScaleNormal="100" workbookViewId="0">
      <selection activeCell="I29" sqref="I29"/>
    </sheetView>
  </sheetViews>
  <sheetFormatPr defaultRowHeight="14.4" x14ac:dyDescent="0.3"/>
  <cols>
    <col min="1" max="1" width="15.109375" customWidth="1"/>
    <col min="2" max="2" width="36.6640625" customWidth="1"/>
    <col min="3" max="3" width="14.44140625" customWidth="1"/>
  </cols>
  <sheetData>
    <row r="1" spans="1:3" ht="15.6" x14ac:dyDescent="0.3">
      <c r="A1" s="27" t="s">
        <v>468</v>
      </c>
      <c r="B1" s="27"/>
      <c r="C1" s="27"/>
    </row>
    <row r="2" spans="1:3" ht="15.6" x14ac:dyDescent="0.3">
      <c r="A2" s="17" t="s">
        <v>73</v>
      </c>
      <c r="B2" s="17" t="s">
        <v>483</v>
      </c>
      <c r="C2" s="17" t="s">
        <v>124</v>
      </c>
    </row>
    <row r="3" spans="1:3" ht="15.6" x14ac:dyDescent="0.3">
      <c r="A3" s="13" t="s">
        <v>77</v>
      </c>
      <c r="B3" s="13" t="s">
        <v>458</v>
      </c>
      <c r="C3" s="18">
        <v>0.75975975975975885</v>
      </c>
    </row>
    <row r="4" spans="1:3" ht="15.6" x14ac:dyDescent="0.3">
      <c r="A4" s="13" t="s">
        <v>79</v>
      </c>
      <c r="B4" s="13" t="s">
        <v>456</v>
      </c>
      <c r="C4" s="18">
        <v>-2.5641025641025061E-2</v>
      </c>
    </row>
    <row r="5" spans="1:3" ht="15.6" x14ac:dyDescent="0.3">
      <c r="A5" s="13" t="s">
        <v>81</v>
      </c>
      <c r="B5" s="13" t="s">
        <v>457</v>
      </c>
      <c r="C5" s="18">
        <v>0.13978494623655871</v>
      </c>
    </row>
    <row r="6" spans="1:3" ht="15.6" x14ac:dyDescent="0.3">
      <c r="A6" s="13" t="s">
        <v>83</v>
      </c>
      <c r="B6" s="13" t="s">
        <v>459</v>
      </c>
      <c r="C6" s="18">
        <v>4.0166927490870759E-2</v>
      </c>
    </row>
    <row r="7" spans="1:3" ht="15.6" x14ac:dyDescent="0.3">
      <c r="A7" s="13" t="s">
        <v>93</v>
      </c>
      <c r="B7" s="13" t="s">
        <v>460</v>
      </c>
      <c r="C7" s="18">
        <v>-1.2658227848103261E-2</v>
      </c>
    </row>
    <row r="8" spans="1:3" ht="15.6" x14ac:dyDescent="0.3">
      <c r="A8" s="13" t="s">
        <v>95</v>
      </c>
      <c r="B8" s="13" t="s">
        <v>461</v>
      </c>
      <c r="C8" s="18">
        <v>-5.2631578947367252E-2</v>
      </c>
    </row>
    <row r="9" spans="1:3" ht="15.6" x14ac:dyDescent="0.3">
      <c r="A9" s="13" t="s">
        <v>97</v>
      </c>
      <c r="B9" s="13" t="s">
        <v>462</v>
      </c>
      <c r="C9" s="18">
        <v>-3.8961038961040521E-2</v>
      </c>
    </row>
    <row r="10" spans="1:3" ht="15.6" x14ac:dyDescent="0.3">
      <c r="A10" s="13" t="s">
        <v>99</v>
      </c>
      <c r="B10" s="13" t="s">
        <v>463</v>
      </c>
      <c r="C10" s="18">
        <v>-8.1081081081081793E-2</v>
      </c>
    </row>
    <row r="11" spans="1:3" ht="15.6" x14ac:dyDescent="0.3">
      <c r="A11" s="13" t="s">
        <v>101</v>
      </c>
      <c r="B11" s="13" t="s">
        <v>464</v>
      </c>
      <c r="C11" s="18">
        <v>8.5714285714285923E-2</v>
      </c>
    </row>
    <row r="12" spans="1:3" ht="15.6" x14ac:dyDescent="0.3">
      <c r="A12" s="13" t="s">
        <v>105</v>
      </c>
      <c r="B12" s="13" t="s">
        <v>465</v>
      </c>
      <c r="C12" s="18">
        <v>-1.2658227848103261E-2</v>
      </c>
    </row>
    <row r="13" spans="1:3" ht="15.6" x14ac:dyDescent="0.3">
      <c r="A13" s="13" t="s">
        <v>107</v>
      </c>
      <c r="B13" s="13" t="s">
        <v>466</v>
      </c>
      <c r="C13" s="18">
        <v>-3.8961038961040521E-2</v>
      </c>
    </row>
    <row r="14" spans="1:3" ht="15.6" x14ac:dyDescent="0.3">
      <c r="A14" s="13" t="s">
        <v>109</v>
      </c>
      <c r="B14" s="13" t="s">
        <v>110</v>
      </c>
      <c r="C14" s="18">
        <v>0.61499999999999999</v>
      </c>
    </row>
    <row r="15" spans="1:3" ht="15.6" x14ac:dyDescent="0.3">
      <c r="A15" s="13" t="s">
        <v>111</v>
      </c>
      <c r="B15" s="13" t="s">
        <v>467</v>
      </c>
      <c r="C15" s="18">
        <v>0.31623931623931512</v>
      </c>
    </row>
  </sheetData>
  <mergeCells count="1">
    <mergeCell ref="A1:C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807FB-5244-4B02-8C6D-F2EBEEE27C03}">
  <dimension ref="A1:F25"/>
  <sheetViews>
    <sheetView workbookViewId="0">
      <selection sqref="A1:F1"/>
    </sheetView>
  </sheetViews>
  <sheetFormatPr defaultColWidth="26.44140625" defaultRowHeight="15.6" x14ac:dyDescent="0.3"/>
  <cols>
    <col min="1" max="1" width="18.44140625" style="5" customWidth="1"/>
    <col min="2" max="6" width="16.5546875" style="5" customWidth="1"/>
    <col min="7" max="16384" width="26.44140625" style="5"/>
  </cols>
  <sheetData>
    <row r="1" spans="1:6" x14ac:dyDescent="0.3">
      <c r="A1" s="28" t="s">
        <v>472</v>
      </c>
      <c r="B1" s="29"/>
      <c r="C1" s="29"/>
      <c r="D1" s="29"/>
      <c r="E1" s="29"/>
      <c r="F1" s="30"/>
    </row>
    <row r="2" spans="1:6" x14ac:dyDescent="0.3">
      <c r="A2" s="6" t="s">
        <v>437</v>
      </c>
      <c r="B2" s="6" t="s">
        <v>438</v>
      </c>
      <c r="C2" s="6" t="s">
        <v>439</v>
      </c>
      <c r="D2" s="6" t="s">
        <v>24</v>
      </c>
      <c r="E2" s="6" t="s">
        <v>440</v>
      </c>
      <c r="F2" s="6" t="s">
        <v>469</v>
      </c>
    </row>
    <row r="3" spans="1:6" x14ac:dyDescent="0.3">
      <c r="A3" s="7" t="s">
        <v>63</v>
      </c>
      <c r="B3" s="8" cm="1">
        <f t="array" ref="B3">SUMPRODUCT((site_model_risk!$C$2:$C$500=$A3)*(site_model_risk!$E$2:$E$500=B$2)*site_model_risk!$F$2:$F$500)</f>
        <v>3</v>
      </c>
      <c r="C3" s="8" cm="1">
        <f t="array" ref="C3">SUMPRODUCT((site_model_risk!$C$2:$C$500=$A3)*(site_model_risk!$E$2:$E$500=C$2)*site_model_risk!$F$2:$F$500)</f>
        <v>2</v>
      </c>
      <c r="D3" s="8" cm="1">
        <f t="array" ref="D3">SUMPRODUCT((site_model_risk!$C$2:$C$500=$A3)*(site_model_risk!$E$2:$E$500=D$2)*site_model_risk!$F$2:$F$500)</f>
        <v>15</v>
      </c>
      <c r="E3" s="8" cm="1">
        <f t="array" ref="E3">SUMPRODUCT((site_model_risk!$C$2:$C$500=$A3)*(site_model_risk!$E$2:$E$500=E$2)*site_model_risk!$F$2:$F$500)</f>
        <v>2</v>
      </c>
      <c r="F3" s="8">
        <f>MAX(B3:E3)-MIN(B3:E3)</f>
        <v>13</v>
      </c>
    </row>
    <row r="4" spans="1:6" x14ac:dyDescent="0.3">
      <c r="A4" s="7" t="s">
        <v>43</v>
      </c>
      <c r="B4" s="8" cm="1">
        <f t="array" ref="B4">SUMPRODUCT((site_model_risk!$C$2:$C$500=$A4)*(site_model_risk!$E$2:$E$500=B$2)*site_model_risk!$F$2:$F$500)</f>
        <v>8</v>
      </c>
      <c r="C4" s="8" cm="1">
        <f t="array" ref="C4">SUMPRODUCT((site_model_risk!$C$2:$C$500=$A4)*(site_model_risk!$E$2:$E$500=C$2)*site_model_risk!$F$2:$F$500)</f>
        <v>5</v>
      </c>
      <c r="D4" s="8" cm="1">
        <f t="array" ref="D4">SUMPRODUCT((site_model_risk!$C$2:$C$500=$A4)*(site_model_risk!$E$2:$E$500=D$2)*site_model_risk!$F$2:$F$500)</f>
        <v>13</v>
      </c>
      <c r="E4" s="8" cm="1">
        <f t="array" ref="E4">SUMPRODUCT((site_model_risk!$C$2:$C$500=$A4)*(site_model_risk!$E$2:$E$500=E$2)*site_model_risk!$F$2:$F$500)</f>
        <v>2</v>
      </c>
      <c r="F4" s="8">
        <f t="shared" ref="F4:F11" si="0">MAX(B4:E4)-MIN(B4:E4)</f>
        <v>11</v>
      </c>
    </row>
    <row r="5" spans="1:6" x14ac:dyDescent="0.3">
      <c r="A5" s="7" t="s">
        <v>40</v>
      </c>
      <c r="B5" s="8" cm="1">
        <f t="array" ref="B5">SUMPRODUCT((site_model_risk!$C$2:$C$500=$A5)*(site_model_risk!$E$2:$E$500=B$2)*site_model_risk!$F$2:$F$500)</f>
        <v>5</v>
      </c>
      <c r="C5" s="8" cm="1">
        <f t="array" ref="C5">SUMPRODUCT((site_model_risk!$C$2:$C$500=$A5)*(site_model_risk!$E$2:$E$500=C$2)*site_model_risk!$F$2:$F$500)</f>
        <v>13</v>
      </c>
      <c r="D5" s="8" cm="1">
        <f t="array" ref="D5">SUMPRODUCT((site_model_risk!$C$2:$C$500=$A5)*(site_model_risk!$E$2:$E$500=D$2)*site_model_risk!$F$2:$F$500)</f>
        <v>11</v>
      </c>
      <c r="E5" s="8" cm="1">
        <f t="array" ref="E5">SUMPRODUCT((site_model_risk!$C$2:$C$500=$A5)*(site_model_risk!$E$2:$E$500=E$2)*site_model_risk!$F$2:$F$500)</f>
        <v>2</v>
      </c>
      <c r="F5" s="8">
        <f t="shared" si="0"/>
        <v>11</v>
      </c>
    </row>
    <row r="6" spans="1:6" x14ac:dyDescent="0.3">
      <c r="A6" s="7" t="s">
        <v>51</v>
      </c>
      <c r="B6" s="8" cm="1">
        <f t="array" ref="B6">SUMPRODUCT((site_model_risk!$C$2:$C$500=$A6)*(site_model_risk!$E$2:$E$500=B$2)*site_model_risk!$F$2:$F$500)</f>
        <v>5</v>
      </c>
      <c r="C6" s="8" cm="1">
        <f t="array" ref="C6">SUMPRODUCT((site_model_risk!$C$2:$C$500=$A6)*(site_model_risk!$E$2:$E$500=C$2)*site_model_risk!$F$2:$F$500)</f>
        <v>13</v>
      </c>
      <c r="D6" s="8" cm="1">
        <f t="array" ref="D6">SUMPRODUCT((site_model_risk!$C$2:$C$500=$A6)*(site_model_risk!$E$2:$E$500=D$2)*site_model_risk!$F$2:$F$500)</f>
        <v>5</v>
      </c>
      <c r="E6" s="8" cm="1">
        <f t="array" ref="E6">SUMPRODUCT((site_model_risk!$C$2:$C$500=$A6)*(site_model_risk!$E$2:$E$500=E$2)*site_model_risk!$F$2:$F$500)</f>
        <v>2</v>
      </c>
      <c r="F6" s="8">
        <f t="shared" si="0"/>
        <v>11</v>
      </c>
    </row>
    <row r="7" spans="1:6" x14ac:dyDescent="0.3">
      <c r="A7" s="7" t="s">
        <v>55</v>
      </c>
      <c r="B7" s="8" cm="1">
        <f t="array" ref="B7">SUMPRODUCT((site_model_risk!$C$2:$C$500=$A7)*(site_model_risk!$E$2:$E$500=B$2)*site_model_risk!$F$2:$F$500)</f>
        <v>6</v>
      </c>
      <c r="C7" s="8" cm="1">
        <f t="array" ref="C7">SUMPRODUCT((site_model_risk!$C$2:$C$500=$A7)*(site_model_risk!$E$2:$E$500=C$2)*site_model_risk!$F$2:$F$500)</f>
        <v>2</v>
      </c>
      <c r="D7" s="8" cm="1">
        <f t="array" ref="D7">SUMPRODUCT((site_model_risk!$C$2:$C$500=$A7)*(site_model_risk!$E$2:$E$500=D$2)*site_model_risk!$F$2:$F$500)</f>
        <v>10</v>
      </c>
      <c r="E7" s="8" cm="1">
        <f t="array" ref="E7">SUMPRODUCT((site_model_risk!$C$2:$C$500=$A7)*(site_model_risk!$E$2:$E$500=E$2)*site_model_risk!$F$2:$F$500)</f>
        <v>2</v>
      </c>
      <c r="F7" s="8">
        <f t="shared" si="0"/>
        <v>8</v>
      </c>
    </row>
    <row r="8" spans="1:6" x14ac:dyDescent="0.3">
      <c r="A8" s="7" t="s">
        <v>61</v>
      </c>
      <c r="B8" s="8" cm="1">
        <f t="array" ref="B8">SUMPRODUCT((site_model_risk!$C$2:$C$500=$A8)*(site_model_risk!$E$2:$E$500=B$2)*site_model_risk!$F$2:$F$500)</f>
        <v>3</v>
      </c>
      <c r="C8" s="8" cm="1">
        <f t="array" ref="C8">SUMPRODUCT((site_model_risk!$C$2:$C$500=$A8)*(site_model_risk!$E$2:$E$500=C$2)*site_model_risk!$F$2:$F$500)</f>
        <v>5</v>
      </c>
      <c r="D8" s="8" cm="1">
        <f t="array" ref="D8">SUMPRODUCT((site_model_risk!$C$2:$C$500=$A8)*(site_model_risk!$E$2:$E$500=D$2)*site_model_risk!$F$2:$F$500)</f>
        <v>9</v>
      </c>
      <c r="E8" s="8" cm="1">
        <f t="array" ref="E8">SUMPRODUCT((site_model_risk!$C$2:$C$500=$A8)*(site_model_risk!$E$2:$E$500=E$2)*site_model_risk!$F$2:$F$500)</f>
        <v>2</v>
      </c>
      <c r="F8" s="8">
        <f t="shared" si="0"/>
        <v>7</v>
      </c>
    </row>
    <row r="9" spans="1:6" x14ac:dyDescent="0.3">
      <c r="A9" s="7" t="s">
        <v>53</v>
      </c>
      <c r="B9" s="8" cm="1">
        <f t="array" ref="B9">SUMPRODUCT((site_model_risk!$C$2:$C$500=$A9)*(site_model_risk!$E$2:$E$500=B$2)*site_model_risk!$F$2:$F$500)</f>
        <v>3</v>
      </c>
      <c r="C9" s="8" cm="1">
        <f t="array" ref="C9">SUMPRODUCT((site_model_risk!$C$2:$C$500=$A9)*(site_model_risk!$E$2:$E$500=C$2)*site_model_risk!$F$2:$F$500)</f>
        <v>8</v>
      </c>
      <c r="D9" s="8" cm="1">
        <f t="array" ref="D9">SUMPRODUCT((site_model_risk!$C$2:$C$500=$A9)*(site_model_risk!$E$2:$E$500=D$2)*site_model_risk!$F$2:$F$500)</f>
        <v>8</v>
      </c>
      <c r="E9" s="8" cm="1">
        <f t="array" ref="E9">SUMPRODUCT((site_model_risk!$C$2:$C$500=$A9)*(site_model_risk!$E$2:$E$500=E$2)*site_model_risk!$F$2:$F$500)</f>
        <v>2</v>
      </c>
      <c r="F9" s="8">
        <f t="shared" si="0"/>
        <v>6</v>
      </c>
    </row>
    <row r="10" spans="1:6" x14ac:dyDescent="0.3">
      <c r="A10" s="7" t="s">
        <v>28</v>
      </c>
      <c r="B10" s="8" cm="1">
        <f t="array" ref="B10">SUMPRODUCT((site_model_risk!$C$2:$C$500=$A10)*(site_model_risk!$E$2:$E$500=B$2)*site_model_risk!$F$2:$F$500)</f>
        <v>5</v>
      </c>
      <c r="C10" s="8" cm="1">
        <f t="array" ref="C10">SUMPRODUCT((site_model_risk!$C$2:$C$500=$A10)*(site_model_risk!$E$2:$E$500=C$2)*site_model_risk!$F$2:$F$500)</f>
        <v>8</v>
      </c>
      <c r="D10" s="8" cm="1">
        <f t="array" ref="D10">SUMPRODUCT((site_model_risk!$C$2:$C$500=$A10)*(site_model_risk!$E$2:$E$500=D$2)*site_model_risk!$F$2:$F$500)</f>
        <v>5</v>
      </c>
      <c r="E10" s="8" cm="1">
        <f t="array" ref="E10">SUMPRODUCT((site_model_risk!$C$2:$C$500=$A10)*(site_model_risk!$E$2:$E$500=E$2)*site_model_risk!$F$2:$F$500)</f>
        <v>0</v>
      </c>
      <c r="F10" s="8">
        <f t="shared" si="0"/>
        <v>8</v>
      </c>
    </row>
    <row r="11" spans="1:6" x14ac:dyDescent="0.3">
      <c r="A11" s="7" t="s">
        <v>47</v>
      </c>
      <c r="B11" s="8" cm="1">
        <f t="array" ref="B11">SUMPRODUCT((site_model_risk!$C$2:$C$500=$A11)*(site_model_risk!$E$2:$E$500=B$2)*site_model_risk!$F$2:$F$500)</f>
        <v>8</v>
      </c>
      <c r="C11" s="8" cm="1">
        <f t="array" ref="C11">SUMPRODUCT((site_model_risk!$C$2:$C$500=$A11)*(site_model_risk!$E$2:$E$500=C$2)*site_model_risk!$F$2:$F$500)</f>
        <v>5</v>
      </c>
      <c r="D11" s="8" cm="1">
        <f t="array" ref="D11">SUMPRODUCT((site_model_risk!$C$2:$C$500=$A11)*(site_model_risk!$E$2:$E$500=D$2)*site_model_risk!$F$2:$F$500)</f>
        <v>5</v>
      </c>
      <c r="E11" s="8" cm="1">
        <f t="array" ref="E11">SUMPRODUCT((site_model_risk!$C$2:$C$500=$A11)*(site_model_risk!$E$2:$E$500=E$2)*site_model_risk!$F$2:$F$500)</f>
        <v>2</v>
      </c>
      <c r="F11" s="8">
        <f t="shared" si="0"/>
        <v>6</v>
      </c>
    </row>
    <row r="15" spans="1:6" x14ac:dyDescent="0.3">
      <c r="A15" s="28" t="s">
        <v>471</v>
      </c>
      <c r="B15" s="29"/>
      <c r="C15" s="29"/>
      <c r="D15" s="29"/>
      <c r="E15" s="29"/>
      <c r="F15" s="30"/>
    </row>
    <row r="16" spans="1:6" x14ac:dyDescent="0.3">
      <c r="A16" s="6" t="s">
        <v>437</v>
      </c>
      <c r="B16" s="6" t="s">
        <v>438</v>
      </c>
      <c r="C16" s="6" t="s">
        <v>439</v>
      </c>
      <c r="D16" s="6" t="s">
        <v>24</v>
      </c>
      <c r="E16" s="6" t="s">
        <v>440</v>
      </c>
      <c r="F16" s="6" t="s">
        <v>470</v>
      </c>
    </row>
    <row r="17" spans="1:6" x14ac:dyDescent="0.3">
      <c r="A17" s="7" t="s">
        <v>63</v>
      </c>
      <c r="B17" s="8" cm="1">
        <f t="array" ref="B17">SUMPRODUCT((site_model_risk!$C$2:$C$500=$A17)*(site_model_risk!$E$2:$E$500=B$2)*site_model_risk!$G$2:$G$500)</f>
        <v>2</v>
      </c>
      <c r="C17" s="8" cm="1">
        <f t="array" ref="C17">SUMPRODUCT((site_model_risk!$C$2:$C$500=$A17)*(site_model_risk!$E$2:$E$500=C$2)*site_model_risk!$G$2:$G$500)</f>
        <v>1</v>
      </c>
      <c r="D17" s="8" cm="1">
        <f t="array" ref="D17">SUMPRODUCT((site_model_risk!$C$2:$C$500=$A17)*(site_model_risk!$E$2:$E$500=D$2)*site_model_risk!$G$2:$G$500)</f>
        <v>7</v>
      </c>
      <c r="E17" s="8" cm="1">
        <f t="array" ref="E17">SUMPRODUCT((site_model_risk!$C$2:$C$500=$A17)*(site_model_risk!$E$2:$E$500=E$2)*site_model_risk!$G$2:$G$500)</f>
        <v>1</v>
      </c>
      <c r="F17" s="8">
        <f>MAX(B17:E17)-MIN(B17:E17)</f>
        <v>6</v>
      </c>
    </row>
    <row r="18" spans="1:6" x14ac:dyDescent="0.3">
      <c r="A18" s="7" t="s">
        <v>43</v>
      </c>
      <c r="B18" s="8" cm="1">
        <f t="array" ref="B18">SUMPRODUCT((site_model_risk!$C$2:$C$500=$A18)*(site_model_risk!$E$2:$E$500=B$2)*site_model_risk!$G$2:$G$500)</f>
        <v>3</v>
      </c>
      <c r="C18" s="8" cm="1">
        <f t="array" ref="C18">SUMPRODUCT((site_model_risk!$C$2:$C$500=$A18)*(site_model_risk!$E$2:$E$500=C$2)*site_model_risk!$G$2:$G$500)</f>
        <v>2</v>
      </c>
      <c r="D18" s="8" cm="1">
        <f t="array" ref="D18">SUMPRODUCT((site_model_risk!$C$2:$C$500=$A18)*(site_model_risk!$E$2:$E$500=D$2)*site_model_risk!$G$2:$G$500)</f>
        <v>6</v>
      </c>
      <c r="E18" s="8" cm="1">
        <f t="array" ref="E18">SUMPRODUCT((site_model_risk!$C$2:$C$500=$A18)*(site_model_risk!$E$2:$E$500=E$2)*site_model_risk!$G$2:$G$500)</f>
        <v>1</v>
      </c>
      <c r="F18" s="8">
        <f t="shared" ref="F18:F25" si="1">MAX(B18:E18)-MIN(B18:E18)</f>
        <v>5</v>
      </c>
    </row>
    <row r="19" spans="1:6" x14ac:dyDescent="0.3">
      <c r="A19" s="7" t="s">
        <v>40</v>
      </c>
      <c r="B19" s="8" cm="1">
        <f t="array" ref="B19">SUMPRODUCT((site_model_risk!$C$2:$C$500=$A19)*(site_model_risk!$E$2:$E$500=B$2)*site_model_risk!$G$2:$G$500)</f>
        <v>2</v>
      </c>
      <c r="C19" s="8" cm="1">
        <f t="array" ref="C19">SUMPRODUCT((site_model_risk!$C$2:$C$500=$A19)*(site_model_risk!$E$2:$E$500=C$2)*site_model_risk!$G$2:$G$500)</f>
        <v>5</v>
      </c>
      <c r="D19" s="8" cm="1">
        <f t="array" ref="D19">SUMPRODUCT((site_model_risk!$C$2:$C$500=$A19)*(site_model_risk!$E$2:$E$500=D$2)*site_model_risk!$G$2:$G$500)</f>
        <v>4</v>
      </c>
      <c r="E19" s="8" cm="1">
        <f t="array" ref="E19">SUMPRODUCT((site_model_risk!$C$2:$C$500=$A19)*(site_model_risk!$E$2:$E$500=E$2)*site_model_risk!$G$2:$G$500)</f>
        <v>1</v>
      </c>
      <c r="F19" s="8">
        <f t="shared" si="1"/>
        <v>4</v>
      </c>
    </row>
    <row r="20" spans="1:6" x14ac:dyDescent="0.3">
      <c r="A20" s="7" t="s">
        <v>51</v>
      </c>
      <c r="B20" s="8" cm="1">
        <f t="array" ref="B20">SUMPRODUCT((site_model_risk!$C$2:$C$500=$A20)*(site_model_risk!$E$2:$E$500=B$2)*site_model_risk!$G$2:$G$500)</f>
        <v>2</v>
      </c>
      <c r="C20" s="8" cm="1">
        <f t="array" ref="C20">SUMPRODUCT((site_model_risk!$C$2:$C$500=$A20)*(site_model_risk!$E$2:$E$500=C$2)*site_model_risk!$G$2:$G$500)</f>
        <v>6</v>
      </c>
      <c r="D20" s="8" cm="1">
        <f t="array" ref="D20">SUMPRODUCT((site_model_risk!$C$2:$C$500=$A20)*(site_model_risk!$E$2:$E$500=D$2)*site_model_risk!$G$2:$G$500)</f>
        <v>2</v>
      </c>
      <c r="E20" s="8" cm="1">
        <f t="array" ref="E20">SUMPRODUCT((site_model_risk!$C$2:$C$500=$A20)*(site_model_risk!$E$2:$E$500=E$2)*site_model_risk!$G$2:$G$500)</f>
        <v>1</v>
      </c>
      <c r="F20" s="8">
        <f t="shared" si="1"/>
        <v>5</v>
      </c>
    </row>
    <row r="21" spans="1:6" x14ac:dyDescent="0.3">
      <c r="A21" s="7" t="s">
        <v>55</v>
      </c>
      <c r="B21" s="8" cm="1">
        <f t="array" ref="B21">SUMPRODUCT((site_model_risk!$C$2:$C$500=$A21)*(site_model_risk!$E$2:$E$500=B$2)*site_model_risk!$G$2:$G$500)</f>
        <v>3</v>
      </c>
      <c r="C21" s="8" cm="1">
        <f t="array" ref="C21">SUMPRODUCT((site_model_risk!$C$2:$C$500=$A21)*(site_model_risk!$E$2:$E$500=C$2)*site_model_risk!$G$2:$G$500)</f>
        <v>1</v>
      </c>
      <c r="D21" s="8" cm="1">
        <f t="array" ref="D21">SUMPRODUCT((site_model_risk!$C$2:$C$500=$A21)*(site_model_risk!$E$2:$E$500=D$2)*site_model_risk!$G$2:$G$500)</f>
        <v>5</v>
      </c>
      <c r="E21" s="8" cm="1">
        <f t="array" ref="E21">SUMPRODUCT((site_model_risk!$C$2:$C$500=$A21)*(site_model_risk!$E$2:$E$500=E$2)*site_model_risk!$G$2:$G$500)</f>
        <v>1</v>
      </c>
      <c r="F21" s="8">
        <f t="shared" si="1"/>
        <v>4</v>
      </c>
    </row>
    <row r="22" spans="1:6" x14ac:dyDescent="0.3">
      <c r="A22" s="7" t="s">
        <v>61</v>
      </c>
      <c r="B22" s="8" cm="1">
        <f t="array" ref="B22">SUMPRODUCT((site_model_risk!$C$2:$C$500=$A22)*(site_model_risk!$E$2:$E$500=B$2)*site_model_risk!$G$2:$G$500)</f>
        <v>1</v>
      </c>
      <c r="C22" s="8" cm="1">
        <f t="array" ref="C22">SUMPRODUCT((site_model_risk!$C$2:$C$500=$A22)*(site_model_risk!$E$2:$E$500=C$2)*site_model_risk!$G$2:$G$500)</f>
        <v>2</v>
      </c>
      <c r="D22" s="8" cm="1">
        <f t="array" ref="D22">SUMPRODUCT((site_model_risk!$C$2:$C$500=$A22)*(site_model_risk!$E$2:$E$500=D$2)*site_model_risk!$G$2:$G$500)</f>
        <v>4</v>
      </c>
      <c r="E22" s="8" cm="1">
        <f t="array" ref="E22">SUMPRODUCT((site_model_risk!$C$2:$C$500=$A22)*(site_model_risk!$E$2:$E$500=E$2)*site_model_risk!$G$2:$G$500)</f>
        <v>1</v>
      </c>
      <c r="F22" s="8">
        <f t="shared" si="1"/>
        <v>3</v>
      </c>
    </row>
    <row r="23" spans="1:6" x14ac:dyDescent="0.3">
      <c r="A23" s="7" t="s">
        <v>53</v>
      </c>
      <c r="B23" s="8" cm="1">
        <f t="array" ref="B23">SUMPRODUCT((site_model_risk!$C$2:$C$500=$A23)*(site_model_risk!$E$2:$E$500=B$2)*site_model_risk!$G$2:$G$500)</f>
        <v>1</v>
      </c>
      <c r="C23" s="8" cm="1">
        <f t="array" ref="C23">SUMPRODUCT((site_model_risk!$C$2:$C$500=$A23)*(site_model_risk!$E$2:$E$500=C$2)*site_model_risk!$G$2:$G$500)</f>
        <v>3</v>
      </c>
      <c r="D23" s="8" cm="1">
        <f t="array" ref="D23">SUMPRODUCT((site_model_risk!$C$2:$C$500=$A23)*(site_model_risk!$E$2:$E$500=D$2)*site_model_risk!$G$2:$G$500)</f>
        <v>3</v>
      </c>
      <c r="E23" s="8" cm="1">
        <f t="array" ref="E23">SUMPRODUCT((site_model_risk!$C$2:$C$500=$A23)*(site_model_risk!$E$2:$E$500=E$2)*site_model_risk!$G$2:$G$500)</f>
        <v>1</v>
      </c>
      <c r="F23" s="8">
        <f t="shared" si="1"/>
        <v>2</v>
      </c>
    </row>
    <row r="24" spans="1:6" x14ac:dyDescent="0.3">
      <c r="A24" s="7" t="s">
        <v>28</v>
      </c>
      <c r="B24" s="8" cm="1">
        <f t="array" ref="B24">SUMPRODUCT((site_model_risk!$C$2:$C$500=$A24)*(site_model_risk!$E$2:$E$500=B$2)*site_model_risk!$G$2:$G$500)</f>
        <v>2</v>
      </c>
      <c r="C24" s="8" cm="1">
        <f t="array" ref="C24">SUMPRODUCT((site_model_risk!$C$2:$C$500=$A24)*(site_model_risk!$E$2:$E$500=C$2)*site_model_risk!$G$2:$G$500)</f>
        <v>3</v>
      </c>
      <c r="D24" s="8" cm="1">
        <f t="array" ref="D24">SUMPRODUCT((site_model_risk!$C$2:$C$500=$A24)*(site_model_risk!$E$2:$E$500=D$2)*site_model_risk!$G$2:$G$500)</f>
        <v>2</v>
      </c>
      <c r="E24" s="8" cm="1">
        <f t="array" ref="E24">SUMPRODUCT((site_model_risk!$C$2:$C$500=$A24)*(site_model_risk!$E$2:$E$500=E$2)*site_model_risk!$G$2:$G$500)</f>
        <v>0</v>
      </c>
      <c r="F24" s="8">
        <f t="shared" si="1"/>
        <v>3</v>
      </c>
    </row>
    <row r="25" spans="1:6" x14ac:dyDescent="0.3">
      <c r="A25" s="7" t="s">
        <v>47</v>
      </c>
      <c r="B25" s="8" cm="1">
        <f t="array" ref="B25">SUMPRODUCT((site_model_risk!$C$2:$C$500=$A25)*(site_model_risk!$E$2:$E$500=B$2)*site_model_risk!$G$2:$G$500)</f>
        <v>3</v>
      </c>
      <c r="C25" s="8" cm="1">
        <f t="array" ref="C25">SUMPRODUCT((site_model_risk!$C$2:$C$500=$A25)*(site_model_risk!$E$2:$E$500=C$2)*site_model_risk!$G$2:$G$500)</f>
        <v>2</v>
      </c>
      <c r="D25" s="8" cm="1">
        <f t="array" ref="D25">SUMPRODUCT((site_model_risk!$C$2:$C$500=$A25)*(site_model_risk!$E$2:$E$500=D$2)*site_model_risk!$G$2:$G$500)</f>
        <v>2</v>
      </c>
      <c r="E25" s="8" cm="1">
        <f t="array" ref="E25">SUMPRODUCT((site_model_risk!$C$2:$C$500=$A25)*(site_model_risk!$E$2:$E$500=E$2)*site_model_risk!$G$2:$G$500)</f>
        <v>1</v>
      </c>
      <c r="F25" s="8">
        <f t="shared" si="1"/>
        <v>2</v>
      </c>
    </row>
  </sheetData>
  <mergeCells count="2">
    <mergeCell ref="A1:F1"/>
    <mergeCell ref="A15:F1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1"/>
  <sheetViews>
    <sheetView workbookViewId="0">
      <selection activeCell="C2" sqref="C2"/>
    </sheetView>
  </sheetViews>
  <sheetFormatPr defaultRowHeight="14.4" x14ac:dyDescent="0.3"/>
  <cols>
    <col min="1" max="1" width="8.6640625" bestFit="1" customWidth="1"/>
    <col min="2" max="2" width="7.109375" bestFit="1" customWidth="1"/>
    <col min="3" max="3" width="12.5546875" bestFit="1" customWidth="1"/>
    <col min="4" max="4" width="14.33203125" bestFit="1" customWidth="1"/>
    <col min="5" max="5" width="24.88671875" bestFit="1" customWidth="1"/>
    <col min="6" max="6" width="25.21875" bestFit="1" customWidth="1"/>
    <col min="7" max="7" width="22.6640625" bestFit="1" customWidth="1"/>
    <col min="8" max="8" width="23" bestFit="1" customWidth="1"/>
    <col min="9" max="9" width="9.21875" bestFit="1" customWidth="1"/>
    <col min="10" max="10" width="26.5546875" bestFit="1" customWidth="1"/>
    <col min="11" max="11" width="24.21875" bestFit="1" customWidth="1"/>
    <col min="12" max="12" width="32.33203125" bestFit="1" customWidth="1"/>
  </cols>
  <sheetData>
    <row r="1" spans="1:12" x14ac:dyDescent="0.3">
      <c r="A1" s="1" t="s">
        <v>0</v>
      </c>
      <c r="B1" s="1" t="s">
        <v>1</v>
      </c>
      <c r="C1" s="1" t="s">
        <v>2</v>
      </c>
      <c r="D1" s="1" t="s">
        <v>3</v>
      </c>
      <c r="E1" s="1" t="s">
        <v>65</v>
      </c>
      <c r="F1" s="1" t="s">
        <v>66</v>
      </c>
      <c r="G1" s="1" t="s">
        <v>67</v>
      </c>
      <c r="H1" s="1" t="s">
        <v>68</v>
      </c>
      <c r="I1" s="1" t="s">
        <v>69</v>
      </c>
      <c r="J1" s="1" t="s">
        <v>70</v>
      </c>
      <c r="K1" s="1" t="s">
        <v>71</v>
      </c>
      <c r="L1" s="1" t="s">
        <v>72</v>
      </c>
    </row>
    <row r="2" spans="1:12" x14ac:dyDescent="0.3">
      <c r="A2" t="s">
        <v>18</v>
      </c>
      <c r="B2">
        <v>1</v>
      </c>
      <c r="C2" t="s">
        <v>19</v>
      </c>
      <c r="D2" t="s">
        <v>20</v>
      </c>
      <c r="E2">
        <v>1</v>
      </c>
      <c r="F2">
        <v>3</v>
      </c>
      <c r="G2">
        <v>3</v>
      </c>
      <c r="H2">
        <v>8</v>
      </c>
      <c r="I2">
        <v>4</v>
      </c>
      <c r="J2">
        <v>2</v>
      </c>
      <c r="K2">
        <v>5</v>
      </c>
      <c r="L2" t="b">
        <v>0</v>
      </c>
    </row>
    <row r="3" spans="1:12" x14ac:dyDescent="0.3">
      <c r="A3" t="s">
        <v>18</v>
      </c>
      <c r="B3">
        <v>1</v>
      </c>
      <c r="C3" t="s">
        <v>26</v>
      </c>
      <c r="D3" t="s">
        <v>27</v>
      </c>
      <c r="E3">
        <v>1</v>
      </c>
      <c r="F3">
        <v>2</v>
      </c>
      <c r="G3">
        <v>2</v>
      </c>
      <c r="H3">
        <v>5</v>
      </c>
      <c r="I3">
        <v>4</v>
      </c>
      <c r="J3">
        <v>1</v>
      </c>
      <c r="K3">
        <v>3</v>
      </c>
      <c r="L3" t="b">
        <v>0</v>
      </c>
    </row>
    <row r="4" spans="1:12" x14ac:dyDescent="0.3">
      <c r="A4" t="s">
        <v>18</v>
      </c>
      <c r="B4">
        <v>1</v>
      </c>
      <c r="C4" t="s">
        <v>28</v>
      </c>
      <c r="D4" t="s">
        <v>29</v>
      </c>
      <c r="E4">
        <v>0</v>
      </c>
      <c r="F4">
        <v>3</v>
      </c>
      <c r="G4">
        <v>0</v>
      </c>
      <c r="H4">
        <v>8</v>
      </c>
      <c r="I4">
        <v>4</v>
      </c>
      <c r="J4">
        <v>3</v>
      </c>
      <c r="K4">
        <v>8</v>
      </c>
      <c r="L4" t="b">
        <v>0</v>
      </c>
    </row>
    <row r="5" spans="1:12" x14ac:dyDescent="0.3">
      <c r="A5" t="s">
        <v>18</v>
      </c>
      <c r="B5">
        <v>1</v>
      </c>
      <c r="C5" t="s">
        <v>30</v>
      </c>
      <c r="D5" t="s">
        <v>31</v>
      </c>
      <c r="E5">
        <v>0</v>
      </c>
      <c r="F5">
        <v>2</v>
      </c>
      <c r="G5">
        <v>0</v>
      </c>
      <c r="H5">
        <v>5</v>
      </c>
      <c r="I5">
        <v>4</v>
      </c>
      <c r="J5">
        <v>2</v>
      </c>
      <c r="K5">
        <v>5</v>
      </c>
      <c r="L5" t="b">
        <v>0</v>
      </c>
    </row>
    <row r="6" spans="1:12" x14ac:dyDescent="0.3">
      <c r="A6" t="s">
        <v>18</v>
      </c>
      <c r="B6">
        <v>1</v>
      </c>
      <c r="C6" t="s">
        <v>32</v>
      </c>
      <c r="D6" t="s">
        <v>33</v>
      </c>
      <c r="E6">
        <v>1</v>
      </c>
      <c r="F6">
        <v>2</v>
      </c>
      <c r="G6">
        <v>2</v>
      </c>
      <c r="H6">
        <v>5</v>
      </c>
      <c r="I6">
        <v>4</v>
      </c>
      <c r="J6">
        <v>1</v>
      </c>
      <c r="K6">
        <v>3</v>
      </c>
      <c r="L6" t="b">
        <v>0</v>
      </c>
    </row>
    <row r="7" spans="1:12" x14ac:dyDescent="0.3">
      <c r="A7" t="s">
        <v>18</v>
      </c>
      <c r="B7">
        <v>1</v>
      </c>
      <c r="C7" t="s">
        <v>34</v>
      </c>
      <c r="D7" t="s">
        <v>35</v>
      </c>
      <c r="E7">
        <v>0</v>
      </c>
      <c r="F7">
        <v>1</v>
      </c>
      <c r="G7">
        <v>0</v>
      </c>
      <c r="H7">
        <v>3</v>
      </c>
      <c r="I7">
        <v>4</v>
      </c>
      <c r="J7">
        <v>1</v>
      </c>
      <c r="K7">
        <v>3</v>
      </c>
      <c r="L7" t="b">
        <v>0</v>
      </c>
    </row>
    <row r="8" spans="1:12" x14ac:dyDescent="0.3">
      <c r="A8" t="s">
        <v>18</v>
      </c>
      <c r="B8">
        <v>1</v>
      </c>
      <c r="C8" t="s">
        <v>36</v>
      </c>
      <c r="D8" t="s">
        <v>37</v>
      </c>
      <c r="E8">
        <v>1</v>
      </c>
      <c r="F8">
        <v>2</v>
      </c>
      <c r="G8">
        <v>2</v>
      </c>
      <c r="H8">
        <v>5</v>
      </c>
      <c r="I8">
        <v>4</v>
      </c>
      <c r="J8">
        <v>1</v>
      </c>
      <c r="K8">
        <v>3</v>
      </c>
      <c r="L8" t="b">
        <v>0</v>
      </c>
    </row>
    <row r="9" spans="1:12" x14ac:dyDescent="0.3">
      <c r="A9" t="s">
        <v>18</v>
      </c>
      <c r="B9">
        <v>1</v>
      </c>
      <c r="C9" t="s">
        <v>38</v>
      </c>
      <c r="D9" t="s">
        <v>39</v>
      </c>
      <c r="E9">
        <v>1</v>
      </c>
      <c r="F9">
        <v>3</v>
      </c>
      <c r="G9">
        <v>2</v>
      </c>
      <c r="H9">
        <v>7</v>
      </c>
      <c r="I9">
        <v>4</v>
      </c>
      <c r="J9">
        <v>2</v>
      </c>
      <c r="K9">
        <v>5</v>
      </c>
      <c r="L9" t="b">
        <v>0</v>
      </c>
    </row>
    <row r="10" spans="1:12" x14ac:dyDescent="0.3">
      <c r="A10" t="s">
        <v>18</v>
      </c>
      <c r="B10">
        <v>1</v>
      </c>
      <c r="C10" t="s">
        <v>40</v>
      </c>
      <c r="D10" t="s">
        <v>41</v>
      </c>
      <c r="E10">
        <v>1</v>
      </c>
      <c r="F10">
        <v>5</v>
      </c>
      <c r="G10">
        <v>2</v>
      </c>
      <c r="H10">
        <v>13</v>
      </c>
      <c r="I10">
        <v>4</v>
      </c>
      <c r="J10">
        <v>4</v>
      </c>
      <c r="K10">
        <v>11</v>
      </c>
      <c r="L10" t="b">
        <v>1</v>
      </c>
    </row>
    <row r="11" spans="1:12" x14ac:dyDescent="0.3">
      <c r="A11" t="s">
        <v>18</v>
      </c>
      <c r="B11">
        <v>1</v>
      </c>
      <c r="C11" t="s">
        <v>43</v>
      </c>
      <c r="D11" t="s">
        <v>44</v>
      </c>
      <c r="E11">
        <v>1</v>
      </c>
      <c r="F11">
        <v>6</v>
      </c>
      <c r="G11">
        <v>2</v>
      </c>
      <c r="H11">
        <v>13</v>
      </c>
      <c r="I11">
        <v>4</v>
      </c>
      <c r="J11">
        <v>5</v>
      </c>
      <c r="K11">
        <v>11</v>
      </c>
      <c r="L11" t="b">
        <v>1</v>
      </c>
    </row>
    <row r="12" spans="1:12" x14ac:dyDescent="0.3">
      <c r="A12" t="s">
        <v>18</v>
      </c>
      <c r="B12">
        <v>1</v>
      </c>
      <c r="C12" t="s">
        <v>45</v>
      </c>
      <c r="D12" t="s">
        <v>46</v>
      </c>
      <c r="E12">
        <v>1</v>
      </c>
      <c r="F12">
        <v>1</v>
      </c>
      <c r="G12">
        <v>2</v>
      </c>
      <c r="H12">
        <v>2</v>
      </c>
      <c r="I12">
        <v>4</v>
      </c>
      <c r="J12">
        <v>0</v>
      </c>
      <c r="K12">
        <v>0</v>
      </c>
      <c r="L12" t="b">
        <v>0</v>
      </c>
    </row>
    <row r="13" spans="1:12" x14ac:dyDescent="0.3">
      <c r="A13" t="s">
        <v>18</v>
      </c>
      <c r="B13">
        <v>1</v>
      </c>
      <c r="C13" t="s">
        <v>63</v>
      </c>
      <c r="D13" t="s">
        <v>64</v>
      </c>
      <c r="E13">
        <v>1</v>
      </c>
      <c r="F13">
        <v>7</v>
      </c>
      <c r="G13">
        <v>2</v>
      </c>
      <c r="H13">
        <v>15</v>
      </c>
      <c r="I13">
        <v>4</v>
      </c>
      <c r="J13">
        <v>6</v>
      </c>
      <c r="K13">
        <v>13</v>
      </c>
      <c r="L13" t="b">
        <v>1</v>
      </c>
    </row>
    <row r="14" spans="1:12" x14ac:dyDescent="0.3">
      <c r="A14" t="s">
        <v>18</v>
      </c>
      <c r="B14">
        <v>1</v>
      </c>
      <c r="C14" t="s">
        <v>47</v>
      </c>
      <c r="D14" t="s">
        <v>48</v>
      </c>
      <c r="E14">
        <v>1</v>
      </c>
      <c r="F14">
        <v>3</v>
      </c>
      <c r="G14">
        <v>2</v>
      </c>
      <c r="H14">
        <v>8</v>
      </c>
      <c r="I14">
        <v>4</v>
      </c>
      <c r="J14">
        <v>2</v>
      </c>
      <c r="K14">
        <v>6</v>
      </c>
      <c r="L14" t="b">
        <v>0</v>
      </c>
    </row>
    <row r="15" spans="1:12" x14ac:dyDescent="0.3">
      <c r="A15" t="s">
        <v>18</v>
      </c>
      <c r="B15">
        <v>1</v>
      </c>
      <c r="C15" t="s">
        <v>49</v>
      </c>
      <c r="D15" t="s">
        <v>50</v>
      </c>
      <c r="E15">
        <v>1</v>
      </c>
      <c r="F15">
        <v>3</v>
      </c>
      <c r="G15">
        <v>2</v>
      </c>
      <c r="H15">
        <v>6</v>
      </c>
      <c r="I15">
        <v>4</v>
      </c>
      <c r="J15">
        <v>2</v>
      </c>
      <c r="K15">
        <v>4</v>
      </c>
      <c r="L15" t="b">
        <v>0</v>
      </c>
    </row>
    <row r="16" spans="1:12" x14ac:dyDescent="0.3">
      <c r="A16" t="s">
        <v>18</v>
      </c>
      <c r="B16">
        <v>1</v>
      </c>
      <c r="C16" t="s">
        <v>51</v>
      </c>
      <c r="D16" t="s">
        <v>52</v>
      </c>
      <c r="E16">
        <v>1</v>
      </c>
      <c r="F16">
        <v>6</v>
      </c>
      <c r="G16">
        <v>2</v>
      </c>
      <c r="H16">
        <v>13</v>
      </c>
      <c r="I16">
        <v>4</v>
      </c>
      <c r="J16">
        <v>5</v>
      </c>
      <c r="K16">
        <v>11</v>
      </c>
      <c r="L16" t="b">
        <v>1</v>
      </c>
    </row>
    <row r="17" spans="1:12" x14ac:dyDescent="0.3">
      <c r="A17" t="s">
        <v>18</v>
      </c>
      <c r="B17">
        <v>1</v>
      </c>
      <c r="C17" t="s">
        <v>53</v>
      </c>
      <c r="D17" t="s">
        <v>54</v>
      </c>
      <c r="E17">
        <v>1</v>
      </c>
      <c r="F17">
        <v>3</v>
      </c>
      <c r="G17">
        <v>2</v>
      </c>
      <c r="H17">
        <v>8</v>
      </c>
      <c r="I17">
        <v>4</v>
      </c>
      <c r="J17">
        <v>2</v>
      </c>
      <c r="K17">
        <v>6</v>
      </c>
      <c r="L17" t="b">
        <v>0</v>
      </c>
    </row>
    <row r="18" spans="1:12" x14ac:dyDescent="0.3">
      <c r="A18" t="s">
        <v>18</v>
      </c>
      <c r="B18">
        <v>1</v>
      </c>
      <c r="C18" t="s">
        <v>55</v>
      </c>
      <c r="D18" t="s">
        <v>56</v>
      </c>
      <c r="E18">
        <v>1</v>
      </c>
      <c r="F18">
        <v>5</v>
      </c>
      <c r="G18">
        <v>2</v>
      </c>
      <c r="H18">
        <v>10</v>
      </c>
      <c r="I18">
        <v>4</v>
      </c>
      <c r="J18">
        <v>4</v>
      </c>
      <c r="K18">
        <v>8</v>
      </c>
      <c r="L18" t="b">
        <v>1</v>
      </c>
    </row>
    <row r="19" spans="1:12" x14ac:dyDescent="0.3">
      <c r="A19" t="s">
        <v>18</v>
      </c>
      <c r="B19">
        <v>1</v>
      </c>
      <c r="C19" t="s">
        <v>57</v>
      </c>
      <c r="D19" t="s">
        <v>58</v>
      </c>
      <c r="E19">
        <v>1</v>
      </c>
      <c r="F19">
        <v>3</v>
      </c>
      <c r="G19">
        <v>2</v>
      </c>
      <c r="H19">
        <v>7</v>
      </c>
      <c r="I19">
        <v>4</v>
      </c>
      <c r="J19">
        <v>2</v>
      </c>
      <c r="K19">
        <v>5</v>
      </c>
      <c r="L19" t="b">
        <v>0</v>
      </c>
    </row>
    <row r="20" spans="1:12" x14ac:dyDescent="0.3">
      <c r="A20" t="s">
        <v>18</v>
      </c>
      <c r="B20">
        <v>1</v>
      </c>
      <c r="C20" t="s">
        <v>59</v>
      </c>
      <c r="D20" t="s">
        <v>60</v>
      </c>
      <c r="E20">
        <v>1</v>
      </c>
      <c r="F20">
        <v>2</v>
      </c>
      <c r="G20">
        <v>2</v>
      </c>
      <c r="H20">
        <v>5</v>
      </c>
      <c r="I20">
        <v>4</v>
      </c>
      <c r="J20">
        <v>1</v>
      </c>
      <c r="K20">
        <v>3</v>
      </c>
      <c r="L20" t="b">
        <v>0</v>
      </c>
    </row>
    <row r="21" spans="1:12" x14ac:dyDescent="0.3">
      <c r="A21" t="s">
        <v>18</v>
      </c>
      <c r="B21">
        <v>1</v>
      </c>
      <c r="C21" t="s">
        <v>61</v>
      </c>
      <c r="D21" t="s">
        <v>62</v>
      </c>
      <c r="E21">
        <v>1</v>
      </c>
      <c r="F21">
        <v>4</v>
      </c>
      <c r="G21">
        <v>2</v>
      </c>
      <c r="H21">
        <v>9</v>
      </c>
      <c r="I21">
        <v>4</v>
      </c>
      <c r="J21">
        <v>3</v>
      </c>
      <c r="K21">
        <v>7</v>
      </c>
      <c r="L21" t="b">
        <v>0</v>
      </c>
    </row>
  </sheetData>
  <sortState xmlns:xlrd2="http://schemas.microsoft.com/office/spreadsheetml/2017/richdata2" ref="A2:L21">
    <sortCondition ref="C2:C21"/>
  </sortState>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7"/>
  <sheetViews>
    <sheetView workbookViewId="0">
      <selection activeCell="D7" sqref="D7"/>
    </sheetView>
  </sheetViews>
  <sheetFormatPr defaultColWidth="13.21875" defaultRowHeight="14.4" x14ac:dyDescent="0.3"/>
  <sheetData>
    <row r="1" spans="1:6" x14ac:dyDescent="0.3">
      <c r="A1" s="1" t="s">
        <v>0</v>
      </c>
      <c r="B1" s="1" t="s">
        <v>1</v>
      </c>
      <c r="C1" s="1" t="s">
        <v>120</v>
      </c>
      <c r="D1" s="1" t="s">
        <v>121</v>
      </c>
      <c r="E1" s="1" t="s">
        <v>122</v>
      </c>
      <c r="F1" s="1" t="s">
        <v>123</v>
      </c>
    </row>
    <row r="2" spans="1:6" x14ac:dyDescent="0.3">
      <c r="A2" t="s">
        <v>18</v>
      </c>
      <c r="B2">
        <v>1</v>
      </c>
      <c r="C2" t="s">
        <v>21</v>
      </c>
      <c r="D2" t="s">
        <v>23</v>
      </c>
      <c r="E2">
        <v>0.92222222222222228</v>
      </c>
      <c r="F2">
        <v>360</v>
      </c>
    </row>
    <row r="3" spans="1:6" x14ac:dyDescent="0.3">
      <c r="A3" t="s">
        <v>18</v>
      </c>
      <c r="B3">
        <v>1</v>
      </c>
      <c r="C3" t="s">
        <v>21</v>
      </c>
      <c r="D3" t="s">
        <v>24</v>
      </c>
      <c r="E3">
        <v>0.90555555555555556</v>
      </c>
      <c r="F3">
        <v>360</v>
      </c>
    </row>
    <row r="4" spans="1:6" x14ac:dyDescent="0.3">
      <c r="A4" t="s">
        <v>18</v>
      </c>
      <c r="B4">
        <v>1</v>
      </c>
      <c r="C4" t="s">
        <v>21</v>
      </c>
      <c r="D4" t="s">
        <v>25</v>
      </c>
      <c r="E4">
        <v>0.96470588235294119</v>
      </c>
      <c r="F4">
        <v>340</v>
      </c>
    </row>
    <row r="5" spans="1:6" x14ac:dyDescent="0.3">
      <c r="A5" t="s">
        <v>18</v>
      </c>
      <c r="B5">
        <v>1</v>
      </c>
      <c r="C5" t="s">
        <v>23</v>
      </c>
      <c r="D5" t="s">
        <v>24</v>
      </c>
      <c r="E5">
        <v>0.88888888888888884</v>
      </c>
      <c r="F5">
        <v>360</v>
      </c>
    </row>
    <row r="6" spans="1:6" x14ac:dyDescent="0.3">
      <c r="A6" t="s">
        <v>18</v>
      </c>
      <c r="B6">
        <v>1</v>
      </c>
      <c r="C6" t="s">
        <v>23</v>
      </c>
      <c r="D6" t="s">
        <v>25</v>
      </c>
      <c r="E6">
        <v>0.94117647058823528</v>
      </c>
      <c r="F6">
        <v>340</v>
      </c>
    </row>
    <row r="7" spans="1:6" x14ac:dyDescent="0.3">
      <c r="A7" t="s">
        <v>18</v>
      </c>
      <c r="B7">
        <v>1</v>
      </c>
      <c r="C7" t="s">
        <v>24</v>
      </c>
      <c r="D7" t="s">
        <v>25</v>
      </c>
      <c r="E7">
        <v>0.9205882352941176</v>
      </c>
      <c r="F7">
        <v>340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72"/>
  <sheetViews>
    <sheetView workbookViewId="0">
      <selection activeCell="M5" sqref="M5"/>
    </sheetView>
  </sheetViews>
  <sheetFormatPr defaultRowHeight="14.4" x14ac:dyDescent="0.3"/>
  <cols>
    <col min="1" max="1" width="8.6640625" bestFit="1" customWidth="1"/>
    <col min="2" max="2" width="7.109375" bestFit="1" customWidth="1"/>
    <col min="3" max="3" width="11" bestFit="1" customWidth="1"/>
    <col min="4" max="4" width="37.21875" bestFit="1" customWidth="1"/>
    <col min="5" max="5" width="7.6640625" bestFit="1" customWidth="1"/>
    <col min="6" max="6" width="11.21875" bestFit="1" customWidth="1"/>
    <col min="7" max="7" width="9.77734375" bestFit="1" customWidth="1"/>
    <col min="8" max="8" width="18" bestFit="1" customWidth="1"/>
    <col min="9" max="9" width="21.6640625" bestFit="1" customWidth="1"/>
    <col min="10" max="10" width="16.33203125" bestFit="1" customWidth="1"/>
  </cols>
  <sheetData>
    <row r="1" spans="1:13" x14ac:dyDescent="0.3">
      <c r="A1" s="1" t="s">
        <v>0</v>
      </c>
      <c r="B1" s="1" t="s">
        <v>1</v>
      </c>
      <c r="C1" s="1" t="s">
        <v>73</v>
      </c>
      <c r="D1" s="1" t="s">
        <v>74</v>
      </c>
      <c r="E1" s="1" t="s">
        <v>4</v>
      </c>
      <c r="F1" s="1" t="s">
        <v>75</v>
      </c>
      <c r="G1" s="1" t="s">
        <v>76</v>
      </c>
      <c r="H1" s="1" t="s">
        <v>8</v>
      </c>
      <c r="I1" s="1" t="s">
        <v>9</v>
      </c>
      <c r="J1" s="1" t="s">
        <v>17</v>
      </c>
    </row>
    <row r="2" spans="1:13" x14ac:dyDescent="0.3">
      <c r="A2" t="s">
        <v>18</v>
      </c>
      <c r="B2">
        <v>1</v>
      </c>
      <c r="C2" t="s">
        <v>77</v>
      </c>
      <c r="D2" t="s">
        <v>78</v>
      </c>
      <c r="E2" t="s">
        <v>21</v>
      </c>
      <c r="F2">
        <v>0.05</v>
      </c>
      <c r="G2">
        <v>1</v>
      </c>
      <c r="H2">
        <v>0</v>
      </c>
      <c r="I2">
        <v>8</v>
      </c>
      <c r="J2">
        <v>0</v>
      </c>
    </row>
    <row r="3" spans="1:13" x14ac:dyDescent="0.3">
      <c r="A3" t="s">
        <v>18</v>
      </c>
      <c r="B3">
        <v>1</v>
      </c>
      <c r="C3" t="s">
        <v>77</v>
      </c>
      <c r="D3" t="s">
        <v>78</v>
      </c>
      <c r="E3" t="s">
        <v>23</v>
      </c>
      <c r="F3">
        <v>0.1</v>
      </c>
      <c r="G3">
        <v>2</v>
      </c>
      <c r="H3">
        <v>0</v>
      </c>
      <c r="I3">
        <v>13</v>
      </c>
      <c r="J3">
        <v>0</v>
      </c>
    </row>
    <row r="4" spans="1:13" x14ac:dyDescent="0.3">
      <c r="A4" t="s">
        <v>18</v>
      </c>
      <c r="B4">
        <v>1</v>
      </c>
      <c r="C4" t="s">
        <v>77</v>
      </c>
      <c r="D4" t="s">
        <v>78</v>
      </c>
      <c r="E4" t="s">
        <v>24</v>
      </c>
      <c r="F4">
        <v>0.1</v>
      </c>
      <c r="G4">
        <v>2</v>
      </c>
      <c r="H4">
        <v>0</v>
      </c>
      <c r="I4">
        <v>2</v>
      </c>
      <c r="J4">
        <v>0</v>
      </c>
      <c r="M4">
        <f>SUMIFS($G$2:$G$72, $E$2:$E$72, "GPT", $C$2:$C$72, "&gt;=R01", $C$2:$C$72, "&lt;=R06")</f>
        <v>27</v>
      </c>
    </row>
    <row r="5" spans="1:13" x14ac:dyDescent="0.3">
      <c r="A5" t="s">
        <v>18</v>
      </c>
      <c r="B5">
        <v>1</v>
      </c>
      <c r="C5" t="s">
        <v>77</v>
      </c>
      <c r="D5" t="s">
        <v>78</v>
      </c>
      <c r="E5" t="s">
        <v>25</v>
      </c>
      <c r="F5">
        <v>0.05</v>
      </c>
      <c r="G5">
        <v>1</v>
      </c>
      <c r="H5">
        <v>0</v>
      </c>
      <c r="I5">
        <v>2</v>
      </c>
      <c r="J5">
        <v>0</v>
      </c>
    </row>
    <row r="6" spans="1:13" x14ac:dyDescent="0.3">
      <c r="A6" t="s">
        <v>18</v>
      </c>
      <c r="B6">
        <v>1</v>
      </c>
      <c r="C6" t="s">
        <v>79</v>
      </c>
      <c r="D6" t="s">
        <v>80</v>
      </c>
      <c r="E6" t="s">
        <v>21</v>
      </c>
      <c r="F6">
        <v>0</v>
      </c>
      <c r="G6">
        <v>0</v>
      </c>
      <c r="H6">
        <v>0</v>
      </c>
      <c r="I6">
        <v>20</v>
      </c>
      <c r="J6">
        <v>0</v>
      </c>
    </row>
    <row r="7" spans="1:13" x14ac:dyDescent="0.3">
      <c r="A7" t="s">
        <v>18</v>
      </c>
      <c r="B7">
        <v>1</v>
      </c>
      <c r="C7" t="s">
        <v>79</v>
      </c>
      <c r="D7" t="s">
        <v>80</v>
      </c>
      <c r="E7" t="s">
        <v>23</v>
      </c>
      <c r="F7">
        <v>0.1</v>
      </c>
      <c r="G7">
        <v>2</v>
      </c>
      <c r="H7">
        <v>0</v>
      </c>
      <c r="I7">
        <v>20</v>
      </c>
      <c r="J7">
        <v>0</v>
      </c>
    </row>
    <row r="8" spans="1:13" x14ac:dyDescent="0.3">
      <c r="A8" t="s">
        <v>18</v>
      </c>
      <c r="B8">
        <v>1</v>
      </c>
      <c r="C8" t="s">
        <v>79</v>
      </c>
      <c r="D8" t="s">
        <v>80</v>
      </c>
      <c r="E8" t="s">
        <v>24</v>
      </c>
      <c r="F8">
        <v>0</v>
      </c>
      <c r="G8">
        <v>0</v>
      </c>
      <c r="H8">
        <v>0</v>
      </c>
      <c r="I8">
        <v>16</v>
      </c>
      <c r="J8">
        <v>0</v>
      </c>
    </row>
    <row r="9" spans="1:13" x14ac:dyDescent="0.3">
      <c r="A9" t="s">
        <v>18</v>
      </c>
      <c r="B9">
        <v>1</v>
      </c>
      <c r="C9" t="s">
        <v>79</v>
      </c>
      <c r="D9" t="s">
        <v>80</v>
      </c>
      <c r="E9" t="s">
        <v>25</v>
      </c>
      <c r="F9">
        <v>0</v>
      </c>
      <c r="G9">
        <v>0</v>
      </c>
      <c r="H9">
        <v>0</v>
      </c>
      <c r="I9">
        <v>20</v>
      </c>
      <c r="J9">
        <v>0</v>
      </c>
    </row>
    <row r="10" spans="1:13" x14ac:dyDescent="0.3">
      <c r="A10" t="s">
        <v>18</v>
      </c>
      <c r="B10">
        <v>1</v>
      </c>
      <c r="C10" t="s">
        <v>81</v>
      </c>
      <c r="D10" t="s">
        <v>82</v>
      </c>
      <c r="E10" t="s">
        <v>21</v>
      </c>
      <c r="F10">
        <v>0.7</v>
      </c>
      <c r="G10">
        <v>14</v>
      </c>
      <c r="H10">
        <v>0</v>
      </c>
      <c r="I10">
        <v>20</v>
      </c>
      <c r="J10">
        <v>0</v>
      </c>
    </row>
    <row r="11" spans="1:13" x14ac:dyDescent="0.3">
      <c r="A11" t="s">
        <v>18</v>
      </c>
      <c r="B11">
        <v>1</v>
      </c>
      <c r="C11" t="s">
        <v>81</v>
      </c>
      <c r="D11" t="s">
        <v>82</v>
      </c>
      <c r="E11" t="s">
        <v>23</v>
      </c>
      <c r="F11">
        <v>0.6</v>
      </c>
      <c r="G11">
        <v>12</v>
      </c>
      <c r="H11">
        <v>0</v>
      </c>
      <c r="I11">
        <v>20</v>
      </c>
      <c r="J11">
        <v>0</v>
      </c>
    </row>
    <row r="12" spans="1:13" x14ac:dyDescent="0.3">
      <c r="A12" t="s">
        <v>18</v>
      </c>
      <c r="B12">
        <v>1</v>
      </c>
      <c r="C12" t="s">
        <v>81</v>
      </c>
      <c r="D12" t="s">
        <v>82</v>
      </c>
      <c r="E12" t="s">
        <v>24</v>
      </c>
      <c r="F12">
        <v>0.9</v>
      </c>
      <c r="G12">
        <v>18</v>
      </c>
      <c r="H12">
        <v>0</v>
      </c>
      <c r="I12">
        <v>20</v>
      </c>
      <c r="J12">
        <v>0</v>
      </c>
    </row>
    <row r="13" spans="1:13" x14ac:dyDescent="0.3">
      <c r="A13" t="s">
        <v>18</v>
      </c>
      <c r="B13">
        <v>1</v>
      </c>
      <c r="C13" t="s">
        <v>81</v>
      </c>
      <c r="D13" t="s">
        <v>82</v>
      </c>
      <c r="E13" t="s">
        <v>25</v>
      </c>
      <c r="F13">
        <v>0.9</v>
      </c>
      <c r="G13">
        <v>18</v>
      </c>
      <c r="H13">
        <v>0</v>
      </c>
      <c r="I13">
        <v>20</v>
      </c>
      <c r="J13">
        <v>0</v>
      </c>
    </row>
    <row r="14" spans="1:13" x14ac:dyDescent="0.3">
      <c r="A14" t="s">
        <v>18</v>
      </c>
      <c r="B14">
        <v>1</v>
      </c>
      <c r="C14" t="s">
        <v>83</v>
      </c>
      <c r="D14" t="s">
        <v>84</v>
      </c>
      <c r="E14" t="s">
        <v>21</v>
      </c>
      <c r="F14">
        <v>0</v>
      </c>
      <c r="G14">
        <v>0</v>
      </c>
      <c r="H14">
        <v>0</v>
      </c>
      <c r="I14">
        <v>20</v>
      </c>
      <c r="J14">
        <v>0</v>
      </c>
    </row>
    <row r="15" spans="1:13" x14ac:dyDescent="0.3">
      <c r="A15" t="s">
        <v>18</v>
      </c>
      <c r="B15">
        <v>1</v>
      </c>
      <c r="C15" t="s">
        <v>83</v>
      </c>
      <c r="D15" t="s">
        <v>84</v>
      </c>
      <c r="E15" t="s">
        <v>23</v>
      </c>
      <c r="F15">
        <v>0.1</v>
      </c>
      <c r="G15">
        <v>2</v>
      </c>
      <c r="H15">
        <v>0</v>
      </c>
      <c r="I15">
        <v>19</v>
      </c>
      <c r="J15">
        <v>0</v>
      </c>
    </row>
    <row r="16" spans="1:13" x14ac:dyDescent="0.3">
      <c r="A16" t="s">
        <v>18</v>
      </c>
      <c r="B16">
        <v>1</v>
      </c>
      <c r="C16" t="s">
        <v>83</v>
      </c>
      <c r="D16" t="s">
        <v>84</v>
      </c>
      <c r="E16" t="s">
        <v>24</v>
      </c>
      <c r="F16">
        <v>0.35</v>
      </c>
      <c r="G16">
        <v>7</v>
      </c>
      <c r="H16">
        <v>1</v>
      </c>
      <c r="I16">
        <v>16</v>
      </c>
      <c r="J16">
        <v>6.25E-2</v>
      </c>
    </row>
    <row r="17" spans="1:10" x14ac:dyDescent="0.3">
      <c r="A17" t="s">
        <v>18</v>
      </c>
      <c r="B17">
        <v>1</v>
      </c>
      <c r="C17" t="s">
        <v>83</v>
      </c>
      <c r="D17" t="s">
        <v>84</v>
      </c>
      <c r="E17" t="s">
        <v>25</v>
      </c>
      <c r="F17">
        <v>0</v>
      </c>
      <c r="G17">
        <v>0</v>
      </c>
      <c r="H17">
        <v>0</v>
      </c>
      <c r="I17">
        <v>20</v>
      </c>
      <c r="J17">
        <v>0</v>
      </c>
    </row>
    <row r="18" spans="1:10" x14ac:dyDescent="0.3">
      <c r="A18" t="s">
        <v>18</v>
      </c>
      <c r="B18">
        <v>1</v>
      </c>
      <c r="C18" t="s">
        <v>85</v>
      </c>
      <c r="D18" t="s">
        <v>86</v>
      </c>
      <c r="E18" t="s">
        <v>21</v>
      </c>
      <c r="F18">
        <v>0</v>
      </c>
      <c r="G18">
        <v>0</v>
      </c>
      <c r="H18">
        <v>0</v>
      </c>
      <c r="I18">
        <v>20</v>
      </c>
      <c r="J18">
        <v>0</v>
      </c>
    </row>
    <row r="19" spans="1:10" x14ac:dyDescent="0.3">
      <c r="A19" t="s">
        <v>18</v>
      </c>
      <c r="B19">
        <v>1</v>
      </c>
      <c r="C19" t="s">
        <v>85</v>
      </c>
      <c r="D19" t="s">
        <v>86</v>
      </c>
      <c r="E19" t="s">
        <v>23</v>
      </c>
      <c r="F19">
        <v>0</v>
      </c>
      <c r="G19">
        <v>0</v>
      </c>
      <c r="H19">
        <v>0</v>
      </c>
      <c r="I19">
        <v>20</v>
      </c>
      <c r="J19">
        <v>0</v>
      </c>
    </row>
    <row r="20" spans="1:10" x14ac:dyDescent="0.3">
      <c r="A20" t="s">
        <v>18</v>
      </c>
      <c r="B20">
        <v>1</v>
      </c>
      <c r="C20" t="s">
        <v>85</v>
      </c>
      <c r="D20" t="s">
        <v>86</v>
      </c>
      <c r="E20" t="s">
        <v>24</v>
      </c>
      <c r="F20">
        <v>0</v>
      </c>
      <c r="G20">
        <v>0</v>
      </c>
      <c r="H20">
        <v>0</v>
      </c>
      <c r="I20">
        <v>19</v>
      </c>
      <c r="J20">
        <v>0</v>
      </c>
    </row>
    <row r="21" spans="1:10" x14ac:dyDescent="0.3">
      <c r="A21" t="s">
        <v>18</v>
      </c>
      <c r="B21">
        <v>1</v>
      </c>
      <c r="C21" t="s">
        <v>85</v>
      </c>
      <c r="D21" t="s">
        <v>86</v>
      </c>
      <c r="E21" t="s">
        <v>25</v>
      </c>
      <c r="F21">
        <v>0</v>
      </c>
      <c r="G21">
        <v>0</v>
      </c>
      <c r="H21">
        <v>0</v>
      </c>
      <c r="I21">
        <v>20</v>
      </c>
      <c r="J21">
        <v>0</v>
      </c>
    </row>
    <row r="22" spans="1:10" x14ac:dyDescent="0.3">
      <c r="A22" t="s">
        <v>18</v>
      </c>
      <c r="B22">
        <v>1</v>
      </c>
      <c r="C22" t="s">
        <v>87</v>
      </c>
      <c r="D22" t="s">
        <v>88</v>
      </c>
      <c r="E22" t="s">
        <v>21</v>
      </c>
      <c r="F22">
        <v>0</v>
      </c>
      <c r="G22">
        <v>0</v>
      </c>
      <c r="H22">
        <v>0</v>
      </c>
      <c r="I22">
        <v>9</v>
      </c>
      <c r="J22">
        <v>0</v>
      </c>
    </row>
    <row r="23" spans="1:10" x14ac:dyDescent="0.3">
      <c r="A23" t="s">
        <v>18</v>
      </c>
      <c r="B23">
        <v>1</v>
      </c>
      <c r="C23" t="s">
        <v>87</v>
      </c>
      <c r="D23" t="s">
        <v>88</v>
      </c>
      <c r="E23" t="s">
        <v>23</v>
      </c>
      <c r="F23">
        <v>0</v>
      </c>
      <c r="G23">
        <v>0</v>
      </c>
      <c r="H23">
        <v>0</v>
      </c>
      <c r="I23">
        <v>17</v>
      </c>
      <c r="J23">
        <v>0</v>
      </c>
    </row>
    <row r="24" spans="1:10" x14ac:dyDescent="0.3">
      <c r="A24" t="s">
        <v>18</v>
      </c>
      <c r="B24">
        <v>1</v>
      </c>
      <c r="C24" t="s">
        <v>87</v>
      </c>
      <c r="D24" t="s">
        <v>88</v>
      </c>
      <c r="E24" t="s">
        <v>24</v>
      </c>
      <c r="F24">
        <v>0</v>
      </c>
      <c r="G24">
        <v>0</v>
      </c>
      <c r="H24">
        <v>4</v>
      </c>
      <c r="I24">
        <v>15</v>
      </c>
      <c r="J24">
        <v>0.26666666666666672</v>
      </c>
    </row>
    <row r="25" spans="1:10" x14ac:dyDescent="0.3">
      <c r="A25" t="s">
        <v>18</v>
      </c>
      <c r="B25">
        <v>1</v>
      </c>
      <c r="C25" t="s">
        <v>87</v>
      </c>
      <c r="D25" t="s">
        <v>88</v>
      </c>
      <c r="E25" t="s">
        <v>25</v>
      </c>
      <c r="F25">
        <v>0</v>
      </c>
      <c r="G25">
        <v>0</v>
      </c>
      <c r="H25">
        <v>0</v>
      </c>
      <c r="I25">
        <v>1</v>
      </c>
      <c r="J25">
        <v>0</v>
      </c>
    </row>
    <row r="26" spans="1:10" x14ac:dyDescent="0.3">
      <c r="A26" t="s">
        <v>18</v>
      </c>
      <c r="B26">
        <v>1</v>
      </c>
      <c r="C26" t="s">
        <v>89</v>
      </c>
      <c r="D26" t="s">
        <v>90</v>
      </c>
      <c r="E26" t="s">
        <v>21</v>
      </c>
      <c r="F26">
        <v>0</v>
      </c>
      <c r="G26">
        <v>0</v>
      </c>
      <c r="H26">
        <v>0</v>
      </c>
      <c r="I26">
        <v>20</v>
      </c>
      <c r="J26">
        <v>0</v>
      </c>
    </row>
    <row r="27" spans="1:10" x14ac:dyDescent="0.3">
      <c r="A27" t="s">
        <v>18</v>
      </c>
      <c r="B27">
        <v>1</v>
      </c>
      <c r="C27" t="s">
        <v>89</v>
      </c>
      <c r="D27" t="s">
        <v>90</v>
      </c>
      <c r="E27" t="s">
        <v>23</v>
      </c>
      <c r="F27">
        <v>0</v>
      </c>
      <c r="G27">
        <v>0</v>
      </c>
      <c r="H27">
        <v>0</v>
      </c>
      <c r="I27">
        <v>20</v>
      </c>
      <c r="J27">
        <v>0</v>
      </c>
    </row>
    <row r="28" spans="1:10" x14ac:dyDescent="0.3">
      <c r="A28" t="s">
        <v>18</v>
      </c>
      <c r="B28">
        <v>1</v>
      </c>
      <c r="C28" t="s">
        <v>89</v>
      </c>
      <c r="D28" t="s">
        <v>90</v>
      </c>
      <c r="E28" t="s">
        <v>24</v>
      </c>
      <c r="F28">
        <v>0</v>
      </c>
      <c r="G28">
        <v>0</v>
      </c>
      <c r="H28">
        <v>0</v>
      </c>
      <c r="I28">
        <v>20</v>
      </c>
      <c r="J28">
        <v>0</v>
      </c>
    </row>
    <row r="29" spans="1:10" x14ac:dyDescent="0.3">
      <c r="A29" t="s">
        <v>18</v>
      </c>
      <c r="B29">
        <v>1</v>
      </c>
      <c r="C29" t="s">
        <v>89</v>
      </c>
      <c r="D29" t="s">
        <v>90</v>
      </c>
      <c r="E29" t="s">
        <v>25</v>
      </c>
      <c r="F29">
        <v>0</v>
      </c>
      <c r="G29">
        <v>0</v>
      </c>
      <c r="H29">
        <v>0</v>
      </c>
      <c r="I29">
        <v>20</v>
      </c>
      <c r="J29">
        <v>0</v>
      </c>
    </row>
    <row r="30" spans="1:10" x14ac:dyDescent="0.3">
      <c r="A30" t="s">
        <v>18</v>
      </c>
      <c r="B30">
        <v>1</v>
      </c>
      <c r="C30" t="s">
        <v>91</v>
      </c>
      <c r="D30" t="s">
        <v>92</v>
      </c>
      <c r="E30" t="s">
        <v>21</v>
      </c>
      <c r="F30">
        <v>0</v>
      </c>
      <c r="G30">
        <v>0</v>
      </c>
      <c r="H30">
        <v>0</v>
      </c>
      <c r="I30">
        <v>20</v>
      </c>
      <c r="J30">
        <v>0</v>
      </c>
    </row>
    <row r="31" spans="1:10" x14ac:dyDescent="0.3">
      <c r="A31" t="s">
        <v>18</v>
      </c>
      <c r="B31">
        <v>1</v>
      </c>
      <c r="C31" t="s">
        <v>91</v>
      </c>
      <c r="D31" t="s">
        <v>92</v>
      </c>
      <c r="E31" t="s">
        <v>23</v>
      </c>
      <c r="F31">
        <v>0</v>
      </c>
      <c r="G31">
        <v>0</v>
      </c>
      <c r="H31">
        <v>0</v>
      </c>
      <c r="I31">
        <v>20</v>
      </c>
      <c r="J31">
        <v>0</v>
      </c>
    </row>
    <row r="32" spans="1:10" x14ac:dyDescent="0.3">
      <c r="A32" t="s">
        <v>18</v>
      </c>
      <c r="B32">
        <v>1</v>
      </c>
      <c r="C32" t="s">
        <v>91</v>
      </c>
      <c r="D32" t="s">
        <v>92</v>
      </c>
      <c r="E32" t="s">
        <v>24</v>
      </c>
      <c r="F32">
        <v>0</v>
      </c>
      <c r="G32">
        <v>0</v>
      </c>
      <c r="H32">
        <v>0</v>
      </c>
      <c r="I32">
        <v>20</v>
      </c>
      <c r="J32">
        <v>0</v>
      </c>
    </row>
    <row r="33" spans="1:10" x14ac:dyDescent="0.3">
      <c r="A33" t="s">
        <v>18</v>
      </c>
      <c r="B33">
        <v>1</v>
      </c>
      <c r="C33" t="s">
        <v>91</v>
      </c>
      <c r="D33" t="s">
        <v>92</v>
      </c>
      <c r="E33" t="s">
        <v>25</v>
      </c>
      <c r="F33">
        <v>0</v>
      </c>
      <c r="G33">
        <v>0</v>
      </c>
      <c r="H33">
        <v>0</v>
      </c>
      <c r="I33">
        <v>20</v>
      </c>
      <c r="J33">
        <v>0</v>
      </c>
    </row>
    <row r="34" spans="1:10" x14ac:dyDescent="0.3">
      <c r="A34" t="s">
        <v>18</v>
      </c>
      <c r="B34">
        <v>1</v>
      </c>
      <c r="C34" t="s">
        <v>93</v>
      </c>
      <c r="D34" t="s">
        <v>94</v>
      </c>
      <c r="E34" t="s">
        <v>21</v>
      </c>
      <c r="F34">
        <v>0</v>
      </c>
      <c r="G34">
        <v>0</v>
      </c>
      <c r="H34">
        <v>0</v>
      </c>
      <c r="I34">
        <v>20</v>
      </c>
      <c r="J34">
        <v>0</v>
      </c>
    </row>
    <row r="35" spans="1:10" x14ac:dyDescent="0.3">
      <c r="A35" t="s">
        <v>18</v>
      </c>
      <c r="B35">
        <v>1</v>
      </c>
      <c r="C35" t="s">
        <v>93</v>
      </c>
      <c r="D35" t="s">
        <v>94</v>
      </c>
      <c r="E35" t="s">
        <v>23</v>
      </c>
      <c r="F35">
        <v>0</v>
      </c>
      <c r="G35">
        <v>0</v>
      </c>
      <c r="H35">
        <v>0</v>
      </c>
      <c r="I35">
        <v>20</v>
      </c>
      <c r="J35">
        <v>0</v>
      </c>
    </row>
    <row r="36" spans="1:10" x14ac:dyDescent="0.3">
      <c r="A36" t="s">
        <v>18</v>
      </c>
      <c r="B36">
        <v>1</v>
      </c>
      <c r="C36" t="s">
        <v>93</v>
      </c>
      <c r="D36" t="s">
        <v>94</v>
      </c>
      <c r="E36" t="s">
        <v>24</v>
      </c>
      <c r="F36">
        <v>0.05</v>
      </c>
      <c r="G36">
        <v>1</v>
      </c>
      <c r="H36">
        <v>1</v>
      </c>
      <c r="I36">
        <v>20</v>
      </c>
      <c r="J36">
        <v>0.05</v>
      </c>
    </row>
    <row r="37" spans="1:10" x14ac:dyDescent="0.3">
      <c r="A37" t="s">
        <v>18</v>
      </c>
      <c r="B37">
        <v>1</v>
      </c>
      <c r="C37" t="s">
        <v>93</v>
      </c>
      <c r="D37" t="s">
        <v>94</v>
      </c>
      <c r="E37" t="s">
        <v>25</v>
      </c>
      <c r="F37">
        <v>0</v>
      </c>
      <c r="G37">
        <v>0</v>
      </c>
      <c r="H37">
        <v>0</v>
      </c>
      <c r="I37">
        <v>20</v>
      </c>
      <c r="J37">
        <v>0</v>
      </c>
    </row>
    <row r="38" spans="1:10" x14ac:dyDescent="0.3">
      <c r="A38" t="s">
        <v>18</v>
      </c>
      <c r="B38">
        <v>1</v>
      </c>
      <c r="C38" t="s">
        <v>95</v>
      </c>
      <c r="D38" t="s">
        <v>96</v>
      </c>
      <c r="E38" t="s">
        <v>21</v>
      </c>
      <c r="F38">
        <v>0</v>
      </c>
      <c r="G38">
        <v>0</v>
      </c>
      <c r="H38">
        <v>0</v>
      </c>
      <c r="I38">
        <v>20</v>
      </c>
      <c r="J38">
        <v>0</v>
      </c>
    </row>
    <row r="39" spans="1:10" x14ac:dyDescent="0.3">
      <c r="A39" t="s">
        <v>18</v>
      </c>
      <c r="B39">
        <v>1</v>
      </c>
      <c r="C39" t="s">
        <v>95</v>
      </c>
      <c r="D39" t="s">
        <v>96</v>
      </c>
      <c r="E39" t="s">
        <v>23</v>
      </c>
      <c r="F39">
        <v>0.05</v>
      </c>
      <c r="G39">
        <v>1</v>
      </c>
      <c r="H39">
        <v>1</v>
      </c>
      <c r="I39">
        <v>20</v>
      </c>
      <c r="J39">
        <v>0.05</v>
      </c>
    </row>
    <row r="40" spans="1:10" x14ac:dyDescent="0.3">
      <c r="A40" t="s">
        <v>18</v>
      </c>
      <c r="B40">
        <v>1</v>
      </c>
      <c r="C40" t="s">
        <v>95</v>
      </c>
      <c r="D40" t="s">
        <v>96</v>
      </c>
      <c r="E40" t="s">
        <v>24</v>
      </c>
      <c r="F40">
        <v>0.15</v>
      </c>
      <c r="G40">
        <v>3</v>
      </c>
      <c r="H40">
        <v>0</v>
      </c>
      <c r="I40">
        <v>20</v>
      </c>
      <c r="J40">
        <v>0</v>
      </c>
    </row>
    <row r="41" spans="1:10" x14ac:dyDescent="0.3">
      <c r="A41" t="s">
        <v>18</v>
      </c>
      <c r="B41">
        <v>1</v>
      </c>
      <c r="C41" t="s">
        <v>95</v>
      </c>
      <c r="D41" t="s">
        <v>96</v>
      </c>
      <c r="E41" t="s">
        <v>25</v>
      </c>
      <c r="F41">
        <v>0</v>
      </c>
      <c r="G41">
        <v>0</v>
      </c>
      <c r="H41">
        <v>0</v>
      </c>
      <c r="I41">
        <v>20</v>
      </c>
      <c r="J41">
        <v>0</v>
      </c>
    </row>
    <row r="42" spans="1:10" x14ac:dyDescent="0.3">
      <c r="A42" t="s">
        <v>18</v>
      </c>
      <c r="B42">
        <v>1</v>
      </c>
      <c r="C42" t="s">
        <v>97</v>
      </c>
      <c r="D42" t="s">
        <v>98</v>
      </c>
      <c r="E42" t="s">
        <v>21</v>
      </c>
      <c r="F42">
        <v>0</v>
      </c>
      <c r="G42">
        <v>0</v>
      </c>
      <c r="H42">
        <v>0</v>
      </c>
      <c r="I42">
        <v>20</v>
      </c>
      <c r="J42">
        <v>0</v>
      </c>
    </row>
    <row r="43" spans="1:10" x14ac:dyDescent="0.3">
      <c r="A43" t="s">
        <v>18</v>
      </c>
      <c r="B43">
        <v>1</v>
      </c>
      <c r="C43" t="s">
        <v>97</v>
      </c>
      <c r="D43" t="s">
        <v>98</v>
      </c>
      <c r="E43" t="s">
        <v>23</v>
      </c>
      <c r="F43">
        <v>0</v>
      </c>
      <c r="G43">
        <v>0</v>
      </c>
      <c r="H43">
        <v>0</v>
      </c>
      <c r="I43">
        <v>20</v>
      </c>
      <c r="J43">
        <v>0</v>
      </c>
    </row>
    <row r="44" spans="1:10" x14ac:dyDescent="0.3">
      <c r="A44" t="s">
        <v>18</v>
      </c>
      <c r="B44">
        <v>1</v>
      </c>
      <c r="C44" t="s">
        <v>97</v>
      </c>
      <c r="D44" t="s">
        <v>98</v>
      </c>
      <c r="E44" t="s">
        <v>24</v>
      </c>
      <c r="F44">
        <v>0.15</v>
      </c>
      <c r="G44">
        <v>3</v>
      </c>
      <c r="H44">
        <v>1</v>
      </c>
      <c r="I44">
        <v>20</v>
      </c>
      <c r="J44">
        <v>0.05</v>
      </c>
    </row>
    <row r="45" spans="1:10" x14ac:dyDescent="0.3">
      <c r="A45" t="s">
        <v>18</v>
      </c>
      <c r="B45">
        <v>1</v>
      </c>
      <c r="C45" t="s">
        <v>97</v>
      </c>
      <c r="D45" t="s">
        <v>98</v>
      </c>
      <c r="E45" t="s">
        <v>25</v>
      </c>
      <c r="F45">
        <v>0</v>
      </c>
      <c r="G45">
        <v>0</v>
      </c>
      <c r="H45">
        <v>0</v>
      </c>
      <c r="I45">
        <v>20</v>
      </c>
      <c r="J45">
        <v>0</v>
      </c>
    </row>
    <row r="46" spans="1:10" x14ac:dyDescent="0.3">
      <c r="A46" t="s">
        <v>18</v>
      </c>
      <c r="B46">
        <v>1</v>
      </c>
      <c r="C46" t="s">
        <v>99</v>
      </c>
      <c r="D46" t="s">
        <v>100</v>
      </c>
      <c r="E46" t="s">
        <v>21</v>
      </c>
      <c r="F46">
        <v>0</v>
      </c>
      <c r="G46">
        <v>0</v>
      </c>
      <c r="H46">
        <v>0</v>
      </c>
      <c r="I46">
        <v>20</v>
      </c>
      <c r="J46">
        <v>0</v>
      </c>
    </row>
    <row r="47" spans="1:10" x14ac:dyDescent="0.3">
      <c r="A47" t="s">
        <v>18</v>
      </c>
      <c r="B47">
        <v>1</v>
      </c>
      <c r="C47" t="s">
        <v>99</v>
      </c>
      <c r="D47" t="s">
        <v>100</v>
      </c>
      <c r="E47" t="s">
        <v>23</v>
      </c>
      <c r="F47">
        <v>0.1</v>
      </c>
      <c r="G47">
        <v>2</v>
      </c>
      <c r="H47">
        <v>0</v>
      </c>
      <c r="I47">
        <v>20</v>
      </c>
      <c r="J47">
        <v>0</v>
      </c>
    </row>
    <row r="48" spans="1:10" x14ac:dyDescent="0.3">
      <c r="A48" t="s">
        <v>18</v>
      </c>
      <c r="B48">
        <v>1</v>
      </c>
      <c r="C48" t="s">
        <v>99</v>
      </c>
      <c r="D48" t="s">
        <v>100</v>
      </c>
      <c r="E48" t="s">
        <v>24</v>
      </c>
      <c r="F48">
        <v>0.2</v>
      </c>
      <c r="G48">
        <v>4</v>
      </c>
      <c r="H48">
        <v>0</v>
      </c>
      <c r="I48">
        <v>20</v>
      </c>
      <c r="J48">
        <v>0</v>
      </c>
    </row>
    <row r="49" spans="1:10" x14ac:dyDescent="0.3">
      <c r="A49" t="s">
        <v>18</v>
      </c>
      <c r="B49">
        <v>1</v>
      </c>
      <c r="C49" t="s">
        <v>99</v>
      </c>
      <c r="D49" t="s">
        <v>100</v>
      </c>
      <c r="E49" t="s">
        <v>25</v>
      </c>
      <c r="F49">
        <v>0</v>
      </c>
      <c r="G49">
        <v>0</v>
      </c>
      <c r="H49">
        <v>0</v>
      </c>
      <c r="I49">
        <v>20</v>
      </c>
      <c r="J49">
        <v>0</v>
      </c>
    </row>
    <row r="50" spans="1:10" x14ac:dyDescent="0.3">
      <c r="A50" t="s">
        <v>18</v>
      </c>
      <c r="B50">
        <v>1</v>
      </c>
      <c r="C50" t="s">
        <v>101</v>
      </c>
      <c r="D50" t="s">
        <v>102</v>
      </c>
      <c r="E50" t="s">
        <v>21</v>
      </c>
      <c r="F50">
        <v>0.2</v>
      </c>
      <c r="G50">
        <v>4</v>
      </c>
      <c r="H50">
        <v>0</v>
      </c>
      <c r="I50">
        <v>20</v>
      </c>
      <c r="J50">
        <v>0</v>
      </c>
    </row>
    <row r="51" spans="1:10" x14ac:dyDescent="0.3">
      <c r="A51" t="s">
        <v>18</v>
      </c>
      <c r="B51">
        <v>1</v>
      </c>
      <c r="C51" t="s">
        <v>101</v>
      </c>
      <c r="D51" t="s">
        <v>102</v>
      </c>
      <c r="E51" t="s">
        <v>23</v>
      </c>
      <c r="F51">
        <v>0.05</v>
      </c>
      <c r="G51">
        <v>1</v>
      </c>
      <c r="H51">
        <v>0</v>
      </c>
      <c r="I51">
        <v>20</v>
      </c>
      <c r="J51">
        <v>0</v>
      </c>
    </row>
    <row r="52" spans="1:10" x14ac:dyDescent="0.3">
      <c r="A52" t="s">
        <v>18</v>
      </c>
      <c r="B52">
        <v>1</v>
      </c>
      <c r="C52" t="s">
        <v>101</v>
      </c>
      <c r="D52" t="s">
        <v>102</v>
      </c>
      <c r="E52" t="s">
        <v>24</v>
      </c>
      <c r="F52">
        <v>0.25</v>
      </c>
      <c r="G52">
        <v>5</v>
      </c>
      <c r="H52">
        <v>0</v>
      </c>
      <c r="I52">
        <v>20</v>
      </c>
      <c r="J52">
        <v>0</v>
      </c>
    </row>
    <row r="53" spans="1:10" x14ac:dyDescent="0.3">
      <c r="A53" t="s">
        <v>18</v>
      </c>
      <c r="B53">
        <v>1</v>
      </c>
      <c r="C53" t="s">
        <v>101</v>
      </c>
      <c r="D53" t="s">
        <v>102</v>
      </c>
      <c r="E53" t="s">
        <v>25</v>
      </c>
      <c r="F53">
        <v>0</v>
      </c>
      <c r="G53">
        <v>0</v>
      </c>
      <c r="H53">
        <v>0</v>
      </c>
      <c r="I53">
        <v>20</v>
      </c>
      <c r="J53">
        <v>0</v>
      </c>
    </row>
    <row r="54" spans="1:10" x14ac:dyDescent="0.3">
      <c r="A54" t="s">
        <v>18</v>
      </c>
      <c r="B54">
        <v>1</v>
      </c>
      <c r="C54" t="s">
        <v>103</v>
      </c>
      <c r="D54" t="s">
        <v>104</v>
      </c>
      <c r="E54" t="s">
        <v>21</v>
      </c>
      <c r="F54">
        <v>0</v>
      </c>
      <c r="G54">
        <v>0</v>
      </c>
      <c r="H54">
        <v>0</v>
      </c>
      <c r="I54">
        <v>20</v>
      </c>
      <c r="J54">
        <v>0</v>
      </c>
    </row>
    <row r="55" spans="1:10" x14ac:dyDescent="0.3">
      <c r="A55" t="s">
        <v>18</v>
      </c>
      <c r="B55">
        <v>1</v>
      </c>
      <c r="C55" t="s">
        <v>103</v>
      </c>
      <c r="D55" t="s">
        <v>104</v>
      </c>
      <c r="E55" t="s">
        <v>23</v>
      </c>
      <c r="F55">
        <v>0</v>
      </c>
      <c r="G55">
        <v>0</v>
      </c>
      <c r="H55">
        <v>0</v>
      </c>
      <c r="I55">
        <v>20</v>
      </c>
      <c r="J55">
        <v>0</v>
      </c>
    </row>
    <row r="56" spans="1:10" x14ac:dyDescent="0.3">
      <c r="A56" t="s">
        <v>18</v>
      </c>
      <c r="B56">
        <v>1</v>
      </c>
      <c r="C56" t="s">
        <v>103</v>
      </c>
      <c r="D56" t="s">
        <v>104</v>
      </c>
      <c r="E56" t="s">
        <v>24</v>
      </c>
      <c r="F56">
        <v>0</v>
      </c>
      <c r="G56">
        <v>0</v>
      </c>
      <c r="H56">
        <v>0</v>
      </c>
      <c r="I56">
        <v>20</v>
      </c>
      <c r="J56">
        <v>0</v>
      </c>
    </row>
    <row r="57" spans="1:10" x14ac:dyDescent="0.3">
      <c r="A57" t="s">
        <v>18</v>
      </c>
      <c r="B57">
        <v>1</v>
      </c>
      <c r="C57" t="s">
        <v>103</v>
      </c>
      <c r="D57" t="s">
        <v>104</v>
      </c>
      <c r="E57" t="s">
        <v>25</v>
      </c>
      <c r="F57">
        <v>0</v>
      </c>
      <c r="G57">
        <v>0</v>
      </c>
      <c r="H57">
        <v>0</v>
      </c>
      <c r="I57">
        <v>20</v>
      </c>
      <c r="J57">
        <v>0</v>
      </c>
    </row>
    <row r="58" spans="1:10" x14ac:dyDescent="0.3">
      <c r="A58" t="s">
        <v>18</v>
      </c>
      <c r="B58">
        <v>1</v>
      </c>
      <c r="C58" t="s">
        <v>105</v>
      </c>
      <c r="D58" t="s">
        <v>106</v>
      </c>
      <c r="E58" t="s">
        <v>21</v>
      </c>
      <c r="F58">
        <v>0</v>
      </c>
      <c r="G58">
        <v>0</v>
      </c>
      <c r="H58">
        <v>0</v>
      </c>
      <c r="I58">
        <v>20</v>
      </c>
      <c r="J58">
        <v>0</v>
      </c>
    </row>
    <row r="59" spans="1:10" x14ac:dyDescent="0.3">
      <c r="A59" t="s">
        <v>18</v>
      </c>
      <c r="B59">
        <v>1</v>
      </c>
      <c r="C59" t="s">
        <v>105</v>
      </c>
      <c r="D59" t="s">
        <v>106</v>
      </c>
      <c r="E59" t="s">
        <v>23</v>
      </c>
      <c r="F59">
        <v>0.05</v>
      </c>
      <c r="G59">
        <v>1</v>
      </c>
      <c r="H59">
        <v>0</v>
      </c>
      <c r="I59">
        <v>20</v>
      </c>
      <c r="J59">
        <v>0</v>
      </c>
    </row>
    <row r="60" spans="1:10" x14ac:dyDescent="0.3">
      <c r="A60" t="s">
        <v>18</v>
      </c>
      <c r="B60">
        <v>1</v>
      </c>
      <c r="C60" t="s">
        <v>105</v>
      </c>
      <c r="D60" t="s">
        <v>106</v>
      </c>
      <c r="E60" t="s">
        <v>24</v>
      </c>
      <c r="F60">
        <v>0</v>
      </c>
      <c r="G60">
        <v>0</v>
      </c>
      <c r="H60">
        <v>1</v>
      </c>
      <c r="I60">
        <v>20</v>
      </c>
      <c r="J60">
        <v>0.05</v>
      </c>
    </row>
    <row r="61" spans="1:10" x14ac:dyDescent="0.3">
      <c r="A61" t="s">
        <v>18</v>
      </c>
      <c r="B61">
        <v>1</v>
      </c>
      <c r="C61" t="s">
        <v>105</v>
      </c>
      <c r="D61" t="s">
        <v>106</v>
      </c>
      <c r="E61" t="s">
        <v>25</v>
      </c>
      <c r="F61">
        <v>0</v>
      </c>
      <c r="G61">
        <v>0</v>
      </c>
      <c r="H61">
        <v>0</v>
      </c>
      <c r="I61">
        <v>20</v>
      </c>
      <c r="J61">
        <v>0</v>
      </c>
    </row>
    <row r="62" spans="1:10" x14ac:dyDescent="0.3">
      <c r="A62" t="s">
        <v>18</v>
      </c>
      <c r="B62">
        <v>1</v>
      </c>
      <c r="C62" t="s">
        <v>107</v>
      </c>
      <c r="D62" t="s">
        <v>108</v>
      </c>
      <c r="E62" t="s">
        <v>21</v>
      </c>
      <c r="F62">
        <v>0.1</v>
      </c>
      <c r="G62">
        <v>2</v>
      </c>
      <c r="H62">
        <v>0</v>
      </c>
      <c r="I62">
        <v>10</v>
      </c>
      <c r="J62">
        <v>0</v>
      </c>
    </row>
    <row r="63" spans="1:10" x14ac:dyDescent="0.3">
      <c r="A63" t="s">
        <v>18</v>
      </c>
      <c r="B63">
        <v>1</v>
      </c>
      <c r="C63" t="s">
        <v>107</v>
      </c>
      <c r="D63" t="s">
        <v>108</v>
      </c>
      <c r="E63" t="s">
        <v>23</v>
      </c>
      <c r="F63">
        <v>0.05</v>
      </c>
      <c r="G63">
        <v>1</v>
      </c>
      <c r="H63">
        <v>0</v>
      </c>
      <c r="I63">
        <v>16</v>
      </c>
      <c r="J63">
        <v>0</v>
      </c>
    </row>
    <row r="64" spans="1:10" x14ac:dyDescent="0.3">
      <c r="A64" t="s">
        <v>18</v>
      </c>
      <c r="B64">
        <v>1</v>
      </c>
      <c r="C64" t="s">
        <v>107</v>
      </c>
      <c r="D64" t="s">
        <v>108</v>
      </c>
      <c r="E64" t="s">
        <v>24</v>
      </c>
      <c r="F64">
        <v>0</v>
      </c>
      <c r="G64">
        <v>0</v>
      </c>
      <c r="H64">
        <v>1</v>
      </c>
      <c r="I64">
        <v>15</v>
      </c>
      <c r="J64">
        <v>6.6666666666666666E-2</v>
      </c>
    </row>
    <row r="65" spans="1:10" x14ac:dyDescent="0.3">
      <c r="A65" t="s">
        <v>18</v>
      </c>
      <c r="B65">
        <v>1</v>
      </c>
      <c r="C65" t="s">
        <v>107</v>
      </c>
      <c r="D65" t="s">
        <v>108</v>
      </c>
      <c r="E65" t="s">
        <v>25</v>
      </c>
      <c r="F65">
        <v>0</v>
      </c>
      <c r="G65">
        <v>0</v>
      </c>
      <c r="H65">
        <v>0</v>
      </c>
      <c r="I65">
        <v>11</v>
      </c>
      <c r="J65">
        <v>0</v>
      </c>
    </row>
    <row r="66" spans="1:10" x14ac:dyDescent="0.3">
      <c r="A66" t="s">
        <v>18</v>
      </c>
      <c r="B66">
        <v>1</v>
      </c>
      <c r="C66" t="s">
        <v>109</v>
      </c>
      <c r="D66" t="s">
        <v>110</v>
      </c>
      <c r="E66" t="s">
        <v>21</v>
      </c>
      <c r="F66">
        <v>0.8</v>
      </c>
      <c r="G66">
        <v>16</v>
      </c>
      <c r="H66">
        <v>0</v>
      </c>
      <c r="I66">
        <v>20</v>
      </c>
      <c r="J66">
        <v>0</v>
      </c>
    </row>
    <row r="67" spans="1:10" x14ac:dyDescent="0.3">
      <c r="A67" t="s">
        <v>18</v>
      </c>
      <c r="B67">
        <v>1</v>
      </c>
      <c r="C67" t="s">
        <v>109</v>
      </c>
      <c r="D67" t="s">
        <v>110</v>
      </c>
      <c r="E67" t="s">
        <v>23</v>
      </c>
      <c r="F67">
        <v>0.7</v>
      </c>
      <c r="G67">
        <v>14</v>
      </c>
      <c r="H67">
        <v>0</v>
      </c>
      <c r="I67">
        <v>20</v>
      </c>
      <c r="J67">
        <v>0</v>
      </c>
    </row>
    <row r="68" spans="1:10" x14ac:dyDescent="0.3">
      <c r="A68" t="s">
        <v>18</v>
      </c>
      <c r="B68">
        <v>1</v>
      </c>
      <c r="C68" t="s">
        <v>109</v>
      </c>
      <c r="D68" t="s">
        <v>110</v>
      </c>
      <c r="E68" t="s">
        <v>24</v>
      </c>
      <c r="F68">
        <v>0.55000000000000004</v>
      </c>
      <c r="G68">
        <v>11</v>
      </c>
      <c r="H68">
        <v>0</v>
      </c>
      <c r="I68">
        <v>20</v>
      </c>
      <c r="J68">
        <v>0</v>
      </c>
    </row>
    <row r="69" spans="1:10" x14ac:dyDescent="0.3">
      <c r="A69" t="s">
        <v>18</v>
      </c>
      <c r="B69">
        <v>1</v>
      </c>
      <c r="C69" t="s">
        <v>111</v>
      </c>
      <c r="D69" t="s">
        <v>112</v>
      </c>
      <c r="E69" t="s">
        <v>21</v>
      </c>
      <c r="F69">
        <v>0</v>
      </c>
      <c r="G69">
        <v>0</v>
      </c>
      <c r="H69">
        <v>0</v>
      </c>
      <c r="I69">
        <v>17</v>
      </c>
      <c r="J69">
        <v>0</v>
      </c>
    </row>
    <row r="70" spans="1:10" x14ac:dyDescent="0.3">
      <c r="A70" t="s">
        <v>18</v>
      </c>
      <c r="B70">
        <v>1</v>
      </c>
      <c r="C70" t="s">
        <v>111</v>
      </c>
      <c r="D70" t="s">
        <v>112</v>
      </c>
      <c r="E70" t="s">
        <v>23</v>
      </c>
      <c r="F70">
        <v>0.05</v>
      </c>
      <c r="G70">
        <v>1</v>
      </c>
      <c r="H70">
        <v>1</v>
      </c>
      <c r="I70">
        <v>16</v>
      </c>
      <c r="J70">
        <v>6.25E-2</v>
      </c>
    </row>
    <row r="71" spans="1:10" x14ac:dyDescent="0.3">
      <c r="A71" t="s">
        <v>18</v>
      </c>
      <c r="B71">
        <v>1</v>
      </c>
      <c r="C71" t="s">
        <v>111</v>
      </c>
      <c r="D71" t="s">
        <v>112</v>
      </c>
      <c r="E71" t="s">
        <v>24</v>
      </c>
      <c r="F71">
        <v>0.05</v>
      </c>
      <c r="G71">
        <v>1</v>
      </c>
      <c r="H71">
        <v>1</v>
      </c>
      <c r="I71">
        <v>19</v>
      </c>
      <c r="J71">
        <v>5.2631578947368418E-2</v>
      </c>
    </row>
    <row r="72" spans="1:10" x14ac:dyDescent="0.3">
      <c r="A72" t="s">
        <v>18</v>
      </c>
      <c r="B72">
        <v>1</v>
      </c>
      <c r="C72" t="s">
        <v>111</v>
      </c>
      <c r="D72" t="s">
        <v>112</v>
      </c>
      <c r="E72" t="s">
        <v>25</v>
      </c>
      <c r="F72">
        <v>0</v>
      </c>
      <c r="G72">
        <v>0</v>
      </c>
      <c r="H72">
        <v>1</v>
      </c>
      <c r="I72">
        <v>20</v>
      </c>
      <c r="J72">
        <v>0.05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
  <sheetViews>
    <sheetView workbookViewId="0">
      <selection activeCell="F40" sqref="F40"/>
    </sheetView>
  </sheetViews>
  <sheetFormatPr defaultRowHeight="14.4" x14ac:dyDescent="0.3"/>
  <cols>
    <col min="1" max="1" width="8.6640625" bestFit="1" customWidth="1"/>
    <col min="2" max="2" width="7.109375" bestFit="1" customWidth="1"/>
    <col min="3" max="3" width="7.6640625" bestFit="1" customWidth="1"/>
    <col min="4" max="4" width="16.21875" bestFit="1" customWidth="1"/>
    <col min="5" max="5" width="19.109375" bestFit="1" customWidth="1"/>
    <col min="6" max="6" width="17.77734375" bestFit="1" customWidth="1"/>
    <col min="7" max="7" width="21.6640625" bestFit="1" customWidth="1"/>
    <col min="8" max="8" width="13.5546875" bestFit="1" customWidth="1"/>
    <col min="9" max="9" width="16.33203125" bestFit="1" customWidth="1"/>
  </cols>
  <sheetData>
    <row r="1" spans="1:9" x14ac:dyDescent="0.3">
      <c r="A1" s="1" t="s">
        <v>0</v>
      </c>
      <c r="B1" s="1" t="s">
        <v>1</v>
      </c>
      <c r="C1" s="1" t="s">
        <v>4</v>
      </c>
      <c r="D1" s="1" t="s">
        <v>113</v>
      </c>
      <c r="E1" s="1" t="s">
        <v>114</v>
      </c>
      <c r="F1" s="1" t="s">
        <v>115</v>
      </c>
      <c r="G1" s="1" t="s">
        <v>9</v>
      </c>
      <c r="H1" s="1" t="s">
        <v>116</v>
      </c>
      <c r="I1" s="1" t="s">
        <v>17</v>
      </c>
    </row>
    <row r="2" spans="1:9" x14ac:dyDescent="0.3">
      <c r="A2" t="s">
        <v>18</v>
      </c>
      <c r="B2">
        <v>1</v>
      </c>
      <c r="C2" t="s">
        <v>21</v>
      </c>
      <c r="D2">
        <v>2.25</v>
      </c>
      <c r="E2">
        <v>1</v>
      </c>
      <c r="F2">
        <v>0</v>
      </c>
      <c r="G2">
        <v>324</v>
      </c>
      <c r="H2">
        <v>360</v>
      </c>
      <c r="I2">
        <v>0</v>
      </c>
    </row>
    <row r="3" spans="1:9" x14ac:dyDescent="0.3">
      <c r="A3" t="s">
        <v>18</v>
      </c>
      <c r="B3">
        <v>1</v>
      </c>
      <c r="C3" t="s">
        <v>23</v>
      </c>
      <c r="D3">
        <v>2.25</v>
      </c>
      <c r="E3">
        <v>0.89583333333333337</v>
      </c>
      <c r="F3">
        <v>2</v>
      </c>
      <c r="G3">
        <v>341</v>
      </c>
      <c r="H3">
        <v>360</v>
      </c>
      <c r="I3">
        <v>5.8651026392961877E-3</v>
      </c>
    </row>
    <row r="4" spans="1:9" x14ac:dyDescent="0.3">
      <c r="A4" t="s">
        <v>18</v>
      </c>
      <c r="B4">
        <v>1</v>
      </c>
      <c r="C4" t="s">
        <v>24</v>
      </c>
      <c r="D4">
        <v>2.25</v>
      </c>
      <c r="E4">
        <v>1</v>
      </c>
      <c r="F4">
        <v>10</v>
      </c>
      <c r="G4">
        <v>322</v>
      </c>
      <c r="H4">
        <v>360</v>
      </c>
      <c r="I4">
        <v>3.1055900621118009E-2</v>
      </c>
    </row>
    <row r="5" spans="1:9" x14ac:dyDescent="0.3">
      <c r="A5" t="s">
        <v>18</v>
      </c>
      <c r="B5">
        <v>1</v>
      </c>
      <c r="C5" t="s">
        <v>25</v>
      </c>
      <c r="D5">
        <v>2.25</v>
      </c>
      <c r="E5">
        <v>1</v>
      </c>
      <c r="F5">
        <v>1</v>
      </c>
      <c r="G5">
        <v>294</v>
      </c>
      <c r="H5">
        <v>340</v>
      </c>
      <c r="I5">
        <v>3.4013605442176869E-3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9"/>
  <sheetViews>
    <sheetView workbookViewId="0">
      <selection activeCell="F8" sqref="F8"/>
    </sheetView>
  </sheetViews>
  <sheetFormatPr defaultRowHeight="14.4" x14ac:dyDescent="0.3"/>
  <cols>
    <col min="1" max="1" width="8.6640625" bestFit="1" customWidth="1"/>
    <col min="2" max="2" width="7.109375" bestFit="1" customWidth="1"/>
    <col min="3" max="3" width="11" bestFit="1" customWidth="1"/>
    <col min="4" max="4" width="18.109375" bestFit="1" customWidth="1"/>
    <col min="5" max="5" width="10.33203125" bestFit="1" customWidth="1"/>
    <col min="6" max="6" width="16.88671875" bestFit="1" customWidth="1"/>
  </cols>
  <sheetData>
    <row r="1" spans="1:6" x14ac:dyDescent="0.3">
      <c r="A1" s="1" t="s">
        <v>0</v>
      </c>
      <c r="B1" s="1" t="s">
        <v>1</v>
      </c>
      <c r="C1" s="1" t="s">
        <v>73</v>
      </c>
      <c r="D1" s="1" t="s">
        <v>117</v>
      </c>
      <c r="E1" s="1" t="s">
        <v>118</v>
      </c>
      <c r="F1" s="1" t="s">
        <v>119</v>
      </c>
    </row>
    <row r="2" spans="1:6" x14ac:dyDescent="0.3">
      <c r="A2" t="s">
        <v>18</v>
      </c>
      <c r="B2">
        <v>1</v>
      </c>
      <c r="C2" t="s">
        <v>77</v>
      </c>
      <c r="D2">
        <v>1</v>
      </c>
      <c r="E2">
        <v>20</v>
      </c>
      <c r="F2">
        <v>0.05</v>
      </c>
    </row>
    <row r="3" spans="1:6" x14ac:dyDescent="0.3">
      <c r="A3" t="s">
        <v>18</v>
      </c>
      <c r="B3">
        <v>1</v>
      </c>
      <c r="C3" t="s">
        <v>79</v>
      </c>
      <c r="D3">
        <v>2</v>
      </c>
      <c r="E3">
        <v>20</v>
      </c>
      <c r="F3">
        <v>0.1</v>
      </c>
    </row>
    <row r="4" spans="1:6" x14ac:dyDescent="0.3">
      <c r="A4" t="s">
        <v>18</v>
      </c>
      <c r="B4">
        <v>1</v>
      </c>
      <c r="C4" t="s">
        <v>81</v>
      </c>
      <c r="D4">
        <v>11</v>
      </c>
      <c r="E4">
        <v>20</v>
      </c>
      <c r="F4">
        <v>0.55000000000000004</v>
      </c>
    </row>
    <row r="5" spans="1:6" x14ac:dyDescent="0.3">
      <c r="A5" t="s">
        <v>18</v>
      </c>
      <c r="B5">
        <v>1</v>
      </c>
      <c r="C5" t="s">
        <v>83</v>
      </c>
      <c r="D5">
        <v>7</v>
      </c>
      <c r="E5">
        <v>20</v>
      </c>
      <c r="F5">
        <v>0.35</v>
      </c>
    </row>
    <row r="6" spans="1:6" x14ac:dyDescent="0.3">
      <c r="A6" t="s">
        <v>18</v>
      </c>
      <c r="B6">
        <v>1</v>
      </c>
      <c r="C6" t="s">
        <v>85</v>
      </c>
      <c r="D6">
        <v>0</v>
      </c>
      <c r="E6">
        <v>20</v>
      </c>
      <c r="F6">
        <v>0</v>
      </c>
    </row>
    <row r="7" spans="1:6" x14ac:dyDescent="0.3">
      <c r="A7" t="s">
        <v>18</v>
      </c>
      <c r="B7">
        <v>1</v>
      </c>
      <c r="C7" t="s">
        <v>87</v>
      </c>
      <c r="D7">
        <v>0</v>
      </c>
      <c r="E7">
        <v>20</v>
      </c>
      <c r="F7">
        <v>0</v>
      </c>
    </row>
    <row r="8" spans="1:6" x14ac:dyDescent="0.3">
      <c r="A8" t="s">
        <v>18</v>
      </c>
      <c r="B8">
        <v>1</v>
      </c>
      <c r="C8" t="s">
        <v>89</v>
      </c>
      <c r="D8">
        <v>0</v>
      </c>
      <c r="E8">
        <v>20</v>
      </c>
      <c r="F8">
        <v>0</v>
      </c>
    </row>
    <row r="9" spans="1:6" x14ac:dyDescent="0.3">
      <c r="A9" t="s">
        <v>18</v>
      </c>
      <c r="B9">
        <v>1</v>
      </c>
      <c r="C9" t="s">
        <v>91</v>
      </c>
      <c r="D9">
        <v>0</v>
      </c>
      <c r="E9">
        <v>20</v>
      </c>
      <c r="F9">
        <v>0</v>
      </c>
    </row>
    <row r="10" spans="1:6" x14ac:dyDescent="0.3">
      <c r="A10" t="s">
        <v>18</v>
      </c>
      <c r="B10">
        <v>1</v>
      </c>
      <c r="C10" t="s">
        <v>93</v>
      </c>
      <c r="D10">
        <v>1</v>
      </c>
      <c r="E10">
        <v>20</v>
      </c>
      <c r="F10">
        <v>0.05</v>
      </c>
    </row>
    <row r="11" spans="1:6" x14ac:dyDescent="0.3">
      <c r="A11" t="s">
        <v>18</v>
      </c>
      <c r="B11">
        <v>1</v>
      </c>
      <c r="C11" t="s">
        <v>95</v>
      </c>
      <c r="D11">
        <v>4</v>
      </c>
      <c r="E11">
        <v>20</v>
      </c>
      <c r="F11">
        <v>0.2</v>
      </c>
    </row>
    <row r="12" spans="1:6" x14ac:dyDescent="0.3">
      <c r="A12" t="s">
        <v>18</v>
      </c>
      <c r="B12">
        <v>1</v>
      </c>
      <c r="C12" t="s">
        <v>97</v>
      </c>
      <c r="D12">
        <v>3</v>
      </c>
      <c r="E12">
        <v>20</v>
      </c>
      <c r="F12">
        <v>0.15</v>
      </c>
    </row>
    <row r="13" spans="1:6" x14ac:dyDescent="0.3">
      <c r="A13" t="s">
        <v>18</v>
      </c>
      <c r="B13">
        <v>1</v>
      </c>
      <c r="C13" t="s">
        <v>99</v>
      </c>
      <c r="D13">
        <v>6</v>
      </c>
      <c r="E13">
        <v>20</v>
      </c>
      <c r="F13">
        <v>0.3</v>
      </c>
    </row>
    <row r="14" spans="1:6" x14ac:dyDescent="0.3">
      <c r="A14" t="s">
        <v>18</v>
      </c>
      <c r="B14">
        <v>1</v>
      </c>
      <c r="C14" t="s">
        <v>101</v>
      </c>
      <c r="D14">
        <v>7</v>
      </c>
      <c r="E14">
        <v>20</v>
      </c>
      <c r="F14">
        <v>0.35</v>
      </c>
    </row>
    <row r="15" spans="1:6" x14ac:dyDescent="0.3">
      <c r="A15" t="s">
        <v>18</v>
      </c>
      <c r="B15">
        <v>1</v>
      </c>
      <c r="C15" t="s">
        <v>103</v>
      </c>
      <c r="D15">
        <v>0</v>
      </c>
      <c r="E15">
        <v>20</v>
      </c>
      <c r="F15">
        <v>0</v>
      </c>
    </row>
    <row r="16" spans="1:6" x14ac:dyDescent="0.3">
      <c r="A16" t="s">
        <v>18</v>
      </c>
      <c r="B16">
        <v>1</v>
      </c>
      <c r="C16" t="s">
        <v>105</v>
      </c>
      <c r="D16">
        <v>1</v>
      </c>
      <c r="E16">
        <v>20</v>
      </c>
      <c r="F16">
        <v>0.05</v>
      </c>
    </row>
    <row r="17" spans="1:6" x14ac:dyDescent="0.3">
      <c r="A17" t="s">
        <v>18</v>
      </c>
      <c r="B17">
        <v>1</v>
      </c>
      <c r="C17" t="s">
        <v>107</v>
      </c>
      <c r="D17">
        <v>3</v>
      </c>
      <c r="E17">
        <v>20</v>
      </c>
      <c r="F17">
        <v>0.15</v>
      </c>
    </row>
    <row r="18" spans="1:6" x14ac:dyDescent="0.3">
      <c r="A18" t="s">
        <v>18</v>
      </c>
      <c r="B18">
        <v>1</v>
      </c>
      <c r="C18" t="s">
        <v>109</v>
      </c>
      <c r="D18">
        <v>5</v>
      </c>
      <c r="E18">
        <v>20</v>
      </c>
      <c r="F18">
        <v>0.25</v>
      </c>
    </row>
    <row r="19" spans="1:6" x14ac:dyDescent="0.3">
      <c r="A19" t="s">
        <v>18</v>
      </c>
      <c r="B19">
        <v>1</v>
      </c>
      <c r="C19" t="s">
        <v>111</v>
      </c>
      <c r="D19">
        <v>1</v>
      </c>
      <c r="E19">
        <v>20</v>
      </c>
      <c r="F19">
        <v>0.05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9"/>
  <sheetViews>
    <sheetView workbookViewId="0">
      <selection activeCell="K21" sqref="K21"/>
    </sheetView>
  </sheetViews>
  <sheetFormatPr defaultRowHeight="14.4" x14ac:dyDescent="0.3"/>
  <cols>
    <col min="1" max="1" width="8.6640625" bestFit="1" customWidth="1"/>
    <col min="2" max="2" width="7.109375" bestFit="1" customWidth="1"/>
    <col min="3" max="3" width="11" bestFit="1" customWidth="1"/>
    <col min="4" max="4" width="12.6640625" bestFit="1" customWidth="1"/>
    <col min="5" max="5" width="6.77734375" bestFit="1" customWidth="1"/>
    <col min="6" max="6" width="9.21875" bestFit="1" customWidth="1"/>
  </cols>
  <sheetData>
    <row r="1" spans="1:6" x14ac:dyDescent="0.3">
      <c r="A1" s="1" t="s">
        <v>0</v>
      </c>
      <c r="B1" s="1" t="s">
        <v>1</v>
      </c>
      <c r="C1" s="1" t="s">
        <v>73</v>
      </c>
      <c r="D1" s="1" t="s">
        <v>124</v>
      </c>
      <c r="E1" s="1" t="s">
        <v>125</v>
      </c>
      <c r="F1" s="1" t="s">
        <v>69</v>
      </c>
    </row>
    <row r="2" spans="1:6" x14ac:dyDescent="0.3">
      <c r="A2" t="s">
        <v>18</v>
      </c>
      <c r="B2">
        <v>1</v>
      </c>
      <c r="C2" t="s">
        <v>77</v>
      </c>
      <c r="D2">
        <v>0.75975975975975885</v>
      </c>
      <c r="E2">
        <v>20</v>
      </c>
      <c r="F2">
        <v>4</v>
      </c>
    </row>
    <row r="3" spans="1:6" x14ac:dyDescent="0.3">
      <c r="A3" t="s">
        <v>18</v>
      </c>
      <c r="B3">
        <v>1</v>
      </c>
      <c r="C3" t="s">
        <v>79</v>
      </c>
      <c r="D3">
        <v>-2.5641025641025061E-2</v>
      </c>
      <c r="E3">
        <v>20</v>
      </c>
      <c r="F3">
        <v>4</v>
      </c>
    </row>
    <row r="4" spans="1:6" x14ac:dyDescent="0.3">
      <c r="A4" t="s">
        <v>18</v>
      </c>
      <c r="B4">
        <v>1</v>
      </c>
      <c r="C4" t="s">
        <v>81</v>
      </c>
      <c r="D4">
        <v>0.13978494623655871</v>
      </c>
      <c r="E4">
        <v>20</v>
      </c>
      <c r="F4">
        <v>4</v>
      </c>
    </row>
    <row r="5" spans="1:6" x14ac:dyDescent="0.3">
      <c r="A5" t="s">
        <v>18</v>
      </c>
      <c r="B5">
        <v>1</v>
      </c>
      <c r="C5" t="s">
        <v>83</v>
      </c>
      <c r="D5">
        <v>4.0166927490870759E-2</v>
      </c>
      <c r="E5">
        <v>20</v>
      </c>
      <c r="F5">
        <v>4</v>
      </c>
    </row>
    <row r="6" spans="1:6" x14ac:dyDescent="0.3">
      <c r="A6" t="s">
        <v>18</v>
      </c>
      <c r="B6">
        <v>1</v>
      </c>
      <c r="C6" t="s">
        <v>85</v>
      </c>
      <c r="E6">
        <v>20</v>
      </c>
      <c r="F6">
        <v>4</v>
      </c>
    </row>
    <row r="7" spans="1:6" x14ac:dyDescent="0.3">
      <c r="A7" t="s">
        <v>18</v>
      </c>
      <c r="B7">
        <v>1</v>
      </c>
      <c r="C7" t="s">
        <v>87</v>
      </c>
      <c r="E7">
        <v>20</v>
      </c>
      <c r="F7">
        <v>4</v>
      </c>
    </row>
    <row r="8" spans="1:6" x14ac:dyDescent="0.3">
      <c r="A8" t="s">
        <v>18</v>
      </c>
      <c r="B8">
        <v>1</v>
      </c>
      <c r="C8" t="s">
        <v>89</v>
      </c>
      <c r="E8">
        <v>20</v>
      </c>
      <c r="F8">
        <v>4</v>
      </c>
    </row>
    <row r="9" spans="1:6" x14ac:dyDescent="0.3">
      <c r="A9" t="s">
        <v>18</v>
      </c>
      <c r="B9">
        <v>1</v>
      </c>
      <c r="C9" t="s">
        <v>91</v>
      </c>
      <c r="E9">
        <v>20</v>
      </c>
      <c r="F9">
        <v>4</v>
      </c>
    </row>
    <row r="10" spans="1:6" x14ac:dyDescent="0.3">
      <c r="A10" t="s">
        <v>18</v>
      </c>
      <c r="B10">
        <v>1</v>
      </c>
      <c r="C10" t="s">
        <v>93</v>
      </c>
      <c r="D10">
        <v>-1.2658227848103261E-2</v>
      </c>
      <c r="E10">
        <v>20</v>
      </c>
      <c r="F10">
        <v>4</v>
      </c>
    </row>
    <row r="11" spans="1:6" x14ac:dyDescent="0.3">
      <c r="A11" t="s">
        <v>18</v>
      </c>
      <c r="B11">
        <v>1</v>
      </c>
      <c r="C11" t="s">
        <v>95</v>
      </c>
      <c r="D11">
        <v>-5.2631578947367252E-2</v>
      </c>
      <c r="E11">
        <v>20</v>
      </c>
      <c r="F11">
        <v>4</v>
      </c>
    </row>
    <row r="12" spans="1:6" x14ac:dyDescent="0.3">
      <c r="A12" t="s">
        <v>18</v>
      </c>
      <c r="B12">
        <v>1</v>
      </c>
      <c r="C12" t="s">
        <v>97</v>
      </c>
      <c r="D12">
        <v>-3.8961038961040521E-2</v>
      </c>
      <c r="E12">
        <v>20</v>
      </c>
      <c r="F12">
        <v>4</v>
      </c>
    </row>
    <row r="13" spans="1:6" x14ac:dyDescent="0.3">
      <c r="A13" t="s">
        <v>18</v>
      </c>
      <c r="B13">
        <v>1</v>
      </c>
      <c r="C13" t="s">
        <v>99</v>
      </c>
      <c r="D13">
        <v>-8.1081081081081793E-2</v>
      </c>
      <c r="E13">
        <v>20</v>
      </c>
      <c r="F13">
        <v>4</v>
      </c>
    </row>
    <row r="14" spans="1:6" x14ac:dyDescent="0.3">
      <c r="A14" t="s">
        <v>18</v>
      </c>
      <c r="B14">
        <v>1</v>
      </c>
      <c r="C14" t="s">
        <v>101</v>
      </c>
      <c r="D14">
        <v>8.5714285714285923E-2</v>
      </c>
      <c r="E14">
        <v>20</v>
      </c>
      <c r="F14">
        <v>4</v>
      </c>
    </row>
    <row r="15" spans="1:6" x14ac:dyDescent="0.3">
      <c r="A15" t="s">
        <v>18</v>
      </c>
      <c r="B15">
        <v>1</v>
      </c>
      <c r="C15" t="s">
        <v>103</v>
      </c>
      <c r="E15">
        <v>20</v>
      </c>
      <c r="F15">
        <v>4</v>
      </c>
    </row>
    <row r="16" spans="1:6" x14ac:dyDescent="0.3">
      <c r="A16" t="s">
        <v>18</v>
      </c>
      <c r="B16">
        <v>1</v>
      </c>
      <c r="C16" t="s">
        <v>105</v>
      </c>
      <c r="D16">
        <v>-1.2658227848103261E-2</v>
      </c>
      <c r="E16">
        <v>20</v>
      </c>
      <c r="F16">
        <v>4</v>
      </c>
    </row>
    <row r="17" spans="1:6" x14ac:dyDescent="0.3">
      <c r="A17" t="s">
        <v>18</v>
      </c>
      <c r="B17">
        <v>1</v>
      </c>
      <c r="C17" t="s">
        <v>107</v>
      </c>
      <c r="D17">
        <v>-3.8961038961040521E-2</v>
      </c>
      <c r="E17">
        <v>20</v>
      </c>
      <c r="F17">
        <v>4</v>
      </c>
    </row>
    <row r="18" spans="1:6" x14ac:dyDescent="0.3">
      <c r="A18" t="s">
        <v>18</v>
      </c>
      <c r="B18">
        <v>1</v>
      </c>
      <c r="C18" t="s">
        <v>109</v>
      </c>
      <c r="E18">
        <v>0</v>
      </c>
      <c r="F18">
        <v>4</v>
      </c>
    </row>
    <row r="19" spans="1:6" x14ac:dyDescent="0.3">
      <c r="A19" t="s">
        <v>18</v>
      </c>
      <c r="B19">
        <v>1</v>
      </c>
      <c r="C19" t="s">
        <v>111</v>
      </c>
      <c r="D19">
        <v>0.31623931623931512</v>
      </c>
      <c r="E19">
        <v>20</v>
      </c>
      <c r="F19">
        <v>4</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
  <sheetViews>
    <sheetView workbookViewId="0">
      <selection activeCell="K22" sqref="K22"/>
    </sheetView>
  </sheetViews>
  <sheetFormatPr defaultColWidth="11.77734375" defaultRowHeight="14.4" x14ac:dyDescent="0.3"/>
  <cols>
    <col min="1" max="1" width="8.6640625" bestFit="1" customWidth="1"/>
    <col min="2" max="2" width="7.109375" bestFit="1" customWidth="1"/>
    <col min="3" max="3" width="7.6640625" bestFit="1" customWidth="1"/>
    <col min="4" max="7" width="12.21875" customWidth="1"/>
    <col min="8" max="8" width="21.6640625" bestFit="1" customWidth="1"/>
    <col min="9" max="9" width="16.33203125" bestFit="1" customWidth="1"/>
    <col min="10" max="10" width="17.44140625" bestFit="1" customWidth="1"/>
  </cols>
  <sheetData>
    <row r="1" spans="1:10" x14ac:dyDescent="0.3">
      <c r="A1" s="1" t="s">
        <v>0</v>
      </c>
      <c r="B1" s="1" t="s">
        <v>1</v>
      </c>
      <c r="C1" s="1" t="s">
        <v>4</v>
      </c>
      <c r="D1" s="1" t="s">
        <v>126</v>
      </c>
      <c r="E1" s="1" t="s">
        <v>127</v>
      </c>
      <c r="F1" s="1" t="s">
        <v>128</v>
      </c>
      <c r="G1" s="1" t="s">
        <v>129</v>
      </c>
      <c r="H1" s="1" t="s">
        <v>9</v>
      </c>
      <c r="I1" s="1" t="s">
        <v>17</v>
      </c>
      <c r="J1" s="1" t="s">
        <v>130</v>
      </c>
    </row>
    <row r="2" spans="1:10" x14ac:dyDescent="0.3">
      <c r="A2" t="s">
        <v>18</v>
      </c>
      <c r="B2">
        <v>1</v>
      </c>
      <c r="C2" t="s">
        <v>21</v>
      </c>
      <c r="D2">
        <v>36</v>
      </c>
      <c r="E2">
        <v>0</v>
      </c>
      <c r="F2">
        <v>6</v>
      </c>
      <c r="G2">
        <v>318</v>
      </c>
      <c r="H2">
        <v>324</v>
      </c>
      <c r="I2">
        <v>0</v>
      </c>
      <c r="J2">
        <v>1</v>
      </c>
    </row>
    <row r="3" spans="1:10" x14ac:dyDescent="0.3">
      <c r="A3" t="s">
        <v>18</v>
      </c>
      <c r="B3">
        <v>1</v>
      </c>
      <c r="C3" t="s">
        <v>23</v>
      </c>
      <c r="D3">
        <v>19</v>
      </c>
      <c r="E3">
        <v>2</v>
      </c>
      <c r="F3">
        <v>22</v>
      </c>
      <c r="G3">
        <v>317</v>
      </c>
      <c r="H3">
        <v>341</v>
      </c>
      <c r="I3">
        <v>5.8651026392961877E-3</v>
      </c>
      <c r="J3">
        <v>0.99413489736070382</v>
      </c>
    </row>
    <row r="4" spans="1:10" x14ac:dyDescent="0.3">
      <c r="A4" t="s">
        <v>18</v>
      </c>
      <c r="B4">
        <v>1</v>
      </c>
      <c r="C4" t="s">
        <v>24</v>
      </c>
      <c r="D4">
        <v>38</v>
      </c>
      <c r="E4">
        <v>10</v>
      </c>
      <c r="F4">
        <v>28</v>
      </c>
      <c r="G4">
        <v>284</v>
      </c>
      <c r="H4">
        <v>322</v>
      </c>
      <c r="I4">
        <v>3.1055900621118009E-2</v>
      </c>
      <c r="J4">
        <v>0.96894409937888204</v>
      </c>
    </row>
    <row r="5" spans="1:10" x14ac:dyDescent="0.3">
      <c r="A5" t="s">
        <v>18</v>
      </c>
      <c r="B5">
        <v>1</v>
      </c>
      <c r="C5" t="s">
        <v>25</v>
      </c>
      <c r="D5">
        <v>46</v>
      </c>
      <c r="E5">
        <v>1</v>
      </c>
      <c r="F5">
        <v>10</v>
      </c>
      <c r="G5">
        <v>283</v>
      </c>
      <c r="H5">
        <v>294</v>
      </c>
      <c r="I5">
        <v>3.4013605442176869E-3</v>
      </c>
      <c r="J5">
        <v>0.99659863945578231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FA314-C5FE-461C-BA0F-EE2B8455B0BE}">
  <dimension ref="A1:E6"/>
  <sheetViews>
    <sheetView zoomScaleNormal="100" workbookViewId="0">
      <selection sqref="A1:E1"/>
    </sheetView>
  </sheetViews>
  <sheetFormatPr defaultColWidth="17.88671875" defaultRowHeight="14.4" x14ac:dyDescent="0.3"/>
  <cols>
    <col min="1" max="1" width="18.6640625" customWidth="1"/>
  </cols>
  <sheetData>
    <row r="1" spans="1:5" ht="15.6" x14ac:dyDescent="0.3">
      <c r="A1" s="24" t="s">
        <v>476</v>
      </c>
      <c r="B1" s="25"/>
      <c r="C1" s="25"/>
      <c r="D1" s="25"/>
      <c r="E1" s="26"/>
    </row>
    <row r="2" spans="1:5" ht="15.6" x14ac:dyDescent="0.3">
      <c r="A2" s="12" t="s">
        <v>4</v>
      </c>
      <c r="B2" s="12" t="s">
        <v>4</v>
      </c>
      <c r="C2" s="12" t="s">
        <v>474</v>
      </c>
      <c r="D2" s="12" t="s">
        <v>118</v>
      </c>
      <c r="E2" s="12" t="s">
        <v>475</v>
      </c>
    </row>
    <row r="3" spans="1:5" ht="15.6" x14ac:dyDescent="0.3">
      <c r="A3" s="13" t="s">
        <v>21</v>
      </c>
      <c r="B3" s="13" t="s">
        <v>430</v>
      </c>
      <c r="C3" s="13">
        <v>180</v>
      </c>
      <c r="D3" s="13">
        <v>180</v>
      </c>
      <c r="E3" s="14">
        <v>1</v>
      </c>
    </row>
    <row r="4" spans="1:5" ht="15.6" x14ac:dyDescent="0.3">
      <c r="A4" s="13" t="s">
        <v>25</v>
      </c>
      <c r="B4" s="13" t="s">
        <v>477</v>
      </c>
      <c r="C4" s="13">
        <v>166</v>
      </c>
      <c r="D4" s="13">
        <v>170</v>
      </c>
      <c r="E4" s="14">
        <v>0.97647058823529398</v>
      </c>
    </row>
    <row r="5" spans="1:5" ht="15.6" x14ac:dyDescent="0.3">
      <c r="A5" s="13" t="s">
        <v>24</v>
      </c>
      <c r="B5" s="13" t="s">
        <v>429</v>
      </c>
      <c r="C5" s="13">
        <v>173</v>
      </c>
      <c r="D5" s="13">
        <v>180</v>
      </c>
      <c r="E5" s="14">
        <v>0.96111111111111114</v>
      </c>
    </row>
    <row r="6" spans="1:5" ht="15.6" x14ac:dyDescent="0.3">
      <c r="A6" s="13" t="s">
        <v>23</v>
      </c>
      <c r="B6" s="13" t="s">
        <v>478</v>
      </c>
      <c r="C6" s="13">
        <v>171</v>
      </c>
      <c r="D6" s="13">
        <v>180</v>
      </c>
      <c r="E6" s="14">
        <v>0.95</v>
      </c>
    </row>
  </sheetData>
  <sortState xmlns:xlrd2="http://schemas.microsoft.com/office/spreadsheetml/2017/richdata2" ref="A3:E17">
    <sortCondition descending="1" ref="E2:E17"/>
  </sortState>
  <mergeCells count="1">
    <mergeCell ref="A1:E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C17F7-34B9-4EFD-AC2A-F418298C4F86}">
  <dimension ref="A1:E16"/>
  <sheetViews>
    <sheetView zoomScaleNormal="100" workbookViewId="0">
      <selection activeCell="H17" sqref="H17"/>
    </sheetView>
  </sheetViews>
  <sheetFormatPr defaultColWidth="13.109375" defaultRowHeight="14.4" x14ac:dyDescent="0.3"/>
  <cols>
    <col min="1" max="1" width="14.88671875" customWidth="1"/>
    <col min="5" max="5" width="13.109375" style="3"/>
  </cols>
  <sheetData>
    <row r="1" spans="1:5" ht="15.6" x14ac:dyDescent="0.3">
      <c r="A1" s="24" t="s">
        <v>479</v>
      </c>
      <c r="B1" s="25"/>
      <c r="C1" s="25"/>
      <c r="D1" s="25"/>
      <c r="E1" s="26"/>
    </row>
    <row r="2" spans="1:5" ht="15.6" x14ac:dyDescent="0.3">
      <c r="A2" s="12" t="s">
        <v>4</v>
      </c>
      <c r="B2" s="12" t="s">
        <v>73</v>
      </c>
      <c r="C2" s="12" t="s">
        <v>474</v>
      </c>
      <c r="D2" s="12" t="s">
        <v>118</v>
      </c>
      <c r="E2" s="21" t="s">
        <v>475</v>
      </c>
    </row>
    <row r="3" spans="1:5" ht="15.6" x14ac:dyDescent="0.3">
      <c r="A3" s="13" t="s">
        <v>25</v>
      </c>
      <c r="B3" s="13" t="s">
        <v>81</v>
      </c>
      <c r="C3" s="13">
        <v>7</v>
      </c>
      <c r="D3" s="13">
        <v>10</v>
      </c>
      <c r="E3" s="16">
        <v>0.7</v>
      </c>
    </row>
    <row r="4" spans="1:5" ht="15.6" x14ac:dyDescent="0.3">
      <c r="A4" s="13" t="s">
        <v>25</v>
      </c>
      <c r="B4" s="13" t="s">
        <v>99</v>
      </c>
      <c r="C4" s="13">
        <v>9</v>
      </c>
      <c r="D4" s="13">
        <v>10</v>
      </c>
      <c r="E4" s="16">
        <v>0.9</v>
      </c>
    </row>
    <row r="5" spans="1:5" ht="15.6" x14ac:dyDescent="0.3">
      <c r="A5" s="13" t="s">
        <v>24</v>
      </c>
      <c r="B5" s="13" t="s">
        <v>99</v>
      </c>
      <c r="C5" s="13">
        <v>8</v>
      </c>
      <c r="D5" s="13">
        <v>10</v>
      </c>
      <c r="E5" s="16">
        <v>0.8</v>
      </c>
    </row>
    <row r="6" spans="1:5" ht="15.6" x14ac:dyDescent="0.3">
      <c r="A6" s="13" t="s">
        <v>24</v>
      </c>
      <c r="B6" s="13" t="s">
        <v>109</v>
      </c>
      <c r="C6" s="13">
        <v>8</v>
      </c>
      <c r="D6" s="13">
        <v>10</v>
      </c>
      <c r="E6" s="16">
        <v>0.8</v>
      </c>
    </row>
    <row r="7" spans="1:5" ht="15.6" x14ac:dyDescent="0.3">
      <c r="A7" s="13" t="s">
        <v>24</v>
      </c>
      <c r="B7" s="13" t="s">
        <v>77</v>
      </c>
      <c r="C7" s="13">
        <v>9</v>
      </c>
      <c r="D7" s="13">
        <v>10</v>
      </c>
      <c r="E7" s="16">
        <v>0.9</v>
      </c>
    </row>
    <row r="8" spans="1:5" ht="15.6" x14ac:dyDescent="0.3">
      <c r="A8" s="13" t="s">
        <v>24</v>
      </c>
      <c r="B8" s="13" t="s">
        <v>85</v>
      </c>
      <c r="C8" s="13">
        <v>9</v>
      </c>
      <c r="D8" s="13">
        <v>10</v>
      </c>
      <c r="E8" s="16">
        <v>0.9</v>
      </c>
    </row>
    <row r="9" spans="1:5" ht="15.6" x14ac:dyDescent="0.3">
      <c r="A9" s="13" t="s">
        <v>24</v>
      </c>
      <c r="B9" s="13" t="s">
        <v>97</v>
      </c>
      <c r="C9" s="13">
        <v>9</v>
      </c>
      <c r="D9" s="13">
        <v>10</v>
      </c>
      <c r="E9" s="16">
        <v>0.9</v>
      </c>
    </row>
    <row r="10" spans="1:5" ht="15.6" x14ac:dyDescent="0.3">
      <c r="A10" s="13" t="s">
        <v>23</v>
      </c>
      <c r="B10" s="13" t="s">
        <v>83</v>
      </c>
      <c r="C10" s="13">
        <v>8</v>
      </c>
      <c r="D10" s="13">
        <v>10</v>
      </c>
      <c r="E10" s="16">
        <v>0.8</v>
      </c>
    </row>
    <row r="11" spans="1:5" ht="15.6" x14ac:dyDescent="0.3">
      <c r="A11" s="13" t="s">
        <v>23</v>
      </c>
      <c r="B11" s="13" t="s">
        <v>107</v>
      </c>
      <c r="C11" s="13">
        <v>8</v>
      </c>
      <c r="D11" s="13">
        <v>10</v>
      </c>
      <c r="E11" s="16">
        <v>0.8</v>
      </c>
    </row>
    <row r="12" spans="1:5" ht="15.6" x14ac:dyDescent="0.3">
      <c r="A12" s="13" t="s">
        <v>23</v>
      </c>
      <c r="B12" s="13" t="s">
        <v>77</v>
      </c>
      <c r="C12" s="13">
        <v>9</v>
      </c>
      <c r="D12" s="13">
        <v>10</v>
      </c>
      <c r="E12" s="16">
        <v>0.9</v>
      </c>
    </row>
    <row r="13" spans="1:5" ht="15.6" x14ac:dyDescent="0.3">
      <c r="A13" s="13" t="s">
        <v>23</v>
      </c>
      <c r="B13" s="13" t="s">
        <v>81</v>
      </c>
      <c r="C13" s="13">
        <v>9</v>
      </c>
      <c r="D13" s="13">
        <v>10</v>
      </c>
      <c r="E13" s="16">
        <v>0.9</v>
      </c>
    </row>
    <row r="14" spans="1:5" ht="15.6" x14ac:dyDescent="0.3">
      <c r="A14" s="13" t="s">
        <v>23</v>
      </c>
      <c r="B14" s="13" t="s">
        <v>95</v>
      </c>
      <c r="C14" s="13">
        <v>9</v>
      </c>
      <c r="D14" s="13">
        <v>10</v>
      </c>
      <c r="E14" s="16">
        <v>0.9</v>
      </c>
    </row>
    <row r="15" spans="1:5" ht="15.6" x14ac:dyDescent="0.3">
      <c r="A15" s="13" t="s">
        <v>23</v>
      </c>
      <c r="B15" s="13" t="s">
        <v>99</v>
      </c>
      <c r="C15" s="13">
        <v>9</v>
      </c>
      <c r="D15" s="13">
        <v>10</v>
      </c>
      <c r="E15" s="16">
        <v>0.9</v>
      </c>
    </row>
    <row r="16" spans="1:5" ht="15.6" x14ac:dyDescent="0.3">
      <c r="A16" s="13" t="s">
        <v>23</v>
      </c>
      <c r="B16" s="13" t="s">
        <v>101</v>
      </c>
      <c r="C16" s="13">
        <v>9</v>
      </c>
      <c r="D16" s="13">
        <v>10</v>
      </c>
      <c r="E16" s="16">
        <v>0.9</v>
      </c>
    </row>
  </sheetData>
  <sortState xmlns:xlrd2="http://schemas.microsoft.com/office/spreadsheetml/2017/richdata2" ref="A3:E16">
    <sortCondition descending="1" ref="A2:A16"/>
  </sortState>
  <mergeCells count="1">
    <mergeCell ref="A1:E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04AC8-746C-42DE-9B8A-AC206C8CD19F}">
  <dimension ref="A1:I6"/>
  <sheetViews>
    <sheetView workbookViewId="0">
      <selection sqref="A1:I1"/>
    </sheetView>
  </sheetViews>
  <sheetFormatPr defaultColWidth="11.77734375" defaultRowHeight="14.4" x14ac:dyDescent="0.3"/>
  <cols>
    <col min="1" max="1" width="9.5546875" bestFit="1" customWidth="1"/>
    <col min="2" max="2" width="16.21875" bestFit="1" customWidth="1"/>
    <col min="3" max="6" width="9" customWidth="1"/>
    <col min="7" max="7" width="23.21875" bestFit="1" customWidth="1"/>
    <col min="8" max="8" width="18" bestFit="1" customWidth="1"/>
    <col min="9" max="9" width="18.88671875" bestFit="1" customWidth="1"/>
  </cols>
  <sheetData>
    <row r="1" spans="1:9" ht="15.6" x14ac:dyDescent="0.3">
      <c r="A1" s="28" t="s">
        <v>481</v>
      </c>
      <c r="B1" s="29"/>
      <c r="C1" s="29"/>
      <c r="D1" s="29"/>
      <c r="E1" s="29"/>
      <c r="F1" s="29"/>
      <c r="G1" s="29"/>
      <c r="H1" s="29"/>
      <c r="I1" s="29"/>
    </row>
    <row r="2" spans="1:9" ht="15.6" x14ac:dyDescent="0.3">
      <c r="A2" s="12" t="s">
        <v>4</v>
      </c>
      <c r="B2" s="12" t="s">
        <v>480</v>
      </c>
      <c r="C2" s="12" t="s">
        <v>129</v>
      </c>
      <c r="D2" s="12" t="s">
        <v>128</v>
      </c>
      <c r="E2" s="12" t="s">
        <v>127</v>
      </c>
      <c r="F2" s="12" t="s">
        <v>126</v>
      </c>
      <c r="G2" s="12" t="s">
        <v>9</v>
      </c>
      <c r="H2" s="12" t="s">
        <v>17</v>
      </c>
      <c r="I2" s="12" t="s">
        <v>130</v>
      </c>
    </row>
    <row r="3" spans="1:9" ht="15.6" x14ac:dyDescent="0.3">
      <c r="A3" s="13" t="s">
        <v>21</v>
      </c>
      <c r="B3" s="13" t="s">
        <v>430</v>
      </c>
      <c r="C3" s="13">
        <v>318</v>
      </c>
      <c r="D3" s="13">
        <v>6</v>
      </c>
      <c r="E3" s="13">
        <v>0</v>
      </c>
      <c r="F3" s="13">
        <v>36</v>
      </c>
      <c r="G3" s="13">
        <v>324</v>
      </c>
      <c r="H3" s="19">
        <v>0</v>
      </c>
      <c r="I3" s="19">
        <v>1</v>
      </c>
    </row>
    <row r="4" spans="1:9" ht="15.6" x14ac:dyDescent="0.3">
      <c r="A4" s="13" t="s">
        <v>25</v>
      </c>
      <c r="B4" s="13" t="s">
        <v>477</v>
      </c>
      <c r="C4" s="13">
        <v>283</v>
      </c>
      <c r="D4" s="13">
        <v>10</v>
      </c>
      <c r="E4" s="13">
        <v>1</v>
      </c>
      <c r="F4" s="13">
        <v>46</v>
      </c>
      <c r="G4" s="13">
        <v>294</v>
      </c>
      <c r="H4" s="19">
        <v>3.4013605442176869E-3</v>
      </c>
      <c r="I4" s="19">
        <v>0.99659863945578231</v>
      </c>
    </row>
    <row r="5" spans="1:9" ht="15.6" x14ac:dyDescent="0.3">
      <c r="A5" s="13" t="s">
        <v>23</v>
      </c>
      <c r="B5" s="13" t="s">
        <v>478</v>
      </c>
      <c r="C5" s="13">
        <v>317</v>
      </c>
      <c r="D5" s="13">
        <v>22</v>
      </c>
      <c r="E5" s="13">
        <v>2</v>
      </c>
      <c r="F5" s="13">
        <v>19</v>
      </c>
      <c r="G5" s="13">
        <v>341</v>
      </c>
      <c r="H5" s="19">
        <v>5.8651026392961877E-3</v>
      </c>
      <c r="I5" s="19">
        <v>0.99413489736070382</v>
      </c>
    </row>
    <row r="6" spans="1:9" ht="15.6" x14ac:dyDescent="0.3">
      <c r="A6" s="13" t="s">
        <v>24</v>
      </c>
      <c r="B6" s="13" t="s">
        <v>429</v>
      </c>
      <c r="C6" s="13">
        <v>284</v>
      </c>
      <c r="D6" s="13">
        <v>28</v>
      </c>
      <c r="E6" s="13">
        <v>10</v>
      </c>
      <c r="F6" s="13">
        <v>38</v>
      </c>
      <c r="G6" s="13">
        <v>322</v>
      </c>
      <c r="H6" s="19">
        <v>3.1055900621118009E-2</v>
      </c>
      <c r="I6" s="19">
        <v>0.96894409937888204</v>
      </c>
    </row>
  </sheetData>
  <mergeCells count="1">
    <mergeCell ref="A1:I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72"/>
  <sheetViews>
    <sheetView topLeftCell="A7" workbookViewId="0">
      <selection activeCell="H10" sqref="H10"/>
    </sheetView>
  </sheetViews>
  <sheetFormatPr defaultRowHeight="14.4" x14ac:dyDescent="0.3"/>
  <cols>
    <col min="1" max="1" width="8.6640625" bestFit="1" customWidth="1"/>
    <col min="2" max="2" width="7.109375" bestFit="1" customWidth="1"/>
    <col min="3" max="3" width="7.6640625" bestFit="1" customWidth="1"/>
    <col min="4" max="4" width="11" bestFit="1" customWidth="1"/>
    <col min="5" max="5" width="37.21875" bestFit="1" customWidth="1"/>
    <col min="6" max="9" width="9.109375" customWidth="1"/>
    <col min="10" max="10" width="21.6640625" bestFit="1" customWidth="1"/>
    <col min="11" max="11" width="16.33203125" bestFit="1" customWidth="1"/>
    <col min="12" max="12" width="17.44140625" bestFit="1" customWidth="1"/>
  </cols>
  <sheetData>
    <row r="1" spans="1:12" x14ac:dyDescent="0.3">
      <c r="A1" s="1" t="s">
        <v>0</v>
      </c>
      <c r="B1" s="1" t="s">
        <v>1</v>
      </c>
      <c r="C1" s="1" t="s">
        <v>4</v>
      </c>
      <c r="D1" s="1" t="s">
        <v>73</v>
      </c>
      <c r="E1" s="1" t="s">
        <v>74</v>
      </c>
      <c r="F1" s="1" t="s">
        <v>126</v>
      </c>
      <c r="G1" s="1" t="s">
        <v>127</v>
      </c>
      <c r="H1" s="1" t="s">
        <v>128</v>
      </c>
      <c r="I1" s="1" t="s">
        <v>129</v>
      </c>
      <c r="J1" s="1" t="s">
        <v>9</v>
      </c>
      <c r="K1" s="1" t="s">
        <v>17</v>
      </c>
      <c r="L1" s="1" t="s">
        <v>130</v>
      </c>
    </row>
    <row r="2" spans="1:12" x14ac:dyDescent="0.3">
      <c r="A2" t="s">
        <v>18</v>
      </c>
      <c r="B2">
        <v>1</v>
      </c>
      <c r="C2" t="s">
        <v>21</v>
      </c>
      <c r="D2" t="s">
        <v>77</v>
      </c>
      <c r="E2" t="s">
        <v>78</v>
      </c>
      <c r="F2">
        <v>12</v>
      </c>
      <c r="G2">
        <v>0</v>
      </c>
      <c r="H2">
        <v>1</v>
      </c>
      <c r="I2">
        <v>7</v>
      </c>
      <c r="J2">
        <v>8</v>
      </c>
      <c r="K2">
        <v>0</v>
      </c>
      <c r="L2">
        <v>1</v>
      </c>
    </row>
    <row r="3" spans="1:12" x14ac:dyDescent="0.3">
      <c r="A3" t="s">
        <v>18</v>
      </c>
      <c r="B3">
        <v>1</v>
      </c>
      <c r="C3" t="s">
        <v>21</v>
      </c>
      <c r="D3" t="s">
        <v>79</v>
      </c>
      <c r="E3" t="s">
        <v>80</v>
      </c>
      <c r="F3">
        <v>0</v>
      </c>
      <c r="G3">
        <v>0</v>
      </c>
      <c r="H3">
        <v>0</v>
      </c>
      <c r="I3">
        <v>20</v>
      </c>
      <c r="J3">
        <v>20</v>
      </c>
      <c r="K3">
        <v>0</v>
      </c>
      <c r="L3">
        <v>1</v>
      </c>
    </row>
    <row r="4" spans="1:12" x14ac:dyDescent="0.3">
      <c r="A4" t="s">
        <v>18</v>
      </c>
      <c r="B4">
        <v>1</v>
      </c>
      <c r="C4" t="s">
        <v>21</v>
      </c>
      <c r="D4" t="s">
        <v>81</v>
      </c>
      <c r="E4" t="s">
        <v>82</v>
      </c>
      <c r="F4">
        <v>0</v>
      </c>
      <c r="G4">
        <v>0</v>
      </c>
      <c r="H4">
        <v>0</v>
      </c>
      <c r="I4">
        <v>20</v>
      </c>
      <c r="J4">
        <v>20</v>
      </c>
      <c r="K4">
        <v>0</v>
      </c>
      <c r="L4">
        <v>1</v>
      </c>
    </row>
    <row r="5" spans="1:12" x14ac:dyDescent="0.3">
      <c r="A5" t="s">
        <v>18</v>
      </c>
      <c r="B5">
        <v>1</v>
      </c>
      <c r="C5" t="s">
        <v>21</v>
      </c>
      <c r="D5" t="s">
        <v>83</v>
      </c>
      <c r="E5" t="s">
        <v>84</v>
      </c>
      <c r="F5">
        <v>0</v>
      </c>
      <c r="G5">
        <v>0</v>
      </c>
      <c r="H5">
        <v>0</v>
      </c>
      <c r="I5">
        <v>20</v>
      </c>
      <c r="J5">
        <v>20</v>
      </c>
      <c r="K5">
        <v>0</v>
      </c>
      <c r="L5">
        <v>1</v>
      </c>
    </row>
    <row r="6" spans="1:12" x14ac:dyDescent="0.3">
      <c r="A6" t="s">
        <v>18</v>
      </c>
      <c r="B6">
        <v>1</v>
      </c>
      <c r="C6" t="s">
        <v>21</v>
      </c>
      <c r="D6" t="s">
        <v>85</v>
      </c>
      <c r="E6" t="s">
        <v>86</v>
      </c>
      <c r="F6">
        <v>0</v>
      </c>
      <c r="G6">
        <v>0</v>
      </c>
      <c r="H6">
        <v>0</v>
      </c>
      <c r="I6">
        <v>20</v>
      </c>
      <c r="J6">
        <v>20</v>
      </c>
      <c r="K6">
        <v>0</v>
      </c>
      <c r="L6">
        <v>1</v>
      </c>
    </row>
    <row r="7" spans="1:12" x14ac:dyDescent="0.3">
      <c r="A7" t="s">
        <v>18</v>
      </c>
      <c r="B7">
        <v>1</v>
      </c>
      <c r="C7" t="s">
        <v>21</v>
      </c>
      <c r="D7" t="s">
        <v>87</v>
      </c>
      <c r="E7" t="s">
        <v>88</v>
      </c>
      <c r="F7">
        <v>11</v>
      </c>
      <c r="G7">
        <v>0</v>
      </c>
      <c r="H7">
        <v>0</v>
      </c>
      <c r="I7">
        <v>9</v>
      </c>
      <c r="J7">
        <v>9</v>
      </c>
      <c r="K7">
        <v>0</v>
      </c>
      <c r="L7">
        <v>1</v>
      </c>
    </row>
    <row r="8" spans="1:12" x14ac:dyDescent="0.3">
      <c r="A8" t="s">
        <v>18</v>
      </c>
      <c r="B8">
        <v>1</v>
      </c>
      <c r="C8" t="s">
        <v>21</v>
      </c>
      <c r="D8" t="s">
        <v>89</v>
      </c>
      <c r="E8" t="s">
        <v>90</v>
      </c>
      <c r="F8">
        <v>0</v>
      </c>
      <c r="G8">
        <v>0</v>
      </c>
      <c r="H8">
        <v>0</v>
      </c>
      <c r="I8">
        <v>20</v>
      </c>
      <c r="J8">
        <v>20</v>
      </c>
      <c r="K8">
        <v>0</v>
      </c>
      <c r="L8">
        <v>1</v>
      </c>
    </row>
    <row r="9" spans="1:12" x14ac:dyDescent="0.3">
      <c r="A9" t="s">
        <v>18</v>
      </c>
      <c r="B9">
        <v>1</v>
      </c>
      <c r="C9" t="s">
        <v>21</v>
      </c>
      <c r="D9" t="s">
        <v>91</v>
      </c>
      <c r="E9" t="s">
        <v>92</v>
      </c>
      <c r="F9">
        <v>0</v>
      </c>
      <c r="G9">
        <v>0</v>
      </c>
      <c r="H9">
        <v>0</v>
      </c>
      <c r="I9">
        <v>20</v>
      </c>
      <c r="J9">
        <v>20</v>
      </c>
      <c r="K9">
        <v>0</v>
      </c>
      <c r="L9">
        <v>1</v>
      </c>
    </row>
    <row r="10" spans="1:12" x14ac:dyDescent="0.3">
      <c r="A10" t="s">
        <v>18</v>
      </c>
      <c r="B10">
        <v>1</v>
      </c>
      <c r="C10" t="s">
        <v>21</v>
      </c>
      <c r="D10" t="s">
        <v>93</v>
      </c>
      <c r="E10" t="s">
        <v>94</v>
      </c>
      <c r="F10">
        <v>0</v>
      </c>
      <c r="G10">
        <v>0</v>
      </c>
      <c r="H10">
        <v>0</v>
      </c>
      <c r="I10">
        <v>20</v>
      </c>
      <c r="J10">
        <v>20</v>
      </c>
      <c r="K10">
        <v>0</v>
      </c>
      <c r="L10">
        <v>1</v>
      </c>
    </row>
    <row r="11" spans="1:12" x14ac:dyDescent="0.3">
      <c r="A11" t="s">
        <v>18</v>
      </c>
      <c r="B11">
        <v>1</v>
      </c>
      <c r="C11" t="s">
        <v>21</v>
      </c>
      <c r="D11" t="s">
        <v>95</v>
      </c>
      <c r="E11" t="s">
        <v>96</v>
      </c>
      <c r="F11">
        <v>0</v>
      </c>
      <c r="G11">
        <v>0</v>
      </c>
      <c r="H11">
        <v>0</v>
      </c>
      <c r="I11">
        <v>20</v>
      </c>
      <c r="J11">
        <v>20</v>
      </c>
      <c r="K11">
        <v>0</v>
      </c>
      <c r="L11">
        <v>1</v>
      </c>
    </row>
    <row r="12" spans="1:12" x14ac:dyDescent="0.3">
      <c r="A12" t="s">
        <v>18</v>
      </c>
      <c r="B12">
        <v>1</v>
      </c>
      <c r="C12" t="s">
        <v>21</v>
      </c>
      <c r="D12" t="s">
        <v>97</v>
      </c>
      <c r="E12" t="s">
        <v>98</v>
      </c>
      <c r="F12">
        <v>0</v>
      </c>
      <c r="G12">
        <v>0</v>
      </c>
      <c r="H12">
        <v>0</v>
      </c>
      <c r="I12">
        <v>20</v>
      </c>
      <c r="J12">
        <v>20</v>
      </c>
      <c r="K12">
        <v>0</v>
      </c>
      <c r="L12">
        <v>1</v>
      </c>
    </row>
    <row r="13" spans="1:12" x14ac:dyDescent="0.3">
      <c r="A13" t="s">
        <v>18</v>
      </c>
      <c r="B13">
        <v>1</v>
      </c>
      <c r="C13" t="s">
        <v>21</v>
      </c>
      <c r="D13" t="s">
        <v>99</v>
      </c>
      <c r="E13" t="s">
        <v>100</v>
      </c>
      <c r="F13">
        <v>0</v>
      </c>
      <c r="G13">
        <v>0</v>
      </c>
      <c r="H13">
        <v>0</v>
      </c>
      <c r="I13">
        <v>20</v>
      </c>
      <c r="J13">
        <v>20</v>
      </c>
      <c r="K13">
        <v>0</v>
      </c>
      <c r="L13">
        <v>1</v>
      </c>
    </row>
    <row r="14" spans="1:12" x14ac:dyDescent="0.3">
      <c r="A14" t="s">
        <v>18</v>
      </c>
      <c r="B14">
        <v>1</v>
      </c>
      <c r="C14" t="s">
        <v>21</v>
      </c>
      <c r="D14" t="s">
        <v>101</v>
      </c>
      <c r="E14" t="s">
        <v>102</v>
      </c>
      <c r="F14">
        <v>0</v>
      </c>
      <c r="G14">
        <v>0</v>
      </c>
      <c r="H14">
        <v>2</v>
      </c>
      <c r="I14">
        <v>18</v>
      </c>
      <c r="J14">
        <v>20</v>
      </c>
      <c r="K14">
        <v>0</v>
      </c>
      <c r="L14">
        <v>1</v>
      </c>
    </row>
    <row r="15" spans="1:12" x14ac:dyDescent="0.3">
      <c r="A15" t="s">
        <v>18</v>
      </c>
      <c r="B15">
        <v>1</v>
      </c>
      <c r="C15" t="s">
        <v>21</v>
      </c>
      <c r="D15" t="s">
        <v>103</v>
      </c>
      <c r="E15" t="s">
        <v>104</v>
      </c>
      <c r="F15">
        <v>0</v>
      </c>
      <c r="G15">
        <v>0</v>
      </c>
      <c r="H15">
        <v>0</v>
      </c>
      <c r="I15">
        <v>20</v>
      </c>
      <c r="J15">
        <v>20</v>
      </c>
      <c r="K15">
        <v>0</v>
      </c>
      <c r="L15">
        <v>1</v>
      </c>
    </row>
    <row r="16" spans="1:12" x14ac:dyDescent="0.3">
      <c r="A16" t="s">
        <v>18</v>
      </c>
      <c r="B16">
        <v>1</v>
      </c>
      <c r="C16" t="s">
        <v>21</v>
      </c>
      <c r="D16" t="s">
        <v>105</v>
      </c>
      <c r="E16" t="s">
        <v>106</v>
      </c>
      <c r="F16">
        <v>0</v>
      </c>
      <c r="G16">
        <v>0</v>
      </c>
      <c r="H16">
        <v>0</v>
      </c>
      <c r="I16">
        <v>20</v>
      </c>
      <c r="J16">
        <v>20</v>
      </c>
      <c r="K16">
        <v>0</v>
      </c>
      <c r="L16">
        <v>1</v>
      </c>
    </row>
    <row r="17" spans="1:12" x14ac:dyDescent="0.3">
      <c r="A17" t="s">
        <v>18</v>
      </c>
      <c r="B17">
        <v>1</v>
      </c>
      <c r="C17" t="s">
        <v>21</v>
      </c>
      <c r="D17" t="s">
        <v>107</v>
      </c>
      <c r="E17" t="s">
        <v>108</v>
      </c>
      <c r="F17">
        <v>10</v>
      </c>
      <c r="G17">
        <v>0</v>
      </c>
      <c r="H17">
        <v>1</v>
      </c>
      <c r="I17">
        <v>9</v>
      </c>
      <c r="J17">
        <v>10</v>
      </c>
      <c r="K17">
        <v>0</v>
      </c>
      <c r="L17">
        <v>1</v>
      </c>
    </row>
    <row r="18" spans="1:12" x14ac:dyDescent="0.3">
      <c r="A18" t="s">
        <v>18</v>
      </c>
      <c r="B18">
        <v>1</v>
      </c>
      <c r="C18" t="s">
        <v>21</v>
      </c>
      <c r="D18" t="s">
        <v>109</v>
      </c>
      <c r="E18" t="s">
        <v>110</v>
      </c>
      <c r="F18">
        <v>0</v>
      </c>
      <c r="G18">
        <v>0</v>
      </c>
      <c r="H18">
        <v>2</v>
      </c>
      <c r="I18">
        <v>18</v>
      </c>
      <c r="J18">
        <v>20</v>
      </c>
      <c r="K18">
        <v>0</v>
      </c>
      <c r="L18">
        <v>1</v>
      </c>
    </row>
    <row r="19" spans="1:12" x14ac:dyDescent="0.3">
      <c r="A19" t="s">
        <v>18</v>
      </c>
      <c r="B19">
        <v>1</v>
      </c>
      <c r="C19" t="s">
        <v>21</v>
      </c>
      <c r="D19" t="s">
        <v>111</v>
      </c>
      <c r="E19" t="s">
        <v>112</v>
      </c>
      <c r="F19">
        <v>3</v>
      </c>
      <c r="G19">
        <v>0</v>
      </c>
      <c r="H19">
        <v>0</v>
      </c>
      <c r="I19">
        <v>17</v>
      </c>
      <c r="J19">
        <v>17</v>
      </c>
      <c r="K19">
        <v>0</v>
      </c>
      <c r="L19">
        <v>1</v>
      </c>
    </row>
    <row r="20" spans="1:12" x14ac:dyDescent="0.3">
      <c r="A20" t="s">
        <v>18</v>
      </c>
      <c r="B20">
        <v>1</v>
      </c>
      <c r="C20" t="s">
        <v>23</v>
      </c>
      <c r="D20" t="s">
        <v>77</v>
      </c>
      <c r="E20" t="s">
        <v>78</v>
      </c>
      <c r="F20">
        <v>7</v>
      </c>
      <c r="G20">
        <v>0</v>
      </c>
      <c r="H20">
        <v>0</v>
      </c>
      <c r="I20">
        <v>13</v>
      </c>
      <c r="J20">
        <v>13</v>
      </c>
      <c r="K20">
        <v>0</v>
      </c>
      <c r="L20">
        <v>1</v>
      </c>
    </row>
    <row r="21" spans="1:12" x14ac:dyDescent="0.3">
      <c r="A21" t="s">
        <v>18</v>
      </c>
      <c r="B21">
        <v>1</v>
      </c>
      <c r="C21" t="s">
        <v>23</v>
      </c>
      <c r="D21" t="s">
        <v>79</v>
      </c>
      <c r="E21" t="s">
        <v>80</v>
      </c>
      <c r="F21">
        <v>0</v>
      </c>
      <c r="G21">
        <v>0</v>
      </c>
      <c r="H21">
        <v>2</v>
      </c>
      <c r="I21">
        <v>18</v>
      </c>
      <c r="J21">
        <v>20</v>
      </c>
      <c r="K21">
        <v>0</v>
      </c>
      <c r="L21">
        <v>1</v>
      </c>
    </row>
    <row r="22" spans="1:12" x14ac:dyDescent="0.3">
      <c r="A22" t="s">
        <v>18</v>
      </c>
      <c r="B22">
        <v>1</v>
      </c>
      <c r="C22" t="s">
        <v>23</v>
      </c>
      <c r="D22" t="s">
        <v>81</v>
      </c>
      <c r="E22" t="s">
        <v>82</v>
      </c>
      <c r="F22">
        <v>0</v>
      </c>
      <c r="G22">
        <v>0</v>
      </c>
      <c r="H22">
        <v>8</v>
      </c>
      <c r="I22">
        <v>12</v>
      </c>
      <c r="J22">
        <v>20</v>
      </c>
      <c r="K22">
        <v>0</v>
      </c>
      <c r="L22">
        <v>1</v>
      </c>
    </row>
    <row r="23" spans="1:12" x14ac:dyDescent="0.3">
      <c r="A23" t="s">
        <v>18</v>
      </c>
      <c r="B23">
        <v>1</v>
      </c>
      <c r="C23" t="s">
        <v>23</v>
      </c>
      <c r="D23" t="s">
        <v>83</v>
      </c>
      <c r="E23" t="s">
        <v>84</v>
      </c>
      <c r="F23">
        <v>1</v>
      </c>
      <c r="G23">
        <v>0</v>
      </c>
      <c r="H23">
        <v>2</v>
      </c>
      <c r="I23">
        <v>17</v>
      </c>
      <c r="J23">
        <v>19</v>
      </c>
      <c r="K23">
        <v>0</v>
      </c>
      <c r="L23">
        <v>1</v>
      </c>
    </row>
    <row r="24" spans="1:12" x14ac:dyDescent="0.3">
      <c r="A24" t="s">
        <v>18</v>
      </c>
      <c r="B24">
        <v>1</v>
      </c>
      <c r="C24" t="s">
        <v>23</v>
      </c>
      <c r="D24" t="s">
        <v>85</v>
      </c>
      <c r="E24" t="s">
        <v>86</v>
      </c>
      <c r="F24">
        <v>0</v>
      </c>
      <c r="G24">
        <v>0</v>
      </c>
      <c r="H24">
        <v>0</v>
      </c>
      <c r="I24">
        <v>20</v>
      </c>
      <c r="J24">
        <v>20</v>
      </c>
      <c r="K24">
        <v>0</v>
      </c>
      <c r="L24">
        <v>1</v>
      </c>
    </row>
    <row r="25" spans="1:12" x14ac:dyDescent="0.3">
      <c r="A25" t="s">
        <v>18</v>
      </c>
      <c r="B25">
        <v>1</v>
      </c>
      <c r="C25" t="s">
        <v>23</v>
      </c>
      <c r="D25" t="s">
        <v>87</v>
      </c>
      <c r="E25" t="s">
        <v>88</v>
      </c>
      <c r="F25">
        <v>3</v>
      </c>
      <c r="G25">
        <v>0</v>
      </c>
      <c r="H25">
        <v>0</v>
      </c>
      <c r="I25">
        <v>17</v>
      </c>
      <c r="J25">
        <v>17</v>
      </c>
      <c r="K25">
        <v>0</v>
      </c>
      <c r="L25">
        <v>1</v>
      </c>
    </row>
    <row r="26" spans="1:12" x14ac:dyDescent="0.3">
      <c r="A26" t="s">
        <v>18</v>
      </c>
      <c r="B26">
        <v>1</v>
      </c>
      <c r="C26" t="s">
        <v>23</v>
      </c>
      <c r="D26" t="s">
        <v>89</v>
      </c>
      <c r="E26" t="s">
        <v>90</v>
      </c>
      <c r="F26">
        <v>0</v>
      </c>
      <c r="G26">
        <v>0</v>
      </c>
      <c r="H26">
        <v>0</v>
      </c>
      <c r="I26">
        <v>20</v>
      </c>
      <c r="J26">
        <v>20</v>
      </c>
      <c r="K26">
        <v>0</v>
      </c>
      <c r="L26">
        <v>1</v>
      </c>
    </row>
    <row r="27" spans="1:12" x14ac:dyDescent="0.3">
      <c r="A27" t="s">
        <v>18</v>
      </c>
      <c r="B27">
        <v>1</v>
      </c>
      <c r="C27" t="s">
        <v>23</v>
      </c>
      <c r="D27" t="s">
        <v>91</v>
      </c>
      <c r="E27" t="s">
        <v>92</v>
      </c>
      <c r="F27">
        <v>0</v>
      </c>
      <c r="G27">
        <v>0</v>
      </c>
      <c r="H27">
        <v>0</v>
      </c>
      <c r="I27">
        <v>20</v>
      </c>
      <c r="J27">
        <v>20</v>
      </c>
      <c r="K27">
        <v>0</v>
      </c>
      <c r="L27">
        <v>1</v>
      </c>
    </row>
    <row r="28" spans="1:12" x14ac:dyDescent="0.3">
      <c r="A28" t="s">
        <v>18</v>
      </c>
      <c r="B28">
        <v>1</v>
      </c>
      <c r="C28" t="s">
        <v>23</v>
      </c>
      <c r="D28" t="s">
        <v>93</v>
      </c>
      <c r="E28" t="s">
        <v>94</v>
      </c>
      <c r="F28">
        <v>0</v>
      </c>
      <c r="G28">
        <v>0</v>
      </c>
      <c r="H28">
        <v>0</v>
      </c>
      <c r="I28">
        <v>20</v>
      </c>
      <c r="J28">
        <v>20</v>
      </c>
      <c r="K28">
        <v>0</v>
      </c>
      <c r="L28">
        <v>1</v>
      </c>
    </row>
    <row r="29" spans="1:12" x14ac:dyDescent="0.3">
      <c r="A29" t="s">
        <v>18</v>
      </c>
      <c r="B29">
        <v>1</v>
      </c>
      <c r="C29" t="s">
        <v>23</v>
      </c>
      <c r="D29" t="s">
        <v>95</v>
      </c>
      <c r="E29" t="s">
        <v>96</v>
      </c>
      <c r="F29">
        <v>0</v>
      </c>
      <c r="G29">
        <v>1</v>
      </c>
      <c r="H29">
        <v>1</v>
      </c>
      <c r="I29">
        <v>18</v>
      </c>
      <c r="J29">
        <v>20</v>
      </c>
      <c r="K29">
        <v>0.05</v>
      </c>
      <c r="L29">
        <v>0.95</v>
      </c>
    </row>
    <row r="30" spans="1:12" x14ac:dyDescent="0.3">
      <c r="A30" t="s">
        <v>18</v>
      </c>
      <c r="B30">
        <v>1</v>
      </c>
      <c r="C30" t="s">
        <v>23</v>
      </c>
      <c r="D30" t="s">
        <v>97</v>
      </c>
      <c r="E30" t="s">
        <v>98</v>
      </c>
      <c r="F30">
        <v>0</v>
      </c>
      <c r="G30">
        <v>0</v>
      </c>
      <c r="H30">
        <v>0</v>
      </c>
      <c r="I30">
        <v>20</v>
      </c>
      <c r="J30">
        <v>20</v>
      </c>
      <c r="K30">
        <v>0</v>
      </c>
      <c r="L30">
        <v>1</v>
      </c>
    </row>
    <row r="31" spans="1:12" x14ac:dyDescent="0.3">
      <c r="A31" t="s">
        <v>18</v>
      </c>
      <c r="B31">
        <v>1</v>
      </c>
      <c r="C31" t="s">
        <v>23</v>
      </c>
      <c r="D31" t="s">
        <v>99</v>
      </c>
      <c r="E31" t="s">
        <v>100</v>
      </c>
      <c r="F31">
        <v>0</v>
      </c>
      <c r="G31">
        <v>0</v>
      </c>
      <c r="H31">
        <v>2</v>
      </c>
      <c r="I31">
        <v>18</v>
      </c>
      <c r="J31">
        <v>20</v>
      </c>
      <c r="K31">
        <v>0</v>
      </c>
      <c r="L31">
        <v>1</v>
      </c>
    </row>
    <row r="32" spans="1:12" x14ac:dyDescent="0.3">
      <c r="A32" t="s">
        <v>18</v>
      </c>
      <c r="B32">
        <v>1</v>
      </c>
      <c r="C32" t="s">
        <v>23</v>
      </c>
      <c r="D32" t="s">
        <v>101</v>
      </c>
      <c r="E32" t="s">
        <v>102</v>
      </c>
      <c r="F32">
        <v>0</v>
      </c>
      <c r="G32">
        <v>0</v>
      </c>
      <c r="H32">
        <v>3</v>
      </c>
      <c r="I32">
        <v>17</v>
      </c>
      <c r="J32">
        <v>20</v>
      </c>
      <c r="K32">
        <v>0</v>
      </c>
      <c r="L32">
        <v>1</v>
      </c>
    </row>
    <row r="33" spans="1:12" x14ac:dyDescent="0.3">
      <c r="A33" t="s">
        <v>18</v>
      </c>
      <c r="B33">
        <v>1</v>
      </c>
      <c r="C33" t="s">
        <v>23</v>
      </c>
      <c r="D33" t="s">
        <v>103</v>
      </c>
      <c r="E33" t="s">
        <v>104</v>
      </c>
      <c r="F33">
        <v>0</v>
      </c>
      <c r="G33">
        <v>0</v>
      </c>
      <c r="H33">
        <v>0</v>
      </c>
      <c r="I33">
        <v>20</v>
      </c>
      <c r="J33">
        <v>20</v>
      </c>
      <c r="K33">
        <v>0</v>
      </c>
      <c r="L33">
        <v>1</v>
      </c>
    </row>
    <row r="34" spans="1:12" x14ac:dyDescent="0.3">
      <c r="A34" t="s">
        <v>18</v>
      </c>
      <c r="B34">
        <v>1</v>
      </c>
      <c r="C34" t="s">
        <v>23</v>
      </c>
      <c r="D34" t="s">
        <v>105</v>
      </c>
      <c r="E34" t="s">
        <v>106</v>
      </c>
      <c r="F34">
        <v>0</v>
      </c>
      <c r="G34">
        <v>0</v>
      </c>
      <c r="H34">
        <v>1</v>
      </c>
      <c r="I34">
        <v>19</v>
      </c>
      <c r="J34">
        <v>20</v>
      </c>
      <c r="K34">
        <v>0</v>
      </c>
      <c r="L34">
        <v>1</v>
      </c>
    </row>
    <row r="35" spans="1:12" x14ac:dyDescent="0.3">
      <c r="A35" t="s">
        <v>18</v>
      </c>
      <c r="B35">
        <v>1</v>
      </c>
      <c r="C35" t="s">
        <v>23</v>
      </c>
      <c r="D35" t="s">
        <v>107</v>
      </c>
      <c r="E35" t="s">
        <v>108</v>
      </c>
      <c r="F35">
        <v>4</v>
      </c>
      <c r="G35">
        <v>0</v>
      </c>
      <c r="H35">
        <v>2</v>
      </c>
      <c r="I35">
        <v>14</v>
      </c>
      <c r="J35">
        <v>16</v>
      </c>
      <c r="K35">
        <v>0</v>
      </c>
      <c r="L35">
        <v>1</v>
      </c>
    </row>
    <row r="36" spans="1:12" x14ac:dyDescent="0.3">
      <c r="A36" t="s">
        <v>18</v>
      </c>
      <c r="B36">
        <v>1</v>
      </c>
      <c r="C36" t="s">
        <v>23</v>
      </c>
      <c r="D36" t="s">
        <v>109</v>
      </c>
      <c r="E36" t="s">
        <v>110</v>
      </c>
      <c r="F36">
        <v>0</v>
      </c>
      <c r="G36">
        <v>0</v>
      </c>
      <c r="H36">
        <v>0</v>
      </c>
      <c r="I36">
        <v>20</v>
      </c>
      <c r="J36">
        <v>20</v>
      </c>
      <c r="K36">
        <v>0</v>
      </c>
      <c r="L36">
        <v>1</v>
      </c>
    </row>
    <row r="37" spans="1:12" x14ac:dyDescent="0.3">
      <c r="A37" t="s">
        <v>18</v>
      </c>
      <c r="B37">
        <v>1</v>
      </c>
      <c r="C37" t="s">
        <v>23</v>
      </c>
      <c r="D37" t="s">
        <v>111</v>
      </c>
      <c r="E37" t="s">
        <v>112</v>
      </c>
      <c r="F37">
        <v>4</v>
      </c>
      <c r="G37">
        <v>1</v>
      </c>
      <c r="H37">
        <v>1</v>
      </c>
      <c r="I37">
        <v>14</v>
      </c>
      <c r="J37">
        <v>16</v>
      </c>
      <c r="K37">
        <v>6.25E-2</v>
      </c>
      <c r="L37">
        <v>0.9375</v>
      </c>
    </row>
    <row r="38" spans="1:12" x14ac:dyDescent="0.3">
      <c r="A38" t="s">
        <v>18</v>
      </c>
      <c r="B38">
        <v>1</v>
      </c>
      <c r="C38" t="s">
        <v>24</v>
      </c>
      <c r="D38" t="s">
        <v>77</v>
      </c>
      <c r="E38" t="s">
        <v>78</v>
      </c>
      <c r="F38">
        <v>18</v>
      </c>
      <c r="G38">
        <v>0</v>
      </c>
      <c r="H38">
        <v>0</v>
      </c>
      <c r="I38">
        <v>2</v>
      </c>
      <c r="J38">
        <v>2</v>
      </c>
      <c r="K38">
        <v>0</v>
      </c>
      <c r="L38">
        <v>1</v>
      </c>
    </row>
    <row r="39" spans="1:12" x14ac:dyDescent="0.3">
      <c r="A39" t="s">
        <v>18</v>
      </c>
      <c r="B39">
        <v>1</v>
      </c>
      <c r="C39" t="s">
        <v>24</v>
      </c>
      <c r="D39" t="s">
        <v>79</v>
      </c>
      <c r="E39" t="s">
        <v>80</v>
      </c>
      <c r="F39">
        <v>4</v>
      </c>
      <c r="G39">
        <v>0</v>
      </c>
      <c r="H39">
        <v>0</v>
      </c>
      <c r="I39">
        <v>16</v>
      </c>
      <c r="J39">
        <v>16</v>
      </c>
      <c r="K39">
        <v>0</v>
      </c>
      <c r="L39">
        <v>1</v>
      </c>
    </row>
    <row r="40" spans="1:12" x14ac:dyDescent="0.3">
      <c r="A40" t="s">
        <v>18</v>
      </c>
      <c r="B40">
        <v>1</v>
      </c>
      <c r="C40" t="s">
        <v>24</v>
      </c>
      <c r="D40" t="s">
        <v>81</v>
      </c>
      <c r="E40" t="s">
        <v>82</v>
      </c>
      <c r="F40">
        <v>0</v>
      </c>
      <c r="G40">
        <v>0</v>
      </c>
      <c r="H40">
        <v>4</v>
      </c>
      <c r="I40">
        <v>16</v>
      </c>
      <c r="J40">
        <v>20</v>
      </c>
      <c r="K40">
        <v>0</v>
      </c>
      <c r="L40">
        <v>1</v>
      </c>
    </row>
    <row r="41" spans="1:12" x14ac:dyDescent="0.3">
      <c r="A41" t="s">
        <v>18</v>
      </c>
      <c r="B41">
        <v>1</v>
      </c>
      <c r="C41" t="s">
        <v>24</v>
      </c>
      <c r="D41" t="s">
        <v>83</v>
      </c>
      <c r="E41" t="s">
        <v>84</v>
      </c>
      <c r="F41">
        <v>4</v>
      </c>
      <c r="G41">
        <v>1</v>
      </c>
      <c r="H41">
        <v>6</v>
      </c>
      <c r="I41">
        <v>9</v>
      </c>
      <c r="J41">
        <v>16</v>
      </c>
      <c r="K41">
        <v>6.25E-2</v>
      </c>
      <c r="L41">
        <v>0.9375</v>
      </c>
    </row>
    <row r="42" spans="1:12" x14ac:dyDescent="0.3">
      <c r="A42" t="s">
        <v>18</v>
      </c>
      <c r="B42">
        <v>1</v>
      </c>
      <c r="C42" t="s">
        <v>24</v>
      </c>
      <c r="D42" t="s">
        <v>85</v>
      </c>
      <c r="E42" t="s">
        <v>86</v>
      </c>
      <c r="F42">
        <v>1</v>
      </c>
      <c r="G42">
        <v>0</v>
      </c>
      <c r="H42">
        <v>0</v>
      </c>
      <c r="I42">
        <v>19</v>
      </c>
      <c r="J42">
        <v>19</v>
      </c>
      <c r="K42">
        <v>0</v>
      </c>
      <c r="L42">
        <v>1</v>
      </c>
    </row>
    <row r="43" spans="1:12" x14ac:dyDescent="0.3">
      <c r="A43" t="s">
        <v>18</v>
      </c>
      <c r="B43">
        <v>1</v>
      </c>
      <c r="C43" t="s">
        <v>24</v>
      </c>
      <c r="D43" t="s">
        <v>87</v>
      </c>
      <c r="E43" t="s">
        <v>88</v>
      </c>
      <c r="F43">
        <v>5</v>
      </c>
      <c r="G43">
        <v>4</v>
      </c>
      <c r="H43">
        <v>0</v>
      </c>
      <c r="I43">
        <v>11</v>
      </c>
      <c r="J43">
        <v>15</v>
      </c>
      <c r="K43">
        <v>0.26666666666666672</v>
      </c>
      <c r="L43">
        <v>0.73333333333333339</v>
      </c>
    </row>
    <row r="44" spans="1:12" x14ac:dyDescent="0.3">
      <c r="A44" t="s">
        <v>18</v>
      </c>
      <c r="B44">
        <v>1</v>
      </c>
      <c r="C44" t="s">
        <v>24</v>
      </c>
      <c r="D44" t="s">
        <v>89</v>
      </c>
      <c r="E44" t="s">
        <v>90</v>
      </c>
      <c r="F44">
        <v>0</v>
      </c>
      <c r="G44">
        <v>0</v>
      </c>
      <c r="H44">
        <v>0</v>
      </c>
      <c r="I44">
        <v>20</v>
      </c>
      <c r="J44">
        <v>20</v>
      </c>
      <c r="K44">
        <v>0</v>
      </c>
      <c r="L44">
        <v>1</v>
      </c>
    </row>
    <row r="45" spans="1:12" x14ac:dyDescent="0.3">
      <c r="A45" t="s">
        <v>18</v>
      </c>
      <c r="B45">
        <v>1</v>
      </c>
      <c r="C45" t="s">
        <v>24</v>
      </c>
      <c r="D45" t="s">
        <v>91</v>
      </c>
      <c r="E45" t="s">
        <v>92</v>
      </c>
      <c r="F45">
        <v>0</v>
      </c>
      <c r="G45">
        <v>0</v>
      </c>
      <c r="H45">
        <v>0</v>
      </c>
      <c r="I45">
        <v>20</v>
      </c>
      <c r="J45">
        <v>20</v>
      </c>
      <c r="K45">
        <v>0</v>
      </c>
      <c r="L45">
        <v>1</v>
      </c>
    </row>
    <row r="46" spans="1:12" x14ac:dyDescent="0.3">
      <c r="A46" t="s">
        <v>18</v>
      </c>
      <c r="B46">
        <v>1</v>
      </c>
      <c r="C46" t="s">
        <v>24</v>
      </c>
      <c r="D46" t="s">
        <v>93</v>
      </c>
      <c r="E46" t="s">
        <v>94</v>
      </c>
      <c r="F46">
        <v>0</v>
      </c>
      <c r="G46">
        <v>1</v>
      </c>
      <c r="H46">
        <v>1</v>
      </c>
      <c r="I46">
        <v>18</v>
      </c>
      <c r="J46">
        <v>20</v>
      </c>
      <c r="K46">
        <v>0.05</v>
      </c>
      <c r="L46">
        <v>0.95</v>
      </c>
    </row>
    <row r="47" spans="1:12" x14ac:dyDescent="0.3">
      <c r="A47" t="s">
        <v>18</v>
      </c>
      <c r="B47">
        <v>1</v>
      </c>
      <c r="C47" t="s">
        <v>24</v>
      </c>
      <c r="D47" t="s">
        <v>95</v>
      </c>
      <c r="E47" t="s">
        <v>96</v>
      </c>
      <c r="F47">
        <v>0</v>
      </c>
      <c r="G47">
        <v>0</v>
      </c>
      <c r="H47">
        <v>3</v>
      </c>
      <c r="I47">
        <v>17</v>
      </c>
      <c r="J47">
        <v>20</v>
      </c>
      <c r="K47">
        <v>0</v>
      </c>
      <c r="L47">
        <v>1</v>
      </c>
    </row>
    <row r="48" spans="1:12" x14ac:dyDescent="0.3">
      <c r="A48" t="s">
        <v>18</v>
      </c>
      <c r="B48">
        <v>1</v>
      </c>
      <c r="C48" t="s">
        <v>24</v>
      </c>
      <c r="D48" t="s">
        <v>97</v>
      </c>
      <c r="E48" t="s">
        <v>98</v>
      </c>
      <c r="F48">
        <v>0</v>
      </c>
      <c r="G48">
        <v>1</v>
      </c>
      <c r="H48">
        <v>3</v>
      </c>
      <c r="I48">
        <v>16</v>
      </c>
      <c r="J48">
        <v>20</v>
      </c>
      <c r="K48">
        <v>0.05</v>
      </c>
      <c r="L48">
        <v>0.95</v>
      </c>
    </row>
    <row r="49" spans="1:12" x14ac:dyDescent="0.3">
      <c r="A49" t="s">
        <v>18</v>
      </c>
      <c r="B49">
        <v>1</v>
      </c>
      <c r="C49" t="s">
        <v>24</v>
      </c>
      <c r="D49" t="s">
        <v>99</v>
      </c>
      <c r="E49" t="s">
        <v>100</v>
      </c>
      <c r="F49">
        <v>0</v>
      </c>
      <c r="G49">
        <v>0</v>
      </c>
      <c r="H49">
        <v>4</v>
      </c>
      <c r="I49">
        <v>16</v>
      </c>
      <c r="J49">
        <v>20</v>
      </c>
      <c r="K49">
        <v>0</v>
      </c>
      <c r="L49">
        <v>1</v>
      </c>
    </row>
    <row r="50" spans="1:12" x14ac:dyDescent="0.3">
      <c r="A50" t="s">
        <v>18</v>
      </c>
      <c r="B50">
        <v>1</v>
      </c>
      <c r="C50" t="s">
        <v>24</v>
      </c>
      <c r="D50" t="s">
        <v>101</v>
      </c>
      <c r="E50" t="s">
        <v>102</v>
      </c>
      <c r="F50">
        <v>0</v>
      </c>
      <c r="G50">
        <v>0</v>
      </c>
      <c r="H50">
        <v>3</v>
      </c>
      <c r="I50">
        <v>17</v>
      </c>
      <c r="J50">
        <v>20</v>
      </c>
      <c r="K50">
        <v>0</v>
      </c>
      <c r="L50">
        <v>1</v>
      </c>
    </row>
    <row r="51" spans="1:12" x14ac:dyDescent="0.3">
      <c r="A51" t="s">
        <v>18</v>
      </c>
      <c r="B51">
        <v>1</v>
      </c>
      <c r="C51" t="s">
        <v>24</v>
      </c>
      <c r="D51" t="s">
        <v>103</v>
      </c>
      <c r="E51" t="s">
        <v>104</v>
      </c>
      <c r="F51">
        <v>0</v>
      </c>
      <c r="G51">
        <v>0</v>
      </c>
      <c r="H51">
        <v>0</v>
      </c>
      <c r="I51">
        <v>20</v>
      </c>
      <c r="J51">
        <v>20</v>
      </c>
      <c r="K51">
        <v>0</v>
      </c>
      <c r="L51">
        <v>1</v>
      </c>
    </row>
    <row r="52" spans="1:12" x14ac:dyDescent="0.3">
      <c r="A52" t="s">
        <v>18</v>
      </c>
      <c r="B52">
        <v>1</v>
      </c>
      <c r="C52" t="s">
        <v>24</v>
      </c>
      <c r="D52" t="s">
        <v>105</v>
      </c>
      <c r="E52" t="s">
        <v>106</v>
      </c>
      <c r="F52">
        <v>0</v>
      </c>
      <c r="G52">
        <v>1</v>
      </c>
      <c r="H52">
        <v>0</v>
      </c>
      <c r="I52">
        <v>19</v>
      </c>
      <c r="J52">
        <v>20</v>
      </c>
      <c r="K52">
        <v>0.05</v>
      </c>
      <c r="L52">
        <v>0.95</v>
      </c>
    </row>
    <row r="53" spans="1:12" x14ac:dyDescent="0.3">
      <c r="A53" t="s">
        <v>18</v>
      </c>
      <c r="B53">
        <v>1</v>
      </c>
      <c r="C53" t="s">
        <v>24</v>
      </c>
      <c r="D53" t="s">
        <v>107</v>
      </c>
      <c r="E53" t="s">
        <v>108</v>
      </c>
      <c r="F53">
        <v>5</v>
      </c>
      <c r="G53">
        <v>1</v>
      </c>
      <c r="H53">
        <v>1</v>
      </c>
      <c r="I53">
        <v>13</v>
      </c>
      <c r="J53">
        <v>15</v>
      </c>
      <c r="K53">
        <v>6.6666666666666666E-2</v>
      </c>
      <c r="L53">
        <v>0.93333333333333335</v>
      </c>
    </row>
    <row r="54" spans="1:12" x14ac:dyDescent="0.3">
      <c r="A54" t="s">
        <v>18</v>
      </c>
      <c r="B54">
        <v>1</v>
      </c>
      <c r="C54" t="s">
        <v>24</v>
      </c>
      <c r="D54" t="s">
        <v>109</v>
      </c>
      <c r="E54" t="s">
        <v>110</v>
      </c>
      <c r="F54">
        <v>0</v>
      </c>
      <c r="G54">
        <v>0</v>
      </c>
      <c r="H54">
        <v>3</v>
      </c>
      <c r="I54">
        <v>17</v>
      </c>
      <c r="J54">
        <v>20</v>
      </c>
      <c r="K54">
        <v>0</v>
      </c>
      <c r="L54">
        <v>1</v>
      </c>
    </row>
    <row r="55" spans="1:12" x14ac:dyDescent="0.3">
      <c r="A55" t="s">
        <v>18</v>
      </c>
      <c r="B55">
        <v>1</v>
      </c>
      <c r="C55" t="s">
        <v>24</v>
      </c>
      <c r="D55" t="s">
        <v>111</v>
      </c>
      <c r="E55" t="s">
        <v>112</v>
      </c>
      <c r="F55">
        <v>1</v>
      </c>
      <c r="G55">
        <v>1</v>
      </c>
      <c r="H55">
        <v>0</v>
      </c>
      <c r="I55">
        <v>18</v>
      </c>
      <c r="J55">
        <v>19</v>
      </c>
      <c r="K55">
        <v>5.2631578947368418E-2</v>
      </c>
      <c r="L55">
        <v>0.94736842105263164</v>
      </c>
    </row>
    <row r="56" spans="1:12" x14ac:dyDescent="0.3">
      <c r="A56" t="s">
        <v>18</v>
      </c>
      <c r="B56">
        <v>1</v>
      </c>
      <c r="C56" t="s">
        <v>25</v>
      </c>
      <c r="D56" t="s">
        <v>77</v>
      </c>
      <c r="E56" t="s">
        <v>78</v>
      </c>
      <c r="F56">
        <v>18</v>
      </c>
      <c r="G56">
        <v>0</v>
      </c>
      <c r="H56">
        <v>1</v>
      </c>
      <c r="I56">
        <v>1</v>
      </c>
      <c r="J56">
        <v>2</v>
      </c>
      <c r="K56">
        <v>0</v>
      </c>
      <c r="L56">
        <v>1</v>
      </c>
    </row>
    <row r="57" spans="1:12" x14ac:dyDescent="0.3">
      <c r="A57" t="s">
        <v>18</v>
      </c>
      <c r="B57">
        <v>1</v>
      </c>
      <c r="C57" t="s">
        <v>25</v>
      </c>
      <c r="D57" t="s">
        <v>79</v>
      </c>
      <c r="E57" t="s">
        <v>80</v>
      </c>
      <c r="F57">
        <v>0</v>
      </c>
      <c r="G57">
        <v>0</v>
      </c>
      <c r="H57">
        <v>0</v>
      </c>
      <c r="I57">
        <v>20</v>
      </c>
      <c r="J57">
        <v>20</v>
      </c>
      <c r="K57">
        <v>0</v>
      </c>
      <c r="L57">
        <v>1</v>
      </c>
    </row>
    <row r="58" spans="1:12" x14ac:dyDescent="0.3">
      <c r="A58" t="s">
        <v>18</v>
      </c>
      <c r="B58">
        <v>1</v>
      </c>
      <c r="C58" t="s">
        <v>25</v>
      </c>
      <c r="D58" t="s">
        <v>81</v>
      </c>
      <c r="E58" t="s">
        <v>82</v>
      </c>
      <c r="F58">
        <v>0</v>
      </c>
      <c r="G58">
        <v>0</v>
      </c>
      <c r="H58">
        <v>6</v>
      </c>
      <c r="I58">
        <v>14</v>
      </c>
      <c r="J58">
        <v>20</v>
      </c>
      <c r="K58">
        <v>0</v>
      </c>
      <c r="L58">
        <v>1</v>
      </c>
    </row>
    <row r="59" spans="1:12" x14ac:dyDescent="0.3">
      <c r="A59" t="s">
        <v>18</v>
      </c>
      <c r="B59">
        <v>1</v>
      </c>
      <c r="C59" t="s">
        <v>25</v>
      </c>
      <c r="D59" t="s">
        <v>83</v>
      </c>
      <c r="E59" t="s">
        <v>84</v>
      </c>
      <c r="F59">
        <v>0</v>
      </c>
      <c r="G59">
        <v>0</v>
      </c>
      <c r="H59">
        <v>0</v>
      </c>
      <c r="I59">
        <v>20</v>
      </c>
      <c r="J59">
        <v>20</v>
      </c>
      <c r="K59">
        <v>0</v>
      </c>
      <c r="L59">
        <v>1</v>
      </c>
    </row>
    <row r="60" spans="1:12" x14ac:dyDescent="0.3">
      <c r="A60" t="s">
        <v>18</v>
      </c>
      <c r="B60">
        <v>1</v>
      </c>
      <c r="C60" t="s">
        <v>25</v>
      </c>
      <c r="D60" t="s">
        <v>85</v>
      </c>
      <c r="E60" t="s">
        <v>86</v>
      </c>
      <c r="F60">
        <v>0</v>
      </c>
      <c r="G60">
        <v>0</v>
      </c>
      <c r="H60">
        <v>0</v>
      </c>
      <c r="I60">
        <v>20</v>
      </c>
      <c r="J60">
        <v>20</v>
      </c>
      <c r="K60">
        <v>0</v>
      </c>
      <c r="L60">
        <v>1</v>
      </c>
    </row>
    <row r="61" spans="1:12" x14ac:dyDescent="0.3">
      <c r="A61" t="s">
        <v>18</v>
      </c>
      <c r="B61">
        <v>1</v>
      </c>
      <c r="C61" t="s">
        <v>25</v>
      </c>
      <c r="D61" t="s">
        <v>87</v>
      </c>
      <c r="E61" t="s">
        <v>88</v>
      </c>
      <c r="F61">
        <v>19</v>
      </c>
      <c r="G61">
        <v>0</v>
      </c>
      <c r="H61">
        <v>0</v>
      </c>
      <c r="I61">
        <v>1</v>
      </c>
      <c r="J61">
        <v>1</v>
      </c>
      <c r="K61">
        <v>0</v>
      </c>
      <c r="L61">
        <v>1</v>
      </c>
    </row>
    <row r="62" spans="1:12" x14ac:dyDescent="0.3">
      <c r="A62" t="s">
        <v>18</v>
      </c>
      <c r="B62">
        <v>1</v>
      </c>
      <c r="C62" t="s">
        <v>25</v>
      </c>
      <c r="D62" t="s">
        <v>89</v>
      </c>
      <c r="E62" t="s">
        <v>90</v>
      </c>
      <c r="F62">
        <v>0</v>
      </c>
      <c r="G62">
        <v>0</v>
      </c>
      <c r="H62">
        <v>0</v>
      </c>
      <c r="I62">
        <v>20</v>
      </c>
      <c r="J62">
        <v>20</v>
      </c>
      <c r="K62">
        <v>0</v>
      </c>
      <c r="L62">
        <v>1</v>
      </c>
    </row>
    <row r="63" spans="1:12" x14ac:dyDescent="0.3">
      <c r="A63" t="s">
        <v>18</v>
      </c>
      <c r="B63">
        <v>1</v>
      </c>
      <c r="C63" t="s">
        <v>25</v>
      </c>
      <c r="D63" t="s">
        <v>91</v>
      </c>
      <c r="E63" t="s">
        <v>92</v>
      </c>
      <c r="F63">
        <v>0</v>
      </c>
      <c r="G63">
        <v>0</v>
      </c>
      <c r="H63">
        <v>0</v>
      </c>
      <c r="I63">
        <v>20</v>
      </c>
      <c r="J63">
        <v>20</v>
      </c>
      <c r="K63">
        <v>0</v>
      </c>
      <c r="L63">
        <v>1</v>
      </c>
    </row>
    <row r="64" spans="1:12" x14ac:dyDescent="0.3">
      <c r="A64" t="s">
        <v>18</v>
      </c>
      <c r="B64">
        <v>1</v>
      </c>
      <c r="C64" t="s">
        <v>25</v>
      </c>
      <c r="D64" t="s">
        <v>93</v>
      </c>
      <c r="E64" t="s">
        <v>94</v>
      </c>
      <c r="F64">
        <v>0</v>
      </c>
      <c r="G64">
        <v>0</v>
      </c>
      <c r="H64">
        <v>0</v>
      </c>
      <c r="I64">
        <v>20</v>
      </c>
      <c r="J64">
        <v>20</v>
      </c>
      <c r="K64">
        <v>0</v>
      </c>
      <c r="L64">
        <v>1</v>
      </c>
    </row>
    <row r="65" spans="1:12" x14ac:dyDescent="0.3">
      <c r="A65" t="s">
        <v>18</v>
      </c>
      <c r="B65">
        <v>1</v>
      </c>
      <c r="C65" t="s">
        <v>25</v>
      </c>
      <c r="D65" t="s">
        <v>95</v>
      </c>
      <c r="E65" t="s">
        <v>96</v>
      </c>
      <c r="F65">
        <v>0</v>
      </c>
      <c r="G65">
        <v>0</v>
      </c>
      <c r="H65">
        <v>0</v>
      </c>
      <c r="I65">
        <v>20</v>
      </c>
      <c r="J65">
        <v>20</v>
      </c>
      <c r="K65">
        <v>0</v>
      </c>
      <c r="L65">
        <v>1</v>
      </c>
    </row>
    <row r="66" spans="1:12" x14ac:dyDescent="0.3">
      <c r="A66" t="s">
        <v>18</v>
      </c>
      <c r="B66">
        <v>1</v>
      </c>
      <c r="C66" t="s">
        <v>25</v>
      </c>
      <c r="D66" t="s">
        <v>97</v>
      </c>
      <c r="E66" t="s">
        <v>98</v>
      </c>
      <c r="F66">
        <v>0</v>
      </c>
      <c r="G66">
        <v>0</v>
      </c>
      <c r="H66">
        <v>0</v>
      </c>
      <c r="I66">
        <v>20</v>
      </c>
      <c r="J66">
        <v>20</v>
      </c>
      <c r="K66">
        <v>0</v>
      </c>
      <c r="L66">
        <v>1</v>
      </c>
    </row>
    <row r="67" spans="1:12" x14ac:dyDescent="0.3">
      <c r="A67" t="s">
        <v>18</v>
      </c>
      <c r="B67">
        <v>1</v>
      </c>
      <c r="C67" t="s">
        <v>25</v>
      </c>
      <c r="D67" t="s">
        <v>99</v>
      </c>
      <c r="E67" t="s">
        <v>100</v>
      </c>
      <c r="F67">
        <v>0</v>
      </c>
      <c r="G67">
        <v>0</v>
      </c>
      <c r="H67">
        <v>0</v>
      </c>
      <c r="I67">
        <v>20</v>
      </c>
      <c r="J67">
        <v>20</v>
      </c>
      <c r="K67">
        <v>0</v>
      </c>
      <c r="L67">
        <v>1</v>
      </c>
    </row>
    <row r="68" spans="1:12" x14ac:dyDescent="0.3">
      <c r="A68" t="s">
        <v>18</v>
      </c>
      <c r="B68">
        <v>1</v>
      </c>
      <c r="C68" t="s">
        <v>25</v>
      </c>
      <c r="D68" t="s">
        <v>101</v>
      </c>
      <c r="E68" t="s">
        <v>102</v>
      </c>
      <c r="F68">
        <v>0</v>
      </c>
      <c r="G68">
        <v>0</v>
      </c>
      <c r="H68">
        <v>2</v>
      </c>
      <c r="I68">
        <v>18</v>
      </c>
      <c r="J68">
        <v>20</v>
      </c>
      <c r="K68">
        <v>0</v>
      </c>
      <c r="L68">
        <v>1</v>
      </c>
    </row>
    <row r="69" spans="1:12" x14ac:dyDescent="0.3">
      <c r="A69" t="s">
        <v>18</v>
      </c>
      <c r="B69">
        <v>1</v>
      </c>
      <c r="C69" t="s">
        <v>25</v>
      </c>
      <c r="D69" t="s">
        <v>103</v>
      </c>
      <c r="E69" t="s">
        <v>104</v>
      </c>
      <c r="F69">
        <v>0</v>
      </c>
      <c r="G69">
        <v>0</v>
      </c>
      <c r="H69">
        <v>0</v>
      </c>
      <c r="I69">
        <v>20</v>
      </c>
      <c r="J69">
        <v>20</v>
      </c>
      <c r="K69">
        <v>0</v>
      </c>
      <c r="L69">
        <v>1</v>
      </c>
    </row>
    <row r="70" spans="1:12" x14ac:dyDescent="0.3">
      <c r="A70" t="s">
        <v>18</v>
      </c>
      <c r="B70">
        <v>1</v>
      </c>
      <c r="C70" t="s">
        <v>25</v>
      </c>
      <c r="D70" t="s">
        <v>105</v>
      </c>
      <c r="E70" t="s">
        <v>106</v>
      </c>
      <c r="F70">
        <v>0</v>
      </c>
      <c r="G70">
        <v>0</v>
      </c>
      <c r="H70">
        <v>0</v>
      </c>
      <c r="I70">
        <v>20</v>
      </c>
      <c r="J70">
        <v>20</v>
      </c>
      <c r="K70">
        <v>0</v>
      </c>
      <c r="L70">
        <v>1</v>
      </c>
    </row>
    <row r="71" spans="1:12" x14ac:dyDescent="0.3">
      <c r="A71" t="s">
        <v>18</v>
      </c>
      <c r="B71">
        <v>1</v>
      </c>
      <c r="C71" t="s">
        <v>25</v>
      </c>
      <c r="D71" t="s">
        <v>107</v>
      </c>
      <c r="E71" t="s">
        <v>108</v>
      </c>
      <c r="F71">
        <v>9</v>
      </c>
      <c r="G71">
        <v>0</v>
      </c>
      <c r="H71">
        <v>1</v>
      </c>
      <c r="I71">
        <v>10</v>
      </c>
      <c r="J71">
        <v>11</v>
      </c>
      <c r="K71">
        <v>0</v>
      </c>
      <c r="L71">
        <v>1</v>
      </c>
    </row>
    <row r="72" spans="1:12" x14ac:dyDescent="0.3">
      <c r="A72" t="s">
        <v>18</v>
      </c>
      <c r="B72">
        <v>1</v>
      </c>
      <c r="C72" t="s">
        <v>25</v>
      </c>
      <c r="D72" t="s">
        <v>111</v>
      </c>
      <c r="E72" t="s">
        <v>112</v>
      </c>
      <c r="F72">
        <v>0</v>
      </c>
      <c r="G72">
        <v>1</v>
      </c>
      <c r="H72">
        <v>0</v>
      </c>
      <c r="I72">
        <v>19</v>
      </c>
      <c r="J72">
        <v>20</v>
      </c>
      <c r="K72">
        <v>0.05</v>
      </c>
      <c r="L72">
        <v>0.95</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5"/>
  <sheetViews>
    <sheetView workbookViewId="0">
      <selection activeCell="D5" sqref="D5"/>
    </sheetView>
  </sheetViews>
  <sheetFormatPr defaultRowHeight="14.4" x14ac:dyDescent="0.3"/>
  <cols>
    <col min="1" max="1" width="8.6640625" bestFit="1" customWidth="1"/>
    <col min="2" max="2" width="7.109375" bestFit="1" customWidth="1"/>
    <col min="3" max="3" width="7.6640625" bestFit="1" customWidth="1"/>
    <col min="4" max="4" width="21" bestFit="1" customWidth="1"/>
    <col min="5" max="5" width="18.109375" bestFit="1" customWidth="1"/>
    <col min="6" max="6" width="20.44140625" bestFit="1" customWidth="1"/>
    <col min="7" max="7" width="21" bestFit="1" customWidth="1"/>
  </cols>
  <sheetData>
    <row r="1" spans="1:7" x14ac:dyDescent="0.3">
      <c r="A1" s="1" t="s">
        <v>0</v>
      </c>
      <c r="B1" s="1" t="s">
        <v>1</v>
      </c>
      <c r="C1" s="1" t="s">
        <v>4</v>
      </c>
      <c r="D1" s="1" t="s">
        <v>131</v>
      </c>
      <c r="E1" s="1" t="s">
        <v>132</v>
      </c>
      <c r="F1" s="1" t="s">
        <v>133</v>
      </c>
      <c r="G1" s="1" t="s">
        <v>134</v>
      </c>
    </row>
    <row r="2" spans="1:7" x14ac:dyDescent="0.3">
      <c r="A2" t="s">
        <v>18</v>
      </c>
      <c r="B2">
        <v>1</v>
      </c>
      <c r="C2" t="s">
        <v>21</v>
      </c>
      <c r="D2">
        <v>360</v>
      </c>
      <c r="E2">
        <v>354</v>
      </c>
      <c r="F2">
        <v>6</v>
      </c>
      <c r="G2">
        <v>0.98333333333333328</v>
      </c>
    </row>
    <row r="3" spans="1:7" x14ac:dyDescent="0.3">
      <c r="A3" t="s">
        <v>18</v>
      </c>
      <c r="B3">
        <v>1</v>
      </c>
      <c r="C3" t="s">
        <v>23</v>
      </c>
      <c r="D3">
        <v>360</v>
      </c>
      <c r="E3">
        <v>338</v>
      </c>
      <c r="F3">
        <v>22</v>
      </c>
      <c r="G3">
        <v>0.93888888888888888</v>
      </c>
    </row>
    <row r="4" spans="1:7" x14ac:dyDescent="0.3">
      <c r="A4" t="s">
        <v>18</v>
      </c>
      <c r="B4">
        <v>1</v>
      </c>
      <c r="C4" t="s">
        <v>24</v>
      </c>
      <c r="D4">
        <v>360</v>
      </c>
      <c r="E4">
        <v>330</v>
      </c>
      <c r="F4">
        <v>30</v>
      </c>
      <c r="G4">
        <v>0.91666666666666663</v>
      </c>
    </row>
    <row r="5" spans="1:7" x14ac:dyDescent="0.3">
      <c r="A5" t="s">
        <v>18</v>
      </c>
      <c r="B5">
        <v>1</v>
      </c>
      <c r="C5" t="s">
        <v>25</v>
      </c>
      <c r="D5">
        <v>340</v>
      </c>
      <c r="E5">
        <v>330</v>
      </c>
      <c r="F5">
        <v>10</v>
      </c>
      <c r="G5">
        <v>0.97058823529411764</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800D6-5AD6-4B58-B4FD-6371814FA239}">
  <dimension ref="A1:I6"/>
  <sheetViews>
    <sheetView zoomScaleNormal="100" workbookViewId="0">
      <selection activeCell="P22" sqref="P22"/>
    </sheetView>
  </sheetViews>
  <sheetFormatPr defaultRowHeight="14.4" x14ac:dyDescent="0.3"/>
  <cols>
    <col min="1" max="1" width="14.88671875" customWidth="1"/>
    <col min="2" max="2" width="19.77734375" customWidth="1"/>
    <col min="3" max="3" width="15.5546875" customWidth="1"/>
    <col min="4" max="4" width="23.109375" customWidth="1"/>
  </cols>
  <sheetData>
    <row r="1" spans="1:9" ht="15.6" x14ac:dyDescent="0.3">
      <c r="A1" s="28" t="s">
        <v>482</v>
      </c>
      <c r="B1" s="29"/>
      <c r="C1" s="29"/>
      <c r="D1" s="29"/>
      <c r="G1" s="20"/>
      <c r="H1" s="20"/>
      <c r="I1" s="20"/>
    </row>
    <row r="2" spans="1:9" ht="15.6" x14ac:dyDescent="0.3">
      <c r="A2" s="17" t="s">
        <v>4</v>
      </c>
      <c r="B2" s="17" t="s">
        <v>130</v>
      </c>
      <c r="C2" s="17" t="s">
        <v>475</v>
      </c>
      <c r="D2" s="17" t="s">
        <v>134</v>
      </c>
    </row>
    <row r="3" spans="1:9" ht="15.6" x14ac:dyDescent="0.3">
      <c r="A3" s="13" t="s">
        <v>21</v>
      </c>
      <c r="B3" s="14">
        <f>_xlfn.XLOOKUP($A3,hallucination_by_model!$C$2:$C$5,hallucination_by_model!$J$2:$J$5,1,0)</f>
        <v>1</v>
      </c>
      <c r="C3" s="14">
        <f>_xlfn.XLOOKUP($A3,stability_by_model!$A$2:$A$5,stability_by_model!$D$2:$D$5,1,0)</f>
        <v>1</v>
      </c>
      <c r="D3" s="14">
        <f>_xlfn.XLOOKUP($A3,human_alignment_by_model!$C$2:$C$5,human_alignment_by_model!$G$2:$G$5,1,0)</f>
        <v>0.98333333333333328</v>
      </c>
    </row>
    <row r="4" spans="1:9" ht="15.6" x14ac:dyDescent="0.3">
      <c r="A4" s="13" t="s">
        <v>23</v>
      </c>
      <c r="B4" s="14">
        <f>_xlfn.XLOOKUP($A4,hallucination_by_model!$C$2:$C$5,hallucination_by_model!$J$2:$J$5,1,0)</f>
        <v>0.99413489736070382</v>
      </c>
      <c r="C4" s="14">
        <f>_xlfn.XLOOKUP($A4,stability_by_model!$A$2:$A$5,stability_by_model!$D$2:$D$5,1,0)</f>
        <v>0.95</v>
      </c>
      <c r="D4" s="14">
        <f>_xlfn.XLOOKUP($A4,human_alignment_by_model!$C$2:$C$5,human_alignment_by_model!$G$2:$G$5,1,0)</f>
        <v>0.93888888888888888</v>
      </c>
    </row>
    <row r="5" spans="1:9" ht="15.6" x14ac:dyDescent="0.3">
      <c r="A5" s="13" t="s">
        <v>25</v>
      </c>
      <c r="B5" s="14">
        <f>_xlfn.XLOOKUP($A5,hallucination_by_model!$C$2:$C$5,hallucination_by_model!$J$2:$J$5,1,0)</f>
        <v>0.99659863945578231</v>
      </c>
      <c r="C5" s="14">
        <f>_xlfn.XLOOKUP($A5,stability_by_model!$A$2:$A$5,stability_by_model!$D$2:$D$5,1,0)</f>
        <v>0.97647058823529409</v>
      </c>
      <c r="D5" s="14">
        <f>_xlfn.XLOOKUP($A5,human_alignment_by_model!$C$2:$C$5,human_alignment_by_model!$G$2:$G$5,1,0)</f>
        <v>0.97058823529411764</v>
      </c>
    </row>
    <row r="6" spans="1:9" ht="15.6" x14ac:dyDescent="0.3">
      <c r="A6" s="13" t="s">
        <v>24</v>
      </c>
      <c r="B6" s="14">
        <f>_xlfn.XLOOKUP($A6,hallucination_by_model!$C$2:$C$5,hallucination_by_model!$J$2:$J$5,1,0)</f>
        <v>0.96894409937888204</v>
      </c>
      <c r="C6" s="14">
        <f>_xlfn.XLOOKUP($A6,stability_by_model!$A$2:$A$5,stability_by_model!$D$2:$D$5,1,0)</f>
        <v>0.96111111111111114</v>
      </c>
      <c r="D6" s="14">
        <f>_xlfn.XLOOKUP($A6,human_alignment_by_model!$C$2:$C$5,human_alignment_by_model!$G$2:$G$5,1,0)</f>
        <v>0.91666666666666663</v>
      </c>
    </row>
  </sheetData>
  <mergeCells count="1">
    <mergeCell ref="A1:D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72"/>
  <sheetViews>
    <sheetView workbookViewId="0">
      <selection activeCell="F8" sqref="F8"/>
    </sheetView>
  </sheetViews>
  <sheetFormatPr defaultRowHeight="14.4" x14ac:dyDescent="0.3"/>
  <cols>
    <col min="1" max="1" width="8.6640625" bestFit="1" customWidth="1"/>
    <col min="2" max="2" width="7.109375" bestFit="1" customWidth="1"/>
    <col min="3" max="3" width="7.6640625" bestFit="1" customWidth="1"/>
    <col min="4" max="4" width="11" bestFit="1" customWidth="1"/>
    <col min="5" max="5" width="37.21875" bestFit="1" customWidth="1"/>
    <col min="6" max="6" width="21" bestFit="1" customWidth="1"/>
    <col min="7" max="7" width="18.109375" bestFit="1" customWidth="1"/>
    <col min="8" max="8" width="20.44140625" bestFit="1" customWidth="1"/>
    <col min="9" max="9" width="21" bestFit="1" customWidth="1"/>
  </cols>
  <sheetData>
    <row r="1" spans="1:9" x14ac:dyDescent="0.3">
      <c r="A1" s="1" t="s">
        <v>0</v>
      </c>
      <c r="B1" s="1" t="s">
        <v>1</v>
      </c>
      <c r="C1" s="1" t="s">
        <v>4</v>
      </c>
      <c r="D1" s="1" t="s">
        <v>73</v>
      </c>
      <c r="E1" s="1" t="s">
        <v>74</v>
      </c>
      <c r="F1" s="1" t="s">
        <v>131</v>
      </c>
      <c r="G1" s="1" t="s">
        <v>132</v>
      </c>
      <c r="H1" s="1" t="s">
        <v>133</v>
      </c>
      <c r="I1" s="1" t="s">
        <v>134</v>
      </c>
    </row>
    <row r="2" spans="1:9" x14ac:dyDescent="0.3">
      <c r="A2" t="s">
        <v>18</v>
      </c>
      <c r="B2">
        <v>1</v>
      </c>
      <c r="C2" t="s">
        <v>21</v>
      </c>
      <c r="D2" t="s">
        <v>77</v>
      </c>
      <c r="E2" t="s">
        <v>78</v>
      </c>
      <c r="F2">
        <v>20</v>
      </c>
      <c r="G2">
        <v>19</v>
      </c>
      <c r="H2">
        <v>1</v>
      </c>
      <c r="I2">
        <v>0.95</v>
      </c>
    </row>
    <row r="3" spans="1:9" x14ac:dyDescent="0.3">
      <c r="A3" t="s">
        <v>18</v>
      </c>
      <c r="B3">
        <v>1</v>
      </c>
      <c r="C3" t="s">
        <v>21</v>
      </c>
      <c r="D3" t="s">
        <v>79</v>
      </c>
      <c r="E3" t="s">
        <v>80</v>
      </c>
      <c r="F3">
        <v>20</v>
      </c>
      <c r="G3">
        <v>20</v>
      </c>
      <c r="H3">
        <v>0</v>
      </c>
      <c r="I3">
        <v>1</v>
      </c>
    </row>
    <row r="4" spans="1:9" x14ac:dyDescent="0.3">
      <c r="A4" t="s">
        <v>18</v>
      </c>
      <c r="B4">
        <v>1</v>
      </c>
      <c r="C4" t="s">
        <v>21</v>
      </c>
      <c r="D4" t="s">
        <v>81</v>
      </c>
      <c r="E4" t="s">
        <v>82</v>
      </c>
      <c r="F4">
        <v>20</v>
      </c>
      <c r="G4">
        <v>20</v>
      </c>
      <c r="H4">
        <v>0</v>
      </c>
      <c r="I4">
        <v>1</v>
      </c>
    </row>
    <row r="5" spans="1:9" x14ac:dyDescent="0.3">
      <c r="A5" t="s">
        <v>18</v>
      </c>
      <c r="B5">
        <v>1</v>
      </c>
      <c r="C5" t="s">
        <v>21</v>
      </c>
      <c r="D5" t="s">
        <v>83</v>
      </c>
      <c r="E5" t="s">
        <v>84</v>
      </c>
      <c r="F5">
        <v>20</v>
      </c>
      <c r="G5">
        <v>20</v>
      </c>
      <c r="H5">
        <v>0</v>
      </c>
      <c r="I5">
        <v>1</v>
      </c>
    </row>
    <row r="6" spans="1:9" x14ac:dyDescent="0.3">
      <c r="A6" t="s">
        <v>18</v>
      </c>
      <c r="B6">
        <v>1</v>
      </c>
      <c r="C6" t="s">
        <v>21</v>
      </c>
      <c r="D6" t="s">
        <v>85</v>
      </c>
      <c r="E6" t="s">
        <v>86</v>
      </c>
      <c r="F6">
        <v>20</v>
      </c>
      <c r="G6">
        <v>20</v>
      </c>
      <c r="H6">
        <v>0</v>
      </c>
      <c r="I6">
        <v>1</v>
      </c>
    </row>
    <row r="7" spans="1:9" x14ac:dyDescent="0.3">
      <c r="A7" t="s">
        <v>18</v>
      </c>
      <c r="B7">
        <v>1</v>
      </c>
      <c r="C7" t="s">
        <v>21</v>
      </c>
      <c r="D7" t="s">
        <v>87</v>
      </c>
      <c r="E7" t="s">
        <v>88</v>
      </c>
      <c r="F7">
        <v>20</v>
      </c>
      <c r="G7">
        <v>20</v>
      </c>
      <c r="H7">
        <v>0</v>
      </c>
      <c r="I7">
        <v>1</v>
      </c>
    </row>
    <row r="8" spans="1:9" x14ac:dyDescent="0.3">
      <c r="A8" t="s">
        <v>18</v>
      </c>
      <c r="B8">
        <v>1</v>
      </c>
      <c r="C8" t="s">
        <v>21</v>
      </c>
      <c r="D8" t="s">
        <v>89</v>
      </c>
      <c r="E8" t="s">
        <v>90</v>
      </c>
      <c r="F8">
        <v>20</v>
      </c>
      <c r="G8">
        <v>20</v>
      </c>
      <c r="H8">
        <v>0</v>
      </c>
      <c r="I8">
        <v>1</v>
      </c>
    </row>
    <row r="9" spans="1:9" x14ac:dyDescent="0.3">
      <c r="A9" t="s">
        <v>18</v>
      </c>
      <c r="B9">
        <v>1</v>
      </c>
      <c r="C9" t="s">
        <v>21</v>
      </c>
      <c r="D9" t="s">
        <v>91</v>
      </c>
      <c r="E9" t="s">
        <v>92</v>
      </c>
      <c r="F9">
        <v>20</v>
      </c>
      <c r="G9">
        <v>20</v>
      </c>
      <c r="H9">
        <v>0</v>
      </c>
      <c r="I9">
        <v>1</v>
      </c>
    </row>
    <row r="10" spans="1:9" x14ac:dyDescent="0.3">
      <c r="A10" t="s">
        <v>18</v>
      </c>
      <c r="B10">
        <v>1</v>
      </c>
      <c r="C10" t="s">
        <v>21</v>
      </c>
      <c r="D10" t="s">
        <v>93</v>
      </c>
      <c r="E10" t="s">
        <v>94</v>
      </c>
      <c r="F10">
        <v>20</v>
      </c>
      <c r="G10">
        <v>20</v>
      </c>
      <c r="H10">
        <v>0</v>
      </c>
      <c r="I10">
        <v>1</v>
      </c>
    </row>
    <row r="11" spans="1:9" x14ac:dyDescent="0.3">
      <c r="A11" t="s">
        <v>18</v>
      </c>
      <c r="B11">
        <v>1</v>
      </c>
      <c r="C11" t="s">
        <v>21</v>
      </c>
      <c r="D11" t="s">
        <v>95</v>
      </c>
      <c r="E11" t="s">
        <v>96</v>
      </c>
      <c r="F11">
        <v>20</v>
      </c>
      <c r="G11">
        <v>20</v>
      </c>
      <c r="H11">
        <v>0</v>
      </c>
      <c r="I11">
        <v>1</v>
      </c>
    </row>
    <row r="12" spans="1:9" x14ac:dyDescent="0.3">
      <c r="A12" t="s">
        <v>18</v>
      </c>
      <c r="B12">
        <v>1</v>
      </c>
      <c r="C12" t="s">
        <v>21</v>
      </c>
      <c r="D12" t="s">
        <v>97</v>
      </c>
      <c r="E12" t="s">
        <v>98</v>
      </c>
      <c r="F12">
        <v>20</v>
      </c>
      <c r="G12">
        <v>20</v>
      </c>
      <c r="H12">
        <v>0</v>
      </c>
      <c r="I12">
        <v>1</v>
      </c>
    </row>
    <row r="13" spans="1:9" x14ac:dyDescent="0.3">
      <c r="A13" t="s">
        <v>18</v>
      </c>
      <c r="B13">
        <v>1</v>
      </c>
      <c r="C13" t="s">
        <v>21</v>
      </c>
      <c r="D13" t="s">
        <v>99</v>
      </c>
      <c r="E13" t="s">
        <v>100</v>
      </c>
      <c r="F13">
        <v>20</v>
      </c>
      <c r="G13">
        <v>20</v>
      </c>
      <c r="H13">
        <v>0</v>
      </c>
      <c r="I13">
        <v>1</v>
      </c>
    </row>
    <row r="14" spans="1:9" x14ac:dyDescent="0.3">
      <c r="A14" t="s">
        <v>18</v>
      </c>
      <c r="B14">
        <v>1</v>
      </c>
      <c r="C14" t="s">
        <v>21</v>
      </c>
      <c r="D14" t="s">
        <v>101</v>
      </c>
      <c r="E14" t="s">
        <v>102</v>
      </c>
      <c r="F14">
        <v>20</v>
      </c>
      <c r="G14">
        <v>18</v>
      </c>
      <c r="H14">
        <v>2</v>
      </c>
      <c r="I14">
        <v>0.9</v>
      </c>
    </row>
    <row r="15" spans="1:9" x14ac:dyDescent="0.3">
      <c r="A15" t="s">
        <v>18</v>
      </c>
      <c r="B15">
        <v>1</v>
      </c>
      <c r="C15" t="s">
        <v>21</v>
      </c>
      <c r="D15" t="s">
        <v>103</v>
      </c>
      <c r="E15" t="s">
        <v>104</v>
      </c>
      <c r="F15">
        <v>20</v>
      </c>
      <c r="G15">
        <v>20</v>
      </c>
      <c r="H15">
        <v>0</v>
      </c>
      <c r="I15">
        <v>1</v>
      </c>
    </row>
    <row r="16" spans="1:9" x14ac:dyDescent="0.3">
      <c r="A16" t="s">
        <v>18</v>
      </c>
      <c r="B16">
        <v>1</v>
      </c>
      <c r="C16" t="s">
        <v>21</v>
      </c>
      <c r="D16" t="s">
        <v>105</v>
      </c>
      <c r="E16" t="s">
        <v>106</v>
      </c>
      <c r="F16">
        <v>20</v>
      </c>
      <c r="G16">
        <v>20</v>
      </c>
      <c r="H16">
        <v>0</v>
      </c>
      <c r="I16">
        <v>1</v>
      </c>
    </row>
    <row r="17" spans="1:9" x14ac:dyDescent="0.3">
      <c r="A17" t="s">
        <v>18</v>
      </c>
      <c r="B17">
        <v>1</v>
      </c>
      <c r="C17" t="s">
        <v>21</v>
      </c>
      <c r="D17" t="s">
        <v>107</v>
      </c>
      <c r="E17" t="s">
        <v>108</v>
      </c>
      <c r="F17">
        <v>20</v>
      </c>
      <c r="G17">
        <v>19</v>
      </c>
      <c r="H17">
        <v>1</v>
      </c>
      <c r="I17">
        <v>0.95</v>
      </c>
    </row>
    <row r="18" spans="1:9" x14ac:dyDescent="0.3">
      <c r="A18" t="s">
        <v>18</v>
      </c>
      <c r="B18">
        <v>1</v>
      </c>
      <c r="C18" t="s">
        <v>21</v>
      </c>
      <c r="D18" t="s">
        <v>109</v>
      </c>
      <c r="E18" t="s">
        <v>110</v>
      </c>
      <c r="F18">
        <v>20</v>
      </c>
      <c r="G18">
        <v>18</v>
      </c>
      <c r="H18">
        <v>2</v>
      </c>
      <c r="I18">
        <v>0.9</v>
      </c>
    </row>
    <row r="19" spans="1:9" x14ac:dyDescent="0.3">
      <c r="A19" t="s">
        <v>18</v>
      </c>
      <c r="B19">
        <v>1</v>
      </c>
      <c r="C19" t="s">
        <v>21</v>
      </c>
      <c r="D19" t="s">
        <v>111</v>
      </c>
      <c r="E19" t="s">
        <v>112</v>
      </c>
      <c r="F19">
        <v>20</v>
      </c>
      <c r="G19">
        <v>20</v>
      </c>
      <c r="H19">
        <v>0</v>
      </c>
      <c r="I19">
        <v>1</v>
      </c>
    </row>
    <row r="20" spans="1:9" x14ac:dyDescent="0.3">
      <c r="A20" t="s">
        <v>18</v>
      </c>
      <c r="B20">
        <v>1</v>
      </c>
      <c r="C20" t="s">
        <v>23</v>
      </c>
      <c r="D20" t="s">
        <v>77</v>
      </c>
      <c r="E20" t="s">
        <v>78</v>
      </c>
      <c r="F20">
        <v>20</v>
      </c>
      <c r="G20">
        <v>20</v>
      </c>
      <c r="H20">
        <v>0</v>
      </c>
      <c r="I20">
        <v>1</v>
      </c>
    </row>
    <row r="21" spans="1:9" x14ac:dyDescent="0.3">
      <c r="A21" t="s">
        <v>18</v>
      </c>
      <c r="B21">
        <v>1</v>
      </c>
      <c r="C21" t="s">
        <v>23</v>
      </c>
      <c r="D21" t="s">
        <v>79</v>
      </c>
      <c r="E21" t="s">
        <v>80</v>
      </c>
      <c r="F21">
        <v>20</v>
      </c>
      <c r="G21">
        <v>18</v>
      </c>
      <c r="H21">
        <v>2</v>
      </c>
      <c r="I21">
        <v>0.9</v>
      </c>
    </row>
    <row r="22" spans="1:9" x14ac:dyDescent="0.3">
      <c r="A22" t="s">
        <v>18</v>
      </c>
      <c r="B22">
        <v>1</v>
      </c>
      <c r="C22" t="s">
        <v>23</v>
      </c>
      <c r="D22" t="s">
        <v>81</v>
      </c>
      <c r="E22" t="s">
        <v>82</v>
      </c>
      <c r="F22">
        <v>20</v>
      </c>
      <c r="G22">
        <v>12</v>
      </c>
      <c r="H22">
        <v>8</v>
      </c>
      <c r="I22">
        <v>0.6</v>
      </c>
    </row>
    <row r="23" spans="1:9" x14ac:dyDescent="0.3">
      <c r="A23" t="s">
        <v>18</v>
      </c>
      <c r="B23">
        <v>1</v>
      </c>
      <c r="C23" t="s">
        <v>23</v>
      </c>
      <c r="D23" t="s">
        <v>83</v>
      </c>
      <c r="E23" t="s">
        <v>84</v>
      </c>
      <c r="F23">
        <v>20</v>
      </c>
      <c r="G23">
        <v>18</v>
      </c>
      <c r="H23">
        <v>2</v>
      </c>
      <c r="I23">
        <v>0.9</v>
      </c>
    </row>
    <row r="24" spans="1:9" x14ac:dyDescent="0.3">
      <c r="A24" t="s">
        <v>18</v>
      </c>
      <c r="B24">
        <v>1</v>
      </c>
      <c r="C24" t="s">
        <v>23</v>
      </c>
      <c r="D24" t="s">
        <v>85</v>
      </c>
      <c r="E24" t="s">
        <v>86</v>
      </c>
      <c r="F24">
        <v>20</v>
      </c>
      <c r="G24">
        <v>20</v>
      </c>
      <c r="H24">
        <v>0</v>
      </c>
      <c r="I24">
        <v>1</v>
      </c>
    </row>
    <row r="25" spans="1:9" x14ac:dyDescent="0.3">
      <c r="A25" t="s">
        <v>18</v>
      </c>
      <c r="B25">
        <v>1</v>
      </c>
      <c r="C25" t="s">
        <v>23</v>
      </c>
      <c r="D25" t="s">
        <v>87</v>
      </c>
      <c r="E25" t="s">
        <v>88</v>
      </c>
      <c r="F25">
        <v>20</v>
      </c>
      <c r="G25">
        <v>20</v>
      </c>
      <c r="H25">
        <v>0</v>
      </c>
      <c r="I25">
        <v>1</v>
      </c>
    </row>
    <row r="26" spans="1:9" x14ac:dyDescent="0.3">
      <c r="A26" t="s">
        <v>18</v>
      </c>
      <c r="B26">
        <v>1</v>
      </c>
      <c r="C26" t="s">
        <v>23</v>
      </c>
      <c r="D26" t="s">
        <v>89</v>
      </c>
      <c r="E26" t="s">
        <v>90</v>
      </c>
      <c r="F26">
        <v>20</v>
      </c>
      <c r="G26">
        <v>20</v>
      </c>
      <c r="H26">
        <v>0</v>
      </c>
      <c r="I26">
        <v>1</v>
      </c>
    </row>
    <row r="27" spans="1:9" x14ac:dyDescent="0.3">
      <c r="A27" t="s">
        <v>18</v>
      </c>
      <c r="B27">
        <v>1</v>
      </c>
      <c r="C27" t="s">
        <v>23</v>
      </c>
      <c r="D27" t="s">
        <v>91</v>
      </c>
      <c r="E27" t="s">
        <v>92</v>
      </c>
      <c r="F27">
        <v>20</v>
      </c>
      <c r="G27">
        <v>20</v>
      </c>
      <c r="H27">
        <v>0</v>
      </c>
      <c r="I27">
        <v>1</v>
      </c>
    </row>
    <row r="28" spans="1:9" x14ac:dyDescent="0.3">
      <c r="A28" t="s">
        <v>18</v>
      </c>
      <c r="B28">
        <v>1</v>
      </c>
      <c r="C28" t="s">
        <v>23</v>
      </c>
      <c r="D28" t="s">
        <v>93</v>
      </c>
      <c r="E28" t="s">
        <v>94</v>
      </c>
      <c r="F28">
        <v>20</v>
      </c>
      <c r="G28">
        <v>20</v>
      </c>
      <c r="H28">
        <v>0</v>
      </c>
      <c r="I28">
        <v>1</v>
      </c>
    </row>
    <row r="29" spans="1:9" x14ac:dyDescent="0.3">
      <c r="A29" t="s">
        <v>18</v>
      </c>
      <c r="B29">
        <v>1</v>
      </c>
      <c r="C29" t="s">
        <v>23</v>
      </c>
      <c r="D29" t="s">
        <v>95</v>
      </c>
      <c r="E29" t="s">
        <v>96</v>
      </c>
      <c r="F29">
        <v>20</v>
      </c>
      <c r="G29">
        <v>19</v>
      </c>
      <c r="H29">
        <v>1</v>
      </c>
      <c r="I29">
        <v>0.95</v>
      </c>
    </row>
    <row r="30" spans="1:9" x14ac:dyDescent="0.3">
      <c r="A30" t="s">
        <v>18</v>
      </c>
      <c r="B30">
        <v>1</v>
      </c>
      <c r="C30" t="s">
        <v>23</v>
      </c>
      <c r="D30" t="s">
        <v>97</v>
      </c>
      <c r="E30" t="s">
        <v>98</v>
      </c>
      <c r="F30">
        <v>20</v>
      </c>
      <c r="G30">
        <v>20</v>
      </c>
      <c r="H30">
        <v>0</v>
      </c>
      <c r="I30">
        <v>1</v>
      </c>
    </row>
    <row r="31" spans="1:9" x14ac:dyDescent="0.3">
      <c r="A31" t="s">
        <v>18</v>
      </c>
      <c r="B31">
        <v>1</v>
      </c>
      <c r="C31" t="s">
        <v>23</v>
      </c>
      <c r="D31" t="s">
        <v>99</v>
      </c>
      <c r="E31" t="s">
        <v>100</v>
      </c>
      <c r="F31">
        <v>20</v>
      </c>
      <c r="G31">
        <v>18</v>
      </c>
      <c r="H31">
        <v>2</v>
      </c>
      <c r="I31">
        <v>0.9</v>
      </c>
    </row>
    <row r="32" spans="1:9" x14ac:dyDescent="0.3">
      <c r="A32" t="s">
        <v>18</v>
      </c>
      <c r="B32">
        <v>1</v>
      </c>
      <c r="C32" t="s">
        <v>23</v>
      </c>
      <c r="D32" t="s">
        <v>101</v>
      </c>
      <c r="E32" t="s">
        <v>102</v>
      </c>
      <c r="F32">
        <v>20</v>
      </c>
      <c r="G32">
        <v>17</v>
      </c>
      <c r="H32">
        <v>3</v>
      </c>
      <c r="I32">
        <v>0.85</v>
      </c>
    </row>
    <row r="33" spans="1:9" x14ac:dyDescent="0.3">
      <c r="A33" t="s">
        <v>18</v>
      </c>
      <c r="B33">
        <v>1</v>
      </c>
      <c r="C33" t="s">
        <v>23</v>
      </c>
      <c r="D33" t="s">
        <v>103</v>
      </c>
      <c r="E33" t="s">
        <v>104</v>
      </c>
      <c r="F33">
        <v>20</v>
      </c>
      <c r="G33">
        <v>20</v>
      </c>
      <c r="H33">
        <v>0</v>
      </c>
      <c r="I33">
        <v>1</v>
      </c>
    </row>
    <row r="34" spans="1:9" x14ac:dyDescent="0.3">
      <c r="A34" t="s">
        <v>18</v>
      </c>
      <c r="B34">
        <v>1</v>
      </c>
      <c r="C34" t="s">
        <v>23</v>
      </c>
      <c r="D34" t="s">
        <v>105</v>
      </c>
      <c r="E34" t="s">
        <v>106</v>
      </c>
      <c r="F34">
        <v>20</v>
      </c>
      <c r="G34">
        <v>19</v>
      </c>
      <c r="H34">
        <v>1</v>
      </c>
      <c r="I34">
        <v>0.95</v>
      </c>
    </row>
    <row r="35" spans="1:9" x14ac:dyDescent="0.3">
      <c r="A35" t="s">
        <v>18</v>
      </c>
      <c r="B35">
        <v>1</v>
      </c>
      <c r="C35" t="s">
        <v>23</v>
      </c>
      <c r="D35" t="s">
        <v>107</v>
      </c>
      <c r="E35" t="s">
        <v>108</v>
      </c>
      <c r="F35">
        <v>20</v>
      </c>
      <c r="G35">
        <v>18</v>
      </c>
      <c r="H35">
        <v>2</v>
      </c>
      <c r="I35">
        <v>0.9</v>
      </c>
    </row>
    <row r="36" spans="1:9" x14ac:dyDescent="0.3">
      <c r="A36" t="s">
        <v>18</v>
      </c>
      <c r="B36">
        <v>1</v>
      </c>
      <c r="C36" t="s">
        <v>23</v>
      </c>
      <c r="D36" t="s">
        <v>109</v>
      </c>
      <c r="E36" t="s">
        <v>110</v>
      </c>
      <c r="F36">
        <v>20</v>
      </c>
      <c r="G36">
        <v>20</v>
      </c>
      <c r="H36">
        <v>0</v>
      </c>
      <c r="I36">
        <v>1</v>
      </c>
    </row>
    <row r="37" spans="1:9" x14ac:dyDescent="0.3">
      <c r="A37" t="s">
        <v>18</v>
      </c>
      <c r="B37">
        <v>1</v>
      </c>
      <c r="C37" t="s">
        <v>23</v>
      </c>
      <c r="D37" t="s">
        <v>111</v>
      </c>
      <c r="E37" t="s">
        <v>112</v>
      </c>
      <c r="F37">
        <v>20</v>
      </c>
      <c r="G37">
        <v>19</v>
      </c>
      <c r="H37">
        <v>1</v>
      </c>
      <c r="I37">
        <v>0.95</v>
      </c>
    </row>
    <row r="38" spans="1:9" x14ac:dyDescent="0.3">
      <c r="A38" t="s">
        <v>18</v>
      </c>
      <c r="B38">
        <v>1</v>
      </c>
      <c r="C38" t="s">
        <v>24</v>
      </c>
      <c r="D38" t="s">
        <v>77</v>
      </c>
      <c r="E38" t="s">
        <v>78</v>
      </c>
      <c r="F38">
        <v>20</v>
      </c>
      <c r="G38">
        <v>20</v>
      </c>
      <c r="H38">
        <v>0</v>
      </c>
      <c r="I38">
        <v>1</v>
      </c>
    </row>
    <row r="39" spans="1:9" x14ac:dyDescent="0.3">
      <c r="A39" t="s">
        <v>18</v>
      </c>
      <c r="B39">
        <v>1</v>
      </c>
      <c r="C39" t="s">
        <v>24</v>
      </c>
      <c r="D39" t="s">
        <v>79</v>
      </c>
      <c r="E39" t="s">
        <v>80</v>
      </c>
      <c r="F39">
        <v>20</v>
      </c>
      <c r="G39">
        <v>20</v>
      </c>
      <c r="H39">
        <v>0</v>
      </c>
      <c r="I39">
        <v>1</v>
      </c>
    </row>
    <row r="40" spans="1:9" x14ac:dyDescent="0.3">
      <c r="A40" t="s">
        <v>18</v>
      </c>
      <c r="B40">
        <v>1</v>
      </c>
      <c r="C40" t="s">
        <v>24</v>
      </c>
      <c r="D40" t="s">
        <v>81</v>
      </c>
      <c r="E40" t="s">
        <v>82</v>
      </c>
      <c r="F40">
        <v>20</v>
      </c>
      <c r="G40">
        <v>16</v>
      </c>
      <c r="H40">
        <v>4</v>
      </c>
      <c r="I40">
        <v>0.8</v>
      </c>
    </row>
    <row r="41" spans="1:9" x14ac:dyDescent="0.3">
      <c r="A41" t="s">
        <v>18</v>
      </c>
      <c r="B41">
        <v>1</v>
      </c>
      <c r="C41" t="s">
        <v>24</v>
      </c>
      <c r="D41" t="s">
        <v>83</v>
      </c>
      <c r="E41" t="s">
        <v>84</v>
      </c>
      <c r="F41">
        <v>20</v>
      </c>
      <c r="G41">
        <v>13</v>
      </c>
      <c r="H41">
        <v>7</v>
      </c>
      <c r="I41">
        <v>0.65</v>
      </c>
    </row>
    <row r="42" spans="1:9" x14ac:dyDescent="0.3">
      <c r="A42" t="s">
        <v>18</v>
      </c>
      <c r="B42">
        <v>1</v>
      </c>
      <c r="C42" t="s">
        <v>24</v>
      </c>
      <c r="D42" t="s">
        <v>85</v>
      </c>
      <c r="E42" t="s">
        <v>86</v>
      </c>
      <c r="F42">
        <v>20</v>
      </c>
      <c r="G42">
        <v>20</v>
      </c>
      <c r="H42">
        <v>0</v>
      </c>
      <c r="I42">
        <v>1</v>
      </c>
    </row>
    <row r="43" spans="1:9" x14ac:dyDescent="0.3">
      <c r="A43" t="s">
        <v>18</v>
      </c>
      <c r="B43">
        <v>1</v>
      </c>
      <c r="C43" t="s">
        <v>24</v>
      </c>
      <c r="D43" t="s">
        <v>87</v>
      </c>
      <c r="E43" t="s">
        <v>88</v>
      </c>
      <c r="F43">
        <v>20</v>
      </c>
      <c r="G43">
        <v>20</v>
      </c>
      <c r="H43">
        <v>0</v>
      </c>
      <c r="I43">
        <v>1</v>
      </c>
    </row>
    <row r="44" spans="1:9" x14ac:dyDescent="0.3">
      <c r="A44" t="s">
        <v>18</v>
      </c>
      <c r="B44">
        <v>1</v>
      </c>
      <c r="C44" t="s">
        <v>24</v>
      </c>
      <c r="D44" t="s">
        <v>89</v>
      </c>
      <c r="E44" t="s">
        <v>90</v>
      </c>
      <c r="F44">
        <v>20</v>
      </c>
      <c r="G44">
        <v>20</v>
      </c>
      <c r="H44">
        <v>0</v>
      </c>
      <c r="I44">
        <v>1</v>
      </c>
    </row>
    <row r="45" spans="1:9" x14ac:dyDescent="0.3">
      <c r="A45" t="s">
        <v>18</v>
      </c>
      <c r="B45">
        <v>1</v>
      </c>
      <c r="C45" t="s">
        <v>24</v>
      </c>
      <c r="D45" t="s">
        <v>91</v>
      </c>
      <c r="E45" t="s">
        <v>92</v>
      </c>
      <c r="F45">
        <v>20</v>
      </c>
      <c r="G45">
        <v>20</v>
      </c>
      <c r="H45">
        <v>0</v>
      </c>
      <c r="I45">
        <v>1</v>
      </c>
    </row>
    <row r="46" spans="1:9" x14ac:dyDescent="0.3">
      <c r="A46" t="s">
        <v>18</v>
      </c>
      <c r="B46">
        <v>1</v>
      </c>
      <c r="C46" t="s">
        <v>24</v>
      </c>
      <c r="D46" t="s">
        <v>93</v>
      </c>
      <c r="E46" t="s">
        <v>94</v>
      </c>
      <c r="F46">
        <v>20</v>
      </c>
      <c r="G46">
        <v>19</v>
      </c>
      <c r="H46">
        <v>1</v>
      </c>
      <c r="I46">
        <v>0.95</v>
      </c>
    </row>
    <row r="47" spans="1:9" x14ac:dyDescent="0.3">
      <c r="A47" t="s">
        <v>18</v>
      </c>
      <c r="B47">
        <v>1</v>
      </c>
      <c r="C47" t="s">
        <v>24</v>
      </c>
      <c r="D47" t="s">
        <v>95</v>
      </c>
      <c r="E47" t="s">
        <v>96</v>
      </c>
      <c r="F47">
        <v>20</v>
      </c>
      <c r="G47">
        <v>17</v>
      </c>
      <c r="H47">
        <v>3</v>
      </c>
      <c r="I47">
        <v>0.85</v>
      </c>
    </row>
    <row r="48" spans="1:9" x14ac:dyDescent="0.3">
      <c r="A48" t="s">
        <v>18</v>
      </c>
      <c r="B48">
        <v>1</v>
      </c>
      <c r="C48" t="s">
        <v>24</v>
      </c>
      <c r="D48" t="s">
        <v>97</v>
      </c>
      <c r="E48" t="s">
        <v>98</v>
      </c>
      <c r="F48">
        <v>20</v>
      </c>
      <c r="G48">
        <v>17</v>
      </c>
      <c r="H48">
        <v>3</v>
      </c>
      <c r="I48">
        <v>0.85</v>
      </c>
    </row>
    <row r="49" spans="1:9" x14ac:dyDescent="0.3">
      <c r="A49" t="s">
        <v>18</v>
      </c>
      <c r="B49">
        <v>1</v>
      </c>
      <c r="C49" t="s">
        <v>24</v>
      </c>
      <c r="D49" t="s">
        <v>99</v>
      </c>
      <c r="E49" t="s">
        <v>100</v>
      </c>
      <c r="F49">
        <v>20</v>
      </c>
      <c r="G49">
        <v>16</v>
      </c>
      <c r="H49">
        <v>4</v>
      </c>
      <c r="I49">
        <v>0.8</v>
      </c>
    </row>
    <row r="50" spans="1:9" x14ac:dyDescent="0.3">
      <c r="A50" t="s">
        <v>18</v>
      </c>
      <c r="B50">
        <v>1</v>
      </c>
      <c r="C50" t="s">
        <v>24</v>
      </c>
      <c r="D50" t="s">
        <v>101</v>
      </c>
      <c r="E50" t="s">
        <v>102</v>
      </c>
      <c r="F50">
        <v>20</v>
      </c>
      <c r="G50">
        <v>17</v>
      </c>
      <c r="H50">
        <v>3</v>
      </c>
      <c r="I50">
        <v>0.85</v>
      </c>
    </row>
    <row r="51" spans="1:9" x14ac:dyDescent="0.3">
      <c r="A51" t="s">
        <v>18</v>
      </c>
      <c r="B51">
        <v>1</v>
      </c>
      <c r="C51" t="s">
        <v>24</v>
      </c>
      <c r="D51" t="s">
        <v>103</v>
      </c>
      <c r="E51" t="s">
        <v>104</v>
      </c>
      <c r="F51">
        <v>20</v>
      </c>
      <c r="G51">
        <v>20</v>
      </c>
      <c r="H51">
        <v>0</v>
      </c>
      <c r="I51">
        <v>1</v>
      </c>
    </row>
    <row r="52" spans="1:9" x14ac:dyDescent="0.3">
      <c r="A52" t="s">
        <v>18</v>
      </c>
      <c r="B52">
        <v>1</v>
      </c>
      <c r="C52" t="s">
        <v>24</v>
      </c>
      <c r="D52" t="s">
        <v>105</v>
      </c>
      <c r="E52" t="s">
        <v>106</v>
      </c>
      <c r="F52">
        <v>20</v>
      </c>
      <c r="G52">
        <v>20</v>
      </c>
      <c r="H52">
        <v>0</v>
      </c>
      <c r="I52">
        <v>1</v>
      </c>
    </row>
    <row r="53" spans="1:9" x14ac:dyDescent="0.3">
      <c r="A53" t="s">
        <v>18</v>
      </c>
      <c r="B53">
        <v>1</v>
      </c>
      <c r="C53" t="s">
        <v>24</v>
      </c>
      <c r="D53" t="s">
        <v>107</v>
      </c>
      <c r="E53" t="s">
        <v>108</v>
      </c>
      <c r="F53">
        <v>20</v>
      </c>
      <c r="G53">
        <v>19</v>
      </c>
      <c r="H53">
        <v>1</v>
      </c>
      <c r="I53">
        <v>0.95</v>
      </c>
    </row>
    <row r="54" spans="1:9" x14ac:dyDescent="0.3">
      <c r="A54" t="s">
        <v>18</v>
      </c>
      <c r="B54">
        <v>1</v>
      </c>
      <c r="C54" t="s">
        <v>24</v>
      </c>
      <c r="D54" t="s">
        <v>109</v>
      </c>
      <c r="E54" t="s">
        <v>110</v>
      </c>
      <c r="F54">
        <v>20</v>
      </c>
      <c r="G54">
        <v>17</v>
      </c>
      <c r="H54">
        <v>3</v>
      </c>
      <c r="I54">
        <v>0.85</v>
      </c>
    </row>
    <row r="55" spans="1:9" x14ac:dyDescent="0.3">
      <c r="A55" t="s">
        <v>18</v>
      </c>
      <c r="B55">
        <v>1</v>
      </c>
      <c r="C55" t="s">
        <v>24</v>
      </c>
      <c r="D55" t="s">
        <v>111</v>
      </c>
      <c r="E55" t="s">
        <v>112</v>
      </c>
      <c r="F55">
        <v>20</v>
      </c>
      <c r="G55">
        <v>19</v>
      </c>
      <c r="H55">
        <v>1</v>
      </c>
      <c r="I55">
        <v>0.95</v>
      </c>
    </row>
    <row r="56" spans="1:9" x14ac:dyDescent="0.3">
      <c r="A56" t="s">
        <v>18</v>
      </c>
      <c r="B56">
        <v>1</v>
      </c>
      <c r="C56" t="s">
        <v>25</v>
      </c>
      <c r="D56" t="s">
        <v>77</v>
      </c>
      <c r="E56" t="s">
        <v>78</v>
      </c>
      <c r="F56">
        <v>20</v>
      </c>
      <c r="G56">
        <v>19</v>
      </c>
      <c r="H56">
        <v>1</v>
      </c>
      <c r="I56">
        <v>0.95</v>
      </c>
    </row>
    <row r="57" spans="1:9" x14ac:dyDescent="0.3">
      <c r="A57" t="s">
        <v>18</v>
      </c>
      <c r="B57">
        <v>1</v>
      </c>
      <c r="C57" t="s">
        <v>25</v>
      </c>
      <c r="D57" t="s">
        <v>79</v>
      </c>
      <c r="E57" t="s">
        <v>80</v>
      </c>
      <c r="F57">
        <v>20</v>
      </c>
      <c r="G57">
        <v>20</v>
      </c>
      <c r="H57">
        <v>0</v>
      </c>
      <c r="I57">
        <v>1</v>
      </c>
    </row>
    <row r="58" spans="1:9" x14ac:dyDescent="0.3">
      <c r="A58" t="s">
        <v>18</v>
      </c>
      <c r="B58">
        <v>1</v>
      </c>
      <c r="C58" t="s">
        <v>25</v>
      </c>
      <c r="D58" t="s">
        <v>81</v>
      </c>
      <c r="E58" t="s">
        <v>82</v>
      </c>
      <c r="F58">
        <v>20</v>
      </c>
      <c r="G58">
        <v>14</v>
      </c>
      <c r="H58">
        <v>6</v>
      </c>
      <c r="I58">
        <v>0.7</v>
      </c>
    </row>
    <row r="59" spans="1:9" x14ac:dyDescent="0.3">
      <c r="A59" t="s">
        <v>18</v>
      </c>
      <c r="B59">
        <v>1</v>
      </c>
      <c r="C59" t="s">
        <v>25</v>
      </c>
      <c r="D59" t="s">
        <v>83</v>
      </c>
      <c r="E59" t="s">
        <v>84</v>
      </c>
      <c r="F59">
        <v>20</v>
      </c>
      <c r="G59">
        <v>20</v>
      </c>
      <c r="H59">
        <v>0</v>
      </c>
      <c r="I59">
        <v>1</v>
      </c>
    </row>
    <row r="60" spans="1:9" x14ac:dyDescent="0.3">
      <c r="A60" t="s">
        <v>18</v>
      </c>
      <c r="B60">
        <v>1</v>
      </c>
      <c r="C60" t="s">
        <v>25</v>
      </c>
      <c r="D60" t="s">
        <v>85</v>
      </c>
      <c r="E60" t="s">
        <v>86</v>
      </c>
      <c r="F60">
        <v>20</v>
      </c>
      <c r="G60">
        <v>20</v>
      </c>
      <c r="H60">
        <v>0</v>
      </c>
      <c r="I60">
        <v>1</v>
      </c>
    </row>
    <row r="61" spans="1:9" x14ac:dyDescent="0.3">
      <c r="A61" t="s">
        <v>18</v>
      </c>
      <c r="B61">
        <v>1</v>
      </c>
      <c r="C61" t="s">
        <v>25</v>
      </c>
      <c r="D61" t="s">
        <v>87</v>
      </c>
      <c r="E61" t="s">
        <v>88</v>
      </c>
      <c r="F61">
        <v>20</v>
      </c>
      <c r="G61">
        <v>20</v>
      </c>
      <c r="H61">
        <v>0</v>
      </c>
      <c r="I61">
        <v>1</v>
      </c>
    </row>
    <row r="62" spans="1:9" x14ac:dyDescent="0.3">
      <c r="A62" t="s">
        <v>18</v>
      </c>
      <c r="B62">
        <v>1</v>
      </c>
      <c r="C62" t="s">
        <v>25</v>
      </c>
      <c r="D62" t="s">
        <v>89</v>
      </c>
      <c r="E62" t="s">
        <v>90</v>
      </c>
      <c r="F62">
        <v>20</v>
      </c>
      <c r="G62">
        <v>20</v>
      </c>
      <c r="H62">
        <v>0</v>
      </c>
      <c r="I62">
        <v>1</v>
      </c>
    </row>
    <row r="63" spans="1:9" x14ac:dyDescent="0.3">
      <c r="A63" t="s">
        <v>18</v>
      </c>
      <c r="B63">
        <v>1</v>
      </c>
      <c r="C63" t="s">
        <v>25</v>
      </c>
      <c r="D63" t="s">
        <v>91</v>
      </c>
      <c r="E63" t="s">
        <v>92</v>
      </c>
      <c r="F63">
        <v>20</v>
      </c>
      <c r="G63">
        <v>20</v>
      </c>
      <c r="H63">
        <v>0</v>
      </c>
      <c r="I63">
        <v>1</v>
      </c>
    </row>
    <row r="64" spans="1:9" x14ac:dyDescent="0.3">
      <c r="A64" t="s">
        <v>18</v>
      </c>
      <c r="B64">
        <v>1</v>
      </c>
      <c r="C64" t="s">
        <v>25</v>
      </c>
      <c r="D64" t="s">
        <v>93</v>
      </c>
      <c r="E64" t="s">
        <v>94</v>
      </c>
      <c r="F64">
        <v>20</v>
      </c>
      <c r="G64">
        <v>20</v>
      </c>
      <c r="H64">
        <v>0</v>
      </c>
      <c r="I64">
        <v>1</v>
      </c>
    </row>
    <row r="65" spans="1:9" x14ac:dyDescent="0.3">
      <c r="A65" t="s">
        <v>18</v>
      </c>
      <c r="B65">
        <v>1</v>
      </c>
      <c r="C65" t="s">
        <v>25</v>
      </c>
      <c r="D65" t="s">
        <v>95</v>
      </c>
      <c r="E65" t="s">
        <v>96</v>
      </c>
      <c r="F65">
        <v>20</v>
      </c>
      <c r="G65">
        <v>20</v>
      </c>
      <c r="H65">
        <v>0</v>
      </c>
      <c r="I65">
        <v>1</v>
      </c>
    </row>
    <row r="66" spans="1:9" x14ac:dyDescent="0.3">
      <c r="A66" t="s">
        <v>18</v>
      </c>
      <c r="B66">
        <v>1</v>
      </c>
      <c r="C66" t="s">
        <v>25</v>
      </c>
      <c r="D66" t="s">
        <v>97</v>
      </c>
      <c r="E66" t="s">
        <v>98</v>
      </c>
      <c r="F66">
        <v>20</v>
      </c>
      <c r="G66">
        <v>20</v>
      </c>
      <c r="H66">
        <v>0</v>
      </c>
      <c r="I66">
        <v>1</v>
      </c>
    </row>
    <row r="67" spans="1:9" x14ac:dyDescent="0.3">
      <c r="A67" t="s">
        <v>18</v>
      </c>
      <c r="B67">
        <v>1</v>
      </c>
      <c r="C67" t="s">
        <v>25</v>
      </c>
      <c r="D67" t="s">
        <v>99</v>
      </c>
      <c r="E67" t="s">
        <v>100</v>
      </c>
      <c r="F67">
        <v>20</v>
      </c>
      <c r="G67">
        <v>20</v>
      </c>
      <c r="H67">
        <v>0</v>
      </c>
      <c r="I67">
        <v>1</v>
      </c>
    </row>
    <row r="68" spans="1:9" x14ac:dyDescent="0.3">
      <c r="A68" t="s">
        <v>18</v>
      </c>
      <c r="B68">
        <v>1</v>
      </c>
      <c r="C68" t="s">
        <v>25</v>
      </c>
      <c r="D68" t="s">
        <v>101</v>
      </c>
      <c r="E68" t="s">
        <v>102</v>
      </c>
      <c r="F68">
        <v>20</v>
      </c>
      <c r="G68">
        <v>18</v>
      </c>
      <c r="H68">
        <v>2</v>
      </c>
      <c r="I68">
        <v>0.9</v>
      </c>
    </row>
    <row r="69" spans="1:9" x14ac:dyDescent="0.3">
      <c r="A69" t="s">
        <v>18</v>
      </c>
      <c r="B69">
        <v>1</v>
      </c>
      <c r="C69" t="s">
        <v>25</v>
      </c>
      <c r="D69" t="s">
        <v>103</v>
      </c>
      <c r="E69" t="s">
        <v>104</v>
      </c>
      <c r="F69">
        <v>20</v>
      </c>
      <c r="G69">
        <v>20</v>
      </c>
      <c r="H69">
        <v>0</v>
      </c>
      <c r="I69">
        <v>1</v>
      </c>
    </row>
    <row r="70" spans="1:9" x14ac:dyDescent="0.3">
      <c r="A70" t="s">
        <v>18</v>
      </c>
      <c r="B70">
        <v>1</v>
      </c>
      <c r="C70" t="s">
        <v>25</v>
      </c>
      <c r="D70" t="s">
        <v>105</v>
      </c>
      <c r="E70" t="s">
        <v>106</v>
      </c>
      <c r="F70">
        <v>20</v>
      </c>
      <c r="G70">
        <v>20</v>
      </c>
      <c r="H70">
        <v>0</v>
      </c>
      <c r="I70">
        <v>1</v>
      </c>
    </row>
    <row r="71" spans="1:9" x14ac:dyDescent="0.3">
      <c r="A71" t="s">
        <v>18</v>
      </c>
      <c r="B71">
        <v>1</v>
      </c>
      <c r="C71" t="s">
        <v>25</v>
      </c>
      <c r="D71" t="s">
        <v>107</v>
      </c>
      <c r="E71" t="s">
        <v>108</v>
      </c>
      <c r="F71">
        <v>20</v>
      </c>
      <c r="G71">
        <v>19</v>
      </c>
      <c r="H71">
        <v>1</v>
      </c>
      <c r="I71">
        <v>0.95</v>
      </c>
    </row>
    <row r="72" spans="1:9" x14ac:dyDescent="0.3">
      <c r="A72" t="s">
        <v>18</v>
      </c>
      <c r="B72">
        <v>1</v>
      </c>
      <c r="C72" t="s">
        <v>25</v>
      </c>
      <c r="D72" t="s">
        <v>111</v>
      </c>
      <c r="E72" t="s">
        <v>112</v>
      </c>
      <c r="F72">
        <v>20</v>
      </c>
      <c r="G72">
        <v>20</v>
      </c>
      <c r="H72">
        <v>0</v>
      </c>
      <c r="I72">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
  <sheetViews>
    <sheetView workbookViewId="0">
      <selection activeCell="I25" sqref="I25"/>
    </sheetView>
  </sheetViews>
  <sheetFormatPr defaultRowHeight="14.4" x14ac:dyDescent="0.3"/>
  <cols>
    <col min="1" max="1" width="12.6640625" customWidth="1"/>
    <col min="2" max="2" width="7.109375" bestFit="1" customWidth="1"/>
    <col min="3" max="3" width="7.6640625" bestFit="1" customWidth="1"/>
    <col min="4" max="4" width="16.33203125" bestFit="1" customWidth="1"/>
    <col min="5" max="5" width="17.44140625" bestFit="1" customWidth="1"/>
    <col min="6" max="7" width="21" bestFit="1" customWidth="1"/>
    <col min="8" max="8" width="26.33203125" bestFit="1" customWidth="1"/>
    <col min="9" max="9" width="29.109375" bestFit="1" customWidth="1"/>
  </cols>
  <sheetData>
    <row r="1" spans="1:9" x14ac:dyDescent="0.3">
      <c r="A1" s="1" t="s">
        <v>0</v>
      </c>
      <c r="B1" s="1" t="s">
        <v>1</v>
      </c>
      <c r="C1" s="1" t="s">
        <v>4</v>
      </c>
      <c r="D1" s="1" t="s">
        <v>17</v>
      </c>
      <c r="E1" s="1" t="s">
        <v>130</v>
      </c>
      <c r="F1" s="1" t="s">
        <v>134</v>
      </c>
      <c r="G1" s="1" t="s">
        <v>131</v>
      </c>
      <c r="H1" s="1" t="s">
        <v>135</v>
      </c>
      <c r="I1" s="1" t="s">
        <v>136</v>
      </c>
    </row>
    <row r="2" spans="1:9" x14ac:dyDescent="0.3">
      <c r="A2" t="s">
        <v>18</v>
      </c>
      <c r="B2">
        <v>1</v>
      </c>
      <c r="C2" t="s">
        <v>21</v>
      </c>
      <c r="D2">
        <v>0</v>
      </c>
      <c r="E2">
        <v>1</v>
      </c>
      <c r="F2">
        <v>0.98333333333333328</v>
      </c>
      <c r="G2">
        <v>360</v>
      </c>
      <c r="H2" t="b">
        <v>1</v>
      </c>
    </row>
    <row r="3" spans="1:9" x14ac:dyDescent="0.3">
      <c r="A3" t="s">
        <v>18</v>
      </c>
      <c r="B3">
        <v>1</v>
      </c>
      <c r="C3" t="s">
        <v>23</v>
      </c>
      <c r="D3">
        <v>5.8651026392961877E-3</v>
      </c>
      <c r="E3">
        <v>0.99413489736070382</v>
      </c>
      <c r="F3">
        <v>0.93888888888888888</v>
      </c>
      <c r="G3">
        <v>360</v>
      </c>
      <c r="H3" t="b">
        <v>1</v>
      </c>
    </row>
    <row r="4" spans="1:9" x14ac:dyDescent="0.3">
      <c r="A4" t="s">
        <v>18</v>
      </c>
      <c r="B4">
        <v>1</v>
      </c>
      <c r="C4" t="s">
        <v>24</v>
      </c>
      <c r="D4">
        <v>3.1055900621118009E-2</v>
      </c>
      <c r="E4">
        <v>0.96894409937888204</v>
      </c>
      <c r="F4">
        <v>0.91666666666666663</v>
      </c>
      <c r="G4">
        <v>360</v>
      </c>
      <c r="H4" t="b">
        <v>1</v>
      </c>
    </row>
    <row r="5" spans="1:9" x14ac:dyDescent="0.3">
      <c r="A5" t="s">
        <v>18</v>
      </c>
      <c r="B5">
        <v>1</v>
      </c>
      <c r="C5" t="s">
        <v>25</v>
      </c>
      <c r="D5">
        <v>3.4013605442176869E-3</v>
      </c>
      <c r="E5">
        <v>0.99659863945578231</v>
      </c>
      <c r="F5">
        <v>0.97058823529411764</v>
      </c>
      <c r="G5">
        <v>340</v>
      </c>
      <c r="H5" t="b">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61"/>
  <sheetViews>
    <sheetView workbookViewId="0">
      <selection activeCell="K14" sqref="K14"/>
    </sheetView>
  </sheetViews>
  <sheetFormatPr defaultRowHeight="14.4" x14ac:dyDescent="0.3"/>
  <cols>
    <col min="1" max="1" width="8.6640625" bestFit="1" customWidth="1"/>
    <col min="2" max="2" width="7.109375" bestFit="1" customWidth="1"/>
    <col min="3" max="3" width="12.5546875" bestFit="1" customWidth="1"/>
    <col min="4" max="4" width="14.33203125" bestFit="1" customWidth="1"/>
    <col min="5" max="5" width="7.6640625" bestFit="1" customWidth="1"/>
    <col min="6" max="6" width="11" bestFit="1" customWidth="1"/>
    <col min="7" max="7" width="9" bestFit="1" customWidth="1"/>
    <col min="8" max="8" width="12.44140625" bestFit="1" customWidth="1"/>
    <col min="9" max="9" width="17.88671875" bestFit="1" customWidth="1"/>
    <col min="10" max="10" width="23.5546875" bestFit="1" customWidth="1"/>
    <col min="11" max="11" width="75.6640625" bestFit="1" customWidth="1"/>
    <col min="12" max="12" width="255.77734375" bestFit="1" customWidth="1"/>
  </cols>
  <sheetData>
    <row r="1" spans="1:12" x14ac:dyDescent="0.3">
      <c r="A1" s="1" t="s">
        <v>0</v>
      </c>
      <c r="B1" s="1" t="s">
        <v>1</v>
      </c>
      <c r="C1" s="1" t="s">
        <v>2</v>
      </c>
      <c r="D1" s="1" t="s">
        <v>3</v>
      </c>
      <c r="E1" s="1" t="s">
        <v>4</v>
      </c>
      <c r="F1" s="1" t="s">
        <v>73</v>
      </c>
      <c r="G1" s="1" t="s">
        <v>137</v>
      </c>
      <c r="H1" s="1" t="s">
        <v>138</v>
      </c>
      <c r="I1" s="1" t="s">
        <v>139</v>
      </c>
      <c r="J1" s="1" t="s">
        <v>140</v>
      </c>
      <c r="K1" s="1" t="s">
        <v>141</v>
      </c>
      <c r="L1" s="1" t="s">
        <v>142</v>
      </c>
    </row>
    <row r="2" spans="1:12" x14ac:dyDescent="0.3">
      <c r="A2" t="s">
        <v>18</v>
      </c>
      <c r="B2">
        <v>1</v>
      </c>
      <c r="C2" t="s">
        <v>19</v>
      </c>
      <c r="D2" t="s">
        <v>20</v>
      </c>
      <c r="E2" t="s">
        <v>24</v>
      </c>
      <c r="F2" t="s">
        <v>77</v>
      </c>
      <c r="G2">
        <v>1</v>
      </c>
      <c r="H2">
        <v>1</v>
      </c>
      <c r="I2" t="s">
        <v>129</v>
      </c>
      <c r="J2" t="s">
        <v>129</v>
      </c>
      <c r="K2" t="s">
        <v>143</v>
      </c>
      <c r="L2" t="s">
        <v>144</v>
      </c>
    </row>
    <row r="3" spans="1:12" x14ac:dyDescent="0.3">
      <c r="A3" t="s">
        <v>18</v>
      </c>
      <c r="B3">
        <v>1</v>
      </c>
      <c r="C3" t="s">
        <v>19</v>
      </c>
      <c r="D3" t="s">
        <v>20</v>
      </c>
      <c r="E3" t="s">
        <v>24</v>
      </c>
      <c r="F3" t="s">
        <v>79</v>
      </c>
      <c r="G3">
        <v>0</v>
      </c>
      <c r="H3">
        <v>0</v>
      </c>
      <c r="I3" t="s">
        <v>129</v>
      </c>
      <c r="J3" t="s">
        <v>129</v>
      </c>
      <c r="K3" t="s">
        <v>143</v>
      </c>
      <c r="L3" t="s">
        <v>145</v>
      </c>
    </row>
    <row r="4" spans="1:12" x14ac:dyDescent="0.3">
      <c r="A4" t="s">
        <v>18</v>
      </c>
      <c r="B4">
        <v>1</v>
      </c>
      <c r="C4" t="s">
        <v>19</v>
      </c>
      <c r="D4" t="s">
        <v>20</v>
      </c>
      <c r="E4" t="s">
        <v>24</v>
      </c>
      <c r="F4" t="s">
        <v>83</v>
      </c>
      <c r="G4">
        <v>1</v>
      </c>
      <c r="H4">
        <v>0</v>
      </c>
      <c r="I4" t="s">
        <v>128</v>
      </c>
      <c r="J4" t="s">
        <v>128</v>
      </c>
      <c r="K4" t="s">
        <v>143</v>
      </c>
      <c r="L4" t="s">
        <v>146</v>
      </c>
    </row>
    <row r="5" spans="1:12" x14ac:dyDescent="0.3">
      <c r="A5" t="s">
        <v>18</v>
      </c>
      <c r="B5">
        <v>1</v>
      </c>
      <c r="C5" t="s">
        <v>19</v>
      </c>
      <c r="D5" t="s">
        <v>20</v>
      </c>
      <c r="E5" t="s">
        <v>24</v>
      </c>
      <c r="F5" t="s">
        <v>87</v>
      </c>
      <c r="G5">
        <v>0</v>
      </c>
      <c r="H5">
        <v>0</v>
      </c>
      <c r="I5" t="s">
        <v>127</v>
      </c>
      <c r="J5" t="s">
        <v>127</v>
      </c>
      <c r="K5" t="s">
        <v>147</v>
      </c>
      <c r="L5" t="s">
        <v>148</v>
      </c>
    </row>
    <row r="6" spans="1:12" x14ac:dyDescent="0.3">
      <c r="A6" t="s">
        <v>18</v>
      </c>
      <c r="B6">
        <v>1</v>
      </c>
      <c r="C6" t="s">
        <v>19</v>
      </c>
      <c r="D6" t="s">
        <v>20</v>
      </c>
      <c r="E6" t="s">
        <v>24</v>
      </c>
      <c r="F6" t="s">
        <v>95</v>
      </c>
      <c r="G6">
        <v>0</v>
      </c>
      <c r="H6">
        <v>0</v>
      </c>
      <c r="I6" t="s">
        <v>129</v>
      </c>
      <c r="J6" t="s">
        <v>129</v>
      </c>
      <c r="K6" t="s">
        <v>149</v>
      </c>
      <c r="L6" t="s">
        <v>150</v>
      </c>
    </row>
    <row r="7" spans="1:12" x14ac:dyDescent="0.3">
      <c r="A7" t="s">
        <v>18</v>
      </c>
      <c r="B7">
        <v>1</v>
      </c>
      <c r="C7" t="s">
        <v>19</v>
      </c>
      <c r="D7" t="s">
        <v>20</v>
      </c>
      <c r="E7" t="s">
        <v>24</v>
      </c>
      <c r="F7" t="s">
        <v>99</v>
      </c>
      <c r="G7">
        <v>1</v>
      </c>
      <c r="H7">
        <v>0</v>
      </c>
      <c r="I7" t="s">
        <v>128</v>
      </c>
      <c r="J7" t="s">
        <v>128</v>
      </c>
      <c r="K7" t="s">
        <v>151</v>
      </c>
      <c r="L7" t="s">
        <v>152</v>
      </c>
    </row>
    <row r="8" spans="1:12" x14ac:dyDescent="0.3">
      <c r="A8" t="s">
        <v>18</v>
      </c>
      <c r="B8">
        <v>1</v>
      </c>
      <c r="C8" t="s">
        <v>19</v>
      </c>
      <c r="D8" t="s">
        <v>20</v>
      </c>
      <c r="E8" t="s">
        <v>24</v>
      </c>
      <c r="F8" t="s">
        <v>101</v>
      </c>
      <c r="G8">
        <v>0</v>
      </c>
      <c r="H8">
        <v>0</v>
      </c>
      <c r="I8" t="s">
        <v>129</v>
      </c>
      <c r="J8" t="s">
        <v>129</v>
      </c>
      <c r="K8" t="s">
        <v>153</v>
      </c>
      <c r="L8" t="s">
        <v>154</v>
      </c>
    </row>
    <row r="9" spans="1:12" x14ac:dyDescent="0.3">
      <c r="A9" t="s">
        <v>18</v>
      </c>
      <c r="B9">
        <v>1</v>
      </c>
      <c r="C9" t="s">
        <v>19</v>
      </c>
      <c r="D9" t="s">
        <v>20</v>
      </c>
      <c r="E9" t="s">
        <v>24</v>
      </c>
      <c r="F9" t="s">
        <v>103</v>
      </c>
      <c r="G9">
        <v>0</v>
      </c>
      <c r="H9">
        <v>0</v>
      </c>
      <c r="I9" t="s">
        <v>129</v>
      </c>
      <c r="J9" t="s">
        <v>129</v>
      </c>
      <c r="K9" t="s">
        <v>155</v>
      </c>
      <c r="L9" t="s">
        <v>156</v>
      </c>
    </row>
    <row r="10" spans="1:12" x14ac:dyDescent="0.3">
      <c r="A10" t="s">
        <v>18</v>
      </c>
      <c r="B10">
        <v>1</v>
      </c>
      <c r="C10" t="s">
        <v>19</v>
      </c>
      <c r="D10" t="s">
        <v>20</v>
      </c>
      <c r="E10" t="s">
        <v>24</v>
      </c>
      <c r="F10" t="s">
        <v>109</v>
      </c>
      <c r="G10">
        <v>0</v>
      </c>
      <c r="H10">
        <v>0</v>
      </c>
      <c r="I10" t="s">
        <v>129</v>
      </c>
      <c r="J10" t="s">
        <v>129</v>
      </c>
      <c r="K10" t="s">
        <v>157</v>
      </c>
      <c r="L10" t="s">
        <v>158</v>
      </c>
    </row>
    <row r="11" spans="1:12" x14ac:dyDescent="0.3">
      <c r="A11" t="s">
        <v>18</v>
      </c>
      <c r="B11">
        <v>1</v>
      </c>
      <c r="C11" t="s">
        <v>19</v>
      </c>
      <c r="D11" t="s">
        <v>20</v>
      </c>
      <c r="E11" t="s">
        <v>24</v>
      </c>
      <c r="F11" t="s">
        <v>111</v>
      </c>
      <c r="G11">
        <v>0</v>
      </c>
      <c r="H11">
        <v>0</v>
      </c>
      <c r="I11" t="s">
        <v>129</v>
      </c>
      <c r="J11" t="s">
        <v>129</v>
      </c>
      <c r="K11" t="s">
        <v>159</v>
      </c>
      <c r="L11" t="s">
        <v>160</v>
      </c>
    </row>
    <row r="12" spans="1:12" x14ac:dyDescent="0.3">
      <c r="A12" t="s">
        <v>18</v>
      </c>
      <c r="B12">
        <v>1</v>
      </c>
      <c r="C12" t="s">
        <v>26</v>
      </c>
      <c r="D12" t="s">
        <v>27</v>
      </c>
      <c r="E12" t="s">
        <v>24</v>
      </c>
      <c r="F12" t="s">
        <v>83</v>
      </c>
      <c r="G12">
        <v>1</v>
      </c>
      <c r="H12">
        <v>0</v>
      </c>
      <c r="I12" t="s">
        <v>128</v>
      </c>
      <c r="J12" t="s">
        <v>128</v>
      </c>
      <c r="K12" t="s">
        <v>161</v>
      </c>
      <c r="L12" t="s">
        <v>162</v>
      </c>
    </row>
    <row r="13" spans="1:12" x14ac:dyDescent="0.3">
      <c r="A13" t="s">
        <v>18</v>
      </c>
      <c r="B13">
        <v>1</v>
      </c>
      <c r="C13" t="s">
        <v>26</v>
      </c>
      <c r="D13" t="s">
        <v>27</v>
      </c>
      <c r="E13" t="s">
        <v>24</v>
      </c>
      <c r="F13" t="s">
        <v>87</v>
      </c>
      <c r="G13">
        <v>0</v>
      </c>
      <c r="H13">
        <v>0</v>
      </c>
      <c r="I13" t="s">
        <v>127</v>
      </c>
      <c r="J13" t="s">
        <v>127</v>
      </c>
      <c r="K13" t="s">
        <v>147</v>
      </c>
      <c r="L13" t="s">
        <v>163</v>
      </c>
    </row>
    <row r="14" spans="1:12" x14ac:dyDescent="0.3">
      <c r="A14" t="s">
        <v>18</v>
      </c>
      <c r="B14">
        <v>1</v>
      </c>
      <c r="C14" t="s">
        <v>26</v>
      </c>
      <c r="D14" t="s">
        <v>27</v>
      </c>
      <c r="E14" t="s">
        <v>24</v>
      </c>
      <c r="F14" t="s">
        <v>107</v>
      </c>
      <c r="G14">
        <v>0</v>
      </c>
      <c r="H14">
        <v>0</v>
      </c>
      <c r="I14" t="s">
        <v>129</v>
      </c>
      <c r="J14" t="s">
        <v>129</v>
      </c>
      <c r="K14" t="s">
        <v>164</v>
      </c>
      <c r="L14" t="s">
        <v>165</v>
      </c>
    </row>
    <row r="15" spans="1:12" x14ac:dyDescent="0.3">
      <c r="A15" t="s">
        <v>18</v>
      </c>
      <c r="B15">
        <v>1</v>
      </c>
      <c r="C15" t="s">
        <v>28</v>
      </c>
      <c r="D15" t="s">
        <v>29</v>
      </c>
      <c r="E15" t="s">
        <v>24</v>
      </c>
      <c r="F15" t="s">
        <v>93</v>
      </c>
      <c r="G15">
        <v>0</v>
      </c>
      <c r="H15">
        <v>0</v>
      </c>
      <c r="I15" t="s">
        <v>129</v>
      </c>
      <c r="J15" t="s">
        <v>129</v>
      </c>
      <c r="K15" t="s">
        <v>166</v>
      </c>
      <c r="L15" t="s">
        <v>167</v>
      </c>
    </row>
    <row r="16" spans="1:12" x14ac:dyDescent="0.3">
      <c r="A16" t="s">
        <v>18</v>
      </c>
      <c r="B16">
        <v>1</v>
      </c>
      <c r="C16" t="s">
        <v>28</v>
      </c>
      <c r="D16" t="s">
        <v>29</v>
      </c>
      <c r="E16" t="s">
        <v>24</v>
      </c>
      <c r="F16" t="s">
        <v>103</v>
      </c>
      <c r="G16">
        <v>0</v>
      </c>
      <c r="H16">
        <v>0</v>
      </c>
      <c r="I16" t="s">
        <v>129</v>
      </c>
      <c r="J16" t="s">
        <v>129</v>
      </c>
      <c r="K16" t="s">
        <v>166</v>
      </c>
      <c r="L16" t="s">
        <v>168</v>
      </c>
    </row>
    <row r="17" spans="1:12" x14ac:dyDescent="0.3">
      <c r="A17" t="s">
        <v>18</v>
      </c>
      <c r="B17">
        <v>1</v>
      </c>
      <c r="C17" t="s">
        <v>30</v>
      </c>
      <c r="D17" t="s">
        <v>31</v>
      </c>
      <c r="E17" t="s">
        <v>24</v>
      </c>
      <c r="F17" t="s">
        <v>109</v>
      </c>
      <c r="G17">
        <v>0</v>
      </c>
      <c r="H17">
        <v>1</v>
      </c>
      <c r="I17" t="s">
        <v>128</v>
      </c>
      <c r="J17" t="s">
        <v>128</v>
      </c>
      <c r="K17" t="s">
        <v>169</v>
      </c>
      <c r="L17" t="s">
        <v>170</v>
      </c>
    </row>
    <row r="18" spans="1:12" x14ac:dyDescent="0.3">
      <c r="A18" t="s">
        <v>18</v>
      </c>
      <c r="B18">
        <v>1</v>
      </c>
      <c r="C18" t="s">
        <v>32</v>
      </c>
      <c r="D18" t="s">
        <v>33</v>
      </c>
      <c r="E18" t="s">
        <v>24</v>
      </c>
      <c r="F18" t="s">
        <v>79</v>
      </c>
      <c r="G18">
        <v>0</v>
      </c>
      <c r="H18">
        <v>0</v>
      </c>
      <c r="I18" t="s">
        <v>129</v>
      </c>
      <c r="J18" t="s">
        <v>129</v>
      </c>
      <c r="K18" t="s">
        <v>171</v>
      </c>
      <c r="L18" t="s">
        <v>172</v>
      </c>
    </row>
    <row r="19" spans="1:12" x14ac:dyDescent="0.3">
      <c r="A19" t="s">
        <v>18</v>
      </c>
      <c r="B19">
        <v>1</v>
      </c>
      <c r="C19" t="s">
        <v>32</v>
      </c>
      <c r="D19" t="s">
        <v>33</v>
      </c>
      <c r="E19" t="s">
        <v>24</v>
      </c>
      <c r="F19" t="s">
        <v>81</v>
      </c>
      <c r="G19">
        <v>1</v>
      </c>
      <c r="H19">
        <v>1</v>
      </c>
      <c r="I19" t="s">
        <v>129</v>
      </c>
      <c r="J19" t="s">
        <v>129</v>
      </c>
      <c r="K19" t="s">
        <v>173</v>
      </c>
      <c r="L19" t="s">
        <v>152</v>
      </c>
    </row>
    <row r="20" spans="1:12" x14ac:dyDescent="0.3">
      <c r="A20" t="s">
        <v>18</v>
      </c>
      <c r="B20">
        <v>1</v>
      </c>
      <c r="C20" t="s">
        <v>32</v>
      </c>
      <c r="D20" t="s">
        <v>33</v>
      </c>
      <c r="E20" t="s">
        <v>24</v>
      </c>
      <c r="F20" t="s">
        <v>83</v>
      </c>
      <c r="G20">
        <v>0</v>
      </c>
      <c r="H20">
        <v>0</v>
      </c>
      <c r="I20" t="s">
        <v>129</v>
      </c>
      <c r="J20" t="s">
        <v>129</v>
      </c>
      <c r="K20" t="s">
        <v>171</v>
      </c>
      <c r="L20" t="s">
        <v>174</v>
      </c>
    </row>
    <row r="21" spans="1:12" x14ac:dyDescent="0.3">
      <c r="A21" t="s">
        <v>18</v>
      </c>
      <c r="B21">
        <v>1</v>
      </c>
      <c r="C21" t="s">
        <v>32</v>
      </c>
      <c r="D21" t="s">
        <v>33</v>
      </c>
      <c r="E21" t="s">
        <v>24</v>
      </c>
      <c r="F21" t="s">
        <v>85</v>
      </c>
      <c r="G21">
        <v>0</v>
      </c>
      <c r="H21">
        <v>0</v>
      </c>
      <c r="I21" t="s">
        <v>129</v>
      </c>
      <c r="J21" t="s">
        <v>129</v>
      </c>
      <c r="K21" t="s">
        <v>171</v>
      </c>
      <c r="L21" t="s">
        <v>175</v>
      </c>
    </row>
    <row r="22" spans="1:12" x14ac:dyDescent="0.3">
      <c r="A22" t="s">
        <v>18</v>
      </c>
      <c r="B22">
        <v>1</v>
      </c>
      <c r="C22" t="s">
        <v>32</v>
      </c>
      <c r="D22" t="s">
        <v>33</v>
      </c>
      <c r="E22" t="s">
        <v>24</v>
      </c>
      <c r="F22" t="s">
        <v>95</v>
      </c>
      <c r="G22">
        <v>0</v>
      </c>
      <c r="H22">
        <v>0</v>
      </c>
      <c r="I22" t="s">
        <v>129</v>
      </c>
      <c r="J22" t="s">
        <v>129</v>
      </c>
      <c r="K22" t="s">
        <v>171</v>
      </c>
      <c r="L22" t="s">
        <v>176</v>
      </c>
    </row>
    <row r="23" spans="1:12" x14ac:dyDescent="0.3">
      <c r="A23" t="s">
        <v>18</v>
      </c>
      <c r="B23">
        <v>1</v>
      </c>
      <c r="C23" t="s">
        <v>32</v>
      </c>
      <c r="D23" t="s">
        <v>33</v>
      </c>
      <c r="E23" t="s">
        <v>24</v>
      </c>
      <c r="F23" t="s">
        <v>105</v>
      </c>
      <c r="G23">
        <v>0</v>
      </c>
      <c r="H23">
        <v>0</v>
      </c>
      <c r="I23" t="s">
        <v>129</v>
      </c>
      <c r="J23" t="s">
        <v>129</v>
      </c>
      <c r="K23" t="s">
        <v>171</v>
      </c>
      <c r="L23" t="s">
        <v>177</v>
      </c>
    </row>
    <row r="24" spans="1:12" x14ac:dyDescent="0.3">
      <c r="A24" t="s">
        <v>18</v>
      </c>
      <c r="B24">
        <v>1</v>
      </c>
      <c r="C24" t="s">
        <v>34</v>
      </c>
      <c r="D24" t="s">
        <v>35</v>
      </c>
      <c r="E24" t="s">
        <v>24</v>
      </c>
      <c r="F24" t="s">
        <v>81</v>
      </c>
      <c r="G24">
        <v>1</v>
      </c>
      <c r="H24">
        <v>0</v>
      </c>
      <c r="I24" t="s">
        <v>128</v>
      </c>
      <c r="J24" t="s">
        <v>128</v>
      </c>
      <c r="K24" t="s">
        <v>178</v>
      </c>
      <c r="L24" t="s">
        <v>152</v>
      </c>
    </row>
    <row r="25" spans="1:12" x14ac:dyDescent="0.3">
      <c r="A25" t="s">
        <v>18</v>
      </c>
      <c r="B25">
        <v>1</v>
      </c>
      <c r="C25" t="s">
        <v>34</v>
      </c>
      <c r="D25" t="s">
        <v>35</v>
      </c>
      <c r="E25" t="s">
        <v>24</v>
      </c>
      <c r="F25" t="s">
        <v>87</v>
      </c>
      <c r="G25">
        <v>0</v>
      </c>
      <c r="H25">
        <v>0</v>
      </c>
      <c r="I25" t="s">
        <v>127</v>
      </c>
      <c r="J25" t="s">
        <v>127</v>
      </c>
      <c r="K25" t="s">
        <v>147</v>
      </c>
      <c r="L25" t="s">
        <v>179</v>
      </c>
    </row>
    <row r="26" spans="1:12" x14ac:dyDescent="0.3">
      <c r="A26" t="s">
        <v>18</v>
      </c>
      <c r="B26">
        <v>1</v>
      </c>
      <c r="C26" t="s">
        <v>34</v>
      </c>
      <c r="D26" t="s">
        <v>35</v>
      </c>
      <c r="E26" t="s">
        <v>24</v>
      </c>
      <c r="F26" t="s">
        <v>107</v>
      </c>
      <c r="G26">
        <v>0</v>
      </c>
      <c r="H26">
        <v>0</v>
      </c>
      <c r="I26" t="s">
        <v>127</v>
      </c>
      <c r="J26" t="s">
        <v>127</v>
      </c>
      <c r="K26" t="s">
        <v>147</v>
      </c>
      <c r="L26" t="s">
        <v>180</v>
      </c>
    </row>
    <row r="27" spans="1:12" x14ac:dyDescent="0.3">
      <c r="A27" t="s">
        <v>18</v>
      </c>
      <c r="B27">
        <v>1</v>
      </c>
      <c r="C27" t="s">
        <v>36</v>
      </c>
      <c r="D27" t="s">
        <v>37</v>
      </c>
      <c r="E27" t="s">
        <v>24</v>
      </c>
      <c r="F27" t="s">
        <v>83</v>
      </c>
      <c r="G27">
        <v>0</v>
      </c>
      <c r="H27">
        <v>0</v>
      </c>
      <c r="I27" t="s">
        <v>129</v>
      </c>
      <c r="J27" t="s">
        <v>129</v>
      </c>
      <c r="K27" t="s">
        <v>171</v>
      </c>
      <c r="L27" t="s">
        <v>181</v>
      </c>
    </row>
    <row r="28" spans="1:12" x14ac:dyDescent="0.3">
      <c r="A28" t="s">
        <v>18</v>
      </c>
      <c r="B28">
        <v>1</v>
      </c>
      <c r="C28" t="s">
        <v>36</v>
      </c>
      <c r="D28" t="s">
        <v>37</v>
      </c>
      <c r="E28" t="s">
        <v>24</v>
      </c>
      <c r="F28" t="s">
        <v>85</v>
      </c>
      <c r="G28">
        <v>0</v>
      </c>
      <c r="H28">
        <v>0</v>
      </c>
      <c r="I28" t="s">
        <v>129</v>
      </c>
      <c r="J28" t="s">
        <v>129</v>
      </c>
      <c r="K28" t="s">
        <v>171</v>
      </c>
      <c r="L28" t="s">
        <v>182</v>
      </c>
    </row>
    <row r="29" spans="1:12" x14ac:dyDescent="0.3">
      <c r="A29" t="s">
        <v>18</v>
      </c>
      <c r="B29">
        <v>1</v>
      </c>
      <c r="C29" t="s">
        <v>38</v>
      </c>
      <c r="D29" t="s">
        <v>39</v>
      </c>
      <c r="E29" t="s">
        <v>24</v>
      </c>
      <c r="F29" t="s">
        <v>79</v>
      </c>
      <c r="G29">
        <v>0</v>
      </c>
      <c r="H29">
        <v>0</v>
      </c>
      <c r="I29" t="s">
        <v>129</v>
      </c>
      <c r="J29" t="s">
        <v>129</v>
      </c>
      <c r="K29" t="s">
        <v>171</v>
      </c>
      <c r="L29" t="s">
        <v>183</v>
      </c>
    </row>
    <row r="30" spans="1:12" x14ac:dyDescent="0.3">
      <c r="A30" t="s">
        <v>18</v>
      </c>
      <c r="B30">
        <v>1</v>
      </c>
      <c r="C30" t="s">
        <v>38</v>
      </c>
      <c r="D30" t="s">
        <v>39</v>
      </c>
      <c r="E30" t="s">
        <v>24</v>
      </c>
      <c r="F30" t="s">
        <v>85</v>
      </c>
      <c r="G30">
        <v>0</v>
      </c>
      <c r="H30">
        <v>0</v>
      </c>
      <c r="I30" t="s">
        <v>129</v>
      </c>
      <c r="J30" t="s">
        <v>129</v>
      </c>
      <c r="K30" t="s">
        <v>171</v>
      </c>
      <c r="L30" t="s">
        <v>184</v>
      </c>
    </row>
    <row r="31" spans="1:12" x14ac:dyDescent="0.3">
      <c r="A31" t="s">
        <v>18</v>
      </c>
      <c r="B31">
        <v>1</v>
      </c>
      <c r="C31" t="s">
        <v>40</v>
      </c>
      <c r="D31" t="s">
        <v>41</v>
      </c>
      <c r="E31" t="s">
        <v>24</v>
      </c>
      <c r="F31" t="s">
        <v>81</v>
      </c>
      <c r="G31">
        <v>1</v>
      </c>
      <c r="H31">
        <v>1</v>
      </c>
      <c r="I31" t="s">
        <v>129</v>
      </c>
      <c r="J31" t="s">
        <v>129</v>
      </c>
      <c r="K31" t="s">
        <v>171</v>
      </c>
      <c r="L31" t="s">
        <v>152</v>
      </c>
    </row>
    <row r="32" spans="1:12" x14ac:dyDescent="0.3">
      <c r="A32" t="s">
        <v>18</v>
      </c>
      <c r="B32">
        <v>1</v>
      </c>
      <c r="C32" t="s">
        <v>40</v>
      </c>
      <c r="D32" t="s">
        <v>41</v>
      </c>
      <c r="E32" t="s">
        <v>24</v>
      </c>
      <c r="F32" t="s">
        <v>83</v>
      </c>
      <c r="G32">
        <v>1</v>
      </c>
      <c r="H32">
        <v>0</v>
      </c>
      <c r="I32" t="s">
        <v>128</v>
      </c>
      <c r="J32" t="s">
        <v>128</v>
      </c>
      <c r="K32" t="s">
        <v>185</v>
      </c>
      <c r="L32" t="s">
        <v>186</v>
      </c>
    </row>
    <row r="33" spans="1:12" x14ac:dyDescent="0.3">
      <c r="A33" t="s">
        <v>18</v>
      </c>
      <c r="B33">
        <v>1</v>
      </c>
      <c r="C33" t="s">
        <v>40</v>
      </c>
      <c r="D33" t="s">
        <v>41</v>
      </c>
      <c r="E33" t="s">
        <v>24</v>
      </c>
      <c r="F33" t="s">
        <v>85</v>
      </c>
      <c r="G33">
        <v>0</v>
      </c>
      <c r="H33">
        <v>0</v>
      </c>
      <c r="I33" t="s">
        <v>129</v>
      </c>
      <c r="J33" t="s">
        <v>129</v>
      </c>
      <c r="K33" t="s">
        <v>171</v>
      </c>
      <c r="L33" t="s">
        <v>187</v>
      </c>
    </row>
    <row r="34" spans="1:12" x14ac:dyDescent="0.3">
      <c r="A34" t="s">
        <v>18</v>
      </c>
      <c r="B34">
        <v>1</v>
      </c>
      <c r="C34" t="s">
        <v>40</v>
      </c>
      <c r="D34" t="s">
        <v>41</v>
      </c>
      <c r="E34" t="s">
        <v>24</v>
      </c>
      <c r="F34" t="s">
        <v>87</v>
      </c>
      <c r="G34">
        <v>0</v>
      </c>
      <c r="H34">
        <v>0</v>
      </c>
      <c r="I34" t="s">
        <v>127</v>
      </c>
      <c r="J34" t="s">
        <v>127</v>
      </c>
      <c r="K34" t="s">
        <v>147</v>
      </c>
      <c r="L34" t="s">
        <v>188</v>
      </c>
    </row>
    <row r="35" spans="1:12" x14ac:dyDescent="0.3">
      <c r="A35" t="s">
        <v>18</v>
      </c>
      <c r="B35">
        <v>1</v>
      </c>
      <c r="C35" t="s">
        <v>40</v>
      </c>
      <c r="D35" t="s">
        <v>41</v>
      </c>
      <c r="E35" t="s">
        <v>24</v>
      </c>
      <c r="F35" t="s">
        <v>105</v>
      </c>
      <c r="G35">
        <v>0</v>
      </c>
      <c r="H35">
        <v>0</v>
      </c>
      <c r="I35" t="s">
        <v>129</v>
      </c>
      <c r="J35" t="s">
        <v>129</v>
      </c>
      <c r="K35" t="s">
        <v>171</v>
      </c>
      <c r="L35" t="s">
        <v>189</v>
      </c>
    </row>
    <row r="36" spans="1:12" x14ac:dyDescent="0.3">
      <c r="A36" t="s">
        <v>18</v>
      </c>
      <c r="B36">
        <v>1</v>
      </c>
      <c r="C36" t="s">
        <v>43</v>
      </c>
      <c r="D36" t="s">
        <v>44</v>
      </c>
      <c r="E36" t="s">
        <v>24</v>
      </c>
      <c r="F36" t="s">
        <v>83</v>
      </c>
      <c r="G36">
        <v>1</v>
      </c>
      <c r="H36">
        <v>0</v>
      </c>
      <c r="I36" t="s">
        <v>128</v>
      </c>
      <c r="J36" t="s">
        <v>128</v>
      </c>
      <c r="K36" t="s">
        <v>161</v>
      </c>
      <c r="L36" t="s">
        <v>190</v>
      </c>
    </row>
    <row r="37" spans="1:12" x14ac:dyDescent="0.3">
      <c r="A37" t="s">
        <v>18</v>
      </c>
      <c r="B37">
        <v>1</v>
      </c>
      <c r="C37" t="s">
        <v>43</v>
      </c>
      <c r="D37" t="s">
        <v>44</v>
      </c>
      <c r="E37" t="s">
        <v>24</v>
      </c>
      <c r="F37" t="s">
        <v>97</v>
      </c>
      <c r="G37">
        <v>0</v>
      </c>
      <c r="H37">
        <v>0</v>
      </c>
      <c r="I37" t="s">
        <v>127</v>
      </c>
      <c r="J37" t="s">
        <v>127</v>
      </c>
      <c r="K37" t="s">
        <v>147</v>
      </c>
      <c r="L37" t="s">
        <v>191</v>
      </c>
    </row>
    <row r="38" spans="1:12" x14ac:dyDescent="0.3">
      <c r="A38" t="s">
        <v>18</v>
      </c>
      <c r="B38">
        <v>1</v>
      </c>
      <c r="C38" t="s">
        <v>43</v>
      </c>
      <c r="D38" t="s">
        <v>44</v>
      </c>
      <c r="E38" t="s">
        <v>24</v>
      </c>
      <c r="F38" t="s">
        <v>99</v>
      </c>
      <c r="G38">
        <v>1</v>
      </c>
      <c r="H38">
        <v>0</v>
      </c>
      <c r="I38" t="s">
        <v>128</v>
      </c>
      <c r="J38" t="s">
        <v>128</v>
      </c>
      <c r="K38" t="s">
        <v>192</v>
      </c>
      <c r="L38" t="s">
        <v>193</v>
      </c>
    </row>
    <row r="39" spans="1:12" x14ac:dyDescent="0.3">
      <c r="A39" t="s">
        <v>18</v>
      </c>
      <c r="B39">
        <v>1</v>
      </c>
      <c r="C39" t="s">
        <v>43</v>
      </c>
      <c r="D39" t="s">
        <v>44</v>
      </c>
      <c r="E39" t="s">
        <v>24</v>
      </c>
      <c r="F39" t="s">
        <v>101</v>
      </c>
      <c r="G39">
        <v>1</v>
      </c>
      <c r="H39">
        <v>0</v>
      </c>
      <c r="I39" t="s">
        <v>128</v>
      </c>
      <c r="J39" t="s">
        <v>128</v>
      </c>
      <c r="K39" t="s">
        <v>194</v>
      </c>
      <c r="L39" t="s">
        <v>195</v>
      </c>
    </row>
    <row r="40" spans="1:12" x14ac:dyDescent="0.3">
      <c r="A40" t="s">
        <v>18</v>
      </c>
      <c r="B40">
        <v>1</v>
      </c>
      <c r="C40" t="s">
        <v>43</v>
      </c>
      <c r="D40" t="s">
        <v>44</v>
      </c>
      <c r="E40" t="s">
        <v>24</v>
      </c>
      <c r="F40" t="s">
        <v>111</v>
      </c>
      <c r="G40">
        <v>1</v>
      </c>
      <c r="H40">
        <v>0</v>
      </c>
      <c r="I40" t="s">
        <v>127</v>
      </c>
      <c r="J40" t="s">
        <v>127</v>
      </c>
      <c r="K40" t="s">
        <v>147</v>
      </c>
      <c r="L40" t="s">
        <v>196</v>
      </c>
    </row>
    <row r="41" spans="1:12" x14ac:dyDescent="0.3">
      <c r="A41" t="s">
        <v>18</v>
      </c>
      <c r="B41">
        <v>1</v>
      </c>
      <c r="C41" t="s">
        <v>45</v>
      </c>
      <c r="D41" t="s">
        <v>46</v>
      </c>
      <c r="E41" t="s">
        <v>24</v>
      </c>
      <c r="F41" t="s">
        <v>101</v>
      </c>
      <c r="G41">
        <v>0</v>
      </c>
      <c r="H41">
        <v>0</v>
      </c>
      <c r="I41" t="s">
        <v>129</v>
      </c>
      <c r="J41" t="s">
        <v>129</v>
      </c>
      <c r="K41" t="s">
        <v>164</v>
      </c>
      <c r="L41" t="s">
        <v>197</v>
      </c>
    </row>
    <row r="42" spans="1:12" x14ac:dyDescent="0.3">
      <c r="A42" t="s">
        <v>18</v>
      </c>
      <c r="B42">
        <v>1</v>
      </c>
      <c r="C42" t="s">
        <v>45</v>
      </c>
      <c r="D42" t="s">
        <v>46</v>
      </c>
      <c r="E42" t="s">
        <v>24</v>
      </c>
      <c r="F42" t="s">
        <v>105</v>
      </c>
      <c r="G42">
        <v>0</v>
      </c>
      <c r="H42">
        <v>0</v>
      </c>
      <c r="I42" t="s">
        <v>129</v>
      </c>
      <c r="J42" t="s">
        <v>129</v>
      </c>
      <c r="K42" t="s">
        <v>164</v>
      </c>
      <c r="L42" t="s">
        <v>198</v>
      </c>
    </row>
    <row r="43" spans="1:12" x14ac:dyDescent="0.3">
      <c r="A43" t="s">
        <v>18</v>
      </c>
      <c r="B43">
        <v>1</v>
      </c>
      <c r="C43" t="s">
        <v>63</v>
      </c>
      <c r="D43" t="s">
        <v>64</v>
      </c>
      <c r="E43" t="s">
        <v>24</v>
      </c>
      <c r="F43" t="s">
        <v>81</v>
      </c>
      <c r="G43">
        <v>1</v>
      </c>
      <c r="H43">
        <v>1</v>
      </c>
      <c r="I43" t="s">
        <v>129</v>
      </c>
      <c r="J43" t="s">
        <v>129</v>
      </c>
      <c r="K43" t="s">
        <v>199</v>
      </c>
      <c r="L43" t="s">
        <v>152</v>
      </c>
    </row>
    <row r="44" spans="1:12" x14ac:dyDescent="0.3">
      <c r="A44" t="s">
        <v>18</v>
      </c>
      <c r="B44">
        <v>1</v>
      </c>
      <c r="C44" t="s">
        <v>63</v>
      </c>
      <c r="D44" t="s">
        <v>64</v>
      </c>
      <c r="E44" t="s">
        <v>24</v>
      </c>
      <c r="F44" t="s">
        <v>83</v>
      </c>
      <c r="G44">
        <v>1</v>
      </c>
      <c r="H44">
        <v>0</v>
      </c>
      <c r="I44" t="s">
        <v>128</v>
      </c>
      <c r="J44" t="s">
        <v>128</v>
      </c>
      <c r="K44" t="s">
        <v>200</v>
      </c>
      <c r="L44" t="s">
        <v>201</v>
      </c>
    </row>
    <row r="45" spans="1:12" x14ac:dyDescent="0.3">
      <c r="A45" t="s">
        <v>18</v>
      </c>
      <c r="B45">
        <v>1</v>
      </c>
      <c r="C45" t="s">
        <v>63</v>
      </c>
      <c r="D45" t="s">
        <v>64</v>
      </c>
      <c r="E45" t="s">
        <v>24</v>
      </c>
      <c r="F45" t="s">
        <v>85</v>
      </c>
      <c r="G45">
        <v>0</v>
      </c>
      <c r="H45">
        <v>0</v>
      </c>
      <c r="I45" t="s">
        <v>129</v>
      </c>
      <c r="J45" t="s">
        <v>129</v>
      </c>
      <c r="K45" t="s">
        <v>202</v>
      </c>
      <c r="L45" t="s">
        <v>203</v>
      </c>
    </row>
    <row r="46" spans="1:12" x14ac:dyDescent="0.3">
      <c r="A46" t="s">
        <v>18</v>
      </c>
      <c r="B46">
        <v>1</v>
      </c>
      <c r="C46" t="s">
        <v>63</v>
      </c>
      <c r="D46" t="s">
        <v>64</v>
      </c>
      <c r="E46" t="s">
        <v>24</v>
      </c>
      <c r="F46" t="s">
        <v>89</v>
      </c>
      <c r="G46">
        <v>0</v>
      </c>
      <c r="H46">
        <v>0</v>
      </c>
      <c r="I46" t="s">
        <v>129</v>
      </c>
      <c r="J46" t="s">
        <v>129</v>
      </c>
      <c r="K46" t="s">
        <v>204</v>
      </c>
      <c r="L46" t="s">
        <v>205</v>
      </c>
    </row>
    <row r="47" spans="1:12" x14ac:dyDescent="0.3">
      <c r="A47" t="s">
        <v>18</v>
      </c>
      <c r="B47">
        <v>1</v>
      </c>
      <c r="C47" t="s">
        <v>63</v>
      </c>
      <c r="D47" t="s">
        <v>64</v>
      </c>
      <c r="E47" t="s">
        <v>24</v>
      </c>
      <c r="F47" t="s">
        <v>93</v>
      </c>
      <c r="G47">
        <v>1</v>
      </c>
      <c r="H47">
        <v>0</v>
      </c>
      <c r="I47" t="s">
        <v>128</v>
      </c>
      <c r="J47" t="s">
        <v>128</v>
      </c>
      <c r="K47" t="s">
        <v>206</v>
      </c>
      <c r="L47" t="s">
        <v>207</v>
      </c>
    </row>
    <row r="48" spans="1:12" x14ac:dyDescent="0.3">
      <c r="A48" t="s">
        <v>18</v>
      </c>
      <c r="B48">
        <v>1</v>
      </c>
      <c r="C48" t="s">
        <v>63</v>
      </c>
      <c r="D48" t="s">
        <v>64</v>
      </c>
      <c r="E48" t="s">
        <v>24</v>
      </c>
      <c r="F48" t="s">
        <v>95</v>
      </c>
      <c r="G48">
        <v>1</v>
      </c>
      <c r="H48">
        <v>0</v>
      </c>
      <c r="I48" t="s">
        <v>128</v>
      </c>
      <c r="J48" t="s">
        <v>128</v>
      </c>
      <c r="K48" t="s">
        <v>208</v>
      </c>
      <c r="L48" t="s">
        <v>152</v>
      </c>
    </row>
    <row r="49" spans="1:12" x14ac:dyDescent="0.3">
      <c r="A49" t="s">
        <v>18</v>
      </c>
      <c r="B49">
        <v>1</v>
      </c>
      <c r="C49" t="s">
        <v>63</v>
      </c>
      <c r="D49" t="s">
        <v>64</v>
      </c>
      <c r="E49" t="s">
        <v>24</v>
      </c>
      <c r="F49" t="s">
        <v>97</v>
      </c>
      <c r="G49">
        <v>1</v>
      </c>
      <c r="H49">
        <v>0</v>
      </c>
      <c r="I49" t="s">
        <v>128</v>
      </c>
      <c r="J49" t="s">
        <v>128</v>
      </c>
      <c r="K49" t="s">
        <v>209</v>
      </c>
      <c r="L49" t="s">
        <v>152</v>
      </c>
    </row>
    <row r="50" spans="1:12" x14ac:dyDescent="0.3">
      <c r="A50" t="s">
        <v>18</v>
      </c>
      <c r="B50">
        <v>1</v>
      </c>
      <c r="C50" t="s">
        <v>63</v>
      </c>
      <c r="D50" t="s">
        <v>64</v>
      </c>
      <c r="E50" t="s">
        <v>24</v>
      </c>
      <c r="F50" t="s">
        <v>99</v>
      </c>
      <c r="G50">
        <v>1</v>
      </c>
      <c r="H50">
        <v>0</v>
      </c>
      <c r="I50" t="s">
        <v>128</v>
      </c>
      <c r="J50" t="s">
        <v>128</v>
      </c>
      <c r="K50" t="s">
        <v>210</v>
      </c>
      <c r="L50" t="s">
        <v>152</v>
      </c>
    </row>
    <row r="51" spans="1:12" x14ac:dyDescent="0.3">
      <c r="A51" t="s">
        <v>18</v>
      </c>
      <c r="B51">
        <v>1</v>
      </c>
      <c r="C51" t="s">
        <v>63</v>
      </c>
      <c r="D51" t="s">
        <v>64</v>
      </c>
      <c r="E51" t="s">
        <v>24</v>
      </c>
      <c r="F51" t="s">
        <v>101</v>
      </c>
      <c r="G51">
        <v>1</v>
      </c>
      <c r="H51">
        <v>0</v>
      </c>
      <c r="I51" t="s">
        <v>128</v>
      </c>
      <c r="J51" t="s">
        <v>128</v>
      </c>
      <c r="K51" t="s">
        <v>211</v>
      </c>
      <c r="L51" t="s">
        <v>152</v>
      </c>
    </row>
    <row r="52" spans="1:12" x14ac:dyDescent="0.3">
      <c r="A52" t="s">
        <v>18</v>
      </c>
      <c r="B52">
        <v>1</v>
      </c>
      <c r="C52" t="s">
        <v>63</v>
      </c>
      <c r="D52" t="s">
        <v>64</v>
      </c>
      <c r="E52" t="s">
        <v>24</v>
      </c>
      <c r="F52" t="s">
        <v>105</v>
      </c>
      <c r="G52">
        <v>0</v>
      </c>
      <c r="H52">
        <v>0</v>
      </c>
      <c r="I52" t="s">
        <v>129</v>
      </c>
      <c r="J52" t="s">
        <v>129</v>
      </c>
      <c r="K52" t="s">
        <v>202</v>
      </c>
      <c r="L52" t="s">
        <v>212</v>
      </c>
    </row>
    <row r="53" spans="1:12" x14ac:dyDescent="0.3">
      <c r="A53" t="s">
        <v>18</v>
      </c>
      <c r="B53">
        <v>1</v>
      </c>
      <c r="C53" t="s">
        <v>47</v>
      </c>
      <c r="D53" t="s">
        <v>48</v>
      </c>
      <c r="E53" t="s">
        <v>24</v>
      </c>
      <c r="F53" t="s">
        <v>89</v>
      </c>
      <c r="G53">
        <v>0</v>
      </c>
      <c r="H53">
        <v>0</v>
      </c>
      <c r="I53" t="s">
        <v>129</v>
      </c>
      <c r="J53" t="s">
        <v>129</v>
      </c>
      <c r="K53" t="s">
        <v>166</v>
      </c>
      <c r="L53" t="s">
        <v>213</v>
      </c>
    </row>
    <row r="54" spans="1:12" x14ac:dyDescent="0.3">
      <c r="A54" t="s">
        <v>18</v>
      </c>
      <c r="B54">
        <v>1</v>
      </c>
      <c r="C54" t="s">
        <v>47</v>
      </c>
      <c r="D54" t="s">
        <v>48</v>
      </c>
      <c r="E54" t="s">
        <v>24</v>
      </c>
      <c r="F54" t="s">
        <v>93</v>
      </c>
      <c r="G54">
        <v>0</v>
      </c>
      <c r="H54">
        <v>0</v>
      </c>
      <c r="I54" t="s">
        <v>129</v>
      </c>
      <c r="J54" t="s">
        <v>129</v>
      </c>
      <c r="K54" t="s">
        <v>166</v>
      </c>
      <c r="L54" t="s">
        <v>214</v>
      </c>
    </row>
    <row r="55" spans="1:12" x14ac:dyDescent="0.3">
      <c r="A55" t="s">
        <v>18</v>
      </c>
      <c r="B55">
        <v>1</v>
      </c>
      <c r="C55" t="s">
        <v>49</v>
      </c>
      <c r="D55" t="s">
        <v>50</v>
      </c>
      <c r="E55" t="s">
        <v>24</v>
      </c>
      <c r="F55" t="s">
        <v>83</v>
      </c>
      <c r="G55">
        <v>1</v>
      </c>
      <c r="H55">
        <v>0</v>
      </c>
      <c r="I55" t="s">
        <v>128</v>
      </c>
      <c r="J55" t="s">
        <v>128</v>
      </c>
      <c r="K55" t="s">
        <v>215</v>
      </c>
      <c r="L55" t="s">
        <v>216</v>
      </c>
    </row>
    <row r="56" spans="1:12" x14ac:dyDescent="0.3">
      <c r="A56" t="s">
        <v>18</v>
      </c>
      <c r="B56">
        <v>1</v>
      </c>
      <c r="C56" t="s">
        <v>49</v>
      </c>
      <c r="D56" t="s">
        <v>50</v>
      </c>
      <c r="E56" t="s">
        <v>24</v>
      </c>
      <c r="F56" t="s">
        <v>109</v>
      </c>
      <c r="G56">
        <v>0</v>
      </c>
      <c r="H56">
        <v>1</v>
      </c>
      <c r="I56" t="s">
        <v>128</v>
      </c>
      <c r="J56" t="s">
        <v>128</v>
      </c>
      <c r="K56" t="s">
        <v>217</v>
      </c>
      <c r="L56" t="s">
        <v>218</v>
      </c>
    </row>
    <row r="57" spans="1:12" x14ac:dyDescent="0.3">
      <c r="A57" t="s">
        <v>18</v>
      </c>
      <c r="B57">
        <v>1</v>
      </c>
      <c r="C57" t="s">
        <v>51</v>
      </c>
      <c r="D57" t="s">
        <v>52</v>
      </c>
      <c r="E57" t="s">
        <v>24</v>
      </c>
      <c r="F57" t="s">
        <v>93</v>
      </c>
      <c r="G57">
        <v>0</v>
      </c>
      <c r="H57">
        <v>0</v>
      </c>
      <c r="I57" t="s">
        <v>129</v>
      </c>
      <c r="J57" t="s">
        <v>129</v>
      </c>
      <c r="K57" t="s">
        <v>164</v>
      </c>
      <c r="L57" t="s">
        <v>219</v>
      </c>
    </row>
    <row r="58" spans="1:12" x14ac:dyDescent="0.3">
      <c r="A58" t="s">
        <v>18</v>
      </c>
      <c r="B58">
        <v>1</v>
      </c>
      <c r="C58" t="s">
        <v>53</v>
      </c>
      <c r="D58" t="s">
        <v>54</v>
      </c>
      <c r="E58" t="s">
        <v>24</v>
      </c>
      <c r="F58" t="s">
        <v>81</v>
      </c>
      <c r="G58">
        <v>1</v>
      </c>
      <c r="H58">
        <v>0</v>
      </c>
      <c r="I58" t="s">
        <v>128</v>
      </c>
      <c r="J58" t="s">
        <v>128</v>
      </c>
      <c r="K58" t="s">
        <v>178</v>
      </c>
      <c r="L58" t="s">
        <v>152</v>
      </c>
    </row>
    <row r="59" spans="1:12" x14ac:dyDescent="0.3">
      <c r="A59" t="s">
        <v>18</v>
      </c>
      <c r="B59">
        <v>1</v>
      </c>
      <c r="C59" t="s">
        <v>53</v>
      </c>
      <c r="D59" t="s">
        <v>54</v>
      </c>
      <c r="E59" t="s">
        <v>24</v>
      </c>
      <c r="F59" t="s">
        <v>83</v>
      </c>
      <c r="G59">
        <v>1</v>
      </c>
      <c r="H59">
        <v>0</v>
      </c>
      <c r="I59" t="s">
        <v>127</v>
      </c>
      <c r="J59" t="s">
        <v>127</v>
      </c>
      <c r="K59" t="s">
        <v>147</v>
      </c>
      <c r="L59" t="s">
        <v>220</v>
      </c>
    </row>
    <row r="60" spans="1:12" x14ac:dyDescent="0.3">
      <c r="A60" t="s">
        <v>18</v>
      </c>
      <c r="B60">
        <v>1</v>
      </c>
      <c r="C60" t="s">
        <v>53</v>
      </c>
      <c r="D60" t="s">
        <v>54</v>
      </c>
      <c r="E60" t="s">
        <v>24</v>
      </c>
      <c r="F60" t="s">
        <v>105</v>
      </c>
      <c r="G60">
        <v>0</v>
      </c>
      <c r="H60">
        <v>0</v>
      </c>
      <c r="I60" t="s">
        <v>129</v>
      </c>
      <c r="J60" t="s">
        <v>129</v>
      </c>
      <c r="K60" t="s">
        <v>164</v>
      </c>
      <c r="L60" t="s">
        <v>221</v>
      </c>
    </row>
    <row r="61" spans="1:12" x14ac:dyDescent="0.3">
      <c r="A61" t="s">
        <v>18</v>
      </c>
      <c r="B61">
        <v>1</v>
      </c>
      <c r="C61" t="s">
        <v>55</v>
      </c>
      <c r="D61" t="s">
        <v>56</v>
      </c>
      <c r="E61" t="s">
        <v>24</v>
      </c>
      <c r="F61" t="s">
        <v>81</v>
      </c>
      <c r="G61">
        <v>1</v>
      </c>
      <c r="H61">
        <v>1</v>
      </c>
      <c r="I61" t="s">
        <v>129</v>
      </c>
      <c r="J61" t="s">
        <v>129</v>
      </c>
      <c r="K61" t="s">
        <v>173</v>
      </c>
      <c r="L61" t="s">
        <v>152</v>
      </c>
    </row>
    <row r="62" spans="1:12" x14ac:dyDescent="0.3">
      <c r="A62" t="s">
        <v>18</v>
      </c>
      <c r="B62">
        <v>1</v>
      </c>
      <c r="C62" t="s">
        <v>55</v>
      </c>
      <c r="D62" t="s">
        <v>56</v>
      </c>
      <c r="E62" t="s">
        <v>24</v>
      </c>
      <c r="F62" t="s">
        <v>85</v>
      </c>
      <c r="G62">
        <v>0</v>
      </c>
      <c r="H62">
        <v>0</v>
      </c>
      <c r="I62" t="s">
        <v>129</v>
      </c>
      <c r="J62" t="s">
        <v>129</v>
      </c>
      <c r="K62" t="s">
        <v>171</v>
      </c>
      <c r="L62" t="s">
        <v>222</v>
      </c>
    </row>
    <row r="63" spans="1:12" x14ac:dyDescent="0.3">
      <c r="A63" t="s">
        <v>18</v>
      </c>
      <c r="B63">
        <v>1</v>
      </c>
      <c r="C63" t="s">
        <v>55</v>
      </c>
      <c r="D63" t="s">
        <v>56</v>
      </c>
      <c r="E63" t="s">
        <v>24</v>
      </c>
      <c r="F63" t="s">
        <v>93</v>
      </c>
      <c r="G63">
        <v>0</v>
      </c>
      <c r="H63">
        <v>0</v>
      </c>
      <c r="I63" t="s">
        <v>127</v>
      </c>
      <c r="J63" t="s">
        <v>127</v>
      </c>
      <c r="K63" t="s">
        <v>147</v>
      </c>
      <c r="L63" t="s">
        <v>223</v>
      </c>
    </row>
    <row r="64" spans="1:12" x14ac:dyDescent="0.3">
      <c r="A64" t="s">
        <v>18</v>
      </c>
      <c r="B64">
        <v>1</v>
      </c>
      <c r="C64" t="s">
        <v>55</v>
      </c>
      <c r="D64" t="s">
        <v>56</v>
      </c>
      <c r="E64" t="s">
        <v>24</v>
      </c>
      <c r="F64" t="s">
        <v>95</v>
      </c>
      <c r="G64">
        <v>1</v>
      </c>
      <c r="H64">
        <v>0</v>
      </c>
      <c r="I64" t="s">
        <v>128</v>
      </c>
      <c r="J64" t="s">
        <v>128</v>
      </c>
      <c r="K64" t="s">
        <v>224</v>
      </c>
      <c r="L64" t="s">
        <v>152</v>
      </c>
    </row>
    <row r="65" spans="1:12" x14ac:dyDescent="0.3">
      <c r="A65" t="s">
        <v>18</v>
      </c>
      <c r="B65">
        <v>1</v>
      </c>
      <c r="C65" t="s">
        <v>55</v>
      </c>
      <c r="D65" t="s">
        <v>56</v>
      </c>
      <c r="E65" t="s">
        <v>24</v>
      </c>
      <c r="F65" t="s">
        <v>97</v>
      </c>
      <c r="G65">
        <v>1</v>
      </c>
      <c r="H65">
        <v>0</v>
      </c>
      <c r="I65" t="s">
        <v>128</v>
      </c>
      <c r="J65" t="s">
        <v>128</v>
      </c>
      <c r="K65" t="s">
        <v>225</v>
      </c>
      <c r="L65" t="s">
        <v>152</v>
      </c>
    </row>
    <row r="66" spans="1:12" x14ac:dyDescent="0.3">
      <c r="A66" t="s">
        <v>18</v>
      </c>
      <c r="B66">
        <v>1</v>
      </c>
      <c r="C66" t="s">
        <v>55</v>
      </c>
      <c r="D66" t="s">
        <v>56</v>
      </c>
      <c r="E66" t="s">
        <v>24</v>
      </c>
      <c r="F66" t="s">
        <v>99</v>
      </c>
      <c r="G66">
        <v>1</v>
      </c>
      <c r="H66">
        <v>0</v>
      </c>
      <c r="I66" t="s">
        <v>128</v>
      </c>
      <c r="J66" t="s">
        <v>128</v>
      </c>
      <c r="K66" t="s">
        <v>226</v>
      </c>
      <c r="L66" t="s">
        <v>152</v>
      </c>
    </row>
    <row r="67" spans="1:12" x14ac:dyDescent="0.3">
      <c r="A67" t="s">
        <v>18</v>
      </c>
      <c r="B67">
        <v>1</v>
      </c>
      <c r="C67" t="s">
        <v>57</v>
      </c>
      <c r="D67" t="s">
        <v>58</v>
      </c>
      <c r="E67" t="s">
        <v>24</v>
      </c>
      <c r="F67" t="s">
        <v>81</v>
      </c>
      <c r="G67">
        <v>1</v>
      </c>
      <c r="H67">
        <v>0</v>
      </c>
      <c r="I67" t="s">
        <v>128</v>
      </c>
      <c r="J67" t="s">
        <v>128</v>
      </c>
      <c r="K67" t="s">
        <v>178</v>
      </c>
      <c r="L67" t="s">
        <v>152</v>
      </c>
    </row>
    <row r="68" spans="1:12" x14ac:dyDescent="0.3">
      <c r="A68" t="s">
        <v>18</v>
      </c>
      <c r="B68">
        <v>1</v>
      </c>
      <c r="C68" t="s">
        <v>57</v>
      </c>
      <c r="D68" t="s">
        <v>58</v>
      </c>
      <c r="E68" t="s">
        <v>24</v>
      </c>
      <c r="F68" t="s">
        <v>87</v>
      </c>
      <c r="G68">
        <v>0</v>
      </c>
      <c r="H68">
        <v>0</v>
      </c>
      <c r="I68" t="s">
        <v>129</v>
      </c>
      <c r="J68" t="s">
        <v>129</v>
      </c>
      <c r="K68" t="s">
        <v>164</v>
      </c>
      <c r="L68" t="s">
        <v>227</v>
      </c>
    </row>
    <row r="69" spans="1:12" x14ac:dyDescent="0.3">
      <c r="A69" t="s">
        <v>18</v>
      </c>
      <c r="B69">
        <v>1</v>
      </c>
      <c r="C69" t="s">
        <v>57</v>
      </c>
      <c r="D69" t="s">
        <v>58</v>
      </c>
      <c r="E69" t="s">
        <v>24</v>
      </c>
      <c r="F69" t="s">
        <v>91</v>
      </c>
      <c r="G69">
        <v>0</v>
      </c>
      <c r="H69">
        <v>0</v>
      </c>
      <c r="I69" t="s">
        <v>129</v>
      </c>
      <c r="J69" t="s">
        <v>129</v>
      </c>
      <c r="K69" t="s">
        <v>164</v>
      </c>
      <c r="L69" t="s">
        <v>228</v>
      </c>
    </row>
    <row r="70" spans="1:12" x14ac:dyDescent="0.3">
      <c r="A70" t="s">
        <v>18</v>
      </c>
      <c r="B70">
        <v>1</v>
      </c>
      <c r="C70" t="s">
        <v>57</v>
      </c>
      <c r="D70" t="s">
        <v>58</v>
      </c>
      <c r="E70" t="s">
        <v>24</v>
      </c>
      <c r="F70" t="s">
        <v>95</v>
      </c>
      <c r="G70">
        <v>1</v>
      </c>
      <c r="H70">
        <v>0</v>
      </c>
      <c r="I70" t="s">
        <v>128</v>
      </c>
      <c r="J70" t="s">
        <v>128</v>
      </c>
      <c r="K70" t="s">
        <v>229</v>
      </c>
      <c r="L70" t="s">
        <v>152</v>
      </c>
    </row>
    <row r="71" spans="1:12" x14ac:dyDescent="0.3">
      <c r="A71" t="s">
        <v>18</v>
      </c>
      <c r="B71">
        <v>1</v>
      </c>
      <c r="C71" t="s">
        <v>59</v>
      </c>
      <c r="D71" t="s">
        <v>60</v>
      </c>
      <c r="E71" t="s">
        <v>24</v>
      </c>
      <c r="F71" t="s">
        <v>105</v>
      </c>
      <c r="G71">
        <v>0</v>
      </c>
      <c r="H71">
        <v>0</v>
      </c>
      <c r="I71" t="s">
        <v>127</v>
      </c>
      <c r="J71" t="s">
        <v>127</v>
      </c>
      <c r="K71" t="s">
        <v>147</v>
      </c>
      <c r="L71" t="s">
        <v>230</v>
      </c>
    </row>
    <row r="72" spans="1:12" x14ac:dyDescent="0.3">
      <c r="A72" t="s">
        <v>18</v>
      </c>
      <c r="B72">
        <v>1</v>
      </c>
      <c r="C72" t="s">
        <v>59</v>
      </c>
      <c r="D72" t="s">
        <v>60</v>
      </c>
      <c r="E72" t="s">
        <v>24</v>
      </c>
      <c r="F72" t="s">
        <v>109</v>
      </c>
      <c r="G72">
        <v>0</v>
      </c>
      <c r="H72">
        <v>1</v>
      </c>
      <c r="I72" t="s">
        <v>128</v>
      </c>
      <c r="J72" t="s">
        <v>128</v>
      </c>
      <c r="K72" t="s">
        <v>231</v>
      </c>
      <c r="L72" t="s">
        <v>232</v>
      </c>
    </row>
    <row r="73" spans="1:12" x14ac:dyDescent="0.3">
      <c r="A73" t="s">
        <v>18</v>
      </c>
      <c r="B73">
        <v>1</v>
      </c>
      <c r="C73" t="s">
        <v>61</v>
      </c>
      <c r="D73" t="s">
        <v>62</v>
      </c>
      <c r="E73" t="s">
        <v>24</v>
      </c>
      <c r="F73" t="s">
        <v>81</v>
      </c>
      <c r="G73">
        <v>1</v>
      </c>
      <c r="H73">
        <v>0</v>
      </c>
      <c r="I73" t="s">
        <v>128</v>
      </c>
      <c r="J73" t="s">
        <v>128</v>
      </c>
      <c r="K73" t="s">
        <v>178</v>
      </c>
      <c r="L73" t="s">
        <v>152</v>
      </c>
    </row>
    <row r="74" spans="1:12" x14ac:dyDescent="0.3">
      <c r="A74" t="s">
        <v>18</v>
      </c>
      <c r="B74">
        <v>1</v>
      </c>
      <c r="C74" t="s">
        <v>61</v>
      </c>
      <c r="D74" t="s">
        <v>62</v>
      </c>
      <c r="E74" t="s">
        <v>24</v>
      </c>
      <c r="F74" t="s">
        <v>97</v>
      </c>
      <c r="G74">
        <v>1</v>
      </c>
      <c r="H74">
        <v>0</v>
      </c>
      <c r="I74" t="s">
        <v>128</v>
      </c>
      <c r="J74" t="s">
        <v>128</v>
      </c>
      <c r="K74" t="s">
        <v>233</v>
      </c>
      <c r="L74" t="s">
        <v>152</v>
      </c>
    </row>
    <row r="75" spans="1:12" x14ac:dyDescent="0.3">
      <c r="A75" t="s">
        <v>18</v>
      </c>
      <c r="B75">
        <v>1</v>
      </c>
      <c r="C75" t="s">
        <v>61</v>
      </c>
      <c r="D75" t="s">
        <v>62</v>
      </c>
      <c r="E75" t="s">
        <v>24</v>
      </c>
      <c r="F75" t="s">
        <v>101</v>
      </c>
      <c r="G75">
        <v>1</v>
      </c>
      <c r="H75">
        <v>0</v>
      </c>
      <c r="I75" t="s">
        <v>128</v>
      </c>
      <c r="J75" t="s">
        <v>128</v>
      </c>
      <c r="K75" t="s">
        <v>234</v>
      </c>
      <c r="L75" t="s">
        <v>152</v>
      </c>
    </row>
    <row r="76" spans="1:12" x14ac:dyDescent="0.3">
      <c r="A76" t="s">
        <v>18</v>
      </c>
      <c r="B76">
        <v>1</v>
      </c>
      <c r="C76" t="s">
        <v>19</v>
      </c>
      <c r="D76" t="s">
        <v>20</v>
      </c>
      <c r="E76" t="s">
        <v>21</v>
      </c>
      <c r="F76" t="s">
        <v>89</v>
      </c>
      <c r="G76">
        <v>0</v>
      </c>
      <c r="H76">
        <v>0</v>
      </c>
      <c r="I76" t="s">
        <v>129</v>
      </c>
      <c r="J76" t="s">
        <v>129</v>
      </c>
      <c r="K76" t="s">
        <v>235</v>
      </c>
      <c r="L76" t="s">
        <v>236</v>
      </c>
    </row>
    <row r="77" spans="1:12" x14ac:dyDescent="0.3">
      <c r="A77" t="s">
        <v>18</v>
      </c>
      <c r="B77">
        <v>1</v>
      </c>
      <c r="C77" t="s">
        <v>19</v>
      </c>
      <c r="D77" t="s">
        <v>20</v>
      </c>
      <c r="E77" t="s">
        <v>21</v>
      </c>
      <c r="F77" t="s">
        <v>95</v>
      </c>
      <c r="G77">
        <v>0</v>
      </c>
      <c r="H77">
        <v>0</v>
      </c>
      <c r="I77" t="s">
        <v>129</v>
      </c>
      <c r="J77" t="s">
        <v>129</v>
      </c>
      <c r="K77" t="s">
        <v>149</v>
      </c>
      <c r="L77" t="s">
        <v>237</v>
      </c>
    </row>
    <row r="78" spans="1:12" x14ac:dyDescent="0.3">
      <c r="A78" t="s">
        <v>18</v>
      </c>
      <c r="B78">
        <v>1</v>
      </c>
      <c r="C78" t="s">
        <v>19</v>
      </c>
      <c r="D78" t="s">
        <v>20</v>
      </c>
      <c r="E78" t="s">
        <v>21</v>
      </c>
      <c r="F78" t="s">
        <v>97</v>
      </c>
      <c r="G78">
        <v>0</v>
      </c>
      <c r="H78">
        <v>0</v>
      </c>
      <c r="I78" t="s">
        <v>129</v>
      </c>
      <c r="J78" t="s">
        <v>129</v>
      </c>
      <c r="K78" t="s">
        <v>238</v>
      </c>
      <c r="L78" t="s">
        <v>239</v>
      </c>
    </row>
    <row r="79" spans="1:12" x14ac:dyDescent="0.3">
      <c r="A79" t="s">
        <v>18</v>
      </c>
      <c r="B79">
        <v>1</v>
      </c>
      <c r="C79" t="s">
        <v>19</v>
      </c>
      <c r="D79" t="s">
        <v>20</v>
      </c>
      <c r="E79" t="s">
        <v>21</v>
      </c>
      <c r="F79" t="s">
        <v>99</v>
      </c>
      <c r="G79">
        <v>0</v>
      </c>
      <c r="H79">
        <v>0</v>
      </c>
      <c r="I79" t="s">
        <v>129</v>
      </c>
      <c r="J79" t="s">
        <v>129</v>
      </c>
      <c r="K79" t="s">
        <v>240</v>
      </c>
      <c r="L79" t="s">
        <v>241</v>
      </c>
    </row>
    <row r="80" spans="1:12" x14ac:dyDescent="0.3">
      <c r="A80" t="s">
        <v>18</v>
      </c>
      <c r="B80">
        <v>1</v>
      </c>
      <c r="C80" t="s">
        <v>19</v>
      </c>
      <c r="D80" t="s">
        <v>20</v>
      </c>
      <c r="E80" t="s">
        <v>21</v>
      </c>
      <c r="F80" t="s">
        <v>101</v>
      </c>
      <c r="G80">
        <v>0</v>
      </c>
      <c r="H80">
        <v>0</v>
      </c>
      <c r="I80" t="s">
        <v>129</v>
      </c>
      <c r="J80" t="s">
        <v>129</v>
      </c>
      <c r="K80" t="s">
        <v>242</v>
      </c>
      <c r="L80" t="s">
        <v>243</v>
      </c>
    </row>
    <row r="81" spans="1:12" x14ac:dyDescent="0.3">
      <c r="A81" t="s">
        <v>18</v>
      </c>
      <c r="B81">
        <v>1</v>
      </c>
      <c r="C81" t="s">
        <v>19</v>
      </c>
      <c r="D81" t="s">
        <v>20</v>
      </c>
      <c r="E81" t="s">
        <v>21</v>
      </c>
      <c r="F81" t="s">
        <v>103</v>
      </c>
      <c r="G81">
        <v>0</v>
      </c>
      <c r="H81">
        <v>0</v>
      </c>
      <c r="I81" t="s">
        <v>129</v>
      </c>
      <c r="J81" t="s">
        <v>129</v>
      </c>
      <c r="K81" t="s">
        <v>244</v>
      </c>
      <c r="L81" t="s">
        <v>245</v>
      </c>
    </row>
    <row r="82" spans="1:12" x14ac:dyDescent="0.3">
      <c r="A82" t="s">
        <v>18</v>
      </c>
      <c r="B82">
        <v>1</v>
      </c>
      <c r="C82" t="s">
        <v>19</v>
      </c>
      <c r="D82" t="s">
        <v>20</v>
      </c>
      <c r="E82" t="s">
        <v>21</v>
      </c>
      <c r="F82" t="s">
        <v>105</v>
      </c>
      <c r="G82">
        <v>0</v>
      </c>
      <c r="H82">
        <v>0</v>
      </c>
      <c r="I82" t="s">
        <v>129</v>
      </c>
      <c r="J82" t="s">
        <v>129</v>
      </c>
      <c r="K82" t="s">
        <v>157</v>
      </c>
      <c r="L82" t="s">
        <v>246</v>
      </c>
    </row>
    <row r="83" spans="1:12" x14ac:dyDescent="0.3">
      <c r="A83" t="s">
        <v>18</v>
      </c>
      <c r="B83">
        <v>1</v>
      </c>
      <c r="C83" t="s">
        <v>19</v>
      </c>
      <c r="D83" t="s">
        <v>20</v>
      </c>
      <c r="E83" t="s">
        <v>21</v>
      </c>
      <c r="F83" t="s">
        <v>107</v>
      </c>
      <c r="G83">
        <v>0</v>
      </c>
      <c r="H83">
        <v>0</v>
      </c>
      <c r="I83" t="s">
        <v>129</v>
      </c>
      <c r="J83" t="s">
        <v>129</v>
      </c>
      <c r="K83" t="s">
        <v>143</v>
      </c>
      <c r="L83" t="s">
        <v>247</v>
      </c>
    </row>
    <row r="84" spans="1:12" x14ac:dyDescent="0.3">
      <c r="A84" t="s">
        <v>18</v>
      </c>
      <c r="B84">
        <v>1</v>
      </c>
      <c r="C84" t="s">
        <v>19</v>
      </c>
      <c r="D84" t="s">
        <v>20</v>
      </c>
      <c r="E84" t="s">
        <v>21</v>
      </c>
      <c r="F84" t="s">
        <v>111</v>
      </c>
      <c r="G84">
        <v>0</v>
      </c>
      <c r="H84">
        <v>0</v>
      </c>
      <c r="I84" t="s">
        <v>129</v>
      </c>
      <c r="J84" t="s">
        <v>129</v>
      </c>
      <c r="K84" t="s">
        <v>159</v>
      </c>
      <c r="L84" t="s">
        <v>248</v>
      </c>
    </row>
    <row r="85" spans="1:12" x14ac:dyDescent="0.3">
      <c r="A85" t="s">
        <v>18</v>
      </c>
      <c r="B85">
        <v>1</v>
      </c>
      <c r="C85" t="s">
        <v>28</v>
      </c>
      <c r="D85" t="s">
        <v>29</v>
      </c>
      <c r="E85" t="s">
        <v>21</v>
      </c>
      <c r="F85" t="s">
        <v>99</v>
      </c>
      <c r="G85">
        <v>0</v>
      </c>
      <c r="H85">
        <v>0</v>
      </c>
      <c r="I85" t="s">
        <v>129</v>
      </c>
      <c r="J85" t="s">
        <v>129</v>
      </c>
      <c r="K85" t="s">
        <v>249</v>
      </c>
      <c r="L85" t="s">
        <v>250</v>
      </c>
    </row>
    <row r="86" spans="1:12" x14ac:dyDescent="0.3">
      <c r="A86" t="s">
        <v>18</v>
      </c>
      <c r="B86">
        <v>1</v>
      </c>
      <c r="C86" t="s">
        <v>28</v>
      </c>
      <c r="D86" t="s">
        <v>29</v>
      </c>
      <c r="E86" t="s">
        <v>21</v>
      </c>
      <c r="F86" t="s">
        <v>103</v>
      </c>
      <c r="G86">
        <v>0</v>
      </c>
      <c r="H86">
        <v>0</v>
      </c>
      <c r="I86" t="s">
        <v>129</v>
      </c>
      <c r="J86" t="s">
        <v>129</v>
      </c>
      <c r="K86" t="s">
        <v>166</v>
      </c>
      <c r="L86" t="s">
        <v>251</v>
      </c>
    </row>
    <row r="87" spans="1:12" x14ac:dyDescent="0.3">
      <c r="A87" t="s">
        <v>18</v>
      </c>
      <c r="B87">
        <v>1</v>
      </c>
      <c r="C87" t="s">
        <v>30</v>
      </c>
      <c r="D87" t="s">
        <v>31</v>
      </c>
      <c r="E87" t="s">
        <v>21</v>
      </c>
      <c r="F87" t="s">
        <v>81</v>
      </c>
      <c r="G87">
        <v>0</v>
      </c>
      <c r="H87">
        <v>0</v>
      </c>
      <c r="I87" t="s">
        <v>129</v>
      </c>
      <c r="J87" t="s">
        <v>129</v>
      </c>
      <c r="K87" t="s">
        <v>252</v>
      </c>
      <c r="L87" t="s">
        <v>253</v>
      </c>
    </row>
    <row r="88" spans="1:12" x14ac:dyDescent="0.3">
      <c r="A88" t="s">
        <v>18</v>
      </c>
      <c r="B88">
        <v>1</v>
      </c>
      <c r="C88" t="s">
        <v>30</v>
      </c>
      <c r="D88" t="s">
        <v>31</v>
      </c>
      <c r="E88" t="s">
        <v>21</v>
      </c>
      <c r="F88" t="s">
        <v>101</v>
      </c>
      <c r="G88">
        <v>1</v>
      </c>
      <c r="H88">
        <v>0</v>
      </c>
      <c r="I88" t="s">
        <v>128</v>
      </c>
      <c r="J88" t="s">
        <v>128</v>
      </c>
      <c r="K88" t="s">
        <v>254</v>
      </c>
      <c r="L88" t="s">
        <v>255</v>
      </c>
    </row>
    <row r="89" spans="1:12" x14ac:dyDescent="0.3">
      <c r="A89" t="s">
        <v>18</v>
      </c>
      <c r="B89">
        <v>1</v>
      </c>
      <c r="C89" t="s">
        <v>32</v>
      </c>
      <c r="D89" t="s">
        <v>33</v>
      </c>
      <c r="E89" t="s">
        <v>21</v>
      </c>
      <c r="F89" t="s">
        <v>79</v>
      </c>
      <c r="G89">
        <v>0</v>
      </c>
      <c r="H89">
        <v>0</v>
      </c>
      <c r="I89" t="s">
        <v>129</v>
      </c>
      <c r="J89" t="s">
        <v>129</v>
      </c>
      <c r="K89" t="s">
        <v>171</v>
      </c>
      <c r="L89" t="s">
        <v>172</v>
      </c>
    </row>
    <row r="90" spans="1:12" x14ac:dyDescent="0.3">
      <c r="A90" t="s">
        <v>18</v>
      </c>
      <c r="B90">
        <v>1</v>
      </c>
      <c r="C90" t="s">
        <v>32</v>
      </c>
      <c r="D90" t="s">
        <v>33</v>
      </c>
      <c r="E90" t="s">
        <v>21</v>
      </c>
      <c r="F90" t="s">
        <v>81</v>
      </c>
      <c r="G90">
        <v>1</v>
      </c>
      <c r="H90">
        <v>1</v>
      </c>
      <c r="I90" t="s">
        <v>129</v>
      </c>
      <c r="J90" t="s">
        <v>129</v>
      </c>
      <c r="K90" t="s">
        <v>173</v>
      </c>
      <c r="L90" t="s">
        <v>152</v>
      </c>
    </row>
    <row r="91" spans="1:12" x14ac:dyDescent="0.3">
      <c r="A91" t="s">
        <v>18</v>
      </c>
      <c r="B91">
        <v>1</v>
      </c>
      <c r="C91" t="s">
        <v>32</v>
      </c>
      <c r="D91" t="s">
        <v>33</v>
      </c>
      <c r="E91" t="s">
        <v>21</v>
      </c>
      <c r="F91" t="s">
        <v>83</v>
      </c>
      <c r="G91">
        <v>0</v>
      </c>
      <c r="H91">
        <v>0</v>
      </c>
      <c r="I91" t="s">
        <v>129</v>
      </c>
      <c r="J91" t="s">
        <v>129</v>
      </c>
      <c r="K91" t="s">
        <v>171</v>
      </c>
      <c r="L91" t="s">
        <v>174</v>
      </c>
    </row>
    <row r="92" spans="1:12" x14ac:dyDescent="0.3">
      <c r="A92" t="s">
        <v>18</v>
      </c>
      <c r="B92">
        <v>1</v>
      </c>
      <c r="C92" t="s">
        <v>32</v>
      </c>
      <c r="D92" t="s">
        <v>33</v>
      </c>
      <c r="E92" t="s">
        <v>21</v>
      </c>
      <c r="F92" t="s">
        <v>85</v>
      </c>
      <c r="G92">
        <v>0</v>
      </c>
      <c r="H92">
        <v>0</v>
      </c>
      <c r="I92" t="s">
        <v>129</v>
      </c>
      <c r="J92" t="s">
        <v>129</v>
      </c>
      <c r="K92" t="s">
        <v>171</v>
      </c>
      <c r="L92" t="s">
        <v>175</v>
      </c>
    </row>
    <row r="93" spans="1:12" x14ac:dyDescent="0.3">
      <c r="A93" t="s">
        <v>18</v>
      </c>
      <c r="B93">
        <v>1</v>
      </c>
      <c r="C93" t="s">
        <v>32</v>
      </c>
      <c r="D93" t="s">
        <v>33</v>
      </c>
      <c r="E93" t="s">
        <v>21</v>
      </c>
      <c r="F93" t="s">
        <v>95</v>
      </c>
      <c r="G93">
        <v>0</v>
      </c>
      <c r="H93">
        <v>0</v>
      </c>
      <c r="I93" t="s">
        <v>129</v>
      </c>
      <c r="J93" t="s">
        <v>129</v>
      </c>
      <c r="K93" t="s">
        <v>171</v>
      </c>
      <c r="L93" t="s">
        <v>176</v>
      </c>
    </row>
    <row r="94" spans="1:12" x14ac:dyDescent="0.3">
      <c r="A94" t="s">
        <v>18</v>
      </c>
      <c r="B94">
        <v>1</v>
      </c>
      <c r="C94" t="s">
        <v>32</v>
      </c>
      <c r="D94" t="s">
        <v>33</v>
      </c>
      <c r="E94" t="s">
        <v>21</v>
      </c>
      <c r="F94" t="s">
        <v>105</v>
      </c>
      <c r="G94">
        <v>0</v>
      </c>
      <c r="H94">
        <v>0</v>
      </c>
      <c r="I94" t="s">
        <v>129</v>
      </c>
      <c r="J94" t="s">
        <v>129</v>
      </c>
      <c r="K94" t="s">
        <v>171</v>
      </c>
      <c r="L94" t="s">
        <v>177</v>
      </c>
    </row>
    <row r="95" spans="1:12" x14ac:dyDescent="0.3">
      <c r="A95" t="s">
        <v>18</v>
      </c>
      <c r="B95">
        <v>1</v>
      </c>
      <c r="C95" t="s">
        <v>32</v>
      </c>
      <c r="D95" t="s">
        <v>33</v>
      </c>
      <c r="E95" t="s">
        <v>21</v>
      </c>
      <c r="F95" t="s">
        <v>109</v>
      </c>
      <c r="G95">
        <v>1</v>
      </c>
      <c r="H95">
        <v>1</v>
      </c>
      <c r="I95" t="s">
        <v>129</v>
      </c>
      <c r="J95" t="s">
        <v>129</v>
      </c>
      <c r="K95" t="s">
        <v>256</v>
      </c>
      <c r="L95" t="s">
        <v>257</v>
      </c>
    </row>
    <row r="96" spans="1:12" x14ac:dyDescent="0.3">
      <c r="A96" t="s">
        <v>18</v>
      </c>
      <c r="B96">
        <v>1</v>
      </c>
      <c r="C96" t="s">
        <v>34</v>
      </c>
      <c r="D96" t="s">
        <v>35</v>
      </c>
      <c r="E96" t="s">
        <v>21</v>
      </c>
      <c r="F96" t="s">
        <v>81</v>
      </c>
      <c r="G96">
        <v>0</v>
      </c>
      <c r="H96">
        <v>0</v>
      </c>
      <c r="I96" t="s">
        <v>129</v>
      </c>
      <c r="J96" t="s">
        <v>129</v>
      </c>
      <c r="K96" t="s">
        <v>258</v>
      </c>
      <c r="L96" t="s">
        <v>259</v>
      </c>
    </row>
    <row r="97" spans="1:12" x14ac:dyDescent="0.3">
      <c r="A97" t="s">
        <v>18</v>
      </c>
      <c r="B97">
        <v>1</v>
      </c>
      <c r="C97" t="s">
        <v>34</v>
      </c>
      <c r="D97" t="s">
        <v>35</v>
      </c>
      <c r="E97" t="s">
        <v>21</v>
      </c>
      <c r="F97" t="s">
        <v>109</v>
      </c>
      <c r="G97">
        <v>1</v>
      </c>
      <c r="H97">
        <v>0</v>
      </c>
      <c r="I97" t="s">
        <v>128</v>
      </c>
      <c r="J97" t="s">
        <v>128</v>
      </c>
      <c r="K97" t="s">
        <v>260</v>
      </c>
      <c r="L97" t="s">
        <v>261</v>
      </c>
    </row>
    <row r="98" spans="1:12" x14ac:dyDescent="0.3">
      <c r="A98" t="s">
        <v>18</v>
      </c>
      <c r="B98">
        <v>1</v>
      </c>
      <c r="C98" t="s">
        <v>36</v>
      </c>
      <c r="D98" t="s">
        <v>37</v>
      </c>
      <c r="E98" t="s">
        <v>21</v>
      </c>
      <c r="F98" t="s">
        <v>83</v>
      </c>
      <c r="G98">
        <v>0</v>
      </c>
      <c r="H98">
        <v>0</v>
      </c>
      <c r="I98" t="s">
        <v>129</v>
      </c>
      <c r="J98" t="s">
        <v>129</v>
      </c>
      <c r="K98" t="s">
        <v>171</v>
      </c>
      <c r="L98" t="s">
        <v>181</v>
      </c>
    </row>
    <row r="99" spans="1:12" x14ac:dyDescent="0.3">
      <c r="A99" t="s">
        <v>18</v>
      </c>
      <c r="B99">
        <v>1</v>
      </c>
      <c r="C99" t="s">
        <v>36</v>
      </c>
      <c r="D99" t="s">
        <v>37</v>
      </c>
      <c r="E99" t="s">
        <v>21</v>
      </c>
      <c r="F99" t="s">
        <v>85</v>
      </c>
      <c r="G99">
        <v>0</v>
      </c>
      <c r="H99">
        <v>0</v>
      </c>
      <c r="I99" t="s">
        <v>129</v>
      </c>
      <c r="J99" t="s">
        <v>129</v>
      </c>
      <c r="K99" t="s">
        <v>171</v>
      </c>
      <c r="L99" t="s">
        <v>182</v>
      </c>
    </row>
    <row r="100" spans="1:12" x14ac:dyDescent="0.3">
      <c r="A100" t="s">
        <v>18</v>
      </c>
      <c r="B100">
        <v>1</v>
      </c>
      <c r="C100" t="s">
        <v>36</v>
      </c>
      <c r="D100" t="s">
        <v>37</v>
      </c>
      <c r="E100" t="s">
        <v>21</v>
      </c>
      <c r="F100" t="s">
        <v>99</v>
      </c>
      <c r="G100">
        <v>0</v>
      </c>
      <c r="H100">
        <v>0</v>
      </c>
      <c r="I100" t="s">
        <v>129</v>
      </c>
      <c r="J100" t="s">
        <v>129</v>
      </c>
      <c r="K100" t="s">
        <v>262</v>
      </c>
      <c r="L100" t="s">
        <v>263</v>
      </c>
    </row>
    <row r="101" spans="1:12" x14ac:dyDescent="0.3">
      <c r="A101" t="s">
        <v>18</v>
      </c>
      <c r="B101">
        <v>1</v>
      </c>
      <c r="C101" t="s">
        <v>38</v>
      </c>
      <c r="D101" t="s">
        <v>39</v>
      </c>
      <c r="E101" t="s">
        <v>21</v>
      </c>
      <c r="F101" t="s">
        <v>79</v>
      </c>
      <c r="G101">
        <v>0</v>
      </c>
      <c r="H101">
        <v>0</v>
      </c>
      <c r="I101" t="s">
        <v>129</v>
      </c>
      <c r="J101" t="s">
        <v>129</v>
      </c>
      <c r="K101" t="s">
        <v>171</v>
      </c>
      <c r="L101" t="s">
        <v>183</v>
      </c>
    </row>
    <row r="102" spans="1:12" x14ac:dyDescent="0.3">
      <c r="A102" t="s">
        <v>18</v>
      </c>
      <c r="B102">
        <v>1</v>
      </c>
      <c r="C102" t="s">
        <v>38</v>
      </c>
      <c r="D102" t="s">
        <v>39</v>
      </c>
      <c r="E102" t="s">
        <v>21</v>
      </c>
      <c r="F102" t="s">
        <v>85</v>
      </c>
      <c r="G102">
        <v>0</v>
      </c>
      <c r="H102">
        <v>0</v>
      </c>
      <c r="I102" t="s">
        <v>129</v>
      </c>
      <c r="J102" t="s">
        <v>129</v>
      </c>
      <c r="K102" t="s">
        <v>171</v>
      </c>
      <c r="L102" t="s">
        <v>184</v>
      </c>
    </row>
    <row r="103" spans="1:12" x14ac:dyDescent="0.3">
      <c r="A103" t="s">
        <v>18</v>
      </c>
      <c r="B103">
        <v>1</v>
      </c>
      <c r="C103" t="s">
        <v>38</v>
      </c>
      <c r="D103" t="s">
        <v>39</v>
      </c>
      <c r="E103" t="s">
        <v>21</v>
      </c>
      <c r="F103" t="s">
        <v>97</v>
      </c>
      <c r="G103">
        <v>0</v>
      </c>
      <c r="H103">
        <v>0</v>
      </c>
      <c r="I103" t="s">
        <v>129</v>
      </c>
      <c r="J103" t="s">
        <v>129</v>
      </c>
      <c r="K103" t="s">
        <v>264</v>
      </c>
      <c r="L103" t="s">
        <v>265</v>
      </c>
    </row>
    <row r="104" spans="1:12" x14ac:dyDescent="0.3">
      <c r="A104" t="s">
        <v>18</v>
      </c>
      <c r="B104">
        <v>1</v>
      </c>
      <c r="C104" t="s">
        <v>40</v>
      </c>
      <c r="D104" t="s">
        <v>41</v>
      </c>
      <c r="E104" t="s">
        <v>21</v>
      </c>
      <c r="F104" t="s">
        <v>77</v>
      </c>
      <c r="G104">
        <v>0</v>
      </c>
      <c r="H104">
        <v>1</v>
      </c>
      <c r="I104" t="s">
        <v>128</v>
      </c>
      <c r="J104" t="s">
        <v>128</v>
      </c>
      <c r="K104" t="s">
        <v>266</v>
      </c>
      <c r="L104" t="s">
        <v>267</v>
      </c>
    </row>
    <row r="105" spans="1:12" x14ac:dyDescent="0.3">
      <c r="A105" t="s">
        <v>18</v>
      </c>
      <c r="B105">
        <v>1</v>
      </c>
      <c r="C105" t="s">
        <v>40</v>
      </c>
      <c r="D105" t="s">
        <v>41</v>
      </c>
      <c r="E105" t="s">
        <v>21</v>
      </c>
      <c r="F105" t="s">
        <v>81</v>
      </c>
      <c r="G105">
        <v>1</v>
      </c>
      <c r="H105">
        <v>1</v>
      </c>
      <c r="I105" t="s">
        <v>129</v>
      </c>
      <c r="J105" t="s">
        <v>129</v>
      </c>
      <c r="K105" t="s">
        <v>171</v>
      </c>
      <c r="L105" t="s">
        <v>152</v>
      </c>
    </row>
    <row r="106" spans="1:12" x14ac:dyDescent="0.3">
      <c r="A106" t="s">
        <v>18</v>
      </c>
      <c r="B106">
        <v>1</v>
      </c>
      <c r="C106" t="s">
        <v>40</v>
      </c>
      <c r="D106" t="s">
        <v>41</v>
      </c>
      <c r="E106" t="s">
        <v>21</v>
      </c>
      <c r="F106" t="s">
        <v>85</v>
      </c>
      <c r="G106">
        <v>0</v>
      </c>
      <c r="H106">
        <v>0</v>
      </c>
      <c r="I106" t="s">
        <v>129</v>
      </c>
      <c r="J106" t="s">
        <v>129</v>
      </c>
      <c r="K106" t="s">
        <v>171</v>
      </c>
      <c r="L106" t="s">
        <v>187</v>
      </c>
    </row>
    <row r="107" spans="1:12" x14ac:dyDescent="0.3">
      <c r="A107" t="s">
        <v>18</v>
      </c>
      <c r="B107">
        <v>1</v>
      </c>
      <c r="C107" t="s">
        <v>40</v>
      </c>
      <c r="D107" t="s">
        <v>41</v>
      </c>
      <c r="E107" t="s">
        <v>21</v>
      </c>
      <c r="F107" t="s">
        <v>105</v>
      </c>
      <c r="G107">
        <v>0</v>
      </c>
      <c r="H107">
        <v>0</v>
      </c>
      <c r="I107" t="s">
        <v>129</v>
      </c>
      <c r="J107" t="s">
        <v>129</v>
      </c>
      <c r="K107" t="s">
        <v>171</v>
      </c>
      <c r="L107" t="s">
        <v>268</v>
      </c>
    </row>
    <row r="108" spans="1:12" x14ac:dyDescent="0.3">
      <c r="A108" t="s">
        <v>18</v>
      </c>
      <c r="B108">
        <v>1</v>
      </c>
      <c r="C108" t="s">
        <v>40</v>
      </c>
      <c r="D108" t="s">
        <v>41</v>
      </c>
      <c r="E108" t="s">
        <v>21</v>
      </c>
      <c r="F108" t="s">
        <v>109</v>
      </c>
      <c r="G108">
        <v>1</v>
      </c>
      <c r="H108">
        <v>1</v>
      </c>
      <c r="I108" t="s">
        <v>129</v>
      </c>
      <c r="J108" t="s">
        <v>129</v>
      </c>
      <c r="K108" t="s">
        <v>269</v>
      </c>
      <c r="L108" t="s">
        <v>270</v>
      </c>
    </row>
    <row r="109" spans="1:12" x14ac:dyDescent="0.3">
      <c r="A109" t="s">
        <v>18</v>
      </c>
      <c r="B109">
        <v>1</v>
      </c>
      <c r="C109" t="s">
        <v>43</v>
      </c>
      <c r="D109" t="s">
        <v>44</v>
      </c>
      <c r="E109" t="s">
        <v>21</v>
      </c>
      <c r="F109" t="s">
        <v>107</v>
      </c>
      <c r="G109">
        <v>1</v>
      </c>
      <c r="H109">
        <v>1</v>
      </c>
      <c r="I109" t="s">
        <v>129</v>
      </c>
      <c r="J109" t="s">
        <v>129</v>
      </c>
      <c r="K109" t="s">
        <v>271</v>
      </c>
      <c r="L109" t="s">
        <v>272</v>
      </c>
    </row>
    <row r="110" spans="1:12" x14ac:dyDescent="0.3">
      <c r="A110" t="s">
        <v>18</v>
      </c>
      <c r="B110">
        <v>1</v>
      </c>
      <c r="C110" t="s">
        <v>43</v>
      </c>
      <c r="D110" t="s">
        <v>44</v>
      </c>
      <c r="E110" t="s">
        <v>21</v>
      </c>
      <c r="F110" t="s">
        <v>109</v>
      </c>
      <c r="G110">
        <v>1</v>
      </c>
      <c r="H110">
        <v>1</v>
      </c>
      <c r="I110" t="s">
        <v>129</v>
      </c>
      <c r="J110" t="s">
        <v>129</v>
      </c>
      <c r="K110" t="s">
        <v>273</v>
      </c>
      <c r="L110" t="s">
        <v>274</v>
      </c>
    </row>
    <row r="111" spans="1:12" x14ac:dyDescent="0.3">
      <c r="A111" t="s">
        <v>18</v>
      </c>
      <c r="B111">
        <v>1</v>
      </c>
      <c r="C111" t="s">
        <v>63</v>
      </c>
      <c r="D111" t="s">
        <v>64</v>
      </c>
      <c r="E111" t="s">
        <v>21</v>
      </c>
      <c r="F111" t="s">
        <v>77</v>
      </c>
      <c r="G111">
        <v>0</v>
      </c>
      <c r="H111">
        <v>0</v>
      </c>
      <c r="I111" t="s">
        <v>129</v>
      </c>
      <c r="J111" t="s">
        <v>129</v>
      </c>
      <c r="K111" t="s">
        <v>275</v>
      </c>
      <c r="L111" t="s">
        <v>276</v>
      </c>
    </row>
    <row r="112" spans="1:12" x14ac:dyDescent="0.3">
      <c r="A112" t="s">
        <v>18</v>
      </c>
      <c r="B112">
        <v>1</v>
      </c>
      <c r="C112" t="s">
        <v>63</v>
      </c>
      <c r="D112" t="s">
        <v>64</v>
      </c>
      <c r="E112" t="s">
        <v>21</v>
      </c>
      <c r="F112" t="s">
        <v>79</v>
      </c>
      <c r="G112">
        <v>0</v>
      </c>
      <c r="H112">
        <v>0</v>
      </c>
      <c r="I112" t="s">
        <v>129</v>
      </c>
      <c r="J112" t="s">
        <v>129</v>
      </c>
      <c r="K112" t="s">
        <v>277</v>
      </c>
      <c r="L112" t="s">
        <v>278</v>
      </c>
    </row>
    <row r="113" spans="1:12" x14ac:dyDescent="0.3">
      <c r="A113" t="s">
        <v>18</v>
      </c>
      <c r="B113">
        <v>1</v>
      </c>
      <c r="C113" t="s">
        <v>63</v>
      </c>
      <c r="D113" t="s">
        <v>64</v>
      </c>
      <c r="E113" t="s">
        <v>21</v>
      </c>
      <c r="F113" t="s">
        <v>81</v>
      </c>
      <c r="G113">
        <v>1</v>
      </c>
      <c r="H113">
        <v>1</v>
      </c>
      <c r="I113" t="s">
        <v>129</v>
      </c>
      <c r="J113" t="s">
        <v>129</v>
      </c>
      <c r="K113" t="s">
        <v>199</v>
      </c>
      <c r="L113" t="s">
        <v>152</v>
      </c>
    </row>
    <row r="114" spans="1:12" x14ac:dyDescent="0.3">
      <c r="A114" t="s">
        <v>18</v>
      </c>
      <c r="B114">
        <v>1</v>
      </c>
      <c r="C114" t="s">
        <v>63</v>
      </c>
      <c r="D114" t="s">
        <v>64</v>
      </c>
      <c r="E114" t="s">
        <v>21</v>
      </c>
      <c r="F114" t="s">
        <v>83</v>
      </c>
      <c r="G114">
        <v>0</v>
      </c>
      <c r="H114">
        <v>0</v>
      </c>
      <c r="I114" t="s">
        <v>129</v>
      </c>
      <c r="J114" t="s">
        <v>129</v>
      </c>
      <c r="K114" t="s">
        <v>279</v>
      </c>
      <c r="L114" t="s">
        <v>280</v>
      </c>
    </row>
    <row r="115" spans="1:12" x14ac:dyDescent="0.3">
      <c r="A115" t="s">
        <v>18</v>
      </c>
      <c r="B115">
        <v>1</v>
      </c>
      <c r="C115" t="s">
        <v>63</v>
      </c>
      <c r="D115" t="s">
        <v>64</v>
      </c>
      <c r="E115" t="s">
        <v>21</v>
      </c>
      <c r="F115" t="s">
        <v>85</v>
      </c>
      <c r="G115">
        <v>0</v>
      </c>
      <c r="H115">
        <v>0</v>
      </c>
      <c r="I115" t="s">
        <v>129</v>
      </c>
      <c r="J115" t="s">
        <v>129</v>
      </c>
      <c r="K115" t="s">
        <v>202</v>
      </c>
      <c r="L115" t="s">
        <v>203</v>
      </c>
    </row>
    <row r="116" spans="1:12" x14ac:dyDescent="0.3">
      <c r="A116" t="s">
        <v>18</v>
      </c>
      <c r="B116">
        <v>1</v>
      </c>
      <c r="C116" t="s">
        <v>63</v>
      </c>
      <c r="D116" t="s">
        <v>64</v>
      </c>
      <c r="E116" t="s">
        <v>21</v>
      </c>
      <c r="F116" t="s">
        <v>87</v>
      </c>
      <c r="G116">
        <v>0</v>
      </c>
      <c r="H116">
        <v>0</v>
      </c>
      <c r="I116" t="s">
        <v>129</v>
      </c>
      <c r="J116" t="s">
        <v>129</v>
      </c>
      <c r="K116" t="s">
        <v>281</v>
      </c>
      <c r="L116" t="s">
        <v>201</v>
      </c>
    </row>
    <row r="117" spans="1:12" x14ac:dyDescent="0.3">
      <c r="A117" t="s">
        <v>18</v>
      </c>
      <c r="B117">
        <v>1</v>
      </c>
      <c r="C117" t="s">
        <v>63</v>
      </c>
      <c r="D117" t="s">
        <v>64</v>
      </c>
      <c r="E117" t="s">
        <v>21</v>
      </c>
      <c r="F117" t="s">
        <v>89</v>
      </c>
      <c r="G117">
        <v>0</v>
      </c>
      <c r="H117">
        <v>0</v>
      </c>
      <c r="I117" t="s">
        <v>129</v>
      </c>
      <c r="J117" t="s">
        <v>129</v>
      </c>
      <c r="K117" t="s">
        <v>282</v>
      </c>
      <c r="L117" t="s">
        <v>283</v>
      </c>
    </row>
    <row r="118" spans="1:12" x14ac:dyDescent="0.3">
      <c r="A118" t="s">
        <v>18</v>
      </c>
      <c r="B118">
        <v>1</v>
      </c>
      <c r="C118" t="s">
        <v>63</v>
      </c>
      <c r="D118" t="s">
        <v>64</v>
      </c>
      <c r="E118" t="s">
        <v>21</v>
      </c>
      <c r="F118" t="s">
        <v>91</v>
      </c>
      <c r="G118">
        <v>0</v>
      </c>
      <c r="H118">
        <v>0</v>
      </c>
      <c r="I118" t="s">
        <v>129</v>
      </c>
      <c r="J118" t="s">
        <v>129</v>
      </c>
      <c r="K118" t="s">
        <v>284</v>
      </c>
      <c r="L118" t="s">
        <v>285</v>
      </c>
    </row>
    <row r="119" spans="1:12" x14ac:dyDescent="0.3">
      <c r="A119" t="s">
        <v>18</v>
      </c>
      <c r="B119">
        <v>1</v>
      </c>
      <c r="C119" t="s">
        <v>63</v>
      </c>
      <c r="D119" t="s">
        <v>64</v>
      </c>
      <c r="E119" t="s">
        <v>21</v>
      </c>
      <c r="F119" t="s">
        <v>93</v>
      </c>
      <c r="G119">
        <v>0</v>
      </c>
      <c r="H119">
        <v>0</v>
      </c>
      <c r="I119" t="s">
        <v>129</v>
      </c>
      <c r="J119" t="s">
        <v>129</v>
      </c>
      <c r="K119" t="s">
        <v>286</v>
      </c>
      <c r="L119" t="s">
        <v>287</v>
      </c>
    </row>
    <row r="120" spans="1:12" x14ac:dyDescent="0.3">
      <c r="A120" t="s">
        <v>18</v>
      </c>
      <c r="B120">
        <v>1</v>
      </c>
      <c r="C120" t="s">
        <v>63</v>
      </c>
      <c r="D120" t="s">
        <v>64</v>
      </c>
      <c r="E120" t="s">
        <v>21</v>
      </c>
      <c r="F120" t="s">
        <v>95</v>
      </c>
      <c r="G120">
        <v>0</v>
      </c>
      <c r="H120">
        <v>0</v>
      </c>
      <c r="I120" t="s">
        <v>129</v>
      </c>
      <c r="J120" t="s">
        <v>129</v>
      </c>
      <c r="K120" t="s">
        <v>288</v>
      </c>
      <c r="L120" t="s">
        <v>289</v>
      </c>
    </row>
    <row r="121" spans="1:12" x14ac:dyDescent="0.3">
      <c r="A121" t="s">
        <v>18</v>
      </c>
      <c r="B121">
        <v>1</v>
      </c>
      <c r="C121" t="s">
        <v>63</v>
      </c>
      <c r="D121" t="s">
        <v>64</v>
      </c>
      <c r="E121" t="s">
        <v>21</v>
      </c>
      <c r="F121" t="s">
        <v>97</v>
      </c>
      <c r="G121">
        <v>0</v>
      </c>
      <c r="H121">
        <v>0</v>
      </c>
      <c r="I121" t="s">
        <v>129</v>
      </c>
      <c r="J121" t="s">
        <v>129</v>
      </c>
      <c r="K121" t="s">
        <v>290</v>
      </c>
      <c r="L121" t="s">
        <v>291</v>
      </c>
    </row>
    <row r="122" spans="1:12" x14ac:dyDescent="0.3">
      <c r="A122" t="s">
        <v>18</v>
      </c>
      <c r="B122">
        <v>1</v>
      </c>
      <c r="C122" t="s">
        <v>63</v>
      </c>
      <c r="D122" t="s">
        <v>64</v>
      </c>
      <c r="E122" t="s">
        <v>21</v>
      </c>
      <c r="F122" t="s">
        <v>99</v>
      </c>
      <c r="G122">
        <v>0</v>
      </c>
      <c r="H122">
        <v>0</v>
      </c>
      <c r="I122" t="s">
        <v>129</v>
      </c>
      <c r="J122" t="s">
        <v>129</v>
      </c>
      <c r="K122" t="s">
        <v>292</v>
      </c>
      <c r="L122" t="s">
        <v>293</v>
      </c>
    </row>
    <row r="123" spans="1:12" x14ac:dyDescent="0.3">
      <c r="A123" t="s">
        <v>18</v>
      </c>
      <c r="B123">
        <v>1</v>
      </c>
      <c r="C123" t="s">
        <v>63</v>
      </c>
      <c r="D123" t="s">
        <v>64</v>
      </c>
      <c r="E123" t="s">
        <v>21</v>
      </c>
      <c r="F123" t="s">
        <v>101</v>
      </c>
      <c r="G123">
        <v>1</v>
      </c>
      <c r="H123">
        <v>0</v>
      </c>
      <c r="I123" t="s">
        <v>128</v>
      </c>
      <c r="J123" t="s">
        <v>128</v>
      </c>
      <c r="K123" t="s">
        <v>211</v>
      </c>
      <c r="L123" t="s">
        <v>294</v>
      </c>
    </row>
    <row r="124" spans="1:12" x14ac:dyDescent="0.3">
      <c r="A124" t="s">
        <v>18</v>
      </c>
      <c r="B124">
        <v>1</v>
      </c>
      <c r="C124" t="s">
        <v>63</v>
      </c>
      <c r="D124" t="s">
        <v>64</v>
      </c>
      <c r="E124" t="s">
        <v>21</v>
      </c>
      <c r="F124" t="s">
        <v>103</v>
      </c>
      <c r="G124">
        <v>0</v>
      </c>
      <c r="H124">
        <v>0</v>
      </c>
      <c r="I124" t="s">
        <v>129</v>
      </c>
      <c r="J124" t="s">
        <v>129</v>
      </c>
      <c r="K124" t="s">
        <v>295</v>
      </c>
      <c r="L124" t="s">
        <v>296</v>
      </c>
    </row>
    <row r="125" spans="1:12" x14ac:dyDescent="0.3">
      <c r="A125" t="s">
        <v>18</v>
      </c>
      <c r="B125">
        <v>1</v>
      </c>
      <c r="C125" t="s">
        <v>63</v>
      </c>
      <c r="D125" t="s">
        <v>64</v>
      </c>
      <c r="E125" t="s">
        <v>21</v>
      </c>
      <c r="F125" t="s">
        <v>105</v>
      </c>
      <c r="G125">
        <v>0</v>
      </c>
      <c r="H125">
        <v>0</v>
      </c>
      <c r="I125" t="s">
        <v>129</v>
      </c>
      <c r="J125" t="s">
        <v>129</v>
      </c>
      <c r="K125" t="s">
        <v>202</v>
      </c>
      <c r="L125" t="s">
        <v>212</v>
      </c>
    </row>
    <row r="126" spans="1:12" x14ac:dyDescent="0.3">
      <c r="A126" t="s">
        <v>18</v>
      </c>
      <c r="B126">
        <v>1</v>
      </c>
      <c r="C126" t="s">
        <v>63</v>
      </c>
      <c r="D126" t="s">
        <v>64</v>
      </c>
      <c r="E126" t="s">
        <v>21</v>
      </c>
      <c r="F126" t="s">
        <v>111</v>
      </c>
      <c r="G126">
        <v>0</v>
      </c>
      <c r="H126">
        <v>0</v>
      </c>
      <c r="I126" t="s">
        <v>129</v>
      </c>
      <c r="J126" t="s">
        <v>129</v>
      </c>
      <c r="K126" t="s">
        <v>297</v>
      </c>
      <c r="L126" t="s">
        <v>298</v>
      </c>
    </row>
    <row r="127" spans="1:12" x14ac:dyDescent="0.3">
      <c r="A127" t="s">
        <v>18</v>
      </c>
      <c r="B127">
        <v>1</v>
      </c>
      <c r="C127" t="s">
        <v>47</v>
      </c>
      <c r="D127" t="s">
        <v>48</v>
      </c>
      <c r="E127" t="s">
        <v>21</v>
      </c>
      <c r="F127" t="s">
        <v>107</v>
      </c>
      <c r="G127">
        <v>1</v>
      </c>
      <c r="H127">
        <v>0</v>
      </c>
      <c r="I127" t="s">
        <v>128</v>
      </c>
      <c r="J127" t="s">
        <v>128</v>
      </c>
      <c r="K127" t="s">
        <v>299</v>
      </c>
      <c r="L127" t="s">
        <v>300</v>
      </c>
    </row>
    <row r="128" spans="1:12" x14ac:dyDescent="0.3">
      <c r="A128" t="s">
        <v>18</v>
      </c>
      <c r="B128">
        <v>1</v>
      </c>
      <c r="C128" t="s">
        <v>47</v>
      </c>
      <c r="D128" t="s">
        <v>48</v>
      </c>
      <c r="E128" t="s">
        <v>21</v>
      </c>
      <c r="F128" t="s">
        <v>109</v>
      </c>
      <c r="G128">
        <v>1</v>
      </c>
      <c r="H128">
        <v>1</v>
      </c>
      <c r="I128" t="s">
        <v>129</v>
      </c>
      <c r="J128" t="s">
        <v>129</v>
      </c>
      <c r="K128" t="s">
        <v>301</v>
      </c>
      <c r="L128" t="s">
        <v>302</v>
      </c>
    </row>
    <row r="129" spans="1:12" x14ac:dyDescent="0.3">
      <c r="A129" t="s">
        <v>18</v>
      </c>
      <c r="B129">
        <v>1</v>
      </c>
      <c r="C129" t="s">
        <v>49</v>
      </c>
      <c r="D129" t="s">
        <v>50</v>
      </c>
      <c r="E129" t="s">
        <v>21</v>
      </c>
      <c r="F129" t="s">
        <v>109</v>
      </c>
      <c r="G129">
        <v>1</v>
      </c>
      <c r="H129">
        <v>1</v>
      </c>
      <c r="I129" t="s">
        <v>129</v>
      </c>
      <c r="J129" t="s">
        <v>129</v>
      </c>
      <c r="K129" t="s">
        <v>303</v>
      </c>
      <c r="L129" t="s">
        <v>304</v>
      </c>
    </row>
    <row r="130" spans="1:12" x14ac:dyDescent="0.3">
      <c r="A130" t="s">
        <v>18</v>
      </c>
      <c r="B130">
        <v>1</v>
      </c>
      <c r="C130" t="s">
        <v>51</v>
      </c>
      <c r="D130" t="s">
        <v>52</v>
      </c>
      <c r="E130" t="s">
        <v>21</v>
      </c>
      <c r="F130" t="s">
        <v>83</v>
      </c>
      <c r="G130">
        <v>0</v>
      </c>
      <c r="H130">
        <v>0</v>
      </c>
      <c r="I130" t="s">
        <v>129</v>
      </c>
      <c r="J130" t="s">
        <v>129</v>
      </c>
      <c r="K130" t="s">
        <v>166</v>
      </c>
      <c r="L130" t="s">
        <v>305</v>
      </c>
    </row>
    <row r="131" spans="1:12" x14ac:dyDescent="0.3">
      <c r="A131" t="s">
        <v>18</v>
      </c>
      <c r="B131">
        <v>1</v>
      </c>
      <c r="C131" t="s">
        <v>51</v>
      </c>
      <c r="D131" t="s">
        <v>52</v>
      </c>
      <c r="E131" t="s">
        <v>21</v>
      </c>
      <c r="F131" t="s">
        <v>89</v>
      </c>
      <c r="G131">
        <v>0</v>
      </c>
      <c r="H131">
        <v>0</v>
      </c>
      <c r="I131" t="s">
        <v>129</v>
      </c>
      <c r="J131" t="s">
        <v>129</v>
      </c>
      <c r="K131" t="s">
        <v>306</v>
      </c>
      <c r="L131" t="s">
        <v>307</v>
      </c>
    </row>
    <row r="132" spans="1:12" x14ac:dyDescent="0.3">
      <c r="A132" t="s">
        <v>18</v>
      </c>
      <c r="B132">
        <v>1</v>
      </c>
      <c r="C132" t="s">
        <v>51</v>
      </c>
      <c r="D132" t="s">
        <v>52</v>
      </c>
      <c r="E132" t="s">
        <v>21</v>
      </c>
      <c r="F132" t="s">
        <v>99</v>
      </c>
      <c r="G132">
        <v>0</v>
      </c>
      <c r="H132">
        <v>0</v>
      </c>
      <c r="I132" t="s">
        <v>129</v>
      </c>
      <c r="J132" t="s">
        <v>129</v>
      </c>
      <c r="K132" t="s">
        <v>308</v>
      </c>
      <c r="L132" t="s">
        <v>309</v>
      </c>
    </row>
    <row r="133" spans="1:12" x14ac:dyDescent="0.3">
      <c r="A133" t="s">
        <v>18</v>
      </c>
      <c r="B133">
        <v>1</v>
      </c>
      <c r="C133" t="s">
        <v>51</v>
      </c>
      <c r="D133" t="s">
        <v>52</v>
      </c>
      <c r="E133" t="s">
        <v>21</v>
      </c>
      <c r="F133" t="s">
        <v>101</v>
      </c>
      <c r="G133">
        <v>0</v>
      </c>
      <c r="H133">
        <v>0</v>
      </c>
      <c r="I133" t="s">
        <v>129</v>
      </c>
      <c r="J133" t="s">
        <v>129</v>
      </c>
      <c r="K133" t="s">
        <v>310</v>
      </c>
      <c r="L133" t="s">
        <v>311</v>
      </c>
    </row>
    <row r="134" spans="1:12" x14ac:dyDescent="0.3">
      <c r="A134" t="s">
        <v>18</v>
      </c>
      <c r="B134">
        <v>1</v>
      </c>
      <c r="C134" t="s">
        <v>51</v>
      </c>
      <c r="D134" t="s">
        <v>52</v>
      </c>
      <c r="E134" t="s">
        <v>21</v>
      </c>
      <c r="F134" t="s">
        <v>109</v>
      </c>
      <c r="G134">
        <v>1</v>
      </c>
      <c r="H134">
        <v>1</v>
      </c>
      <c r="I134" t="s">
        <v>129</v>
      </c>
      <c r="J134" t="s">
        <v>129</v>
      </c>
      <c r="K134" t="s">
        <v>312</v>
      </c>
      <c r="L134" t="s">
        <v>313</v>
      </c>
    </row>
    <row r="135" spans="1:12" x14ac:dyDescent="0.3">
      <c r="A135" t="s">
        <v>18</v>
      </c>
      <c r="B135">
        <v>1</v>
      </c>
      <c r="C135" t="s">
        <v>53</v>
      </c>
      <c r="D135" t="s">
        <v>54</v>
      </c>
      <c r="E135" t="s">
        <v>21</v>
      </c>
      <c r="F135" t="s">
        <v>109</v>
      </c>
      <c r="G135">
        <v>1</v>
      </c>
      <c r="H135">
        <v>1</v>
      </c>
      <c r="I135" t="s">
        <v>129</v>
      </c>
      <c r="J135" t="s">
        <v>129</v>
      </c>
      <c r="K135" t="s">
        <v>314</v>
      </c>
      <c r="L135" t="s">
        <v>315</v>
      </c>
    </row>
    <row r="136" spans="1:12" x14ac:dyDescent="0.3">
      <c r="A136" t="s">
        <v>18</v>
      </c>
      <c r="B136">
        <v>1</v>
      </c>
      <c r="C136" t="s">
        <v>55</v>
      </c>
      <c r="D136" t="s">
        <v>56</v>
      </c>
      <c r="E136" t="s">
        <v>21</v>
      </c>
      <c r="F136" t="s">
        <v>81</v>
      </c>
      <c r="G136">
        <v>1</v>
      </c>
      <c r="H136">
        <v>1</v>
      </c>
      <c r="I136" t="s">
        <v>129</v>
      </c>
      <c r="J136" t="s">
        <v>129</v>
      </c>
      <c r="K136" t="s">
        <v>173</v>
      </c>
      <c r="L136" t="s">
        <v>152</v>
      </c>
    </row>
    <row r="137" spans="1:12" x14ac:dyDescent="0.3">
      <c r="A137" t="s">
        <v>18</v>
      </c>
      <c r="B137">
        <v>1</v>
      </c>
      <c r="C137" t="s">
        <v>55</v>
      </c>
      <c r="D137" t="s">
        <v>56</v>
      </c>
      <c r="E137" t="s">
        <v>21</v>
      </c>
      <c r="F137" t="s">
        <v>85</v>
      </c>
      <c r="G137">
        <v>0</v>
      </c>
      <c r="H137">
        <v>0</v>
      </c>
      <c r="I137" t="s">
        <v>129</v>
      </c>
      <c r="J137" t="s">
        <v>129</v>
      </c>
      <c r="K137" t="s">
        <v>171</v>
      </c>
      <c r="L137" t="s">
        <v>316</v>
      </c>
    </row>
    <row r="138" spans="1:12" x14ac:dyDescent="0.3">
      <c r="A138" t="s">
        <v>18</v>
      </c>
      <c r="B138">
        <v>1</v>
      </c>
      <c r="C138" t="s">
        <v>55</v>
      </c>
      <c r="D138" t="s">
        <v>56</v>
      </c>
      <c r="E138" t="s">
        <v>21</v>
      </c>
      <c r="F138" t="s">
        <v>101</v>
      </c>
      <c r="G138">
        <v>1</v>
      </c>
      <c r="H138">
        <v>1</v>
      </c>
      <c r="I138" t="s">
        <v>129</v>
      </c>
      <c r="J138" t="s">
        <v>129</v>
      </c>
      <c r="K138" t="s">
        <v>317</v>
      </c>
      <c r="L138" t="s">
        <v>318</v>
      </c>
    </row>
    <row r="139" spans="1:12" x14ac:dyDescent="0.3">
      <c r="A139" t="s">
        <v>18</v>
      </c>
      <c r="B139">
        <v>1</v>
      </c>
      <c r="C139" t="s">
        <v>55</v>
      </c>
      <c r="D139" t="s">
        <v>56</v>
      </c>
      <c r="E139" t="s">
        <v>21</v>
      </c>
      <c r="F139" t="s">
        <v>109</v>
      </c>
      <c r="G139">
        <v>1</v>
      </c>
      <c r="H139">
        <v>0</v>
      </c>
      <c r="I139" t="s">
        <v>128</v>
      </c>
      <c r="J139" t="s">
        <v>128</v>
      </c>
      <c r="K139" t="s">
        <v>260</v>
      </c>
      <c r="L139" t="s">
        <v>319</v>
      </c>
    </row>
    <row r="140" spans="1:12" x14ac:dyDescent="0.3">
      <c r="A140" t="s">
        <v>18</v>
      </c>
      <c r="B140">
        <v>1</v>
      </c>
      <c r="C140" t="s">
        <v>57</v>
      </c>
      <c r="D140" t="s">
        <v>58</v>
      </c>
      <c r="E140" t="s">
        <v>21</v>
      </c>
      <c r="F140" t="s">
        <v>81</v>
      </c>
      <c r="G140">
        <v>0</v>
      </c>
      <c r="H140">
        <v>0</v>
      </c>
      <c r="I140" t="s">
        <v>129</v>
      </c>
      <c r="J140" t="s">
        <v>129</v>
      </c>
      <c r="K140" t="s">
        <v>320</v>
      </c>
      <c r="L140" t="s">
        <v>321</v>
      </c>
    </row>
    <row r="141" spans="1:12" x14ac:dyDescent="0.3">
      <c r="A141" t="s">
        <v>18</v>
      </c>
      <c r="B141">
        <v>1</v>
      </c>
      <c r="C141" t="s">
        <v>57</v>
      </c>
      <c r="D141" t="s">
        <v>58</v>
      </c>
      <c r="E141" t="s">
        <v>21</v>
      </c>
      <c r="F141" t="s">
        <v>109</v>
      </c>
      <c r="G141">
        <v>1</v>
      </c>
      <c r="H141">
        <v>1</v>
      </c>
      <c r="I141" t="s">
        <v>129</v>
      </c>
      <c r="J141" t="s">
        <v>129</v>
      </c>
      <c r="K141" t="s">
        <v>322</v>
      </c>
      <c r="L141" t="s">
        <v>323</v>
      </c>
    </row>
    <row r="142" spans="1:12" x14ac:dyDescent="0.3">
      <c r="A142" t="s">
        <v>18</v>
      </c>
      <c r="B142">
        <v>1</v>
      </c>
      <c r="C142" t="s">
        <v>61</v>
      </c>
      <c r="D142" t="s">
        <v>62</v>
      </c>
      <c r="E142" t="s">
        <v>21</v>
      </c>
      <c r="F142" t="s">
        <v>109</v>
      </c>
      <c r="G142">
        <v>1</v>
      </c>
      <c r="H142">
        <v>1</v>
      </c>
      <c r="I142" t="s">
        <v>129</v>
      </c>
      <c r="J142" t="s">
        <v>129</v>
      </c>
      <c r="K142" t="s">
        <v>324</v>
      </c>
      <c r="L142" t="s">
        <v>325</v>
      </c>
    </row>
    <row r="143" spans="1:12" x14ac:dyDescent="0.3">
      <c r="A143" t="s">
        <v>18</v>
      </c>
      <c r="B143">
        <v>1</v>
      </c>
      <c r="C143" t="s">
        <v>19</v>
      </c>
      <c r="D143" t="s">
        <v>20</v>
      </c>
      <c r="E143" t="s">
        <v>23</v>
      </c>
      <c r="F143" t="s">
        <v>95</v>
      </c>
      <c r="G143">
        <v>0</v>
      </c>
      <c r="H143">
        <v>0</v>
      </c>
      <c r="I143" t="s">
        <v>129</v>
      </c>
      <c r="J143" t="s">
        <v>129</v>
      </c>
      <c r="K143" t="s">
        <v>149</v>
      </c>
      <c r="L143" t="s">
        <v>326</v>
      </c>
    </row>
    <row r="144" spans="1:12" x14ac:dyDescent="0.3">
      <c r="A144" t="s">
        <v>18</v>
      </c>
      <c r="B144">
        <v>1</v>
      </c>
      <c r="C144" t="s">
        <v>19</v>
      </c>
      <c r="D144" t="s">
        <v>20</v>
      </c>
      <c r="E144" t="s">
        <v>23</v>
      </c>
      <c r="F144" t="s">
        <v>103</v>
      </c>
      <c r="G144">
        <v>0</v>
      </c>
      <c r="H144">
        <v>0</v>
      </c>
      <c r="I144" t="s">
        <v>129</v>
      </c>
      <c r="J144" t="s">
        <v>129</v>
      </c>
      <c r="K144" t="s">
        <v>327</v>
      </c>
      <c r="L144" t="s">
        <v>328</v>
      </c>
    </row>
    <row r="145" spans="1:12" x14ac:dyDescent="0.3">
      <c r="A145" t="s">
        <v>18</v>
      </c>
      <c r="B145">
        <v>1</v>
      </c>
      <c r="C145" t="s">
        <v>19</v>
      </c>
      <c r="D145" t="s">
        <v>20</v>
      </c>
      <c r="E145" t="s">
        <v>23</v>
      </c>
      <c r="F145" t="s">
        <v>107</v>
      </c>
      <c r="G145">
        <v>0</v>
      </c>
      <c r="H145">
        <v>0</v>
      </c>
      <c r="I145" t="s">
        <v>129</v>
      </c>
      <c r="J145" t="s">
        <v>129</v>
      </c>
      <c r="K145" t="s">
        <v>329</v>
      </c>
      <c r="L145" t="s">
        <v>330</v>
      </c>
    </row>
    <row r="146" spans="1:12" x14ac:dyDescent="0.3">
      <c r="A146" t="s">
        <v>18</v>
      </c>
      <c r="B146">
        <v>1</v>
      </c>
      <c r="C146" t="s">
        <v>19</v>
      </c>
      <c r="D146" t="s">
        <v>20</v>
      </c>
      <c r="E146" t="s">
        <v>23</v>
      </c>
      <c r="F146" t="s">
        <v>111</v>
      </c>
      <c r="G146">
        <v>0</v>
      </c>
      <c r="H146">
        <v>0</v>
      </c>
      <c r="I146" t="s">
        <v>129</v>
      </c>
      <c r="J146" t="s">
        <v>129</v>
      </c>
      <c r="K146" t="s">
        <v>159</v>
      </c>
      <c r="L146" t="s">
        <v>331</v>
      </c>
    </row>
    <row r="147" spans="1:12" x14ac:dyDescent="0.3">
      <c r="A147" t="s">
        <v>18</v>
      </c>
      <c r="B147">
        <v>1</v>
      </c>
      <c r="C147" t="s">
        <v>26</v>
      </c>
      <c r="D147" t="s">
        <v>27</v>
      </c>
      <c r="E147" t="s">
        <v>23</v>
      </c>
      <c r="F147" t="s">
        <v>79</v>
      </c>
      <c r="G147">
        <v>1</v>
      </c>
      <c r="H147">
        <v>0</v>
      </c>
      <c r="I147" t="s">
        <v>128</v>
      </c>
      <c r="J147" t="s">
        <v>128</v>
      </c>
      <c r="K147" t="s">
        <v>332</v>
      </c>
      <c r="L147" t="s">
        <v>333</v>
      </c>
    </row>
    <row r="148" spans="1:12" x14ac:dyDescent="0.3">
      <c r="A148" t="s">
        <v>18</v>
      </c>
      <c r="B148">
        <v>1</v>
      </c>
      <c r="C148" t="s">
        <v>26</v>
      </c>
      <c r="D148" t="s">
        <v>27</v>
      </c>
      <c r="E148" t="s">
        <v>23</v>
      </c>
      <c r="F148" t="s">
        <v>81</v>
      </c>
      <c r="G148">
        <v>0</v>
      </c>
      <c r="H148">
        <v>1</v>
      </c>
      <c r="I148" t="s">
        <v>128</v>
      </c>
      <c r="J148" t="s">
        <v>128</v>
      </c>
      <c r="K148" t="s">
        <v>334</v>
      </c>
      <c r="L148" t="s">
        <v>335</v>
      </c>
    </row>
    <row r="149" spans="1:12" x14ac:dyDescent="0.3">
      <c r="A149" t="s">
        <v>18</v>
      </c>
      <c r="B149">
        <v>1</v>
      </c>
      <c r="C149" t="s">
        <v>28</v>
      </c>
      <c r="D149" t="s">
        <v>29</v>
      </c>
      <c r="E149" t="s">
        <v>23</v>
      </c>
      <c r="F149" t="s">
        <v>79</v>
      </c>
      <c r="G149">
        <v>0</v>
      </c>
      <c r="H149">
        <v>0</v>
      </c>
      <c r="I149" t="s">
        <v>129</v>
      </c>
      <c r="J149" t="s">
        <v>129</v>
      </c>
      <c r="K149" t="s">
        <v>166</v>
      </c>
      <c r="L149" t="s">
        <v>336</v>
      </c>
    </row>
    <row r="150" spans="1:12" x14ac:dyDescent="0.3">
      <c r="A150" t="s">
        <v>18</v>
      </c>
      <c r="B150">
        <v>1</v>
      </c>
      <c r="C150" t="s">
        <v>28</v>
      </c>
      <c r="D150" t="s">
        <v>29</v>
      </c>
      <c r="E150" t="s">
        <v>23</v>
      </c>
      <c r="F150" t="s">
        <v>83</v>
      </c>
      <c r="G150">
        <v>0</v>
      </c>
      <c r="H150">
        <v>0</v>
      </c>
      <c r="I150" t="s">
        <v>129</v>
      </c>
      <c r="J150" t="s">
        <v>129</v>
      </c>
      <c r="K150" t="s">
        <v>166</v>
      </c>
      <c r="L150" t="s">
        <v>337</v>
      </c>
    </row>
    <row r="151" spans="1:12" x14ac:dyDescent="0.3">
      <c r="A151" t="s">
        <v>18</v>
      </c>
      <c r="B151">
        <v>1</v>
      </c>
      <c r="C151" t="s">
        <v>28</v>
      </c>
      <c r="D151" t="s">
        <v>29</v>
      </c>
      <c r="E151" t="s">
        <v>23</v>
      </c>
      <c r="F151" t="s">
        <v>91</v>
      </c>
      <c r="G151">
        <v>0</v>
      </c>
      <c r="H151">
        <v>0</v>
      </c>
      <c r="I151" t="s">
        <v>129</v>
      </c>
      <c r="J151" t="s">
        <v>129</v>
      </c>
      <c r="K151" t="s">
        <v>166</v>
      </c>
      <c r="L151" t="s">
        <v>338</v>
      </c>
    </row>
    <row r="152" spans="1:12" x14ac:dyDescent="0.3">
      <c r="A152" t="s">
        <v>18</v>
      </c>
      <c r="B152">
        <v>1</v>
      </c>
      <c r="C152" t="s">
        <v>28</v>
      </c>
      <c r="D152" t="s">
        <v>29</v>
      </c>
      <c r="E152" t="s">
        <v>23</v>
      </c>
      <c r="F152" t="s">
        <v>95</v>
      </c>
      <c r="G152">
        <v>0</v>
      </c>
      <c r="H152">
        <v>0</v>
      </c>
      <c r="I152" t="s">
        <v>129</v>
      </c>
      <c r="J152" t="s">
        <v>129</v>
      </c>
      <c r="K152" t="s">
        <v>166</v>
      </c>
      <c r="L152" t="s">
        <v>339</v>
      </c>
    </row>
    <row r="153" spans="1:12" x14ac:dyDescent="0.3">
      <c r="A153" t="s">
        <v>18</v>
      </c>
      <c r="B153">
        <v>1</v>
      </c>
      <c r="C153" t="s">
        <v>28</v>
      </c>
      <c r="D153" t="s">
        <v>29</v>
      </c>
      <c r="E153" t="s">
        <v>23</v>
      </c>
      <c r="F153" t="s">
        <v>101</v>
      </c>
      <c r="G153">
        <v>0</v>
      </c>
      <c r="H153">
        <v>0</v>
      </c>
      <c r="I153" t="s">
        <v>129</v>
      </c>
      <c r="J153" t="s">
        <v>129</v>
      </c>
      <c r="K153" t="s">
        <v>166</v>
      </c>
      <c r="L153" t="s">
        <v>340</v>
      </c>
    </row>
    <row r="154" spans="1:12" x14ac:dyDescent="0.3">
      <c r="A154" t="s">
        <v>18</v>
      </c>
      <c r="B154">
        <v>1</v>
      </c>
      <c r="C154" t="s">
        <v>28</v>
      </c>
      <c r="D154" t="s">
        <v>29</v>
      </c>
      <c r="E154" t="s">
        <v>23</v>
      </c>
      <c r="F154" t="s">
        <v>103</v>
      </c>
      <c r="G154">
        <v>0</v>
      </c>
      <c r="H154">
        <v>0</v>
      </c>
      <c r="I154" t="s">
        <v>129</v>
      </c>
      <c r="J154" t="s">
        <v>129</v>
      </c>
      <c r="K154" t="s">
        <v>166</v>
      </c>
      <c r="L154" t="s">
        <v>341</v>
      </c>
    </row>
    <row r="155" spans="1:12" x14ac:dyDescent="0.3">
      <c r="A155" t="s">
        <v>18</v>
      </c>
      <c r="B155">
        <v>1</v>
      </c>
      <c r="C155" t="s">
        <v>28</v>
      </c>
      <c r="D155" t="s">
        <v>29</v>
      </c>
      <c r="E155" t="s">
        <v>23</v>
      </c>
      <c r="F155" t="s">
        <v>107</v>
      </c>
      <c r="G155">
        <v>1</v>
      </c>
      <c r="H155">
        <v>0</v>
      </c>
      <c r="I155" t="s">
        <v>128</v>
      </c>
      <c r="J155" t="s">
        <v>128</v>
      </c>
      <c r="K155" t="s">
        <v>342</v>
      </c>
      <c r="L155" t="s">
        <v>343</v>
      </c>
    </row>
    <row r="156" spans="1:12" x14ac:dyDescent="0.3">
      <c r="A156" t="s">
        <v>18</v>
      </c>
      <c r="B156">
        <v>1</v>
      </c>
      <c r="C156" t="s">
        <v>30</v>
      </c>
      <c r="D156" t="s">
        <v>31</v>
      </c>
      <c r="E156" t="s">
        <v>23</v>
      </c>
      <c r="F156" t="s">
        <v>81</v>
      </c>
      <c r="G156">
        <v>1</v>
      </c>
      <c r="H156">
        <v>0</v>
      </c>
      <c r="I156" t="s">
        <v>128</v>
      </c>
      <c r="J156" t="s">
        <v>128</v>
      </c>
      <c r="K156" t="s">
        <v>178</v>
      </c>
      <c r="L156" t="s">
        <v>152</v>
      </c>
    </row>
    <row r="157" spans="1:12" x14ac:dyDescent="0.3">
      <c r="A157" t="s">
        <v>18</v>
      </c>
      <c r="B157">
        <v>1</v>
      </c>
      <c r="C157" t="s">
        <v>32</v>
      </c>
      <c r="D157" t="s">
        <v>33</v>
      </c>
      <c r="E157" t="s">
        <v>23</v>
      </c>
      <c r="F157" t="s">
        <v>79</v>
      </c>
      <c r="G157">
        <v>0</v>
      </c>
      <c r="H157">
        <v>0</v>
      </c>
      <c r="I157" t="s">
        <v>129</v>
      </c>
      <c r="J157" t="s">
        <v>129</v>
      </c>
      <c r="K157" t="s">
        <v>171</v>
      </c>
      <c r="L157" t="s">
        <v>172</v>
      </c>
    </row>
    <row r="158" spans="1:12" x14ac:dyDescent="0.3">
      <c r="A158" t="s">
        <v>18</v>
      </c>
      <c r="B158">
        <v>1</v>
      </c>
      <c r="C158" t="s">
        <v>32</v>
      </c>
      <c r="D158" t="s">
        <v>33</v>
      </c>
      <c r="E158" t="s">
        <v>23</v>
      </c>
      <c r="F158" t="s">
        <v>81</v>
      </c>
      <c r="G158">
        <v>1</v>
      </c>
      <c r="H158">
        <v>1</v>
      </c>
      <c r="I158" t="s">
        <v>129</v>
      </c>
      <c r="J158" t="s">
        <v>129</v>
      </c>
      <c r="K158" t="s">
        <v>173</v>
      </c>
      <c r="L158" t="s">
        <v>152</v>
      </c>
    </row>
    <row r="159" spans="1:12" x14ac:dyDescent="0.3">
      <c r="A159" t="s">
        <v>18</v>
      </c>
      <c r="B159">
        <v>1</v>
      </c>
      <c r="C159" t="s">
        <v>32</v>
      </c>
      <c r="D159" t="s">
        <v>33</v>
      </c>
      <c r="E159" t="s">
        <v>23</v>
      </c>
      <c r="F159" t="s">
        <v>83</v>
      </c>
      <c r="G159">
        <v>0</v>
      </c>
      <c r="H159">
        <v>0</v>
      </c>
      <c r="I159" t="s">
        <v>129</v>
      </c>
      <c r="J159" t="s">
        <v>129</v>
      </c>
      <c r="K159" t="s">
        <v>171</v>
      </c>
      <c r="L159" t="s">
        <v>174</v>
      </c>
    </row>
    <row r="160" spans="1:12" x14ac:dyDescent="0.3">
      <c r="A160" t="s">
        <v>18</v>
      </c>
      <c r="B160">
        <v>1</v>
      </c>
      <c r="C160" t="s">
        <v>32</v>
      </c>
      <c r="D160" t="s">
        <v>33</v>
      </c>
      <c r="E160" t="s">
        <v>23</v>
      </c>
      <c r="F160" t="s">
        <v>85</v>
      </c>
      <c r="G160">
        <v>0</v>
      </c>
      <c r="H160">
        <v>0</v>
      </c>
      <c r="I160" t="s">
        <v>129</v>
      </c>
      <c r="J160" t="s">
        <v>129</v>
      </c>
      <c r="K160" t="s">
        <v>171</v>
      </c>
      <c r="L160" t="s">
        <v>175</v>
      </c>
    </row>
    <row r="161" spans="1:12" x14ac:dyDescent="0.3">
      <c r="A161" t="s">
        <v>18</v>
      </c>
      <c r="B161">
        <v>1</v>
      </c>
      <c r="C161" t="s">
        <v>32</v>
      </c>
      <c r="D161" t="s">
        <v>33</v>
      </c>
      <c r="E161" t="s">
        <v>23</v>
      </c>
      <c r="F161" t="s">
        <v>95</v>
      </c>
      <c r="G161">
        <v>0</v>
      </c>
      <c r="H161">
        <v>0</v>
      </c>
      <c r="I161" t="s">
        <v>129</v>
      </c>
      <c r="J161" t="s">
        <v>129</v>
      </c>
      <c r="K161" t="s">
        <v>171</v>
      </c>
      <c r="L161" t="s">
        <v>176</v>
      </c>
    </row>
    <row r="162" spans="1:12" x14ac:dyDescent="0.3">
      <c r="A162" t="s">
        <v>18</v>
      </c>
      <c r="B162">
        <v>1</v>
      </c>
      <c r="C162" t="s">
        <v>32</v>
      </c>
      <c r="D162" t="s">
        <v>33</v>
      </c>
      <c r="E162" t="s">
        <v>23</v>
      </c>
      <c r="F162" t="s">
        <v>105</v>
      </c>
      <c r="G162">
        <v>0</v>
      </c>
      <c r="H162">
        <v>0</v>
      </c>
      <c r="I162" t="s">
        <v>129</v>
      </c>
      <c r="J162" t="s">
        <v>129</v>
      </c>
      <c r="K162" t="s">
        <v>171</v>
      </c>
      <c r="L162" t="s">
        <v>177</v>
      </c>
    </row>
    <row r="163" spans="1:12" x14ac:dyDescent="0.3">
      <c r="A163" t="s">
        <v>18</v>
      </c>
      <c r="B163">
        <v>1</v>
      </c>
      <c r="C163" t="s">
        <v>34</v>
      </c>
      <c r="D163" t="s">
        <v>35</v>
      </c>
      <c r="E163" t="s">
        <v>23</v>
      </c>
      <c r="F163" t="s">
        <v>103</v>
      </c>
      <c r="G163">
        <v>0</v>
      </c>
      <c r="H163">
        <v>0</v>
      </c>
      <c r="I163" t="s">
        <v>129</v>
      </c>
      <c r="J163" t="s">
        <v>129</v>
      </c>
      <c r="K163" t="s">
        <v>166</v>
      </c>
      <c r="L163" t="s">
        <v>344</v>
      </c>
    </row>
    <row r="164" spans="1:12" x14ac:dyDescent="0.3">
      <c r="A164" t="s">
        <v>18</v>
      </c>
      <c r="B164">
        <v>1</v>
      </c>
      <c r="C164" t="s">
        <v>36</v>
      </c>
      <c r="D164" t="s">
        <v>37</v>
      </c>
      <c r="E164" t="s">
        <v>23</v>
      </c>
      <c r="F164" t="s">
        <v>79</v>
      </c>
      <c r="G164">
        <v>0</v>
      </c>
      <c r="H164">
        <v>0</v>
      </c>
      <c r="I164" t="s">
        <v>129</v>
      </c>
      <c r="J164" t="s">
        <v>129</v>
      </c>
      <c r="K164" t="s">
        <v>166</v>
      </c>
      <c r="L164" t="s">
        <v>345</v>
      </c>
    </row>
    <row r="165" spans="1:12" x14ac:dyDescent="0.3">
      <c r="A165" t="s">
        <v>18</v>
      </c>
      <c r="B165">
        <v>1</v>
      </c>
      <c r="C165" t="s">
        <v>36</v>
      </c>
      <c r="D165" t="s">
        <v>37</v>
      </c>
      <c r="E165" t="s">
        <v>23</v>
      </c>
      <c r="F165" t="s">
        <v>81</v>
      </c>
      <c r="G165">
        <v>0</v>
      </c>
      <c r="H165">
        <v>1</v>
      </c>
      <c r="I165" t="s">
        <v>128</v>
      </c>
      <c r="J165" t="s">
        <v>128</v>
      </c>
      <c r="K165" t="s">
        <v>346</v>
      </c>
      <c r="L165" t="s">
        <v>347</v>
      </c>
    </row>
    <row r="166" spans="1:12" x14ac:dyDescent="0.3">
      <c r="A166" t="s">
        <v>18</v>
      </c>
      <c r="B166">
        <v>1</v>
      </c>
      <c r="C166" t="s">
        <v>36</v>
      </c>
      <c r="D166" t="s">
        <v>37</v>
      </c>
      <c r="E166" t="s">
        <v>23</v>
      </c>
      <c r="F166" t="s">
        <v>83</v>
      </c>
      <c r="G166">
        <v>0</v>
      </c>
      <c r="H166">
        <v>0</v>
      </c>
      <c r="I166" t="s">
        <v>129</v>
      </c>
      <c r="J166" t="s">
        <v>129</v>
      </c>
      <c r="K166" t="s">
        <v>166</v>
      </c>
      <c r="L166" t="s">
        <v>348</v>
      </c>
    </row>
    <row r="167" spans="1:12" x14ac:dyDescent="0.3">
      <c r="A167" t="s">
        <v>18</v>
      </c>
      <c r="B167">
        <v>1</v>
      </c>
      <c r="C167" t="s">
        <v>36</v>
      </c>
      <c r="D167" t="s">
        <v>37</v>
      </c>
      <c r="E167" t="s">
        <v>23</v>
      </c>
      <c r="F167" t="s">
        <v>85</v>
      </c>
      <c r="G167">
        <v>0</v>
      </c>
      <c r="H167">
        <v>0</v>
      </c>
      <c r="I167" t="s">
        <v>129</v>
      </c>
      <c r="J167" t="s">
        <v>129</v>
      </c>
      <c r="K167" t="s">
        <v>171</v>
      </c>
      <c r="L167" t="s">
        <v>182</v>
      </c>
    </row>
    <row r="168" spans="1:12" x14ac:dyDescent="0.3">
      <c r="A168" t="s">
        <v>18</v>
      </c>
      <c r="B168">
        <v>1</v>
      </c>
      <c r="C168" t="s">
        <v>36</v>
      </c>
      <c r="D168" t="s">
        <v>37</v>
      </c>
      <c r="E168" t="s">
        <v>23</v>
      </c>
      <c r="F168" t="s">
        <v>87</v>
      </c>
      <c r="G168">
        <v>0</v>
      </c>
      <c r="H168">
        <v>0</v>
      </c>
      <c r="I168" t="s">
        <v>129</v>
      </c>
      <c r="J168" t="s">
        <v>129</v>
      </c>
      <c r="K168" t="s">
        <v>166</v>
      </c>
      <c r="L168" t="s">
        <v>349</v>
      </c>
    </row>
    <row r="169" spans="1:12" x14ac:dyDescent="0.3">
      <c r="A169" t="s">
        <v>18</v>
      </c>
      <c r="B169">
        <v>1</v>
      </c>
      <c r="C169" t="s">
        <v>36</v>
      </c>
      <c r="D169" t="s">
        <v>37</v>
      </c>
      <c r="E169" t="s">
        <v>23</v>
      </c>
      <c r="F169" t="s">
        <v>95</v>
      </c>
      <c r="G169">
        <v>0</v>
      </c>
      <c r="H169">
        <v>0</v>
      </c>
      <c r="I169" t="s">
        <v>127</v>
      </c>
      <c r="J169" t="s">
        <v>127</v>
      </c>
      <c r="K169" t="s">
        <v>147</v>
      </c>
      <c r="L169" t="s">
        <v>350</v>
      </c>
    </row>
    <row r="170" spans="1:12" x14ac:dyDescent="0.3">
      <c r="A170" t="s">
        <v>18</v>
      </c>
      <c r="B170">
        <v>1</v>
      </c>
      <c r="C170" t="s">
        <v>38</v>
      </c>
      <c r="D170" t="s">
        <v>39</v>
      </c>
      <c r="E170" t="s">
        <v>23</v>
      </c>
      <c r="F170" t="s">
        <v>79</v>
      </c>
      <c r="G170">
        <v>0</v>
      </c>
      <c r="H170">
        <v>0</v>
      </c>
      <c r="I170" t="s">
        <v>129</v>
      </c>
      <c r="J170" t="s">
        <v>129</v>
      </c>
      <c r="K170" t="s">
        <v>171</v>
      </c>
      <c r="L170" t="s">
        <v>183</v>
      </c>
    </row>
    <row r="171" spans="1:12" x14ac:dyDescent="0.3">
      <c r="A171" t="s">
        <v>18</v>
      </c>
      <c r="B171">
        <v>1</v>
      </c>
      <c r="C171" t="s">
        <v>38</v>
      </c>
      <c r="D171" t="s">
        <v>39</v>
      </c>
      <c r="E171" t="s">
        <v>23</v>
      </c>
      <c r="F171" t="s">
        <v>85</v>
      </c>
      <c r="G171">
        <v>0</v>
      </c>
      <c r="H171">
        <v>0</v>
      </c>
      <c r="I171" t="s">
        <v>129</v>
      </c>
      <c r="J171" t="s">
        <v>129</v>
      </c>
      <c r="K171" t="s">
        <v>171</v>
      </c>
      <c r="L171" t="s">
        <v>184</v>
      </c>
    </row>
    <row r="172" spans="1:12" x14ac:dyDescent="0.3">
      <c r="A172" t="s">
        <v>18</v>
      </c>
      <c r="B172">
        <v>1</v>
      </c>
      <c r="C172" t="s">
        <v>38</v>
      </c>
      <c r="D172" t="s">
        <v>39</v>
      </c>
      <c r="E172" t="s">
        <v>23</v>
      </c>
      <c r="F172" t="s">
        <v>105</v>
      </c>
      <c r="G172">
        <v>1</v>
      </c>
      <c r="H172">
        <v>0</v>
      </c>
      <c r="I172" t="s">
        <v>128</v>
      </c>
      <c r="J172" t="s">
        <v>128</v>
      </c>
      <c r="K172" t="s">
        <v>351</v>
      </c>
      <c r="L172" t="s">
        <v>152</v>
      </c>
    </row>
    <row r="173" spans="1:12" x14ac:dyDescent="0.3">
      <c r="A173" t="s">
        <v>18</v>
      </c>
      <c r="B173">
        <v>1</v>
      </c>
      <c r="C173" t="s">
        <v>40</v>
      </c>
      <c r="D173" t="s">
        <v>41</v>
      </c>
      <c r="E173" t="s">
        <v>23</v>
      </c>
      <c r="F173" t="s">
        <v>81</v>
      </c>
      <c r="G173">
        <v>1</v>
      </c>
      <c r="H173">
        <v>1</v>
      </c>
      <c r="I173" t="s">
        <v>129</v>
      </c>
      <c r="J173" t="s">
        <v>129</v>
      </c>
      <c r="K173" t="s">
        <v>171</v>
      </c>
      <c r="L173" t="s">
        <v>152</v>
      </c>
    </row>
    <row r="174" spans="1:12" x14ac:dyDescent="0.3">
      <c r="A174" t="s">
        <v>18</v>
      </c>
      <c r="B174">
        <v>1</v>
      </c>
      <c r="C174" t="s">
        <v>40</v>
      </c>
      <c r="D174" t="s">
        <v>41</v>
      </c>
      <c r="E174" t="s">
        <v>23</v>
      </c>
      <c r="F174" t="s">
        <v>83</v>
      </c>
      <c r="G174">
        <v>1</v>
      </c>
      <c r="H174">
        <v>0</v>
      </c>
      <c r="I174" t="s">
        <v>128</v>
      </c>
      <c r="J174" t="s">
        <v>128</v>
      </c>
      <c r="K174" t="s">
        <v>166</v>
      </c>
      <c r="L174" t="s">
        <v>352</v>
      </c>
    </row>
    <row r="175" spans="1:12" x14ac:dyDescent="0.3">
      <c r="A175" t="s">
        <v>18</v>
      </c>
      <c r="B175">
        <v>1</v>
      </c>
      <c r="C175" t="s">
        <v>40</v>
      </c>
      <c r="D175" t="s">
        <v>41</v>
      </c>
      <c r="E175" t="s">
        <v>23</v>
      </c>
      <c r="F175" t="s">
        <v>85</v>
      </c>
      <c r="G175">
        <v>0</v>
      </c>
      <c r="H175">
        <v>0</v>
      </c>
      <c r="I175" t="s">
        <v>129</v>
      </c>
      <c r="J175" t="s">
        <v>129</v>
      </c>
      <c r="K175" t="s">
        <v>171</v>
      </c>
      <c r="L175" t="s">
        <v>187</v>
      </c>
    </row>
    <row r="176" spans="1:12" x14ac:dyDescent="0.3">
      <c r="A176" t="s">
        <v>18</v>
      </c>
      <c r="B176">
        <v>1</v>
      </c>
      <c r="C176" t="s">
        <v>40</v>
      </c>
      <c r="D176" t="s">
        <v>41</v>
      </c>
      <c r="E176" t="s">
        <v>23</v>
      </c>
      <c r="F176" t="s">
        <v>95</v>
      </c>
      <c r="G176">
        <v>0</v>
      </c>
      <c r="H176">
        <v>0</v>
      </c>
      <c r="I176" t="s">
        <v>129</v>
      </c>
      <c r="J176" t="s">
        <v>129</v>
      </c>
      <c r="K176" t="s">
        <v>166</v>
      </c>
      <c r="L176" t="s">
        <v>353</v>
      </c>
    </row>
    <row r="177" spans="1:12" x14ac:dyDescent="0.3">
      <c r="A177" t="s">
        <v>18</v>
      </c>
      <c r="B177">
        <v>1</v>
      </c>
      <c r="C177" t="s">
        <v>40</v>
      </c>
      <c r="D177" t="s">
        <v>41</v>
      </c>
      <c r="E177" t="s">
        <v>23</v>
      </c>
      <c r="F177" t="s">
        <v>99</v>
      </c>
      <c r="G177">
        <v>1</v>
      </c>
      <c r="H177">
        <v>0</v>
      </c>
      <c r="I177" t="s">
        <v>128</v>
      </c>
      <c r="J177" t="s">
        <v>128</v>
      </c>
      <c r="K177" t="s">
        <v>354</v>
      </c>
      <c r="L177" t="s">
        <v>355</v>
      </c>
    </row>
    <row r="178" spans="1:12" x14ac:dyDescent="0.3">
      <c r="A178" t="s">
        <v>18</v>
      </c>
      <c r="B178">
        <v>1</v>
      </c>
      <c r="C178" t="s">
        <v>40</v>
      </c>
      <c r="D178" t="s">
        <v>41</v>
      </c>
      <c r="E178" t="s">
        <v>23</v>
      </c>
      <c r="F178" t="s">
        <v>105</v>
      </c>
      <c r="G178">
        <v>0</v>
      </c>
      <c r="H178">
        <v>0</v>
      </c>
      <c r="I178" t="s">
        <v>129</v>
      </c>
      <c r="J178" t="s">
        <v>129</v>
      </c>
      <c r="K178" t="s">
        <v>171</v>
      </c>
      <c r="L178" t="s">
        <v>189</v>
      </c>
    </row>
    <row r="179" spans="1:12" x14ac:dyDescent="0.3">
      <c r="A179" t="s">
        <v>18</v>
      </c>
      <c r="B179">
        <v>1</v>
      </c>
      <c r="C179" t="s">
        <v>43</v>
      </c>
      <c r="D179" t="s">
        <v>44</v>
      </c>
      <c r="E179" t="s">
        <v>23</v>
      </c>
      <c r="F179" t="s">
        <v>111</v>
      </c>
      <c r="G179">
        <v>1</v>
      </c>
      <c r="H179">
        <v>0</v>
      </c>
      <c r="I179" t="s">
        <v>128</v>
      </c>
      <c r="J179" t="s">
        <v>128</v>
      </c>
      <c r="K179" t="s">
        <v>356</v>
      </c>
      <c r="L179" t="s">
        <v>357</v>
      </c>
    </row>
    <row r="180" spans="1:12" x14ac:dyDescent="0.3">
      <c r="A180" t="s">
        <v>18</v>
      </c>
      <c r="B180">
        <v>1</v>
      </c>
      <c r="C180" t="s">
        <v>45</v>
      </c>
      <c r="D180" t="s">
        <v>46</v>
      </c>
      <c r="E180" t="s">
        <v>23</v>
      </c>
      <c r="F180" t="s">
        <v>79</v>
      </c>
      <c r="G180">
        <v>0</v>
      </c>
      <c r="H180">
        <v>0</v>
      </c>
      <c r="I180" t="s">
        <v>129</v>
      </c>
      <c r="J180" t="s">
        <v>129</v>
      </c>
      <c r="K180" t="s">
        <v>166</v>
      </c>
      <c r="L180" t="s">
        <v>358</v>
      </c>
    </row>
    <row r="181" spans="1:12" x14ac:dyDescent="0.3">
      <c r="A181" t="s">
        <v>18</v>
      </c>
      <c r="B181">
        <v>1</v>
      </c>
      <c r="C181" t="s">
        <v>45</v>
      </c>
      <c r="D181" t="s">
        <v>46</v>
      </c>
      <c r="E181" t="s">
        <v>23</v>
      </c>
      <c r="F181" t="s">
        <v>83</v>
      </c>
      <c r="G181">
        <v>0</v>
      </c>
      <c r="H181">
        <v>0</v>
      </c>
      <c r="I181" t="s">
        <v>129</v>
      </c>
      <c r="J181" t="s">
        <v>129</v>
      </c>
      <c r="K181" t="s">
        <v>166</v>
      </c>
      <c r="L181" t="s">
        <v>359</v>
      </c>
    </row>
    <row r="182" spans="1:12" x14ac:dyDescent="0.3">
      <c r="A182" t="s">
        <v>18</v>
      </c>
      <c r="B182">
        <v>1</v>
      </c>
      <c r="C182" t="s">
        <v>63</v>
      </c>
      <c r="D182" t="s">
        <v>64</v>
      </c>
      <c r="E182" t="s">
        <v>23</v>
      </c>
      <c r="F182" t="s">
        <v>79</v>
      </c>
      <c r="G182">
        <v>0</v>
      </c>
      <c r="H182">
        <v>0</v>
      </c>
      <c r="I182" t="s">
        <v>129</v>
      </c>
      <c r="J182" t="s">
        <v>129</v>
      </c>
      <c r="K182" t="s">
        <v>277</v>
      </c>
      <c r="L182" t="s">
        <v>278</v>
      </c>
    </row>
    <row r="183" spans="1:12" x14ac:dyDescent="0.3">
      <c r="A183" t="s">
        <v>18</v>
      </c>
      <c r="B183">
        <v>1</v>
      </c>
      <c r="C183" t="s">
        <v>63</v>
      </c>
      <c r="D183" t="s">
        <v>64</v>
      </c>
      <c r="E183" t="s">
        <v>23</v>
      </c>
      <c r="F183" t="s">
        <v>81</v>
      </c>
      <c r="G183">
        <v>1</v>
      </c>
      <c r="H183">
        <v>1</v>
      </c>
      <c r="I183" t="s">
        <v>129</v>
      </c>
      <c r="J183" t="s">
        <v>129</v>
      </c>
      <c r="K183" t="s">
        <v>199</v>
      </c>
      <c r="L183" t="s">
        <v>152</v>
      </c>
    </row>
    <row r="184" spans="1:12" x14ac:dyDescent="0.3">
      <c r="A184" t="s">
        <v>18</v>
      </c>
      <c r="B184">
        <v>1</v>
      </c>
      <c r="C184" t="s">
        <v>63</v>
      </c>
      <c r="D184" t="s">
        <v>64</v>
      </c>
      <c r="E184" t="s">
        <v>23</v>
      </c>
      <c r="F184" t="s">
        <v>85</v>
      </c>
      <c r="G184">
        <v>0</v>
      </c>
      <c r="H184">
        <v>0</v>
      </c>
      <c r="I184" t="s">
        <v>129</v>
      </c>
      <c r="J184" t="s">
        <v>129</v>
      </c>
      <c r="K184" t="s">
        <v>202</v>
      </c>
      <c r="L184" t="s">
        <v>203</v>
      </c>
    </row>
    <row r="185" spans="1:12" x14ac:dyDescent="0.3">
      <c r="A185" t="s">
        <v>18</v>
      </c>
      <c r="B185">
        <v>1</v>
      </c>
      <c r="C185" t="s">
        <v>63</v>
      </c>
      <c r="D185" t="s">
        <v>64</v>
      </c>
      <c r="E185" t="s">
        <v>23</v>
      </c>
      <c r="F185" t="s">
        <v>101</v>
      </c>
      <c r="G185">
        <v>0</v>
      </c>
      <c r="H185">
        <v>0</v>
      </c>
      <c r="I185" t="s">
        <v>129</v>
      </c>
      <c r="J185" t="s">
        <v>129</v>
      </c>
      <c r="K185" t="s">
        <v>360</v>
      </c>
      <c r="L185" t="s">
        <v>361</v>
      </c>
    </row>
    <row r="186" spans="1:12" x14ac:dyDescent="0.3">
      <c r="A186" t="s">
        <v>18</v>
      </c>
      <c r="B186">
        <v>1</v>
      </c>
      <c r="C186" t="s">
        <v>63</v>
      </c>
      <c r="D186" t="s">
        <v>64</v>
      </c>
      <c r="E186" t="s">
        <v>23</v>
      </c>
      <c r="F186" t="s">
        <v>105</v>
      </c>
      <c r="G186">
        <v>0</v>
      </c>
      <c r="H186">
        <v>0</v>
      </c>
      <c r="I186" t="s">
        <v>129</v>
      </c>
      <c r="J186" t="s">
        <v>129</v>
      </c>
      <c r="K186" t="s">
        <v>202</v>
      </c>
      <c r="L186" t="s">
        <v>212</v>
      </c>
    </row>
    <row r="187" spans="1:12" x14ac:dyDescent="0.3">
      <c r="A187" t="s">
        <v>18</v>
      </c>
      <c r="B187">
        <v>1</v>
      </c>
      <c r="C187" t="s">
        <v>63</v>
      </c>
      <c r="D187" t="s">
        <v>64</v>
      </c>
      <c r="E187" t="s">
        <v>23</v>
      </c>
      <c r="F187" t="s">
        <v>107</v>
      </c>
      <c r="G187">
        <v>0</v>
      </c>
      <c r="H187">
        <v>0</v>
      </c>
      <c r="I187" t="s">
        <v>129</v>
      </c>
      <c r="J187" t="s">
        <v>129</v>
      </c>
      <c r="K187" t="s">
        <v>362</v>
      </c>
      <c r="L187" t="s">
        <v>276</v>
      </c>
    </row>
    <row r="188" spans="1:12" x14ac:dyDescent="0.3">
      <c r="A188" t="s">
        <v>18</v>
      </c>
      <c r="B188">
        <v>1</v>
      </c>
      <c r="C188" t="s">
        <v>63</v>
      </c>
      <c r="D188" t="s">
        <v>64</v>
      </c>
      <c r="E188" t="s">
        <v>23</v>
      </c>
      <c r="F188" t="s">
        <v>111</v>
      </c>
      <c r="G188">
        <v>0</v>
      </c>
      <c r="H188">
        <v>0</v>
      </c>
      <c r="I188" t="s">
        <v>129</v>
      </c>
      <c r="J188" t="s">
        <v>129</v>
      </c>
      <c r="K188" t="s">
        <v>166</v>
      </c>
      <c r="L188" t="s">
        <v>363</v>
      </c>
    </row>
    <row r="189" spans="1:12" x14ac:dyDescent="0.3">
      <c r="A189" t="s">
        <v>18</v>
      </c>
      <c r="B189">
        <v>1</v>
      </c>
      <c r="C189" t="s">
        <v>47</v>
      </c>
      <c r="D189" t="s">
        <v>48</v>
      </c>
      <c r="E189" t="s">
        <v>23</v>
      </c>
      <c r="F189" t="s">
        <v>97</v>
      </c>
      <c r="G189">
        <v>0</v>
      </c>
      <c r="H189">
        <v>0</v>
      </c>
      <c r="I189" t="s">
        <v>129</v>
      </c>
      <c r="J189" t="s">
        <v>129</v>
      </c>
      <c r="K189" t="s">
        <v>166</v>
      </c>
      <c r="L189" t="s">
        <v>364</v>
      </c>
    </row>
    <row r="190" spans="1:12" x14ac:dyDescent="0.3">
      <c r="A190" t="s">
        <v>18</v>
      </c>
      <c r="B190">
        <v>1</v>
      </c>
      <c r="C190" t="s">
        <v>49</v>
      </c>
      <c r="D190" t="s">
        <v>50</v>
      </c>
      <c r="E190" t="s">
        <v>23</v>
      </c>
      <c r="F190" t="s">
        <v>81</v>
      </c>
      <c r="G190">
        <v>0</v>
      </c>
      <c r="H190">
        <v>1</v>
      </c>
      <c r="I190" t="s">
        <v>128</v>
      </c>
      <c r="J190" t="s">
        <v>128</v>
      </c>
      <c r="K190" t="s">
        <v>365</v>
      </c>
      <c r="L190" t="s">
        <v>366</v>
      </c>
    </row>
    <row r="191" spans="1:12" x14ac:dyDescent="0.3">
      <c r="A191" t="s">
        <v>18</v>
      </c>
      <c r="B191">
        <v>1</v>
      </c>
      <c r="C191" t="s">
        <v>49</v>
      </c>
      <c r="D191" t="s">
        <v>50</v>
      </c>
      <c r="E191" t="s">
        <v>23</v>
      </c>
      <c r="F191" t="s">
        <v>101</v>
      </c>
      <c r="G191">
        <v>0</v>
      </c>
      <c r="H191">
        <v>1</v>
      </c>
      <c r="I191" t="s">
        <v>128</v>
      </c>
      <c r="J191" t="s">
        <v>128</v>
      </c>
      <c r="K191" t="s">
        <v>367</v>
      </c>
      <c r="L191" t="s">
        <v>368</v>
      </c>
    </row>
    <row r="192" spans="1:12" x14ac:dyDescent="0.3">
      <c r="A192" t="s">
        <v>18</v>
      </c>
      <c r="B192">
        <v>1</v>
      </c>
      <c r="C192" t="s">
        <v>51</v>
      </c>
      <c r="D192" t="s">
        <v>52</v>
      </c>
      <c r="E192" t="s">
        <v>23</v>
      </c>
      <c r="F192" t="s">
        <v>79</v>
      </c>
      <c r="G192">
        <v>1</v>
      </c>
      <c r="H192">
        <v>0</v>
      </c>
      <c r="I192" t="s">
        <v>128</v>
      </c>
      <c r="J192" t="s">
        <v>128</v>
      </c>
      <c r="K192" t="s">
        <v>369</v>
      </c>
      <c r="L192" t="s">
        <v>370</v>
      </c>
    </row>
    <row r="193" spans="1:12" x14ac:dyDescent="0.3">
      <c r="A193" t="s">
        <v>18</v>
      </c>
      <c r="B193">
        <v>1</v>
      </c>
      <c r="C193" t="s">
        <v>51</v>
      </c>
      <c r="D193" t="s">
        <v>52</v>
      </c>
      <c r="E193" t="s">
        <v>23</v>
      </c>
      <c r="F193" t="s">
        <v>95</v>
      </c>
      <c r="G193">
        <v>1</v>
      </c>
      <c r="H193">
        <v>0</v>
      </c>
      <c r="I193" t="s">
        <v>128</v>
      </c>
      <c r="J193" t="s">
        <v>128</v>
      </c>
      <c r="K193" t="s">
        <v>371</v>
      </c>
      <c r="L193" t="s">
        <v>152</v>
      </c>
    </row>
    <row r="194" spans="1:12" x14ac:dyDescent="0.3">
      <c r="A194" t="s">
        <v>18</v>
      </c>
      <c r="B194">
        <v>1</v>
      </c>
      <c r="C194" t="s">
        <v>51</v>
      </c>
      <c r="D194" t="s">
        <v>52</v>
      </c>
      <c r="E194" t="s">
        <v>23</v>
      </c>
      <c r="F194" t="s">
        <v>99</v>
      </c>
      <c r="G194">
        <v>1</v>
      </c>
      <c r="H194">
        <v>0</v>
      </c>
      <c r="I194" t="s">
        <v>128</v>
      </c>
      <c r="J194" t="s">
        <v>128</v>
      </c>
      <c r="K194" t="s">
        <v>372</v>
      </c>
      <c r="L194" t="s">
        <v>152</v>
      </c>
    </row>
    <row r="195" spans="1:12" x14ac:dyDescent="0.3">
      <c r="A195" t="s">
        <v>18</v>
      </c>
      <c r="B195">
        <v>1</v>
      </c>
      <c r="C195" t="s">
        <v>51</v>
      </c>
      <c r="D195" t="s">
        <v>52</v>
      </c>
      <c r="E195" t="s">
        <v>23</v>
      </c>
      <c r="F195" t="s">
        <v>101</v>
      </c>
      <c r="G195">
        <v>1</v>
      </c>
      <c r="H195">
        <v>0</v>
      </c>
      <c r="I195" t="s">
        <v>128</v>
      </c>
      <c r="J195" t="s">
        <v>128</v>
      </c>
      <c r="K195" t="s">
        <v>373</v>
      </c>
      <c r="L195" t="s">
        <v>374</v>
      </c>
    </row>
    <row r="196" spans="1:12" x14ac:dyDescent="0.3">
      <c r="A196" t="s">
        <v>18</v>
      </c>
      <c r="B196">
        <v>1</v>
      </c>
      <c r="C196" t="s">
        <v>51</v>
      </c>
      <c r="D196" t="s">
        <v>52</v>
      </c>
      <c r="E196" t="s">
        <v>23</v>
      </c>
      <c r="F196" t="s">
        <v>111</v>
      </c>
      <c r="G196">
        <v>0</v>
      </c>
      <c r="H196">
        <v>0</v>
      </c>
      <c r="I196" t="s">
        <v>129</v>
      </c>
      <c r="J196" t="s">
        <v>129</v>
      </c>
      <c r="K196" t="s">
        <v>166</v>
      </c>
      <c r="L196" t="s">
        <v>375</v>
      </c>
    </row>
    <row r="197" spans="1:12" x14ac:dyDescent="0.3">
      <c r="A197" t="s">
        <v>18</v>
      </c>
      <c r="B197">
        <v>1</v>
      </c>
      <c r="C197" t="s">
        <v>53</v>
      </c>
      <c r="D197" t="s">
        <v>54</v>
      </c>
      <c r="E197" t="s">
        <v>23</v>
      </c>
      <c r="F197" t="s">
        <v>81</v>
      </c>
      <c r="G197">
        <v>1</v>
      </c>
      <c r="H197">
        <v>0</v>
      </c>
      <c r="I197" t="s">
        <v>128</v>
      </c>
      <c r="J197" t="s">
        <v>128</v>
      </c>
      <c r="K197" t="s">
        <v>178</v>
      </c>
      <c r="L197" t="s">
        <v>152</v>
      </c>
    </row>
    <row r="198" spans="1:12" x14ac:dyDescent="0.3">
      <c r="A198" t="s">
        <v>18</v>
      </c>
      <c r="B198">
        <v>1</v>
      </c>
      <c r="C198" t="s">
        <v>53</v>
      </c>
      <c r="D198" t="s">
        <v>54</v>
      </c>
      <c r="E198" t="s">
        <v>23</v>
      </c>
      <c r="F198" t="s">
        <v>111</v>
      </c>
      <c r="G198">
        <v>0</v>
      </c>
      <c r="H198">
        <v>0</v>
      </c>
      <c r="I198" t="s">
        <v>129</v>
      </c>
      <c r="J198" t="s">
        <v>129</v>
      </c>
      <c r="K198" t="s">
        <v>166</v>
      </c>
      <c r="L198" t="s">
        <v>376</v>
      </c>
    </row>
    <row r="199" spans="1:12" x14ac:dyDescent="0.3">
      <c r="A199" t="s">
        <v>18</v>
      </c>
      <c r="B199">
        <v>1</v>
      </c>
      <c r="C199" t="s">
        <v>55</v>
      </c>
      <c r="D199" t="s">
        <v>56</v>
      </c>
      <c r="E199" t="s">
        <v>23</v>
      </c>
      <c r="F199" t="s">
        <v>81</v>
      </c>
      <c r="G199">
        <v>1</v>
      </c>
      <c r="H199">
        <v>1</v>
      </c>
      <c r="I199" t="s">
        <v>129</v>
      </c>
      <c r="J199" t="s">
        <v>129</v>
      </c>
      <c r="K199" t="s">
        <v>173</v>
      </c>
      <c r="L199" t="s">
        <v>152</v>
      </c>
    </row>
    <row r="200" spans="1:12" x14ac:dyDescent="0.3">
      <c r="A200" t="s">
        <v>18</v>
      </c>
      <c r="B200">
        <v>1</v>
      </c>
      <c r="C200" t="s">
        <v>55</v>
      </c>
      <c r="D200" t="s">
        <v>56</v>
      </c>
      <c r="E200" t="s">
        <v>23</v>
      </c>
      <c r="F200" t="s">
        <v>85</v>
      </c>
      <c r="G200">
        <v>0</v>
      </c>
      <c r="H200">
        <v>0</v>
      </c>
      <c r="I200" t="s">
        <v>129</v>
      </c>
      <c r="J200" t="s">
        <v>129</v>
      </c>
      <c r="K200" t="s">
        <v>171</v>
      </c>
      <c r="L200" t="s">
        <v>316</v>
      </c>
    </row>
    <row r="201" spans="1:12" x14ac:dyDescent="0.3">
      <c r="A201" t="s">
        <v>18</v>
      </c>
      <c r="B201">
        <v>1</v>
      </c>
      <c r="C201" t="s">
        <v>55</v>
      </c>
      <c r="D201" t="s">
        <v>56</v>
      </c>
      <c r="E201" t="s">
        <v>23</v>
      </c>
      <c r="F201" t="s">
        <v>111</v>
      </c>
      <c r="G201">
        <v>0</v>
      </c>
      <c r="H201">
        <v>0</v>
      </c>
      <c r="I201" t="s">
        <v>127</v>
      </c>
      <c r="J201" t="s">
        <v>127</v>
      </c>
      <c r="K201" t="s">
        <v>147</v>
      </c>
      <c r="L201" t="s">
        <v>377</v>
      </c>
    </row>
    <row r="202" spans="1:12" x14ac:dyDescent="0.3">
      <c r="A202" t="s">
        <v>18</v>
      </c>
      <c r="B202">
        <v>1</v>
      </c>
      <c r="C202" t="s">
        <v>57</v>
      </c>
      <c r="D202" t="s">
        <v>58</v>
      </c>
      <c r="E202" t="s">
        <v>23</v>
      </c>
      <c r="F202" t="s">
        <v>85</v>
      </c>
      <c r="G202">
        <v>0</v>
      </c>
      <c r="H202">
        <v>0</v>
      </c>
      <c r="I202" t="s">
        <v>129</v>
      </c>
      <c r="J202" t="s">
        <v>129</v>
      </c>
      <c r="K202" t="s">
        <v>166</v>
      </c>
      <c r="L202" t="s">
        <v>378</v>
      </c>
    </row>
    <row r="203" spans="1:12" x14ac:dyDescent="0.3">
      <c r="A203" t="s">
        <v>18</v>
      </c>
      <c r="B203">
        <v>1</v>
      </c>
      <c r="C203" t="s">
        <v>57</v>
      </c>
      <c r="D203" t="s">
        <v>58</v>
      </c>
      <c r="E203" t="s">
        <v>23</v>
      </c>
      <c r="F203" t="s">
        <v>91</v>
      </c>
      <c r="G203">
        <v>0</v>
      </c>
      <c r="H203">
        <v>0</v>
      </c>
      <c r="I203" t="s">
        <v>129</v>
      </c>
      <c r="J203" t="s">
        <v>129</v>
      </c>
      <c r="K203" t="s">
        <v>166</v>
      </c>
      <c r="L203" t="s">
        <v>379</v>
      </c>
    </row>
    <row r="204" spans="1:12" x14ac:dyDescent="0.3">
      <c r="A204" t="s">
        <v>18</v>
      </c>
      <c r="B204">
        <v>1</v>
      </c>
      <c r="C204" t="s">
        <v>59</v>
      </c>
      <c r="D204" t="s">
        <v>60</v>
      </c>
      <c r="E204" t="s">
        <v>23</v>
      </c>
      <c r="F204" t="s">
        <v>79</v>
      </c>
      <c r="G204">
        <v>0</v>
      </c>
      <c r="H204">
        <v>0</v>
      </c>
      <c r="I204" t="s">
        <v>129</v>
      </c>
      <c r="J204" t="s">
        <v>129</v>
      </c>
      <c r="K204" t="s">
        <v>166</v>
      </c>
      <c r="L204" t="s">
        <v>380</v>
      </c>
    </row>
    <row r="205" spans="1:12" x14ac:dyDescent="0.3">
      <c r="A205" t="s">
        <v>18</v>
      </c>
      <c r="B205">
        <v>1</v>
      </c>
      <c r="C205" t="s">
        <v>59</v>
      </c>
      <c r="D205" t="s">
        <v>60</v>
      </c>
      <c r="E205" t="s">
        <v>23</v>
      </c>
      <c r="F205" t="s">
        <v>81</v>
      </c>
      <c r="G205">
        <v>0</v>
      </c>
      <c r="H205">
        <v>1</v>
      </c>
      <c r="I205" t="s">
        <v>128</v>
      </c>
      <c r="J205" t="s">
        <v>128</v>
      </c>
      <c r="K205" t="s">
        <v>381</v>
      </c>
      <c r="L205" t="s">
        <v>382</v>
      </c>
    </row>
    <row r="206" spans="1:12" x14ac:dyDescent="0.3">
      <c r="A206" t="s">
        <v>18</v>
      </c>
      <c r="B206">
        <v>1</v>
      </c>
      <c r="C206" t="s">
        <v>59</v>
      </c>
      <c r="D206" t="s">
        <v>60</v>
      </c>
      <c r="E206" t="s">
        <v>23</v>
      </c>
      <c r="F206" t="s">
        <v>99</v>
      </c>
      <c r="G206">
        <v>0</v>
      </c>
      <c r="H206">
        <v>0</v>
      </c>
      <c r="I206" t="s">
        <v>129</v>
      </c>
      <c r="J206" t="s">
        <v>129</v>
      </c>
      <c r="K206" t="s">
        <v>166</v>
      </c>
      <c r="L206" t="s">
        <v>383</v>
      </c>
    </row>
    <row r="207" spans="1:12" x14ac:dyDescent="0.3">
      <c r="A207" t="s">
        <v>18</v>
      </c>
      <c r="B207">
        <v>1</v>
      </c>
      <c r="C207" t="s">
        <v>61</v>
      </c>
      <c r="D207" t="s">
        <v>62</v>
      </c>
      <c r="E207" t="s">
        <v>23</v>
      </c>
      <c r="F207" t="s">
        <v>81</v>
      </c>
      <c r="G207">
        <v>1</v>
      </c>
      <c r="H207">
        <v>0</v>
      </c>
      <c r="I207" t="s">
        <v>128</v>
      </c>
      <c r="J207" t="s">
        <v>128</v>
      </c>
      <c r="K207" t="s">
        <v>178</v>
      </c>
      <c r="L207" t="s">
        <v>152</v>
      </c>
    </row>
    <row r="208" spans="1:12" x14ac:dyDescent="0.3">
      <c r="A208" t="s">
        <v>18</v>
      </c>
      <c r="B208">
        <v>1</v>
      </c>
      <c r="C208" t="s">
        <v>61</v>
      </c>
      <c r="D208" t="s">
        <v>62</v>
      </c>
      <c r="E208" t="s">
        <v>23</v>
      </c>
      <c r="F208" t="s">
        <v>83</v>
      </c>
      <c r="G208">
        <v>0</v>
      </c>
      <c r="H208">
        <v>0</v>
      </c>
      <c r="I208" t="s">
        <v>129</v>
      </c>
      <c r="J208" t="s">
        <v>129</v>
      </c>
      <c r="K208" t="s">
        <v>166</v>
      </c>
      <c r="L208" t="s">
        <v>384</v>
      </c>
    </row>
    <row r="209" spans="1:12" x14ac:dyDescent="0.3">
      <c r="A209" t="s">
        <v>18</v>
      </c>
      <c r="B209">
        <v>1</v>
      </c>
      <c r="C209" t="s">
        <v>61</v>
      </c>
      <c r="D209" t="s">
        <v>62</v>
      </c>
      <c r="E209" t="s">
        <v>23</v>
      </c>
      <c r="F209" t="s">
        <v>95</v>
      </c>
      <c r="G209">
        <v>0</v>
      </c>
      <c r="H209">
        <v>0</v>
      </c>
      <c r="I209" t="s">
        <v>129</v>
      </c>
      <c r="J209" t="s">
        <v>129</v>
      </c>
      <c r="K209" t="s">
        <v>166</v>
      </c>
      <c r="L209" t="s">
        <v>385</v>
      </c>
    </row>
    <row r="210" spans="1:12" x14ac:dyDescent="0.3">
      <c r="A210" t="s">
        <v>18</v>
      </c>
      <c r="B210">
        <v>1</v>
      </c>
      <c r="C210" t="s">
        <v>61</v>
      </c>
      <c r="D210" t="s">
        <v>62</v>
      </c>
      <c r="E210" t="s">
        <v>23</v>
      </c>
      <c r="F210" t="s">
        <v>107</v>
      </c>
      <c r="G210">
        <v>0</v>
      </c>
      <c r="H210">
        <v>0</v>
      </c>
      <c r="I210" t="s">
        <v>129</v>
      </c>
      <c r="J210" t="s">
        <v>129</v>
      </c>
      <c r="K210" t="s">
        <v>166</v>
      </c>
      <c r="L210" t="s">
        <v>386</v>
      </c>
    </row>
    <row r="211" spans="1:12" x14ac:dyDescent="0.3">
      <c r="A211" t="s">
        <v>18</v>
      </c>
      <c r="B211">
        <v>1</v>
      </c>
      <c r="C211" t="s">
        <v>61</v>
      </c>
      <c r="D211" t="s">
        <v>62</v>
      </c>
      <c r="E211" t="s">
        <v>23</v>
      </c>
      <c r="F211" t="s">
        <v>111</v>
      </c>
      <c r="G211">
        <v>0</v>
      </c>
      <c r="H211">
        <v>0</v>
      </c>
      <c r="I211" t="s">
        <v>129</v>
      </c>
      <c r="J211" t="s">
        <v>129</v>
      </c>
      <c r="K211" t="s">
        <v>166</v>
      </c>
      <c r="L211" t="s">
        <v>387</v>
      </c>
    </row>
    <row r="212" spans="1:12" x14ac:dyDescent="0.3">
      <c r="A212" t="s">
        <v>18</v>
      </c>
      <c r="B212">
        <v>1</v>
      </c>
      <c r="C212" t="s">
        <v>19</v>
      </c>
      <c r="D212" t="s">
        <v>20</v>
      </c>
      <c r="E212" t="s">
        <v>25</v>
      </c>
      <c r="F212" t="s">
        <v>81</v>
      </c>
      <c r="G212">
        <v>0</v>
      </c>
      <c r="H212">
        <v>0</v>
      </c>
      <c r="I212" t="s">
        <v>129</v>
      </c>
      <c r="J212" t="s">
        <v>129</v>
      </c>
      <c r="K212" t="s">
        <v>388</v>
      </c>
      <c r="L212" t="s">
        <v>389</v>
      </c>
    </row>
    <row r="213" spans="1:12" x14ac:dyDescent="0.3">
      <c r="A213" t="s">
        <v>18</v>
      </c>
      <c r="B213">
        <v>1</v>
      </c>
      <c r="C213" t="s">
        <v>19</v>
      </c>
      <c r="D213" t="s">
        <v>20</v>
      </c>
      <c r="E213" t="s">
        <v>25</v>
      </c>
      <c r="F213" t="s">
        <v>85</v>
      </c>
      <c r="G213">
        <v>0</v>
      </c>
      <c r="H213">
        <v>0</v>
      </c>
      <c r="I213" t="s">
        <v>129</v>
      </c>
      <c r="J213" t="s">
        <v>129</v>
      </c>
      <c r="K213" t="s">
        <v>388</v>
      </c>
      <c r="L213" t="s">
        <v>390</v>
      </c>
    </row>
    <row r="214" spans="1:12" x14ac:dyDescent="0.3">
      <c r="A214" t="s">
        <v>18</v>
      </c>
      <c r="B214">
        <v>1</v>
      </c>
      <c r="C214" t="s">
        <v>19</v>
      </c>
      <c r="D214" t="s">
        <v>20</v>
      </c>
      <c r="E214" t="s">
        <v>25</v>
      </c>
      <c r="F214" t="s">
        <v>87</v>
      </c>
      <c r="G214">
        <v>0</v>
      </c>
      <c r="H214">
        <v>0</v>
      </c>
      <c r="I214" t="s">
        <v>126</v>
      </c>
      <c r="J214" t="s">
        <v>126</v>
      </c>
      <c r="K214" t="s">
        <v>391</v>
      </c>
      <c r="L214" t="s">
        <v>152</v>
      </c>
    </row>
    <row r="215" spans="1:12" x14ac:dyDescent="0.3">
      <c r="A215" t="s">
        <v>18</v>
      </c>
      <c r="B215">
        <v>1</v>
      </c>
      <c r="C215" t="s">
        <v>19</v>
      </c>
      <c r="D215" t="s">
        <v>20</v>
      </c>
      <c r="E215" t="s">
        <v>25</v>
      </c>
      <c r="F215" t="s">
        <v>93</v>
      </c>
      <c r="G215">
        <v>0</v>
      </c>
      <c r="H215">
        <v>0</v>
      </c>
      <c r="I215" t="s">
        <v>129</v>
      </c>
      <c r="J215" t="s">
        <v>129</v>
      </c>
      <c r="K215" t="s">
        <v>392</v>
      </c>
      <c r="L215" t="s">
        <v>393</v>
      </c>
    </row>
    <row r="216" spans="1:12" x14ac:dyDescent="0.3">
      <c r="A216" t="s">
        <v>18</v>
      </c>
      <c r="B216">
        <v>1</v>
      </c>
      <c r="C216" t="s">
        <v>19</v>
      </c>
      <c r="D216" t="s">
        <v>20</v>
      </c>
      <c r="E216" t="s">
        <v>25</v>
      </c>
      <c r="F216" t="s">
        <v>95</v>
      </c>
      <c r="G216">
        <v>0</v>
      </c>
      <c r="H216">
        <v>0</v>
      </c>
      <c r="I216" t="s">
        <v>129</v>
      </c>
      <c r="J216" t="s">
        <v>129</v>
      </c>
      <c r="K216" t="s">
        <v>149</v>
      </c>
      <c r="L216" t="s">
        <v>394</v>
      </c>
    </row>
    <row r="217" spans="1:12" x14ac:dyDescent="0.3">
      <c r="A217" t="s">
        <v>18</v>
      </c>
      <c r="B217">
        <v>1</v>
      </c>
      <c r="C217" t="s">
        <v>19</v>
      </c>
      <c r="D217" t="s">
        <v>20</v>
      </c>
      <c r="E217" t="s">
        <v>25</v>
      </c>
      <c r="F217" t="s">
        <v>97</v>
      </c>
      <c r="G217">
        <v>0</v>
      </c>
      <c r="H217">
        <v>0</v>
      </c>
      <c r="I217" t="s">
        <v>129</v>
      </c>
      <c r="J217" t="s">
        <v>129</v>
      </c>
      <c r="K217" t="s">
        <v>395</v>
      </c>
      <c r="L217" t="s">
        <v>396</v>
      </c>
    </row>
    <row r="218" spans="1:12" x14ac:dyDescent="0.3">
      <c r="A218" t="s">
        <v>18</v>
      </c>
      <c r="B218">
        <v>1</v>
      </c>
      <c r="C218" t="s">
        <v>19</v>
      </c>
      <c r="D218" t="s">
        <v>20</v>
      </c>
      <c r="E218" t="s">
        <v>25</v>
      </c>
      <c r="F218" t="s">
        <v>99</v>
      </c>
      <c r="G218">
        <v>0</v>
      </c>
      <c r="H218">
        <v>0</v>
      </c>
      <c r="I218" t="s">
        <v>129</v>
      </c>
      <c r="J218" t="s">
        <v>129</v>
      </c>
      <c r="K218" t="s">
        <v>397</v>
      </c>
      <c r="L218" t="s">
        <v>398</v>
      </c>
    </row>
    <row r="219" spans="1:12" x14ac:dyDescent="0.3">
      <c r="A219" t="s">
        <v>18</v>
      </c>
      <c r="B219">
        <v>1</v>
      </c>
      <c r="C219" t="s">
        <v>19</v>
      </c>
      <c r="D219" t="s">
        <v>20</v>
      </c>
      <c r="E219" t="s">
        <v>25</v>
      </c>
      <c r="F219" t="s">
        <v>101</v>
      </c>
      <c r="G219">
        <v>0</v>
      </c>
      <c r="H219">
        <v>0</v>
      </c>
      <c r="I219" t="s">
        <v>129</v>
      </c>
      <c r="J219" t="s">
        <v>129</v>
      </c>
      <c r="K219" t="s">
        <v>399</v>
      </c>
      <c r="L219" t="s">
        <v>400</v>
      </c>
    </row>
    <row r="220" spans="1:12" x14ac:dyDescent="0.3">
      <c r="A220" t="s">
        <v>18</v>
      </c>
      <c r="B220">
        <v>1</v>
      </c>
      <c r="C220" t="s">
        <v>19</v>
      </c>
      <c r="D220" t="s">
        <v>20</v>
      </c>
      <c r="E220" t="s">
        <v>25</v>
      </c>
      <c r="F220" t="s">
        <v>103</v>
      </c>
      <c r="G220">
        <v>0</v>
      </c>
      <c r="H220">
        <v>0</v>
      </c>
      <c r="I220" t="s">
        <v>129</v>
      </c>
      <c r="J220" t="s">
        <v>129</v>
      </c>
      <c r="K220" t="s">
        <v>327</v>
      </c>
      <c r="L220" t="s">
        <v>328</v>
      </c>
    </row>
    <row r="221" spans="1:12" x14ac:dyDescent="0.3">
      <c r="A221" t="s">
        <v>18</v>
      </c>
      <c r="B221">
        <v>1</v>
      </c>
      <c r="C221" t="s">
        <v>19</v>
      </c>
      <c r="D221" t="s">
        <v>20</v>
      </c>
      <c r="E221" t="s">
        <v>25</v>
      </c>
      <c r="F221" t="s">
        <v>105</v>
      </c>
      <c r="G221">
        <v>0</v>
      </c>
      <c r="H221">
        <v>0</v>
      </c>
      <c r="I221" t="s">
        <v>129</v>
      </c>
      <c r="J221" t="s">
        <v>129</v>
      </c>
      <c r="K221" t="s">
        <v>401</v>
      </c>
      <c r="L221" t="s">
        <v>402</v>
      </c>
    </row>
    <row r="222" spans="1:12" x14ac:dyDescent="0.3">
      <c r="A222" t="s">
        <v>18</v>
      </c>
      <c r="B222">
        <v>1</v>
      </c>
      <c r="C222" t="s">
        <v>19</v>
      </c>
      <c r="D222" t="s">
        <v>20</v>
      </c>
      <c r="E222" t="s">
        <v>25</v>
      </c>
      <c r="F222" t="s">
        <v>111</v>
      </c>
      <c r="G222">
        <v>0</v>
      </c>
      <c r="H222">
        <v>0</v>
      </c>
      <c r="I222" t="s">
        <v>129</v>
      </c>
      <c r="J222" t="s">
        <v>129</v>
      </c>
      <c r="K222" t="s">
        <v>159</v>
      </c>
      <c r="L222" t="s">
        <v>331</v>
      </c>
    </row>
    <row r="223" spans="1:12" x14ac:dyDescent="0.3">
      <c r="A223" t="s">
        <v>18</v>
      </c>
      <c r="B223">
        <v>1</v>
      </c>
      <c r="C223" t="s">
        <v>28</v>
      </c>
      <c r="D223" t="s">
        <v>29</v>
      </c>
      <c r="E223" t="s">
        <v>25</v>
      </c>
      <c r="F223" t="s">
        <v>81</v>
      </c>
      <c r="G223">
        <v>0</v>
      </c>
      <c r="H223">
        <v>1</v>
      </c>
      <c r="I223" t="s">
        <v>128</v>
      </c>
      <c r="J223" t="s">
        <v>128</v>
      </c>
      <c r="K223" t="s">
        <v>403</v>
      </c>
      <c r="L223" t="s">
        <v>404</v>
      </c>
    </row>
    <row r="224" spans="1:12" x14ac:dyDescent="0.3">
      <c r="A224" t="s">
        <v>18</v>
      </c>
      <c r="B224">
        <v>1</v>
      </c>
      <c r="C224" t="s">
        <v>28</v>
      </c>
      <c r="D224" t="s">
        <v>29</v>
      </c>
      <c r="E224" t="s">
        <v>25</v>
      </c>
      <c r="F224" t="s">
        <v>97</v>
      </c>
      <c r="G224">
        <v>0</v>
      </c>
      <c r="H224">
        <v>0</v>
      </c>
      <c r="I224" t="s">
        <v>129</v>
      </c>
      <c r="J224" t="s">
        <v>129</v>
      </c>
      <c r="K224" t="s">
        <v>164</v>
      </c>
      <c r="L224" t="s">
        <v>405</v>
      </c>
    </row>
    <row r="225" spans="1:12" x14ac:dyDescent="0.3">
      <c r="A225" t="s">
        <v>18</v>
      </c>
      <c r="B225">
        <v>1</v>
      </c>
      <c r="C225" t="s">
        <v>30</v>
      </c>
      <c r="D225" t="s">
        <v>31</v>
      </c>
      <c r="E225" t="s">
        <v>25</v>
      </c>
      <c r="F225" t="s">
        <v>81</v>
      </c>
      <c r="G225">
        <v>1</v>
      </c>
      <c r="H225">
        <v>0</v>
      </c>
      <c r="I225" t="s">
        <v>128</v>
      </c>
      <c r="J225" t="s">
        <v>128</v>
      </c>
      <c r="K225" t="s">
        <v>178</v>
      </c>
      <c r="L225" t="s">
        <v>152</v>
      </c>
    </row>
    <row r="226" spans="1:12" x14ac:dyDescent="0.3">
      <c r="A226" t="s">
        <v>18</v>
      </c>
      <c r="B226">
        <v>1</v>
      </c>
      <c r="C226" t="s">
        <v>32</v>
      </c>
      <c r="D226" t="s">
        <v>33</v>
      </c>
      <c r="E226" t="s">
        <v>25</v>
      </c>
      <c r="F226" t="s">
        <v>79</v>
      </c>
      <c r="G226">
        <v>0</v>
      </c>
      <c r="H226">
        <v>0</v>
      </c>
      <c r="I226" t="s">
        <v>129</v>
      </c>
      <c r="J226" t="s">
        <v>129</v>
      </c>
      <c r="K226" t="s">
        <v>171</v>
      </c>
      <c r="L226" t="s">
        <v>406</v>
      </c>
    </row>
    <row r="227" spans="1:12" x14ac:dyDescent="0.3">
      <c r="A227" t="s">
        <v>18</v>
      </c>
      <c r="B227">
        <v>1</v>
      </c>
      <c r="C227" t="s">
        <v>32</v>
      </c>
      <c r="D227" t="s">
        <v>33</v>
      </c>
      <c r="E227" t="s">
        <v>25</v>
      </c>
      <c r="F227" t="s">
        <v>81</v>
      </c>
      <c r="G227">
        <v>1</v>
      </c>
      <c r="H227">
        <v>1</v>
      </c>
      <c r="I227" t="s">
        <v>129</v>
      </c>
      <c r="J227" t="s">
        <v>129</v>
      </c>
      <c r="K227" t="s">
        <v>173</v>
      </c>
      <c r="L227" t="s">
        <v>152</v>
      </c>
    </row>
    <row r="228" spans="1:12" x14ac:dyDescent="0.3">
      <c r="A228" t="s">
        <v>18</v>
      </c>
      <c r="B228">
        <v>1</v>
      </c>
      <c r="C228" t="s">
        <v>32</v>
      </c>
      <c r="D228" t="s">
        <v>33</v>
      </c>
      <c r="E228" t="s">
        <v>25</v>
      </c>
      <c r="F228" t="s">
        <v>83</v>
      </c>
      <c r="G228">
        <v>0</v>
      </c>
      <c r="H228">
        <v>0</v>
      </c>
      <c r="I228" t="s">
        <v>129</v>
      </c>
      <c r="J228" t="s">
        <v>129</v>
      </c>
      <c r="K228" t="s">
        <v>171</v>
      </c>
      <c r="L228" t="s">
        <v>407</v>
      </c>
    </row>
    <row r="229" spans="1:12" x14ac:dyDescent="0.3">
      <c r="A229" t="s">
        <v>18</v>
      </c>
      <c r="B229">
        <v>1</v>
      </c>
      <c r="C229" t="s">
        <v>32</v>
      </c>
      <c r="D229" t="s">
        <v>33</v>
      </c>
      <c r="E229" t="s">
        <v>25</v>
      </c>
      <c r="F229" t="s">
        <v>85</v>
      </c>
      <c r="G229">
        <v>0</v>
      </c>
      <c r="H229">
        <v>0</v>
      </c>
      <c r="I229" t="s">
        <v>129</v>
      </c>
      <c r="J229" t="s">
        <v>129</v>
      </c>
      <c r="K229" t="s">
        <v>171</v>
      </c>
      <c r="L229" t="s">
        <v>408</v>
      </c>
    </row>
    <row r="230" spans="1:12" x14ac:dyDescent="0.3">
      <c r="A230" t="s">
        <v>18</v>
      </c>
      <c r="B230">
        <v>1</v>
      </c>
      <c r="C230" t="s">
        <v>32</v>
      </c>
      <c r="D230" t="s">
        <v>33</v>
      </c>
      <c r="E230" t="s">
        <v>25</v>
      </c>
      <c r="F230" t="s">
        <v>95</v>
      </c>
      <c r="G230">
        <v>0</v>
      </c>
      <c r="H230">
        <v>0</v>
      </c>
      <c r="I230" t="s">
        <v>129</v>
      </c>
      <c r="J230" t="s">
        <v>129</v>
      </c>
      <c r="K230" t="s">
        <v>171</v>
      </c>
      <c r="L230" t="s">
        <v>176</v>
      </c>
    </row>
    <row r="231" spans="1:12" x14ac:dyDescent="0.3">
      <c r="A231" t="s">
        <v>18</v>
      </c>
      <c r="B231">
        <v>1</v>
      </c>
      <c r="C231" t="s">
        <v>32</v>
      </c>
      <c r="D231" t="s">
        <v>33</v>
      </c>
      <c r="E231" t="s">
        <v>25</v>
      </c>
      <c r="F231" t="s">
        <v>105</v>
      </c>
      <c r="G231">
        <v>0</v>
      </c>
      <c r="H231">
        <v>0</v>
      </c>
      <c r="I231" t="s">
        <v>129</v>
      </c>
      <c r="J231" t="s">
        <v>129</v>
      </c>
      <c r="K231" t="s">
        <v>171</v>
      </c>
      <c r="L231" t="s">
        <v>177</v>
      </c>
    </row>
    <row r="232" spans="1:12" x14ac:dyDescent="0.3">
      <c r="A232" t="s">
        <v>18</v>
      </c>
      <c r="B232">
        <v>1</v>
      </c>
      <c r="C232" t="s">
        <v>34</v>
      </c>
      <c r="D232" t="s">
        <v>35</v>
      </c>
      <c r="E232" t="s">
        <v>25</v>
      </c>
      <c r="F232" t="s">
        <v>81</v>
      </c>
      <c r="G232">
        <v>1</v>
      </c>
      <c r="H232">
        <v>0</v>
      </c>
      <c r="I232" t="s">
        <v>128</v>
      </c>
      <c r="J232" t="s">
        <v>128</v>
      </c>
      <c r="K232" t="s">
        <v>178</v>
      </c>
      <c r="L232" t="s">
        <v>152</v>
      </c>
    </row>
    <row r="233" spans="1:12" x14ac:dyDescent="0.3">
      <c r="A233" t="s">
        <v>18</v>
      </c>
      <c r="B233">
        <v>1</v>
      </c>
      <c r="C233" t="s">
        <v>36</v>
      </c>
      <c r="D233" t="s">
        <v>37</v>
      </c>
      <c r="E233" t="s">
        <v>25</v>
      </c>
      <c r="F233" t="s">
        <v>83</v>
      </c>
      <c r="G233">
        <v>0</v>
      </c>
      <c r="H233">
        <v>0</v>
      </c>
      <c r="I233" t="s">
        <v>129</v>
      </c>
      <c r="J233" t="s">
        <v>129</v>
      </c>
      <c r="K233" t="s">
        <v>171</v>
      </c>
      <c r="L233" t="s">
        <v>181</v>
      </c>
    </row>
    <row r="234" spans="1:12" x14ac:dyDescent="0.3">
      <c r="A234" t="s">
        <v>18</v>
      </c>
      <c r="B234">
        <v>1</v>
      </c>
      <c r="C234" t="s">
        <v>36</v>
      </c>
      <c r="D234" t="s">
        <v>37</v>
      </c>
      <c r="E234" t="s">
        <v>25</v>
      </c>
      <c r="F234" t="s">
        <v>85</v>
      </c>
      <c r="G234">
        <v>0</v>
      </c>
      <c r="H234">
        <v>0</v>
      </c>
      <c r="I234" t="s">
        <v>129</v>
      </c>
      <c r="J234" t="s">
        <v>129</v>
      </c>
      <c r="K234" t="s">
        <v>171</v>
      </c>
      <c r="L234" t="s">
        <v>182</v>
      </c>
    </row>
    <row r="235" spans="1:12" x14ac:dyDescent="0.3">
      <c r="A235" t="s">
        <v>18</v>
      </c>
      <c r="B235">
        <v>1</v>
      </c>
      <c r="C235" t="s">
        <v>38</v>
      </c>
      <c r="D235" t="s">
        <v>39</v>
      </c>
      <c r="E235" t="s">
        <v>25</v>
      </c>
      <c r="F235" t="s">
        <v>79</v>
      </c>
      <c r="G235">
        <v>0</v>
      </c>
      <c r="H235">
        <v>0</v>
      </c>
      <c r="I235" t="s">
        <v>129</v>
      </c>
      <c r="J235" t="s">
        <v>129</v>
      </c>
      <c r="K235" t="s">
        <v>171</v>
      </c>
      <c r="L235" t="s">
        <v>183</v>
      </c>
    </row>
    <row r="236" spans="1:12" x14ac:dyDescent="0.3">
      <c r="A236" t="s">
        <v>18</v>
      </c>
      <c r="B236">
        <v>1</v>
      </c>
      <c r="C236" t="s">
        <v>38</v>
      </c>
      <c r="D236" t="s">
        <v>39</v>
      </c>
      <c r="E236" t="s">
        <v>25</v>
      </c>
      <c r="F236" t="s">
        <v>85</v>
      </c>
      <c r="G236">
        <v>0</v>
      </c>
      <c r="H236">
        <v>0</v>
      </c>
      <c r="I236" t="s">
        <v>129</v>
      </c>
      <c r="J236" t="s">
        <v>129</v>
      </c>
      <c r="K236" t="s">
        <v>171</v>
      </c>
      <c r="L236" t="s">
        <v>184</v>
      </c>
    </row>
    <row r="237" spans="1:12" x14ac:dyDescent="0.3">
      <c r="A237" t="s">
        <v>18</v>
      </c>
      <c r="B237">
        <v>1</v>
      </c>
      <c r="C237" t="s">
        <v>38</v>
      </c>
      <c r="D237" t="s">
        <v>39</v>
      </c>
      <c r="E237" t="s">
        <v>25</v>
      </c>
      <c r="F237" t="s">
        <v>111</v>
      </c>
      <c r="G237">
        <v>0</v>
      </c>
      <c r="H237">
        <v>0</v>
      </c>
      <c r="I237" t="s">
        <v>127</v>
      </c>
      <c r="J237" t="s">
        <v>127</v>
      </c>
      <c r="K237" t="s">
        <v>147</v>
      </c>
      <c r="L237" t="s">
        <v>409</v>
      </c>
    </row>
    <row r="238" spans="1:12" x14ac:dyDescent="0.3">
      <c r="A238" t="s">
        <v>18</v>
      </c>
      <c r="B238">
        <v>1</v>
      </c>
      <c r="C238" t="s">
        <v>40</v>
      </c>
      <c r="D238" t="s">
        <v>41</v>
      </c>
      <c r="E238" t="s">
        <v>25</v>
      </c>
      <c r="F238" t="s">
        <v>77</v>
      </c>
      <c r="G238">
        <v>0</v>
      </c>
      <c r="H238">
        <v>1</v>
      </c>
      <c r="I238" t="s">
        <v>128</v>
      </c>
      <c r="J238" t="s">
        <v>128</v>
      </c>
      <c r="K238" t="s">
        <v>178</v>
      </c>
      <c r="L238" t="s">
        <v>152</v>
      </c>
    </row>
    <row r="239" spans="1:12" x14ac:dyDescent="0.3">
      <c r="A239" t="s">
        <v>18</v>
      </c>
      <c r="B239">
        <v>1</v>
      </c>
      <c r="C239" t="s">
        <v>40</v>
      </c>
      <c r="D239" t="s">
        <v>41</v>
      </c>
      <c r="E239" t="s">
        <v>25</v>
      </c>
      <c r="F239" t="s">
        <v>81</v>
      </c>
      <c r="G239">
        <v>1</v>
      </c>
      <c r="H239">
        <v>1</v>
      </c>
      <c r="I239" t="s">
        <v>129</v>
      </c>
      <c r="J239" t="s">
        <v>129</v>
      </c>
      <c r="K239" t="s">
        <v>171</v>
      </c>
      <c r="L239" t="s">
        <v>152</v>
      </c>
    </row>
    <row r="240" spans="1:12" x14ac:dyDescent="0.3">
      <c r="A240" t="s">
        <v>18</v>
      </c>
      <c r="B240">
        <v>1</v>
      </c>
      <c r="C240" t="s">
        <v>40</v>
      </c>
      <c r="D240" t="s">
        <v>41</v>
      </c>
      <c r="E240" t="s">
        <v>25</v>
      </c>
      <c r="F240" t="s">
        <v>85</v>
      </c>
      <c r="G240">
        <v>0</v>
      </c>
      <c r="H240">
        <v>0</v>
      </c>
      <c r="I240" t="s">
        <v>129</v>
      </c>
      <c r="J240" t="s">
        <v>129</v>
      </c>
      <c r="K240" t="s">
        <v>171</v>
      </c>
      <c r="L240" t="s">
        <v>187</v>
      </c>
    </row>
    <row r="241" spans="1:12" x14ac:dyDescent="0.3">
      <c r="A241" t="s">
        <v>18</v>
      </c>
      <c r="B241">
        <v>1</v>
      </c>
      <c r="C241" t="s">
        <v>40</v>
      </c>
      <c r="D241" t="s">
        <v>41</v>
      </c>
      <c r="E241" t="s">
        <v>25</v>
      </c>
      <c r="F241" t="s">
        <v>105</v>
      </c>
      <c r="G241">
        <v>0</v>
      </c>
      <c r="H241">
        <v>0</v>
      </c>
      <c r="I241" t="s">
        <v>129</v>
      </c>
      <c r="J241" t="s">
        <v>129</v>
      </c>
      <c r="K241" t="s">
        <v>171</v>
      </c>
      <c r="L241" t="s">
        <v>189</v>
      </c>
    </row>
    <row r="242" spans="1:12" x14ac:dyDescent="0.3">
      <c r="A242" t="s">
        <v>18</v>
      </c>
      <c r="B242">
        <v>1</v>
      </c>
      <c r="C242" t="s">
        <v>43</v>
      </c>
      <c r="D242" t="s">
        <v>44</v>
      </c>
      <c r="E242" t="s">
        <v>25</v>
      </c>
      <c r="F242" t="s">
        <v>107</v>
      </c>
      <c r="G242">
        <v>0</v>
      </c>
      <c r="H242">
        <v>1</v>
      </c>
      <c r="I242" t="s">
        <v>128</v>
      </c>
      <c r="J242" t="s">
        <v>128</v>
      </c>
      <c r="K242" t="s">
        <v>410</v>
      </c>
      <c r="L242" t="s">
        <v>272</v>
      </c>
    </row>
    <row r="243" spans="1:12" x14ac:dyDescent="0.3">
      <c r="A243" t="s">
        <v>18</v>
      </c>
      <c r="B243">
        <v>1</v>
      </c>
      <c r="C243" t="s">
        <v>45</v>
      </c>
      <c r="D243" t="s">
        <v>46</v>
      </c>
      <c r="E243" t="s">
        <v>25</v>
      </c>
      <c r="F243" t="s">
        <v>85</v>
      </c>
      <c r="G243">
        <v>0</v>
      </c>
      <c r="H243">
        <v>0</v>
      </c>
      <c r="I243" t="s">
        <v>129</v>
      </c>
      <c r="J243" t="s">
        <v>129</v>
      </c>
      <c r="K243" t="s">
        <v>166</v>
      </c>
      <c r="L243" t="s">
        <v>411</v>
      </c>
    </row>
    <row r="244" spans="1:12" x14ac:dyDescent="0.3">
      <c r="A244" t="s">
        <v>18</v>
      </c>
      <c r="B244">
        <v>1</v>
      </c>
      <c r="C244" t="s">
        <v>63</v>
      </c>
      <c r="D244" t="s">
        <v>64</v>
      </c>
      <c r="E244" t="s">
        <v>25</v>
      </c>
      <c r="F244" t="s">
        <v>79</v>
      </c>
      <c r="G244">
        <v>0</v>
      </c>
      <c r="H244">
        <v>0</v>
      </c>
      <c r="I244" t="s">
        <v>129</v>
      </c>
      <c r="J244" t="s">
        <v>129</v>
      </c>
      <c r="K244" t="s">
        <v>277</v>
      </c>
      <c r="L244" t="s">
        <v>278</v>
      </c>
    </row>
    <row r="245" spans="1:12" x14ac:dyDescent="0.3">
      <c r="A245" t="s">
        <v>18</v>
      </c>
      <c r="B245">
        <v>1</v>
      </c>
      <c r="C245" t="s">
        <v>63</v>
      </c>
      <c r="D245" t="s">
        <v>64</v>
      </c>
      <c r="E245" t="s">
        <v>25</v>
      </c>
      <c r="F245" t="s">
        <v>81</v>
      </c>
      <c r="G245">
        <v>1</v>
      </c>
      <c r="H245">
        <v>1</v>
      </c>
      <c r="I245" t="s">
        <v>129</v>
      </c>
      <c r="J245" t="s">
        <v>129</v>
      </c>
      <c r="K245" t="s">
        <v>199</v>
      </c>
      <c r="L245" t="s">
        <v>152</v>
      </c>
    </row>
    <row r="246" spans="1:12" x14ac:dyDescent="0.3">
      <c r="A246" t="s">
        <v>18</v>
      </c>
      <c r="B246">
        <v>1</v>
      </c>
      <c r="C246" t="s">
        <v>63</v>
      </c>
      <c r="D246" t="s">
        <v>64</v>
      </c>
      <c r="E246" t="s">
        <v>25</v>
      </c>
      <c r="F246" t="s">
        <v>85</v>
      </c>
      <c r="G246">
        <v>0</v>
      </c>
      <c r="H246">
        <v>0</v>
      </c>
      <c r="I246" t="s">
        <v>129</v>
      </c>
      <c r="J246" t="s">
        <v>129</v>
      </c>
      <c r="K246" t="s">
        <v>202</v>
      </c>
      <c r="L246" t="s">
        <v>203</v>
      </c>
    </row>
    <row r="247" spans="1:12" x14ac:dyDescent="0.3">
      <c r="A247" t="s">
        <v>18</v>
      </c>
      <c r="B247">
        <v>1</v>
      </c>
      <c r="C247" t="s">
        <v>63</v>
      </c>
      <c r="D247" t="s">
        <v>64</v>
      </c>
      <c r="E247" t="s">
        <v>25</v>
      </c>
      <c r="F247" t="s">
        <v>89</v>
      </c>
      <c r="G247">
        <v>0</v>
      </c>
      <c r="H247">
        <v>0</v>
      </c>
      <c r="I247" t="s">
        <v>129</v>
      </c>
      <c r="J247" t="s">
        <v>129</v>
      </c>
      <c r="K247" t="s">
        <v>412</v>
      </c>
      <c r="L247" t="s">
        <v>413</v>
      </c>
    </row>
    <row r="248" spans="1:12" x14ac:dyDescent="0.3">
      <c r="A248" t="s">
        <v>18</v>
      </c>
      <c r="B248">
        <v>1</v>
      </c>
      <c r="C248" t="s">
        <v>63</v>
      </c>
      <c r="D248" t="s">
        <v>64</v>
      </c>
      <c r="E248" t="s">
        <v>25</v>
      </c>
      <c r="F248" t="s">
        <v>91</v>
      </c>
      <c r="G248">
        <v>0</v>
      </c>
      <c r="H248">
        <v>0</v>
      </c>
      <c r="I248" t="s">
        <v>129</v>
      </c>
      <c r="J248" t="s">
        <v>129</v>
      </c>
      <c r="K248" t="s">
        <v>414</v>
      </c>
      <c r="L248" t="s">
        <v>415</v>
      </c>
    </row>
    <row r="249" spans="1:12" x14ac:dyDescent="0.3">
      <c r="A249" t="s">
        <v>18</v>
      </c>
      <c r="B249">
        <v>1</v>
      </c>
      <c r="C249" t="s">
        <v>63</v>
      </c>
      <c r="D249" t="s">
        <v>64</v>
      </c>
      <c r="E249" t="s">
        <v>25</v>
      </c>
      <c r="F249" t="s">
        <v>95</v>
      </c>
      <c r="G249">
        <v>0</v>
      </c>
      <c r="H249">
        <v>0</v>
      </c>
      <c r="I249" t="s">
        <v>129</v>
      </c>
      <c r="J249" t="s">
        <v>129</v>
      </c>
      <c r="K249" t="s">
        <v>416</v>
      </c>
      <c r="L249" t="s">
        <v>417</v>
      </c>
    </row>
    <row r="250" spans="1:12" x14ac:dyDescent="0.3">
      <c r="A250" t="s">
        <v>18</v>
      </c>
      <c r="B250">
        <v>1</v>
      </c>
      <c r="C250" t="s">
        <v>63</v>
      </c>
      <c r="D250" t="s">
        <v>64</v>
      </c>
      <c r="E250" t="s">
        <v>25</v>
      </c>
      <c r="F250" t="s">
        <v>97</v>
      </c>
      <c r="G250">
        <v>0</v>
      </c>
      <c r="H250">
        <v>0</v>
      </c>
      <c r="I250" t="s">
        <v>129</v>
      </c>
      <c r="J250" t="s">
        <v>129</v>
      </c>
      <c r="K250" t="s">
        <v>418</v>
      </c>
      <c r="L250" t="s">
        <v>419</v>
      </c>
    </row>
    <row r="251" spans="1:12" x14ac:dyDescent="0.3">
      <c r="A251" t="s">
        <v>18</v>
      </c>
      <c r="B251">
        <v>1</v>
      </c>
      <c r="C251" t="s">
        <v>63</v>
      </c>
      <c r="D251" t="s">
        <v>64</v>
      </c>
      <c r="E251" t="s">
        <v>25</v>
      </c>
      <c r="F251" t="s">
        <v>99</v>
      </c>
      <c r="G251">
        <v>0</v>
      </c>
      <c r="H251">
        <v>0</v>
      </c>
      <c r="I251" t="s">
        <v>129</v>
      </c>
      <c r="J251" t="s">
        <v>129</v>
      </c>
      <c r="K251" t="s">
        <v>420</v>
      </c>
      <c r="L251" t="s">
        <v>421</v>
      </c>
    </row>
    <row r="252" spans="1:12" x14ac:dyDescent="0.3">
      <c r="A252" t="s">
        <v>18</v>
      </c>
      <c r="B252">
        <v>1</v>
      </c>
      <c r="C252" t="s">
        <v>63</v>
      </c>
      <c r="D252" t="s">
        <v>64</v>
      </c>
      <c r="E252" t="s">
        <v>25</v>
      </c>
      <c r="F252" t="s">
        <v>101</v>
      </c>
      <c r="G252">
        <v>0</v>
      </c>
      <c r="H252">
        <v>0</v>
      </c>
      <c r="I252" t="s">
        <v>129</v>
      </c>
      <c r="J252" t="s">
        <v>129</v>
      </c>
      <c r="K252" t="s">
        <v>422</v>
      </c>
      <c r="L252" t="s">
        <v>423</v>
      </c>
    </row>
    <row r="253" spans="1:12" x14ac:dyDescent="0.3">
      <c r="A253" t="s">
        <v>18</v>
      </c>
      <c r="B253">
        <v>1</v>
      </c>
      <c r="C253" t="s">
        <v>63</v>
      </c>
      <c r="D253" t="s">
        <v>64</v>
      </c>
      <c r="E253" t="s">
        <v>25</v>
      </c>
      <c r="F253" t="s">
        <v>105</v>
      </c>
      <c r="G253">
        <v>0</v>
      </c>
      <c r="H253">
        <v>0</v>
      </c>
      <c r="I253" t="s">
        <v>129</v>
      </c>
      <c r="J253" t="s">
        <v>129</v>
      </c>
      <c r="K253" t="s">
        <v>202</v>
      </c>
      <c r="L253" t="s">
        <v>424</v>
      </c>
    </row>
    <row r="254" spans="1:12" x14ac:dyDescent="0.3">
      <c r="A254" t="s">
        <v>18</v>
      </c>
      <c r="B254">
        <v>1</v>
      </c>
      <c r="C254" t="s">
        <v>49</v>
      </c>
      <c r="D254" t="s">
        <v>50</v>
      </c>
      <c r="E254" t="s">
        <v>25</v>
      </c>
      <c r="F254" t="s">
        <v>101</v>
      </c>
      <c r="G254">
        <v>0</v>
      </c>
      <c r="H254">
        <v>1</v>
      </c>
      <c r="I254" t="s">
        <v>128</v>
      </c>
      <c r="J254" t="s">
        <v>128</v>
      </c>
      <c r="K254" t="s">
        <v>367</v>
      </c>
      <c r="L254" t="s">
        <v>425</v>
      </c>
    </row>
    <row r="255" spans="1:12" x14ac:dyDescent="0.3">
      <c r="A255" t="s">
        <v>18</v>
      </c>
      <c r="B255">
        <v>1</v>
      </c>
      <c r="C255" t="s">
        <v>53</v>
      </c>
      <c r="D255" t="s">
        <v>54</v>
      </c>
      <c r="E255" t="s">
        <v>25</v>
      </c>
      <c r="F255" t="s">
        <v>81</v>
      </c>
      <c r="G255">
        <v>1</v>
      </c>
      <c r="H255">
        <v>0</v>
      </c>
      <c r="I255" t="s">
        <v>128</v>
      </c>
      <c r="J255" t="s">
        <v>128</v>
      </c>
      <c r="K255" t="s">
        <v>178</v>
      </c>
      <c r="L255" t="s">
        <v>152</v>
      </c>
    </row>
    <row r="256" spans="1:12" x14ac:dyDescent="0.3">
      <c r="A256" t="s">
        <v>18</v>
      </c>
      <c r="B256">
        <v>1</v>
      </c>
      <c r="C256" t="s">
        <v>55</v>
      </c>
      <c r="D256" t="s">
        <v>56</v>
      </c>
      <c r="E256" t="s">
        <v>25</v>
      </c>
      <c r="F256" t="s">
        <v>81</v>
      </c>
      <c r="G256">
        <v>1</v>
      </c>
      <c r="H256">
        <v>1</v>
      </c>
      <c r="I256" t="s">
        <v>129</v>
      </c>
      <c r="J256" t="s">
        <v>129</v>
      </c>
      <c r="K256" t="s">
        <v>173</v>
      </c>
      <c r="L256" t="s">
        <v>152</v>
      </c>
    </row>
    <row r="257" spans="1:12" x14ac:dyDescent="0.3">
      <c r="A257" t="s">
        <v>18</v>
      </c>
      <c r="B257">
        <v>1</v>
      </c>
      <c r="C257" t="s">
        <v>55</v>
      </c>
      <c r="D257" t="s">
        <v>56</v>
      </c>
      <c r="E257" t="s">
        <v>25</v>
      </c>
      <c r="F257" t="s">
        <v>85</v>
      </c>
      <c r="G257">
        <v>0</v>
      </c>
      <c r="H257">
        <v>0</v>
      </c>
      <c r="I257" t="s">
        <v>129</v>
      </c>
      <c r="J257" t="s">
        <v>129</v>
      </c>
      <c r="K257" t="s">
        <v>171</v>
      </c>
      <c r="L257" t="s">
        <v>316</v>
      </c>
    </row>
    <row r="258" spans="1:12" x14ac:dyDescent="0.3">
      <c r="A258" t="s">
        <v>18</v>
      </c>
      <c r="B258">
        <v>1</v>
      </c>
      <c r="C258" t="s">
        <v>55</v>
      </c>
      <c r="D258" t="s">
        <v>56</v>
      </c>
      <c r="E258" t="s">
        <v>25</v>
      </c>
      <c r="F258" t="s">
        <v>101</v>
      </c>
      <c r="G258">
        <v>0</v>
      </c>
      <c r="H258">
        <v>1</v>
      </c>
      <c r="I258" t="s">
        <v>128</v>
      </c>
      <c r="J258" t="s">
        <v>128</v>
      </c>
      <c r="K258" t="s">
        <v>367</v>
      </c>
      <c r="L258" t="s">
        <v>426</v>
      </c>
    </row>
    <row r="259" spans="1:12" x14ac:dyDescent="0.3">
      <c r="A259" t="s">
        <v>18</v>
      </c>
      <c r="B259">
        <v>1</v>
      </c>
      <c r="C259" t="s">
        <v>57</v>
      </c>
      <c r="D259" t="s">
        <v>58</v>
      </c>
      <c r="E259" t="s">
        <v>25</v>
      </c>
      <c r="F259" t="s">
        <v>81</v>
      </c>
      <c r="G259">
        <v>1</v>
      </c>
      <c r="H259">
        <v>0</v>
      </c>
      <c r="I259" t="s">
        <v>128</v>
      </c>
      <c r="J259" t="s">
        <v>128</v>
      </c>
      <c r="K259" t="s">
        <v>178</v>
      </c>
      <c r="L259" t="s">
        <v>152</v>
      </c>
    </row>
    <row r="260" spans="1:12" x14ac:dyDescent="0.3">
      <c r="A260" t="s">
        <v>18</v>
      </c>
      <c r="B260">
        <v>1</v>
      </c>
      <c r="C260" t="s">
        <v>57</v>
      </c>
      <c r="D260" t="s">
        <v>58</v>
      </c>
      <c r="E260" t="s">
        <v>25</v>
      </c>
      <c r="F260" t="s">
        <v>101</v>
      </c>
      <c r="G260">
        <v>0</v>
      </c>
      <c r="H260">
        <v>0</v>
      </c>
      <c r="I260" t="s">
        <v>129</v>
      </c>
      <c r="J260" t="s">
        <v>129</v>
      </c>
      <c r="K260" t="s">
        <v>166</v>
      </c>
      <c r="L260" t="s">
        <v>427</v>
      </c>
    </row>
    <row r="261" spans="1:12" x14ac:dyDescent="0.3">
      <c r="A261" t="s">
        <v>18</v>
      </c>
      <c r="B261">
        <v>1</v>
      </c>
      <c r="C261" t="s">
        <v>61</v>
      </c>
      <c r="D261" t="s">
        <v>62</v>
      </c>
      <c r="E261" t="s">
        <v>25</v>
      </c>
      <c r="F261" t="s">
        <v>81</v>
      </c>
      <c r="G261">
        <v>1</v>
      </c>
      <c r="H261">
        <v>0</v>
      </c>
      <c r="I261" t="s">
        <v>128</v>
      </c>
      <c r="J261" t="s">
        <v>128</v>
      </c>
      <c r="K261" t="s">
        <v>178</v>
      </c>
      <c r="L261" t="s">
        <v>152</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899B4-F56B-4EEB-9D40-AB0C161249D5}">
  <dimension ref="A1:H711"/>
  <sheetViews>
    <sheetView topLeftCell="A55" workbookViewId="0">
      <selection activeCell="P31" sqref="P31"/>
    </sheetView>
  </sheetViews>
  <sheetFormatPr defaultRowHeight="14.4" x14ac:dyDescent="0.3"/>
  <cols>
    <col min="1" max="1" width="11" bestFit="1" customWidth="1"/>
    <col min="2" max="2" width="13.44140625" bestFit="1" customWidth="1"/>
    <col min="3" max="3" width="7.6640625" bestFit="1" customWidth="1"/>
    <col min="4" max="4" width="11" bestFit="1" customWidth="1"/>
    <col min="5" max="7" width="6.44140625" customWidth="1"/>
    <col min="8" max="8" width="6" bestFit="1" customWidth="1"/>
  </cols>
  <sheetData>
    <row r="1" spans="1:8" x14ac:dyDescent="0.3">
      <c r="A1" s="4" t="s">
        <v>2</v>
      </c>
      <c r="B1" s="4" t="s">
        <v>3</v>
      </c>
      <c r="C1" s="4" t="s">
        <v>4</v>
      </c>
      <c r="D1" s="4" t="s">
        <v>73</v>
      </c>
      <c r="E1" s="4">
        <v>1</v>
      </c>
      <c r="F1" s="4">
        <v>2</v>
      </c>
      <c r="G1" s="4">
        <v>3</v>
      </c>
      <c r="H1" s="4" t="s">
        <v>473</v>
      </c>
    </row>
    <row r="2" spans="1:8" x14ac:dyDescent="0.3">
      <c r="A2" t="s">
        <v>19</v>
      </c>
      <c r="B2" t="s">
        <v>20</v>
      </c>
      <c r="C2" t="s">
        <v>21</v>
      </c>
      <c r="D2" t="s">
        <v>77</v>
      </c>
      <c r="E2">
        <v>1</v>
      </c>
      <c r="F2">
        <v>1</v>
      </c>
      <c r="G2">
        <v>1</v>
      </c>
      <c r="H2">
        <v>1</v>
      </c>
    </row>
    <row r="3" spans="1:8" x14ac:dyDescent="0.3">
      <c r="A3" t="s">
        <v>19</v>
      </c>
      <c r="B3" t="s">
        <v>20</v>
      </c>
      <c r="C3" t="s">
        <v>21</v>
      </c>
      <c r="D3" t="s">
        <v>79</v>
      </c>
      <c r="E3">
        <v>0</v>
      </c>
      <c r="F3">
        <v>0</v>
      </c>
      <c r="G3">
        <v>0</v>
      </c>
      <c r="H3">
        <v>1</v>
      </c>
    </row>
    <row r="4" spans="1:8" x14ac:dyDescent="0.3">
      <c r="A4" t="s">
        <v>19</v>
      </c>
      <c r="B4" t="s">
        <v>20</v>
      </c>
      <c r="C4" t="s">
        <v>21</v>
      </c>
      <c r="D4" t="s">
        <v>81</v>
      </c>
      <c r="E4">
        <v>0</v>
      </c>
      <c r="F4">
        <v>0</v>
      </c>
      <c r="G4">
        <v>0</v>
      </c>
      <c r="H4">
        <v>1</v>
      </c>
    </row>
    <row r="5" spans="1:8" x14ac:dyDescent="0.3">
      <c r="A5" t="s">
        <v>19</v>
      </c>
      <c r="B5" t="s">
        <v>20</v>
      </c>
      <c r="C5" t="s">
        <v>21</v>
      </c>
      <c r="D5" t="s">
        <v>83</v>
      </c>
      <c r="E5">
        <v>0</v>
      </c>
      <c r="F5">
        <v>0</v>
      </c>
      <c r="G5">
        <v>0</v>
      </c>
      <c r="H5">
        <v>1</v>
      </c>
    </row>
    <row r="6" spans="1:8" x14ac:dyDescent="0.3">
      <c r="A6" t="s">
        <v>19</v>
      </c>
      <c r="B6" t="s">
        <v>20</v>
      </c>
      <c r="C6" t="s">
        <v>21</v>
      </c>
      <c r="D6" t="s">
        <v>85</v>
      </c>
      <c r="E6">
        <v>0</v>
      </c>
      <c r="F6">
        <v>0</v>
      </c>
      <c r="G6">
        <v>0</v>
      </c>
      <c r="H6">
        <v>1</v>
      </c>
    </row>
    <row r="7" spans="1:8" x14ac:dyDescent="0.3">
      <c r="A7" t="s">
        <v>19</v>
      </c>
      <c r="B7" t="s">
        <v>20</v>
      </c>
      <c r="C7" t="s">
        <v>21</v>
      </c>
      <c r="D7" t="s">
        <v>87</v>
      </c>
      <c r="E7">
        <v>0</v>
      </c>
      <c r="F7">
        <v>0</v>
      </c>
      <c r="G7">
        <v>0</v>
      </c>
      <c r="H7">
        <v>1</v>
      </c>
    </row>
    <row r="8" spans="1:8" x14ac:dyDescent="0.3">
      <c r="A8" t="s">
        <v>19</v>
      </c>
      <c r="B8" t="s">
        <v>20</v>
      </c>
      <c r="C8" t="s">
        <v>21</v>
      </c>
      <c r="D8" t="s">
        <v>89</v>
      </c>
      <c r="E8">
        <v>0</v>
      </c>
      <c r="F8">
        <v>0</v>
      </c>
      <c r="G8">
        <v>0</v>
      </c>
      <c r="H8">
        <v>1</v>
      </c>
    </row>
    <row r="9" spans="1:8" x14ac:dyDescent="0.3">
      <c r="A9" t="s">
        <v>19</v>
      </c>
      <c r="B9" t="s">
        <v>20</v>
      </c>
      <c r="C9" t="s">
        <v>21</v>
      </c>
      <c r="D9" t="s">
        <v>91</v>
      </c>
      <c r="E9">
        <v>0</v>
      </c>
      <c r="F9">
        <v>0</v>
      </c>
      <c r="G9">
        <v>0</v>
      </c>
      <c r="H9">
        <v>1</v>
      </c>
    </row>
    <row r="10" spans="1:8" x14ac:dyDescent="0.3">
      <c r="A10" t="s">
        <v>19</v>
      </c>
      <c r="B10" t="s">
        <v>20</v>
      </c>
      <c r="C10" t="s">
        <v>21</v>
      </c>
      <c r="D10" t="s">
        <v>93</v>
      </c>
      <c r="E10">
        <v>0</v>
      </c>
      <c r="F10">
        <v>0</v>
      </c>
      <c r="G10">
        <v>0</v>
      </c>
      <c r="H10">
        <v>1</v>
      </c>
    </row>
    <row r="11" spans="1:8" x14ac:dyDescent="0.3">
      <c r="A11" t="s">
        <v>19</v>
      </c>
      <c r="B11" t="s">
        <v>20</v>
      </c>
      <c r="C11" t="s">
        <v>21</v>
      </c>
      <c r="D11" t="s">
        <v>95</v>
      </c>
      <c r="E11">
        <v>0</v>
      </c>
      <c r="F11">
        <v>0</v>
      </c>
      <c r="G11">
        <v>0</v>
      </c>
      <c r="H11">
        <v>1</v>
      </c>
    </row>
    <row r="12" spans="1:8" x14ac:dyDescent="0.3">
      <c r="A12" t="s">
        <v>19</v>
      </c>
      <c r="B12" t="s">
        <v>20</v>
      </c>
      <c r="C12" t="s">
        <v>21</v>
      </c>
      <c r="D12" t="s">
        <v>97</v>
      </c>
      <c r="E12">
        <v>0</v>
      </c>
      <c r="F12">
        <v>0</v>
      </c>
      <c r="G12">
        <v>0</v>
      </c>
      <c r="H12">
        <v>1</v>
      </c>
    </row>
    <row r="13" spans="1:8" x14ac:dyDescent="0.3">
      <c r="A13" t="s">
        <v>19</v>
      </c>
      <c r="B13" t="s">
        <v>20</v>
      </c>
      <c r="C13" t="s">
        <v>21</v>
      </c>
      <c r="D13" t="s">
        <v>99</v>
      </c>
      <c r="E13">
        <v>0</v>
      </c>
      <c r="F13">
        <v>0</v>
      </c>
      <c r="G13">
        <v>0</v>
      </c>
      <c r="H13">
        <v>1</v>
      </c>
    </row>
    <row r="14" spans="1:8" x14ac:dyDescent="0.3">
      <c r="A14" t="s">
        <v>19</v>
      </c>
      <c r="B14" t="s">
        <v>20</v>
      </c>
      <c r="C14" t="s">
        <v>21</v>
      </c>
      <c r="D14" t="s">
        <v>101</v>
      </c>
      <c r="E14">
        <v>0</v>
      </c>
      <c r="F14">
        <v>0</v>
      </c>
      <c r="G14">
        <v>0</v>
      </c>
      <c r="H14">
        <v>1</v>
      </c>
    </row>
    <row r="15" spans="1:8" x14ac:dyDescent="0.3">
      <c r="A15" t="s">
        <v>19</v>
      </c>
      <c r="B15" t="s">
        <v>20</v>
      </c>
      <c r="C15" t="s">
        <v>21</v>
      </c>
      <c r="D15" t="s">
        <v>103</v>
      </c>
      <c r="E15">
        <v>0</v>
      </c>
      <c r="F15">
        <v>0</v>
      </c>
      <c r="G15">
        <v>0</v>
      </c>
      <c r="H15">
        <v>1</v>
      </c>
    </row>
    <row r="16" spans="1:8" x14ac:dyDescent="0.3">
      <c r="A16" t="s">
        <v>19</v>
      </c>
      <c r="B16" t="s">
        <v>20</v>
      </c>
      <c r="C16" t="s">
        <v>21</v>
      </c>
      <c r="D16" t="s">
        <v>105</v>
      </c>
      <c r="E16">
        <v>0</v>
      </c>
      <c r="F16">
        <v>0</v>
      </c>
      <c r="G16">
        <v>0</v>
      </c>
      <c r="H16">
        <v>1</v>
      </c>
    </row>
    <row r="17" spans="1:8" x14ac:dyDescent="0.3">
      <c r="A17" t="s">
        <v>19</v>
      </c>
      <c r="B17" t="s">
        <v>20</v>
      </c>
      <c r="C17" t="s">
        <v>21</v>
      </c>
      <c r="D17" t="s">
        <v>107</v>
      </c>
      <c r="E17">
        <v>0</v>
      </c>
      <c r="F17">
        <v>0</v>
      </c>
      <c r="G17">
        <v>0</v>
      </c>
      <c r="H17">
        <v>1</v>
      </c>
    </row>
    <row r="18" spans="1:8" x14ac:dyDescent="0.3">
      <c r="A18" t="s">
        <v>19</v>
      </c>
      <c r="B18" t="s">
        <v>20</v>
      </c>
      <c r="C18" t="s">
        <v>21</v>
      </c>
      <c r="D18" t="s">
        <v>109</v>
      </c>
      <c r="E18">
        <v>0</v>
      </c>
      <c r="F18">
        <v>0</v>
      </c>
      <c r="G18">
        <v>0</v>
      </c>
      <c r="H18">
        <v>1</v>
      </c>
    </row>
    <row r="19" spans="1:8" x14ac:dyDescent="0.3">
      <c r="A19" t="s">
        <v>19</v>
      </c>
      <c r="B19" t="s">
        <v>20</v>
      </c>
      <c r="C19" t="s">
        <v>21</v>
      </c>
      <c r="D19" t="s">
        <v>111</v>
      </c>
      <c r="E19">
        <v>0</v>
      </c>
      <c r="F19">
        <v>0</v>
      </c>
      <c r="G19">
        <v>0</v>
      </c>
      <c r="H19">
        <v>1</v>
      </c>
    </row>
    <row r="20" spans="1:8" x14ac:dyDescent="0.3">
      <c r="A20" t="s">
        <v>19</v>
      </c>
      <c r="B20" t="s">
        <v>20</v>
      </c>
      <c r="C20" t="s">
        <v>23</v>
      </c>
      <c r="D20" t="s">
        <v>77</v>
      </c>
      <c r="E20">
        <v>1</v>
      </c>
      <c r="F20">
        <v>1</v>
      </c>
      <c r="G20">
        <v>1</v>
      </c>
      <c r="H20">
        <v>1</v>
      </c>
    </row>
    <row r="21" spans="1:8" x14ac:dyDescent="0.3">
      <c r="A21" t="s">
        <v>19</v>
      </c>
      <c r="B21" t="s">
        <v>20</v>
      </c>
      <c r="C21" t="s">
        <v>23</v>
      </c>
      <c r="D21" t="s">
        <v>79</v>
      </c>
      <c r="E21">
        <v>0</v>
      </c>
      <c r="F21">
        <v>0</v>
      </c>
      <c r="G21">
        <v>0</v>
      </c>
      <c r="H21">
        <v>1</v>
      </c>
    </row>
    <row r="22" spans="1:8" x14ac:dyDescent="0.3">
      <c r="A22" t="s">
        <v>19</v>
      </c>
      <c r="B22" t="s">
        <v>20</v>
      </c>
      <c r="C22" t="s">
        <v>23</v>
      </c>
      <c r="D22" t="s">
        <v>81</v>
      </c>
      <c r="E22">
        <v>0</v>
      </c>
      <c r="F22">
        <v>0</v>
      </c>
      <c r="G22">
        <v>0</v>
      </c>
      <c r="H22">
        <v>1</v>
      </c>
    </row>
    <row r="23" spans="1:8" x14ac:dyDescent="0.3">
      <c r="A23" t="s">
        <v>19</v>
      </c>
      <c r="B23" t="s">
        <v>20</v>
      </c>
      <c r="C23" t="s">
        <v>23</v>
      </c>
      <c r="D23" t="s">
        <v>83</v>
      </c>
      <c r="E23">
        <v>0</v>
      </c>
      <c r="F23">
        <v>0</v>
      </c>
      <c r="G23">
        <v>0</v>
      </c>
      <c r="H23">
        <v>1</v>
      </c>
    </row>
    <row r="24" spans="1:8" x14ac:dyDescent="0.3">
      <c r="A24" t="s">
        <v>19</v>
      </c>
      <c r="B24" t="s">
        <v>20</v>
      </c>
      <c r="C24" t="s">
        <v>23</v>
      </c>
      <c r="D24" t="s">
        <v>85</v>
      </c>
      <c r="E24">
        <v>0</v>
      </c>
      <c r="F24">
        <v>0</v>
      </c>
      <c r="G24">
        <v>0</v>
      </c>
      <c r="H24">
        <v>1</v>
      </c>
    </row>
    <row r="25" spans="1:8" x14ac:dyDescent="0.3">
      <c r="A25" t="s">
        <v>19</v>
      </c>
      <c r="B25" t="s">
        <v>20</v>
      </c>
      <c r="C25" t="s">
        <v>23</v>
      </c>
      <c r="D25" t="s">
        <v>87</v>
      </c>
      <c r="E25">
        <v>0</v>
      </c>
      <c r="F25">
        <v>0</v>
      </c>
      <c r="G25">
        <v>0</v>
      </c>
      <c r="H25">
        <v>1</v>
      </c>
    </row>
    <row r="26" spans="1:8" x14ac:dyDescent="0.3">
      <c r="A26" t="s">
        <v>19</v>
      </c>
      <c r="B26" t="s">
        <v>20</v>
      </c>
      <c r="C26" t="s">
        <v>23</v>
      </c>
      <c r="D26" t="s">
        <v>89</v>
      </c>
      <c r="E26">
        <v>0</v>
      </c>
      <c r="F26">
        <v>0</v>
      </c>
      <c r="G26">
        <v>0</v>
      </c>
      <c r="H26">
        <v>1</v>
      </c>
    </row>
    <row r="27" spans="1:8" x14ac:dyDescent="0.3">
      <c r="A27" t="s">
        <v>19</v>
      </c>
      <c r="B27" t="s">
        <v>20</v>
      </c>
      <c r="C27" t="s">
        <v>23</v>
      </c>
      <c r="D27" t="s">
        <v>91</v>
      </c>
      <c r="E27">
        <v>0</v>
      </c>
      <c r="F27">
        <v>0</v>
      </c>
      <c r="G27">
        <v>0</v>
      </c>
      <c r="H27">
        <v>1</v>
      </c>
    </row>
    <row r="28" spans="1:8" x14ac:dyDescent="0.3">
      <c r="A28" t="s">
        <v>19</v>
      </c>
      <c r="B28" t="s">
        <v>20</v>
      </c>
      <c r="C28" t="s">
        <v>23</v>
      </c>
      <c r="D28" t="s">
        <v>93</v>
      </c>
      <c r="E28">
        <v>0</v>
      </c>
      <c r="F28">
        <v>0</v>
      </c>
      <c r="G28">
        <v>0</v>
      </c>
      <c r="H28">
        <v>1</v>
      </c>
    </row>
    <row r="29" spans="1:8" x14ac:dyDescent="0.3">
      <c r="A29" t="s">
        <v>19</v>
      </c>
      <c r="B29" t="s">
        <v>20</v>
      </c>
      <c r="C29" t="s">
        <v>23</v>
      </c>
      <c r="D29" t="s">
        <v>95</v>
      </c>
      <c r="E29">
        <v>0</v>
      </c>
      <c r="F29">
        <v>0</v>
      </c>
      <c r="G29">
        <v>0</v>
      </c>
      <c r="H29">
        <v>1</v>
      </c>
    </row>
    <row r="30" spans="1:8" x14ac:dyDescent="0.3">
      <c r="A30" t="s">
        <v>19</v>
      </c>
      <c r="B30" t="s">
        <v>20</v>
      </c>
      <c r="C30" t="s">
        <v>23</v>
      </c>
      <c r="D30" t="s">
        <v>97</v>
      </c>
      <c r="E30">
        <v>0</v>
      </c>
      <c r="F30">
        <v>0</v>
      </c>
      <c r="G30">
        <v>0</v>
      </c>
      <c r="H30">
        <v>1</v>
      </c>
    </row>
    <row r="31" spans="1:8" x14ac:dyDescent="0.3">
      <c r="A31" t="s">
        <v>19</v>
      </c>
      <c r="B31" t="s">
        <v>20</v>
      </c>
      <c r="C31" t="s">
        <v>23</v>
      </c>
      <c r="D31" t="s">
        <v>99</v>
      </c>
      <c r="E31">
        <v>0</v>
      </c>
      <c r="F31">
        <v>0</v>
      </c>
      <c r="G31">
        <v>0</v>
      </c>
      <c r="H31">
        <v>1</v>
      </c>
    </row>
    <row r="32" spans="1:8" x14ac:dyDescent="0.3">
      <c r="A32" t="s">
        <v>19</v>
      </c>
      <c r="B32" t="s">
        <v>20</v>
      </c>
      <c r="C32" t="s">
        <v>23</v>
      </c>
      <c r="D32" t="s">
        <v>101</v>
      </c>
      <c r="E32">
        <v>0</v>
      </c>
      <c r="F32">
        <v>0</v>
      </c>
      <c r="G32">
        <v>0</v>
      </c>
      <c r="H32">
        <v>1</v>
      </c>
    </row>
    <row r="33" spans="1:8" x14ac:dyDescent="0.3">
      <c r="A33" t="s">
        <v>19</v>
      </c>
      <c r="B33" t="s">
        <v>20</v>
      </c>
      <c r="C33" t="s">
        <v>23</v>
      </c>
      <c r="D33" t="s">
        <v>103</v>
      </c>
      <c r="E33">
        <v>0</v>
      </c>
      <c r="F33">
        <v>0</v>
      </c>
      <c r="G33">
        <v>0</v>
      </c>
      <c r="H33">
        <v>1</v>
      </c>
    </row>
    <row r="34" spans="1:8" x14ac:dyDescent="0.3">
      <c r="A34" t="s">
        <v>19</v>
      </c>
      <c r="B34" t="s">
        <v>20</v>
      </c>
      <c r="C34" t="s">
        <v>23</v>
      </c>
      <c r="D34" t="s">
        <v>105</v>
      </c>
      <c r="E34">
        <v>0</v>
      </c>
      <c r="F34">
        <v>0</v>
      </c>
      <c r="G34">
        <v>0</v>
      </c>
      <c r="H34">
        <v>1</v>
      </c>
    </row>
    <row r="35" spans="1:8" x14ac:dyDescent="0.3">
      <c r="A35" t="s">
        <v>19</v>
      </c>
      <c r="B35" t="s">
        <v>20</v>
      </c>
      <c r="C35" t="s">
        <v>23</v>
      </c>
      <c r="D35" t="s">
        <v>107</v>
      </c>
      <c r="E35">
        <v>0</v>
      </c>
      <c r="F35">
        <v>0</v>
      </c>
      <c r="G35">
        <v>0</v>
      </c>
      <c r="H35">
        <v>1</v>
      </c>
    </row>
    <row r="36" spans="1:8" x14ac:dyDescent="0.3">
      <c r="A36" t="s">
        <v>19</v>
      </c>
      <c r="B36" t="s">
        <v>20</v>
      </c>
      <c r="C36" t="s">
        <v>23</v>
      </c>
      <c r="D36" t="s">
        <v>109</v>
      </c>
      <c r="E36">
        <v>0</v>
      </c>
      <c r="F36">
        <v>0</v>
      </c>
      <c r="G36">
        <v>0</v>
      </c>
      <c r="H36">
        <v>1</v>
      </c>
    </row>
    <row r="37" spans="1:8" x14ac:dyDescent="0.3">
      <c r="A37" t="s">
        <v>19</v>
      </c>
      <c r="B37" t="s">
        <v>20</v>
      </c>
      <c r="C37" t="s">
        <v>23</v>
      </c>
      <c r="D37" t="s">
        <v>111</v>
      </c>
      <c r="E37">
        <v>0</v>
      </c>
      <c r="F37">
        <v>0</v>
      </c>
      <c r="G37">
        <v>0</v>
      </c>
      <c r="H37">
        <v>1</v>
      </c>
    </row>
    <row r="38" spans="1:8" x14ac:dyDescent="0.3">
      <c r="A38" t="s">
        <v>19</v>
      </c>
      <c r="B38" t="s">
        <v>20</v>
      </c>
      <c r="C38" t="s">
        <v>24</v>
      </c>
      <c r="D38" t="s">
        <v>77</v>
      </c>
      <c r="E38">
        <v>1</v>
      </c>
      <c r="F38">
        <v>1</v>
      </c>
      <c r="G38">
        <v>1</v>
      </c>
      <c r="H38">
        <v>1</v>
      </c>
    </row>
    <row r="39" spans="1:8" x14ac:dyDescent="0.3">
      <c r="A39" t="s">
        <v>19</v>
      </c>
      <c r="B39" t="s">
        <v>20</v>
      </c>
      <c r="C39" t="s">
        <v>24</v>
      </c>
      <c r="D39" t="s">
        <v>79</v>
      </c>
      <c r="E39">
        <v>0</v>
      </c>
      <c r="F39">
        <v>0</v>
      </c>
      <c r="G39">
        <v>0</v>
      </c>
      <c r="H39">
        <v>1</v>
      </c>
    </row>
    <row r="40" spans="1:8" x14ac:dyDescent="0.3">
      <c r="A40" t="s">
        <v>19</v>
      </c>
      <c r="B40" t="s">
        <v>20</v>
      </c>
      <c r="C40" t="s">
        <v>24</v>
      </c>
      <c r="D40" t="s">
        <v>81</v>
      </c>
      <c r="E40">
        <v>0</v>
      </c>
      <c r="F40">
        <v>0</v>
      </c>
      <c r="G40">
        <v>0</v>
      </c>
      <c r="H40">
        <v>1</v>
      </c>
    </row>
    <row r="41" spans="1:8" x14ac:dyDescent="0.3">
      <c r="A41" t="s">
        <v>19</v>
      </c>
      <c r="B41" t="s">
        <v>20</v>
      </c>
      <c r="C41" t="s">
        <v>24</v>
      </c>
      <c r="D41" t="s">
        <v>83</v>
      </c>
      <c r="E41">
        <v>1</v>
      </c>
      <c r="F41">
        <v>1</v>
      </c>
      <c r="G41">
        <v>1</v>
      </c>
      <c r="H41">
        <v>1</v>
      </c>
    </row>
    <row r="42" spans="1:8" x14ac:dyDescent="0.3">
      <c r="A42" t="s">
        <v>19</v>
      </c>
      <c r="B42" t="s">
        <v>20</v>
      </c>
      <c r="C42" t="s">
        <v>24</v>
      </c>
      <c r="D42" t="s">
        <v>85</v>
      </c>
      <c r="E42">
        <v>0</v>
      </c>
      <c r="F42">
        <v>0</v>
      </c>
      <c r="G42">
        <v>0</v>
      </c>
      <c r="H42">
        <v>1</v>
      </c>
    </row>
    <row r="43" spans="1:8" x14ac:dyDescent="0.3">
      <c r="A43" t="s">
        <v>19</v>
      </c>
      <c r="B43" t="s">
        <v>20</v>
      </c>
      <c r="C43" t="s">
        <v>24</v>
      </c>
      <c r="D43" t="s">
        <v>87</v>
      </c>
      <c r="E43">
        <v>0</v>
      </c>
      <c r="F43">
        <v>0</v>
      </c>
      <c r="G43">
        <v>0</v>
      </c>
      <c r="H43">
        <v>1</v>
      </c>
    </row>
    <row r="44" spans="1:8" x14ac:dyDescent="0.3">
      <c r="A44" t="s">
        <v>19</v>
      </c>
      <c r="B44" t="s">
        <v>20</v>
      </c>
      <c r="C44" t="s">
        <v>24</v>
      </c>
      <c r="D44" t="s">
        <v>89</v>
      </c>
      <c r="E44">
        <v>0</v>
      </c>
      <c r="F44">
        <v>0</v>
      </c>
      <c r="G44">
        <v>0</v>
      </c>
      <c r="H44">
        <v>1</v>
      </c>
    </row>
    <row r="45" spans="1:8" x14ac:dyDescent="0.3">
      <c r="A45" t="s">
        <v>19</v>
      </c>
      <c r="B45" t="s">
        <v>20</v>
      </c>
      <c r="C45" t="s">
        <v>24</v>
      </c>
      <c r="D45" t="s">
        <v>91</v>
      </c>
      <c r="E45">
        <v>0</v>
      </c>
      <c r="F45">
        <v>0</v>
      </c>
      <c r="G45">
        <v>0</v>
      </c>
      <c r="H45">
        <v>1</v>
      </c>
    </row>
    <row r="46" spans="1:8" x14ac:dyDescent="0.3">
      <c r="A46" t="s">
        <v>19</v>
      </c>
      <c r="B46" t="s">
        <v>20</v>
      </c>
      <c r="C46" t="s">
        <v>24</v>
      </c>
      <c r="D46" t="s">
        <v>93</v>
      </c>
      <c r="E46">
        <v>0</v>
      </c>
      <c r="F46">
        <v>0</v>
      </c>
      <c r="G46">
        <v>0</v>
      </c>
      <c r="H46">
        <v>1</v>
      </c>
    </row>
    <row r="47" spans="1:8" x14ac:dyDescent="0.3">
      <c r="A47" t="s">
        <v>19</v>
      </c>
      <c r="B47" t="s">
        <v>20</v>
      </c>
      <c r="C47" t="s">
        <v>24</v>
      </c>
      <c r="D47" t="s">
        <v>95</v>
      </c>
      <c r="E47">
        <v>0</v>
      </c>
      <c r="F47">
        <v>0</v>
      </c>
      <c r="G47">
        <v>0</v>
      </c>
      <c r="H47">
        <v>1</v>
      </c>
    </row>
    <row r="48" spans="1:8" x14ac:dyDescent="0.3">
      <c r="A48" t="s">
        <v>19</v>
      </c>
      <c r="B48" t="s">
        <v>20</v>
      </c>
      <c r="C48" t="s">
        <v>24</v>
      </c>
      <c r="D48" t="s">
        <v>97</v>
      </c>
      <c r="E48">
        <v>0</v>
      </c>
      <c r="F48">
        <v>0</v>
      </c>
      <c r="G48">
        <v>0</v>
      </c>
      <c r="H48">
        <v>1</v>
      </c>
    </row>
    <row r="49" spans="1:8" x14ac:dyDescent="0.3">
      <c r="A49" t="s">
        <v>19</v>
      </c>
      <c r="B49" t="s">
        <v>20</v>
      </c>
      <c r="C49" t="s">
        <v>24</v>
      </c>
      <c r="D49" t="s">
        <v>99</v>
      </c>
      <c r="E49">
        <v>1</v>
      </c>
      <c r="F49">
        <v>0</v>
      </c>
      <c r="G49">
        <v>0</v>
      </c>
      <c r="H49">
        <v>0</v>
      </c>
    </row>
    <row r="50" spans="1:8" x14ac:dyDescent="0.3">
      <c r="A50" t="s">
        <v>19</v>
      </c>
      <c r="B50" t="s">
        <v>20</v>
      </c>
      <c r="C50" t="s">
        <v>24</v>
      </c>
      <c r="D50" t="s">
        <v>101</v>
      </c>
      <c r="E50">
        <v>0</v>
      </c>
      <c r="F50">
        <v>0</v>
      </c>
      <c r="G50">
        <v>0</v>
      </c>
      <c r="H50">
        <v>1</v>
      </c>
    </row>
    <row r="51" spans="1:8" x14ac:dyDescent="0.3">
      <c r="A51" t="s">
        <v>19</v>
      </c>
      <c r="B51" t="s">
        <v>20</v>
      </c>
      <c r="C51" t="s">
        <v>24</v>
      </c>
      <c r="D51" t="s">
        <v>103</v>
      </c>
      <c r="E51">
        <v>0</v>
      </c>
      <c r="F51">
        <v>0</v>
      </c>
      <c r="G51">
        <v>0</v>
      </c>
      <c r="H51">
        <v>1</v>
      </c>
    </row>
    <row r="52" spans="1:8" x14ac:dyDescent="0.3">
      <c r="A52" t="s">
        <v>19</v>
      </c>
      <c r="B52" t="s">
        <v>20</v>
      </c>
      <c r="C52" t="s">
        <v>24</v>
      </c>
      <c r="D52" t="s">
        <v>105</v>
      </c>
      <c r="E52">
        <v>0</v>
      </c>
      <c r="F52">
        <v>0</v>
      </c>
      <c r="G52">
        <v>0</v>
      </c>
      <c r="H52">
        <v>1</v>
      </c>
    </row>
    <row r="53" spans="1:8" x14ac:dyDescent="0.3">
      <c r="A53" t="s">
        <v>19</v>
      </c>
      <c r="B53" t="s">
        <v>20</v>
      </c>
      <c r="C53" t="s">
        <v>24</v>
      </c>
      <c r="D53" t="s">
        <v>107</v>
      </c>
      <c r="E53">
        <v>0</v>
      </c>
      <c r="F53">
        <v>0</v>
      </c>
      <c r="G53">
        <v>0</v>
      </c>
      <c r="H53">
        <v>1</v>
      </c>
    </row>
    <row r="54" spans="1:8" x14ac:dyDescent="0.3">
      <c r="A54" t="s">
        <v>19</v>
      </c>
      <c r="B54" t="s">
        <v>20</v>
      </c>
      <c r="C54" t="s">
        <v>24</v>
      </c>
      <c r="D54" t="s">
        <v>109</v>
      </c>
      <c r="E54">
        <v>0</v>
      </c>
      <c r="F54">
        <v>0</v>
      </c>
      <c r="G54">
        <v>0</v>
      </c>
      <c r="H54">
        <v>1</v>
      </c>
    </row>
    <row r="55" spans="1:8" x14ac:dyDescent="0.3">
      <c r="A55" t="s">
        <v>19</v>
      </c>
      <c r="B55" t="s">
        <v>20</v>
      </c>
      <c r="C55" t="s">
        <v>24</v>
      </c>
      <c r="D55" t="s">
        <v>111</v>
      </c>
      <c r="E55">
        <v>0</v>
      </c>
      <c r="F55">
        <v>0</v>
      </c>
      <c r="G55">
        <v>0</v>
      </c>
      <c r="H55">
        <v>1</v>
      </c>
    </row>
    <row r="56" spans="1:8" x14ac:dyDescent="0.3">
      <c r="A56" t="s">
        <v>19</v>
      </c>
      <c r="B56" t="s">
        <v>20</v>
      </c>
      <c r="C56" t="s">
        <v>25</v>
      </c>
      <c r="D56" t="s">
        <v>77</v>
      </c>
      <c r="E56">
        <v>1</v>
      </c>
      <c r="F56">
        <v>1</v>
      </c>
      <c r="G56">
        <v>1</v>
      </c>
      <c r="H56">
        <v>1</v>
      </c>
    </row>
    <row r="57" spans="1:8" x14ac:dyDescent="0.3">
      <c r="A57" t="s">
        <v>19</v>
      </c>
      <c r="B57" t="s">
        <v>20</v>
      </c>
      <c r="C57" t="s">
        <v>25</v>
      </c>
      <c r="D57" t="s">
        <v>79</v>
      </c>
      <c r="E57">
        <v>0</v>
      </c>
      <c r="F57">
        <v>0</v>
      </c>
      <c r="G57">
        <v>0</v>
      </c>
      <c r="H57">
        <v>1</v>
      </c>
    </row>
    <row r="58" spans="1:8" x14ac:dyDescent="0.3">
      <c r="A58" t="s">
        <v>19</v>
      </c>
      <c r="B58" t="s">
        <v>20</v>
      </c>
      <c r="C58" t="s">
        <v>25</v>
      </c>
      <c r="D58" t="s">
        <v>81</v>
      </c>
      <c r="E58">
        <v>0</v>
      </c>
      <c r="F58">
        <v>0</v>
      </c>
      <c r="G58">
        <v>0</v>
      </c>
      <c r="H58">
        <v>1</v>
      </c>
    </row>
    <row r="59" spans="1:8" x14ac:dyDescent="0.3">
      <c r="A59" t="s">
        <v>19</v>
      </c>
      <c r="B59" t="s">
        <v>20</v>
      </c>
      <c r="C59" t="s">
        <v>25</v>
      </c>
      <c r="D59" t="s">
        <v>83</v>
      </c>
      <c r="E59">
        <v>0</v>
      </c>
      <c r="F59">
        <v>0</v>
      </c>
      <c r="G59">
        <v>0</v>
      </c>
      <c r="H59">
        <v>1</v>
      </c>
    </row>
    <row r="60" spans="1:8" x14ac:dyDescent="0.3">
      <c r="A60" t="s">
        <v>19</v>
      </c>
      <c r="B60" t="s">
        <v>20</v>
      </c>
      <c r="C60" t="s">
        <v>25</v>
      </c>
      <c r="D60" t="s">
        <v>85</v>
      </c>
      <c r="E60">
        <v>0</v>
      </c>
      <c r="F60">
        <v>0</v>
      </c>
      <c r="G60">
        <v>0</v>
      </c>
      <c r="H60">
        <v>1</v>
      </c>
    </row>
    <row r="61" spans="1:8" x14ac:dyDescent="0.3">
      <c r="A61" t="s">
        <v>19</v>
      </c>
      <c r="B61" t="s">
        <v>20</v>
      </c>
      <c r="C61" t="s">
        <v>25</v>
      </c>
      <c r="D61" t="s">
        <v>87</v>
      </c>
      <c r="E61">
        <v>0</v>
      </c>
      <c r="F61">
        <v>0</v>
      </c>
      <c r="G61">
        <v>0</v>
      </c>
      <c r="H61">
        <v>1</v>
      </c>
    </row>
    <row r="62" spans="1:8" x14ac:dyDescent="0.3">
      <c r="A62" t="s">
        <v>19</v>
      </c>
      <c r="B62" t="s">
        <v>20</v>
      </c>
      <c r="C62" t="s">
        <v>25</v>
      </c>
      <c r="D62" t="s">
        <v>89</v>
      </c>
      <c r="E62">
        <v>0</v>
      </c>
      <c r="F62">
        <v>0</v>
      </c>
      <c r="G62">
        <v>0</v>
      </c>
      <c r="H62">
        <v>1</v>
      </c>
    </row>
    <row r="63" spans="1:8" x14ac:dyDescent="0.3">
      <c r="A63" t="s">
        <v>19</v>
      </c>
      <c r="B63" t="s">
        <v>20</v>
      </c>
      <c r="C63" t="s">
        <v>25</v>
      </c>
      <c r="D63" t="s">
        <v>91</v>
      </c>
      <c r="E63">
        <v>0</v>
      </c>
      <c r="F63">
        <v>0</v>
      </c>
      <c r="G63">
        <v>0</v>
      </c>
      <c r="H63">
        <v>1</v>
      </c>
    </row>
    <row r="64" spans="1:8" x14ac:dyDescent="0.3">
      <c r="A64" t="s">
        <v>19</v>
      </c>
      <c r="B64" t="s">
        <v>20</v>
      </c>
      <c r="C64" t="s">
        <v>25</v>
      </c>
      <c r="D64" t="s">
        <v>93</v>
      </c>
      <c r="E64">
        <v>0</v>
      </c>
      <c r="F64">
        <v>0</v>
      </c>
      <c r="G64">
        <v>0</v>
      </c>
      <c r="H64">
        <v>1</v>
      </c>
    </row>
    <row r="65" spans="1:8" x14ac:dyDescent="0.3">
      <c r="A65" t="s">
        <v>19</v>
      </c>
      <c r="B65" t="s">
        <v>20</v>
      </c>
      <c r="C65" t="s">
        <v>25</v>
      </c>
      <c r="D65" t="s">
        <v>95</v>
      </c>
      <c r="E65">
        <v>0</v>
      </c>
      <c r="F65">
        <v>0</v>
      </c>
      <c r="G65">
        <v>0</v>
      </c>
      <c r="H65">
        <v>1</v>
      </c>
    </row>
    <row r="66" spans="1:8" x14ac:dyDescent="0.3">
      <c r="A66" t="s">
        <v>19</v>
      </c>
      <c r="B66" t="s">
        <v>20</v>
      </c>
      <c r="C66" t="s">
        <v>25</v>
      </c>
      <c r="D66" t="s">
        <v>97</v>
      </c>
      <c r="E66">
        <v>0</v>
      </c>
      <c r="F66">
        <v>0</v>
      </c>
      <c r="G66">
        <v>0</v>
      </c>
      <c r="H66">
        <v>1</v>
      </c>
    </row>
    <row r="67" spans="1:8" x14ac:dyDescent="0.3">
      <c r="A67" t="s">
        <v>19</v>
      </c>
      <c r="B67" t="s">
        <v>20</v>
      </c>
      <c r="C67" t="s">
        <v>25</v>
      </c>
      <c r="D67" t="s">
        <v>99</v>
      </c>
      <c r="E67">
        <v>0</v>
      </c>
      <c r="F67">
        <v>0</v>
      </c>
      <c r="G67">
        <v>0</v>
      </c>
      <c r="H67">
        <v>1</v>
      </c>
    </row>
    <row r="68" spans="1:8" x14ac:dyDescent="0.3">
      <c r="A68" t="s">
        <v>19</v>
      </c>
      <c r="B68" t="s">
        <v>20</v>
      </c>
      <c r="C68" t="s">
        <v>25</v>
      </c>
      <c r="D68" t="s">
        <v>101</v>
      </c>
      <c r="E68">
        <v>0</v>
      </c>
      <c r="F68">
        <v>0</v>
      </c>
      <c r="G68">
        <v>0</v>
      </c>
      <c r="H68">
        <v>1</v>
      </c>
    </row>
    <row r="69" spans="1:8" x14ac:dyDescent="0.3">
      <c r="A69" t="s">
        <v>19</v>
      </c>
      <c r="B69" t="s">
        <v>20</v>
      </c>
      <c r="C69" t="s">
        <v>25</v>
      </c>
      <c r="D69" t="s">
        <v>103</v>
      </c>
      <c r="E69">
        <v>0</v>
      </c>
      <c r="F69">
        <v>0</v>
      </c>
      <c r="G69">
        <v>0</v>
      </c>
      <c r="H69">
        <v>1</v>
      </c>
    </row>
    <row r="70" spans="1:8" x14ac:dyDescent="0.3">
      <c r="A70" t="s">
        <v>19</v>
      </c>
      <c r="B70" t="s">
        <v>20</v>
      </c>
      <c r="C70" t="s">
        <v>25</v>
      </c>
      <c r="D70" t="s">
        <v>105</v>
      </c>
      <c r="E70">
        <v>0</v>
      </c>
      <c r="F70">
        <v>0</v>
      </c>
      <c r="G70">
        <v>0</v>
      </c>
      <c r="H70">
        <v>1</v>
      </c>
    </row>
    <row r="71" spans="1:8" x14ac:dyDescent="0.3">
      <c r="A71" t="s">
        <v>19</v>
      </c>
      <c r="B71" t="s">
        <v>20</v>
      </c>
      <c r="C71" t="s">
        <v>25</v>
      </c>
      <c r="D71" t="s">
        <v>107</v>
      </c>
      <c r="E71">
        <v>0</v>
      </c>
      <c r="F71">
        <v>0</v>
      </c>
      <c r="G71">
        <v>0</v>
      </c>
      <c r="H71">
        <v>1</v>
      </c>
    </row>
    <row r="72" spans="1:8" x14ac:dyDescent="0.3">
      <c r="A72" t="s">
        <v>19</v>
      </c>
      <c r="B72" t="s">
        <v>20</v>
      </c>
      <c r="C72" t="s">
        <v>25</v>
      </c>
      <c r="D72" t="s">
        <v>111</v>
      </c>
      <c r="E72">
        <v>0</v>
      </c>
      <c r="F72">
        <v>0</v>
      </c>
      <c r="G72">
        <v>0</v>
      </c>
      <c r="H72">
        <v>1</v>
      </c>
    </row>
    <row r="73" spans="1:8" x14ac:dyDescent="0.3">
      <c r="A73" t="s">
        <v>26</v>
      </c>
      <c r="B73" t="s">
        <v>27</v>
      </c>
      <c r="C73" t="s">
        <v>21</v>
      </c>
      <c r="D73" t="s">
        <v>77</v>
      </c>
      <c r="E73">
        <v>0</v>
      </c>
      <c r="F73">
        <v>0</v>
      </c>
      <c r="G73">
        <v>0</v>
      </c>
      <c r="H73">
        <v>1</v>
      </c>
    </row>
    <row r="74" spans="1:8" x14ac:dyDescent="0.3">
      <c r="A74" t="s">
        <v>26</v>
      </c>
      <c r="B74" t="s">
        <v>27</v>
      </c>
      <c r="C74" t="s">
        <v>21</v>
      </c>
      <c r="D74" t="s">
        <v>79</v>
      </c>
      <c r="E74">
        <v>0</v>
      </c>
      <c r="F74">
        <v>0</v>
      </c>
      <c r="G74">
        <v>0</v>
      </c>
      <c r="H74">
        <v>1</v>
      </c>
    </row>
    <row r="75" spans="1:8" x14ac:dyDescent="0.3">
      <c r="A75" t="s">
        <v>26</v>
      </c>
      <c r="B75" t="s">
        <v>27</v>
      </c>
      <c r="C75" t="s">
        <v>21</v>
      </c>
      <c r="D75" t="s">
        <v>81</v>
      </c>
      <c r="E75">
        <v>1</v>
      </c>
      <c r="F75">
        <v>1</v>
      </c>
      <c r="G75">
        <v>1</v>
      </c>
      <c r="H75">
        <v>1</v>
      </c>
    </row>
    <row r="76" spans="1:8" x14ac:dyDescent="0.3">
      <c r="A76" t="s">
        <v>26</v>
      </c>
      <c r="B76" t="s">
        <v>27</v>
      </c>
      <c r="C76" t="s">
        <v>21</v>
      </c>
      <c r="D76" t="s">
        <v>83</v>
      </c>
      <c r="E76">
        <v>0</v>
      </c>
      <c r="F76">
        <v>0</v>
      </c>
      <c r="G76">
        <v>0</v>
      </c>
      <c r="H76">
        <v>1</v>
      </c>
    </row>
    <row r="77" spans="1:8" x14ac:dyDescent="0.3">
      <c r="A77" t="s">
        <v>26</v>
      </c>
      <c r="B77" t="s">
        <v>27</v>
      </c>
      <c r="C77" t="s">
        <v>21</v>
      </c>
      <c r="D77" t="s">
        <v>85</v>
      </c>
      <c r="E77">
        <v>0</v>
      </c>
      <c r="F77">
        <v>0</v>
      </c>
      <c r="G77">
        <v>0</v>
      </c>
      <c r="H77">
        <v>1</v>
      </c>
    </row>
    <row r="78" spans="1:8" x14ac:dyDescent="0.3">
      <c r="A78" t="s">
        <v>26</v>
      </c>
      <c r="B78" t="s">
        <v>27</v>
      </c>
      <c r="C78" t="s">
        <v>21</v>
      </c>
      <c r="D78" t="s">
        <v>87</v>
      </c>
      <c r="E78">
        <v>0</v>
      </c>
      <c r="F78">
        <v>0</v>
      </c>
      <c r="G78">
        <v>0</v>
      </c>
      <c r="H78">
        <v>1</v>
      </c>
    </row>
    <row r="79" spans="1:8" x14ac:dyDescent="0.3">
      <c r="A79" t="s">
        <v>26</v>
      </c>
      <c r="B79" t="s">
        <v>27</v>
      </c>
      <c r="C79" t="s">
        <v>21</v>
      </c>
      <c r="D79" t="s">
        <v>89</v>
      </c>
      <c r="E79">
        <v>0</v>
      </c>
      <c r="F79">
        <v>0</v>
      </c>
      <c r="G79">
        <v>0</v>
      </c>
      <c r="H79">
        <v>1</v>
      </c>
    </row>
    <row r="80" spans="1:8" x14ac:dyDescent="0.3">
      <c r="A80" t="s">
        <v>26</v>
      </c>
      <c r="B80" t="s">
        <v>27</v>
      </c>
      <c r="C80" t="s">
        <v>21</v>
      </c>
      <c r="D80" t="s">
        <v>91</v>
      </c>
      <c r="E80">
        <v>0</v>
      </c>
      <c r="F80">
        <v>0</v>
      </c>
      <c r="G80">
        <v>0</v>
      </c>
      <c r="H80">
        <v>1</v>
      </c>
    </row>
    <row r="81" spans="1:8" x14ac:dyDescent="0.3">
      <c r="A81" t="s">
        <v>26</v>
      </c>
      <c r="B81" t="s">
        <v>27</v>
      </c>
      <c r="C81" t="s">
        <v>21</v>
      </c>
      <c r="D81" t="s">
        <v>93</v>
      </c>
      <c r="E81">
        <v>0</v>
      </c>
      <c r="F81">
        <v>0</v>
      </c>
      <c r="G81">
        <v>0</v>
      </c>
      <c r="H81">
        <v>1</v>
      </c>
    </row>
    <row r="82" spans="1:8" x14ac:dyDescent="0.3">
      <c r="A82" t="s">
        <v>26</v>
      </c>
      <c r="B82" t="s">
        <v>27</v>
      </c>
      <c r="C82" t="s">
        <v>21</v>
      </c>
      <c r="D82" t="s">
        <v>95</v>
      </c>
      <c r="E82">
        <v>0</v>
      </c>
      <c r="F82">
        <v>0</v>
      </c>
      <c r="G82">
        <v>0</v>
      </c>
      <c r="H82">
        <v>1</v>
      </c>
    </row>
    <row r="83" spans="1:8" x14ac:dyDescent="0.3">
      <c r="A83" t="s">
        <v>26</v>
      </c>
      <c r="B83" t="s">
        <v>27</v>
      </c>
      <c r="C83" t="s">
        <v>21</v>
      </c>
      <c r="D83" t="s">
        <v>97</v>
      </c>
      <c r="E83">
        <v>0</v>
      </c>
      <c r="F83">
        <v>0</v>
      </c>
      <c r="G83">
        <v>0</v>
      </c>
      <c r="H83">
        <v>1</v>
      </c>
    </row>
    <row r="84" spans="1:8" x14ac:dyDescent="0.3">
      <c r="A84" t="s">
        <v>26</v>
      </c>
      <c r="B84" t="s">
        <v>27</v>
      </c>
      <c r="C84" t="s">
        <v>21</v>
      </c>
      <c r="D84" t="s">
        <v>99</v>
      </c>
      <c r="E84">
        <v>0</v>
      </c>
      <c r="F84">
        <v>0</v>
      </c>
      <c r="G84">
        <v>0</v>
      </c>
      <c r="H84">
        <v>1</v>
      </c>
    </row>
    <row r="85" spans="1:8" x14ac:dyDescent="0.3">
      <c r="A85" t="s">
        <v>26</v>
      </c>
      <c r="B85" t="s">
        <v>27</v>
      </c>
      <c r="C85" t="s">
        <v>21</v>
      </c>
      <c r="D85" t="s">
        <v>101</v>
      </c>
      <c r="E85">
        <v>0</v>
      </c>
      <c r="F85">
        <v>0</v>
      </c>
      <c r="G85">
        <v>0</v>
      </c>
      <c r="H85">
        <v>1</v>
      </c>
    </row>
    <row r="86" spans="1:8" x14ac:dyDescent="0.3">
      <c r="A86" t="s">
        <v>26</v>
      </c>
      <c r="B86" t="s">
        <v>27</v>
      </c>
      <c r="C86" t="s">
        <v>21</v>
      </c>
      <c r="D86" t="s">
        <v>103</v>
      </c>
      <c r="E86">
        <v>0</v>
      </c>
      <c r="F86">
        <v>0</v>
      </c>
      <c r="G86">
        <v>0</v>
      </c>
      <c r="H86">
        <v>1</v>
      </c>
    </row>
    <row r="87" spans="1:8" x14ac:dyDescent="0.3">
      <c r="A87" t="s">
        <v>26</v>
      </c>
      <c r="B87" t="s">
        <v>27</v>
      </c>
      <c r="C87" t="s">
        <v>21</v>
      </c>
      <c r="D87" t="s">
        <v>105</v>
      </c>
      <c r="E87">
        <v>0</v>
      </c>
      <c r="F87">
        <v>0</v>
      </c>
      <c r="G87">
        <v>0</v>
      </c>
      <c r="H87">
        <v>1</v>
      </c>
    </row>
    <row r="88" spans="1:8" x14ac:dyDescent="0.3">
      <c r="A88" t="s">
        <v>26</v>
      </c>
      <c r="B88" t="s">
        <v>27</v>
      </c>
      <c r="C88" t="s">
        <v>21</v>
      </c>
      <c r="D88" t="s">
        <v>107</v>
      </c>
      <c r="E88">
        <v>0</v>
      </c>
      <c r="F88">
        <v>0</v>
      </c>
      <c r="G88">
        <v>0</v>
      </c>
      <c r="H88">
        <v>1</v>
      </c>
    </row>
    <row r="89" spans="1:8" x14ac:dyDescent="0.3">
      <c r="A89" t="s">
        <v>26</v>
      </c>
      <c r="B89" t="s">
        <v>27</v>
      </c>
      <c r="C89" t="s">
        <v>21</v>
      </c>
      <c r="D89" t="s">
        <v>109</v>
      </c>
      <c r="E89">
        <v>0</v>
      </c>
      <c r="F89">
        <v>0</v>
      </c>
      <c r="G89">
        <v>0</v>
      </c>
      <c r="H89">
        <v>1</v>
      </c>
    </row>
    <row r="90" spans="1:8" x14ac:dyDescent="0.3">
      <c r="A90" t="s">
        <v>26</v>
      </c>
      <c r="B90" t="s">
        <v>27</v>
      </c>
      <c r="C90" t="s">
        <v>21</v>
      </c>
      <c r="D90" t="s">
        <v>111</v>
      </c>
      <c r="E90">
        <v>0</v>
      </c>
      <c r="F90">
        <v>0</v>
      </c>
      <c r="G90">
        <v>0</v>
      </c>
      <c r="H90">
        <v>1</v>
      </c>
    </row>
    <row r="91" spans="1:8" x14ac:dyDescent="0.3">
      <c r="A91" t="s">
        <v>26</v>
      </c>
      <c r="B91" t="s">
        <v>27</v>
      </c>
      <c r="C91" t="s">
        <v>23</v>
      </c>
      <c r="D91" t="s">
        <v>77</v>
      </c>
      <c r="E91">
        <v>0</v>
      </c>
      <c r="F91">
        <v>0</v>
      </c>
      <c r="G91">
        <v>0</v>
      </c>
      <c r="H91">
        <v>1</v>
      </c>
    </row>
    <row r="92" spans="1:8" x14ac:dyDescent="0.3">
      <c r="A92" t="s">
        <v>26</v>
      </c>
      <c r="B92" t="s">
        <v>27</v>
      </c>
      <c r="C92" t="s">
        <v>23</v>
      </c>
      <c r="D92" t="s">
        <v>79</v>
      </c>
      <c r="E92">
        <v>1</v>
      </c>
      <c r="F92">
        <v>1</v>
      </c>
      <c r="G92">
        <v>1</v>
      </c>
      <c r="H92">
        <v>1</v>
      </c>
    </row>
    <row r="93" spans="1:8" x14ac:dyDescent="0.3">
      <c r="A93" t="s">
        <v>26</v>
      </c>
      <c r="B93" t="s">
        <v>27</v>
      </c>
      <c r="C93" t="s">
        <v>23</v>
      </c>
      <c r="D93" t="s">
        <v>81</v>
      </c>
      <c r="E93">
        <v>0</v>
      </c>
      <c r="F93">
        <v>0</v>
      </c>
      <c r="G93">
        <v>0</v>
      </c>
      <c r="H93">
        <v>1</v>
      </c>
    </row>
    <row r="94" spans="1:8" x14ac:dyDescent="0.3">
      <c r="A94" t="s">
        <v>26</v>
      </c>
      <c r="B94" t="s">
        <v>27</v>
      </c>
      <c r="C94" t="s">
        <v>23</v>
      </c>
      <c r="D94" t="s">
        <v>83</v>
      </c>
      <c r="E94">
        <v>0</v>
      </c>
      <c r="F94">
        <v>0</v>
      </c>
      <c r="G94">
        <v>0</v>
      </c>
      <c r="H94">
        <v>1</v>
      </c>
    </row>
    <row r="95" spans="1:8" x14ac:dyDescent="0.3">
      <c r="A95" t="s">
        <v>26</v>
      </c>
      <c r="B95" t="s">
        <v>27</v>
      </c>
      <c r="C95" t="s">
        <v>23</v>
      </c>
      <c r="D95" t="s">
        <v>85</v>
      </c>
      <c r="E95">
        <v>0</v>
      </c>
      <c r="F95">
        <v>0</v>
      </c>
      <c r="G95">
        <v>0</v>
      </c>
      <c r="H95">
        <v>1</v>
      </c>
    </row>
    <row r="96" spans="1:8" x14ac:dyDescent="0.3">
      <c r="A96" t="s">
        <v>26</v>
      </c>
      <c r="B96" t="s">
        <v>27</v>
      </c>
      <c r="C96" t="s">
        <v>23</v>
      </c>
      <c r="D96" t="s">
        <v>87</v>
      </c>
      <c r="E96">
        <v>0</v>
      </c>
      <c r="F96">
        <v>0</v>
      </c>
      <c r="G96">
        <v>0</v>
      </c>
      <c r="H96">
        <v>1</v>
      </c>
    </row>
    <row r="97" spans="1:8" x14ac:dyDescent="0.3">
      <c r="A97" t="s">
        <v>26</v>
      </c>
      <c r="B97" t="s">
        <v>27</v>
      </c>
      <c r="C97" t="s">
        <v>23</v>
      </c>
      <c r="D97" t="s">
        <v>89</v>
      </c>
      <c r="E97">
        <v>0</v>
      </c>
      <c r="F97">
        <v>0</v>
      </c>
      <c r="G97">
        <v>0</v>
      </c>
      <c r="H97">
        <v>1</v>
      </c>
    </row>
    <row r="98" spans="1:8" x14ac:dyDescent="0.3">
      <c r="A98" t="s">
        <v>26</v>
      </c>
      <c r="B98" t="s">
        <v>27</v>
      </c>
      <c r="C98" t="s">
        <v>23</v>
      </c>
      <c r="D98" t="s">
        <v>91</v>
      </c>
      <c r="E98">
        <v>0</v>
      </c>
      <c r="F98">
        <v>0</v>
      </c>
      <c r="G98">
        <v>0</v>
      </c>
      <c r="H98">
        <v>1</v>
      </c>
    </row>
    <row r="99" spans="1:8" x14ac:dyDescent="0.3">
      <c r="A99" t="s">
        <v>26</v>
      </c>
      <c r="B99" t="s">
        <v>27</v>
      </c>
      <c r="C99" t="s">
        <v>23</v>
      </c>
      <c r="D99" t="s">
        <v>93</v>
      </c>
      <c r="E99">
        <v>0</v>
      </c>
      <c r="F99">
        <v>0</v>
      </c>
      <c r="G99">
        <v>0</v>
      </c>
      <c r="H99">
        <v>1</v>
      </c>
    </row>
    <row r="100" spans="1:8" x14ac:dyDescent="0.3">
      <c r="A100" t="s">
        <v>26</v>
      </c>
      <c r="B100" t="s">
        <v>27</v>
      </c>
      <c r="C100" t="s">
        <v>23</v>
      </c>
      <c r="D100" t="s">
        <v>95</v>
      </c>
      <c r="E100">
        <v>0</v>
      </c>
      <c r="F100">
        <v>0</v>
      </c>
      <c r="G100">
        <v>0</v>
      </c>
      <c r="H100">
        <v>1</v>
      </c>
    </row>
    <row r="101" spans="1:8" x14ac:dyDescent="0.3">
      <c r="A101" t="s">
        <v>26</v>
      </c>
      <c r="B101" t="s">
        <v>27</v>
      </c>
      <c r="C101" t="s">
        <v>23</v>
      </c>
      <c r="D101" t="s">
        <v>97</v>
      </c>
      <c r="E101">
        <v>0</v>
      </c>
      <c r="F101">
        <v>0</v>
      </c>
      <c r="G101">
        <v>0</v>
      </c>
      <c r="H101">
        <v>1</v>
      </c>
    </row>
    <row r="102" spans="1:8" x14ac:dyDescent="0.3">
      <c r="A102" t="s">
        <v>26</v>
      </c>
      <c r="B102" t="s">
        <v>27</v>
      </c>
      <c r="C102" t="s">
        <v>23</v>
      </c>
      <c r="D102" t="s">
        <v>99</v>
      </c>
      <c r="E102">
        <v>0</v>
      </c>
      <c r="F102">
        <v>0</v>
      </c>
      <c r="G102">
        <v>0</v>
      </c>
      <c r="H102">
        <v>1</v>
      </c>
    </row>
    <row r="103" spans="1:8" x14ac:dyDescent="0.3">
      <c r="A103" t="s">
        <v>26</v>
      </c>
      <c r="B103" t="s">
        <v>27</v>
      </c>
      <c r="C103" t="s">
        <v>23</v>
      </c>
      <c r="D103" t="s">
        <v>101</v>
      </c>
      <c r="E103">
        <v>0</v>
      </c>
      <c r="F103">
        <v>0</v>
      </c>
      <c r="G103">
        <v>0</v>
      </c>
      <c r="H103">
        <v>1</v>
      </c>
    </row>
    <row r="104" spans="1:8" x14ac:dyDescent="0.3">
      <c r="A104" t="s">
        <v>26</v>
      </c>
      <c r="B104" t="s">
        <v>27</v>
      </c>
      <c r="C104" t="s">
        <v>23</v>
      </c>
      <c r="D104" t="s">
        <v>103</v>
      </c>
      <c r="E104">
        <v>0</v>
      </c>
      <c r="F104">
        <v>0</v>
      </c>
      <c r="G104">
        <v>0</v>
      </c>
      <c r="H104">
        <v>1</v>
      </c>
    </row>
    <row r="105" spans="1:8" x14ac:dyDescent="0.3">
      <c r="A105" t="s">
        <v>26</v>
      </c>
      <c r="B105" t="s">
        <v>27</v>
      </c>
      <c r="C105" t="s">
        <v>23</v>
      </c>
      <c r="D105" t="s">
        <v>105</v>
      </c>
      <c r="E105">
        <v>0</v>
      </c>
      <c r="F105">
        <v>0</v>
      </c>
      <c r="G105">
        <v>0</v>
      </c>
      <c r="H105">
        <v>1</v>
      </c>
    </row>
    <row r="106" spans="1:8" x14ac:dyDescent="0.3">
      <c r="A106" t="s">
        <v>26</v>
      </c>
      <c r="B106" t="s">
        <v>27</v>
      </c>
      <c r="C106" t="s">
        <v>23</v>
      </c>
      <c r="D106" t="s">
        <v>107</v>
      </c>
      <c r="E106">
        <v>0</v>
      </c>
      <c r="F106">
        <v>0</v>
      </c>
      <c r="G106">
        <v>0</v>
      </c>
      <c r="H106">
        <v>1</v>
      </c>
    </row>
    <row r="107" spans="1:8" x14ac:dyDescent="0.3">
      <c r="A107" t="s">
        <v>26</v>
      </c>
      <c r="B107" t="s">
        <v>27</v>
      </c>
      <c r="C107" t="s">
        <v>23</v>
      </c>
      <c r="D107" t="s">
        <v>109</v>
      </c>
      <c r="E107">
        <v>0</v>
      </c>
      <c r="F107">
        <v>0</v>
      </c>
      <c r="G107">
        <v>0</v>
      </c>
      <c r="H107">
        <v>1</v>
      </c>
    </row>
    <row r="108" spans="1:8" x14ac:dyDescent="0.3">
      <c r="A108" t="s">
        <v>26</v>
      </c>
      <c r="B108" t="s">
        <v>27</v>
      </c>
      <c r="C108" t="s">
        <v>23</v>
      </c>
      <c r="D108" t="s">
        <v>111</v>
      </c>
      <c r="E108">
        <v>0</v>
      </c>
      <c r="F108">
        <v>0</v>
      </c>
      <c r="G108">
        <v>0</v>
      </c>
      <c r="H108">
        <v>1</v>
      </c>
    </row>
    <row r="109" spans="1:8" x14ac:dyDescent="0.3">
      <c r="A109" t="s">
        <v>26</v>
      </c>
      <c r="B109" t="s">
        <v>27</v>
      </c>
      <c r="C109" t="s">
        <v>24</v>
      </c>
      <c r="D109" t="s">
        <v>77</v>
      </c>
      <c r="E109">
        <v>0</v>
      </c>
      <c r="F109">
        <v>0</v>
      </c>
      <c r="G109">
        <v>0</v>
      </c>
      <c r="H109">
        <v>1</v>
      </c>
    </row>
    <row r="110" spans="1:8" x14ac:dyDescent="0.3">
      <c r="A110" t="s">
        <v>26</v>
      </c>
      <c r="B110" t="s">
        <v>27</v>
      </c>
      <c r="C110" t="s">
        <v>24</v>
      </c>
      <c r="D110" t="s">
        <v>79</v>
      </c>
      <c r="E110">
        <v>0</v>
      </c>
      <c r="F110">
        <v>0</v>
      </c>
      <c r="G110">
        <v>0</v>
      </c>
      <c r="H110">
        <v>1</v>
      </c>
    </row>
    <row r="111" spans="1:8" x14ac:dyDescent="0.3">
      <c r="A111" t="s">
        <v>26</v>
      </c>
      <c r="B111" t="s">
        <v>27</v>
      </c>
      <c r="C111" t="s">
        <v>24</v>
      </c>
      <c r="D111" t="s">
        <v>81</v>
      </c>
      <c r="E111">
        <v>1</v>
      </c>
      <c r="F111">
        <v>1</v>
      </c>
      <c r="G111">
        <v>1</v>
      </c>
      <c r="H111">
        <v>1</v>
      </c>
    </row>
    <row r="112" spans="1:8" x14ac:dyDescent="0.3">
      <c r="A112" t="s">
        <v>26</v>
      </c>
      <c r="B112" t="s">
        <v>27</v>
      </c>
      <c r="C112" t="s">
        <v>24</v>
      </c>
      <c r="D112" t="s">
        <v>83</v>
      </c>
      <c r="E112">
        <v>1</v>
      </c>
      <c r="F112">
        <v>1</v>
      </c>
      <c r="G112">
        <v>1</v>
      </c>
      <c r="H112">
        <v>1</v>
      </c>
    </row>
    <row r="113" spans="1:8" x14ac:dyDescent="0.3">
      <c r="A113" t="s">
        <v>26</v>
      </c>
      <c r="B113" t="s">
        <v>27</v>
      </c>
      <c r="C113" t="s">
        <v>24</v>
      </c>
      <c r="D113" t="s">
        <v>85</v>
      </c>
      <c r="E113">
        <v>0</v>
      </c>
      <c r="F113">
        <v>0</v>
      </c>
      <c r="G113">
        <v>0</v>
      </c>
      <c r="H113">
        <v>1</v>
      </c>
    </row>
    <row r="114" spans="1:8" x14ac:dyDescent="0.3">
      <c r="A114" t="s">
        <v>26</v>
      </c>
      <c r="B114" t="s">
        <v>27</v>
      </c>
      <c r="C114" t="s">
        <v>24</v>
      </c>
      <c r="D114" t="s">
        <v>87</v>
      </c>
      <c r="E114">
        <v>0</v>
      </c>
      <c r="F114">
        <v>0</v>
      </c>
      <c r="G114">
        <v>0</v>
      </c>
      <c r="H114">
        <v>1</v>
      </c>
    </row>
    <row r="115" spans="1:8" x14ac:dyDescent="0.3">
      <c r="A115" t="s">
        <v>26</v>
      </c>
      <c r="B115" t="s">
        <v>27</v>
      </c>
      <c r="C115" t="s">
        <v>24</v>
      </c>
      <c r="D115" t="s">
        <v>89</v>
      </c>
      <c r="E115">
        <v>0</v>
      </c>
      <c r="F115">
        <v>0</v>
      </c>
      <c r="G115">
        <v>0</v>
      </c>
      <c r="H115">
        <v>1</v>
      </c>
    </row>
    <row r="116" spans="1:8" x14ac:dyDescent="0.3">
      <c r="A116" t="s">
        <v>26</v>
      </c>
      <c r="B116" t="s">
        <v>27</v>
      </c>
      <c r="C116" t="s">
        <v>24</v>
      </c>
      <c r="D116" t="s">
        <v>91</v>
      </c>
      <c r="E116">
        <v>0</v>
      </c>
      <c r="F116">
        <v>0</v>
      </c>
      <c r="G116">
        <v>0</v>
      </c>
      <c r="H116">
        <v>1</v>
      </c>
    </row>
    <row r="117" spans="1:8" x14ac:dyDescent="0.3">
      <c r="A117" t="s">
        <v>26</v>
      </c>
      <c r="B117" t="s">
        <v>27</v>
      </c>
      <c r="C117" t="s">
        <v>24</v>
      </c>
      <c r="D117" t="s">
        <v>93</v>
      </c>
      <c r="E117">
        <v>0</v>
      </c>
      <c r="F117">
        <v>0</v>
      </c>
      <c r="G117">
        <v>0</v>
      </c>
      <c r="H117">
        <v>1</v>
      </c>
    </row>
    <row r="118" spans="1:8" x14ac:dyDescent="0.3">
      <c r="A118" t="s">
        <v>26</v>
      </c>
      <c r="B118" t="s">
        <v>27</v>
      </c>
      <c r="C118" t="s">
        <v>24</v>
      </c>
      <c r="D118" t="s">
        <v>95</v>
      </c>
      <c r="E118">
        <v>0</v>
      </c>
      <c r="F118">
        <v>0</v>
      </c>
      <c r="G118">
        <v>0</v>
      </c>
      <c r="H118">
        <v>1</v>
      </c>
    </row>
    <row r="119" spans="1:8" x14ac:dyDescent="0.3">
      <c r="A119" t="s">
        <v>26</v>
      </c>
      <c r="B119" t="s">
        <v>27</v>
      </c>
      <c r="C119" t="s">
        <v>24</v>
      </c>
      <c r="D119" t="s">
        <v>97</v>
      </c>
      <c r="E119">
        <v>0</v>
      </c>
      <c r="F119">
        <v>0</v>
      </c>
      <c r="G119">
        <v>0</v>
      </c>
      <c r="H119">
        <v>1</v>
      </c>
    </row>
    <row r="120" spans="1:8" x14ac:dyDescent="0.3">
      <c r="A120" t="s">
        <v>26</v>
      </c>
      <c r="B120" t="s">
        <v>27</v>
      </c>
      <c r="C120" t="s">
        <v>24</v>
      </c>
      <c r="D120" t="s">
        <v>99</v>
      </c>
      <c r="E120">
        <v>0</v>
      </c>
      <c r="F120">
        <v>0</v>
      </c>
      <c r="G120">
        <v>0</v>
      </c>
      <c r="H120">
        <v>1</v>
      </c>
    </row>
    <row r="121" spans="1:8" x14ac:dyDescent="0.3">
      <c r="A121" t="s">
        <v>26</v>
      </c>
      <c r="B121" t="s">
        <v>27</v>
      </c>
      <c r="C121" t="s">
        <v>24</v>
      </c>
      <c r="D121" t="s">
        <v>101</v>
      </c>
      <c r="E121">
        <v>0</v>
      </c>
      <c r="F121">
        <v>0</v>
      </c>
      <c r="G121">
        <v>0</v>
      </c>
      <c r="H121">
        <v>1</v>
      </c>
    </row>
    <row r="122" spans="1:8" x14ac:dyDescent="0.3">
      <c r="A122" t="s">
        <v>26</v>
      </c>
      <c r="B122" t="s">
        <v>27</v>
      </c>
      <c r="C122" t="s">
        <v>24</v>
      </c>
      <c r="D122" t="s">
        <v>103</v>
      </c>
      <c r="E122">
        <v>0</v>
      </c>
      <c r="F122">
        <v>0</v>
      </c>
      <c r="G122">
        <v>0</v>
      </c>
      <c r="H122">
        <v>1</v>
      </c>
    </row>
    <row r="123" spans="1:8" x14ac:dyDescent="0.3">
      <c r="A123" t="s">
        <v>26</v>
      </c>
      <c r="B123" t="s">
        <v>27</v>
      </c>
      <c r="C123" t="s">
        <v>24</v>
      </c>
      <c r="D123" t="s">
        <v>105</v>
      </c>
      <c r="E123">
        <v>0</v>
      </c>
      <c r="F123">
        <v>0</v>
      </c>
      <c r="G123">
        <v>0</v>
      </c>
      <c r="H123">
        <v>1</v>
      </c>
    </row>
    <row r="124" spans="1:8" x14ac:dyDescent="0.3">
      <c r="A124" t="s">
        <v>26</v>
      </c>
      <c r="B124" t="s">
        <v>27</v>
      </c>
      <c r="C124" t="s">
        <v>24</v>
      </c>
      <c r="D124" t="s">
        <v>107</v>
      </c>
      <c r="E124">
        <v>0</v>
      </c>
      <c r="F124">
        <v>0</v>
      </c>
      <c r="G124">
        <v>0</v>
      </c>
      <c r="H124">
        <v>1</v>
      </c>
    </row>
    <row r="125" spans="1:8" x14ac:dyDescent="0.3">
      <c r="A125" t="s">
        <v>26</v>
      </c>
      <c r="B125" t="s">
        <v>27</v>
      </c>
      <c r="C125" t="s">
        <v>24</v>
      </c>
      <c r="D125" t="s">
        <v>109</v>
      </c>
      <c r="E125">
        <v>0</v>
      </c>
      <c r="F125">
        <v>0</v>
      </c>
      <c r="G125">
        <v>0</v>
      </c>
      <c r="H125">
        <v>1</v>
      </c>
    </row>
    <row r="126" spans="1:8" x14ac:dyDescent="0.3">
      <c r="A126" t="s">
        <v>26</v>
      </c>
      <c r="B126" t="s">
        <v>27</v>
      </c>
      <c r="C126" t="s">
        <v>24</v>
      </c>
      <c r="D126" t="s">
        <v>111</v>
      </c>
      <c r="E126">
        <v>0</v>
      </c>
      <c r="F126">
        <v>0</v>
      </c>
      <c r="G126">
        <v>0</v>
      </c>
      <c r="H126">
        <v>1</v>
      </c>
    </row>
    <row r="127" spans="1:8" x14ac:dyDescent="0.3">
      <c r="A127" t="s">
        <v>26</v>
      </c>
      <c r="B127" t="s">
        <v>27</v>
      </c>
      <c r="C127" t="s">
        <v>25</v>
      </c>
      <c r="D127" t="s">
        <v>77</v>
      </c>
      <c r="E127">
        <v>0</v>
      </c>
      <c r="F127">
        <v>0</v>
      </c>
      <c r="G127">
        <v>0</v>
      </c>
      <c r="H127">
        <v>1</v>
      </c>
    </row>
    <row r="128" spans="1:8" x14ac:dyDescent="0.3">
      <c r="A128" t="s">
        <v>26</v>
      </c>
      <c r="B128" t="s">
        <v>27</v>
      </c>
      <c r="C128" t="s">
        <v>25</v>
      </c>
      <c r="D128" t="s">
        <v>79</v>
      </c>
      <c r="E128">
        <v>0</v>
      </c>
      <c r="F128">
        <v>0</v>
      </c>
      <c r="G128">
        <v>0</v>
      </c>
      <c r="H128">
        <v>1</v>
      </c>
    </row>
    <row r="129" spans="1:8" x14ac:dyDescent="0.3">
      <c r="A129" t="s">
        <v>26</v>
      </c>
      <c r="B129" t="s">
        <v>27</v>
      </c>
      <c r="C129" t="s">
        <v>25</v>
      </c>
      <c r="D129" t="s">
        <v>81</v>
      </c>
      <c r="E129">
        <v>1</v>
      </c>
      <c r="F129">
        <v>1</v>
      </c>
      <c r="G129">
        <v>1</v>
      </c>
      <c r="H129">
        <v>1</v>
      </c>
    </row>
    <row r="130" spans="1:8" x14ac:dyDescent="0.3">
      <c r="A130" t="s">
        <v>26</v>
      </c>
      <c r="B130" t="s">
        <v>27</v>
      </c>
      <c r="C130" t="s">
        <v>25</v>
      </c>
      <c r="D130" t="s">
        <v>83</v>
      </c>
      <c r="E130">
        <v>0</v>
      </c>
      <c r="F130">
        <v>0</v>
      </c>
      <c r="G130">
        <v>0</v>
      </c>
      <c r="H130">
        <v>1</v>
      </c>
    </row>
    <row r="131" spans="1:8" x14ac:dyDescent="0.3">
      <c r="A131" t="s">
        <v>26</v>
      </c>
      <c r="B131" t="s">
        <v>27</v>
      </c>
      <c r="C131" t="s">
        <v>25</v>
      </c>
      <c r="D131" t="s">
        <v>85</v>
      </c>
      <c r="E131">
        <v>0</v>
      </c>
      <c r="F131">
        <v>0</v>
      </c>
      <c r="G131">
        <v>0</v>
      </c>
      <c r="H131">
        <v>1</v>
      </c>
    </row>
    <row r="132" spans="1:8" x14ac:dyDescent="0.3">
      <c r="A132" t="s">
        <v>26</v>
      </c>
      <c r="B132" t="s">
        <v>27</v>
      </c>
      <c r="C132" t="s">
        <v>25</v>
      </c>
      <c r="D132" t="s">
        <v>87</v>
      </c>
      <c r="E132">
        <v>0</v>
      </c>
      <c r="F132">
        <v>0</v>
      </c>
      <c r="G132">
        <v>0</v>
      </c>
      <c r="H132">
        <v>1</v>
      </c>
    </row>
    <row r="133" spans="1:8" x14ac:dyDescent="0.3">
      <c r="A133" t="s">
        <v>26</v>
      </c>
      <c r="B133" t="s">
        <v>27</v>
      </c>
      <c r="C133" t="s">
        <v>25</v>
      </c>
      <c r="D133" t="s">
        <v>89</v>
      </c>
      <c r="E133">
        <v>0</v>
      </c>
      <c r="F133">
        <v>0</v>
      </c>
      <c r="G133">
        <v>0</v>
      </c>
      <c r="H133">
        <v>1</v>
      </c>
    </row>
    <row r="134" spans="1:8" x14ac:dyDescent="0.3">
      <c r="A134" t="s">
        <v>26</v>
      </c>
      <c r="B134" t="s">
        <v>27</v>
      </c>
      <c r="C134" t="s">
        <v>25</v>
      </c>
      <c r="D134" t="s">
        <v>91</v>
      </c>
      <c r="E134">
        <v>0</v>
      </c>
      <c r="F134">
        <v>0</v>
      </c>
      <c r="G134">
        <v>0</v>
      </c>
      <c r="H134">
        <v>1</v>
      </c>
    </row>
    <row r="135" spans="1:8" x14ac:dyDescent="0.3">
      <c r="A135" t="s">
        <v>26</v>
      </c>
      <c r="B135" t="s">
        <v>27</v>
      </c>
      <c r="C135" t="s">
        <v>25</v>
      </c>
      <c r="D135" t="s">
        <v>93</v>
      </c>
      <c r="E135">
        <v>0</v>
      </c>
      <c r="F135">
        <v>0</v>
      </c>
      <c r="G135">
        <v>0</v>
      </c>
      <c r="H135">
        <v>1</v>
      </c>
    </row>
    <row r="136" spans="1:8" x14ac:dyDescent="0.3">
      <c r="A136" t="s">
        <v>26</v>
      </c>
      <c r="B136" t="s">
        <v>27</v>
      </c>
      <c r="C136" t="s">
        <v>25</v>
      </c>
      <c r="D136" t="s">
        <v>95</v>
      </c>
      <c r="E136">
        <v>0</v>
      </c>
      <c r="F136">
        <v>0</v>
      </c>
      <c r="G136">
        <v>0</v>
      </c>
      <c r="H136">
        <v>1</v>
      </c>
    </row>
    <row r="137" spans="1:8" x14ac:dyDescent="0.3">
      <c r="A137" t="s">
        <v>26</v>
      </c>
      <c r="B137" t="s">
        <v>27</v>
      </c>
      <c r="C137" t="s">
        <v>25</v>
      </c>
      <c r="D137" t="s">
        <v>97</v>
      </c>
      <c r="E137">
        <v>0</v>
      </c>
      <c r="F137">
        <v>0</v>
      </c>
      <c r="G137">
        <v>0</v>
      </c>
      <c r="H137">
        <v>1</v>
      </c>
    </row>
    <row r="138" spans="1:8" x14ac:dyDescent="0.3">
      <c r="A138" t="s">
        <v>26</v>
      </c>
      <c r="B138" t="s">
        <v>27</v>
      </c>
      <c r="C138" t="s">
        <v>25</v>
      </c>
      <c r="D138" t="s">
        <v>99</v>
      </c>
      <c r="E138">
        <v>0</v>
      </c>
      <c r="F138">
        <v>0</v>
      </c>
      <c r="G138">
        <v>0</v>
      </c>
      <c r="H138">
        <v>1</v>
      </c>
    </row>
    <row r="139" spans="1:8" x14ac:dyDescent="0.3">
      <c r="A139" t="s">
        <v>26</v>
      </c>
      <c r="B139" t="s">
        <v>27</v>
      </c>
      <c r="C139" t="s">
        <v>25</v>
      </c>
      <c r="D139" t="s">
        <v>101</v>
      </c>
      <c r="E139">
        <v>0</v>
      </c>
      <c r="F139">
        <v>0</v>
      </c>
      <c r="G139">
        <v>0</v>
      </c>
      <c r="H139">
        <v>1</v>
      </c>
    </row>
    <row r="140" spans="1:8" x14ac:dyDescent="0.3">
      <c r="A140" t="s">
        <v>26</v>
      </c>
      <c r="B140" t="s">
        <v>27</v>
      </c>
      <c r="C140" t="s">
        <v>25</v>
      </c>
      <c r="D140" t="s">
        <v>103</v>
      </c>
      <c r="E140">
        <v>0</v>
      </c>
      <c r="F140">
        <v>0</v>
      </c>
      <c r="G140">
        <v>0</v>
      </c>
      <c r="H140">
        <v>1</v>
      </c>
    </row>
    <row r="141" spans="1:8" x14ac:dyDescent="0.3">
      <c r="A141" t="s">
        <v>26</v>
      </c>
      <c r="B141" t="s">
        <v>27</v>
      </c>
      <c r="C141" t="s">
        <v>25</v>
      </c>
      <c r="D141" t="s">
        <v>105</v>
      </c>
      <c r="E141">
        <v>0</v>
      </c>
      <c r="F141">
        <v>0</v>
      </c>
      <c r="G141">
        <v>0</v>
      </c>
      <c r="H141">
        <v>1</v>
      </c>
    </row>
    <row r="142" spans="1:8" x14ac:dyDescent="0.3">
      <c r="A142" t="s">
        <v>26</v>
      </c>
      <c r="B142" t="s">
        <v>27</v>
      </c>
      <c r="C142" t="s">
        <v>25</v>
      </c>
      <c r="D142" t="s">
        <v>107</v>
      </c>
      <c r="E142">
        <v>0</v>
      </c>
      <c r="F142">
        <v>0</v>
      </c>
      <c r="G142">
        <v>0</v>
      </c>
      <c r="H142">
        <v>1</v>
      </c>
    </row>
    <row r="143" spans="1:8" x14ac:dyDescent="0.3">
      <c r="A143" t="s">
        <v>26</v>
      </c>
      <c r="B143" t="s">
        <v>27</v>
      </c>
      <c r="C143" t="s">
        <v>25</v>
      </c>
      <c r="D143" t="s">
        <v>111</v>
      </c>
      <c r="E143">
        <v>0</v>
      </c>
      <c r="F143">
        <v>0</v>
      </c>
      <c r="G143">
        <v>0</v>
      </c>
      <c r="H143">
        <v>1</v>
      </c>
    </row>
    <row r="144" spans="1:8" x14ac:dyDescent="0.3">
      <c r="A144" t="s">
        <v>28</v>
      </c>
      <c r="B144" t="s">
        <v>29</v>
      </c>
      <c r="C144" t="s">
        <v>21</v>
      </c>
      <c r="D144" t="s">
        <v>77</v>
      </c>
      <c r="E144">
        <v>0</v>
      </c>
      <c r="F144">
        <v>0</v>
      </c>
      <c r="G144">
        <v>0</v>
      </c>
      <c r="H144">
        <v>1</v>
      </c>
    </row>
    <row r="145" spans="1:8" x14ac:dyDescent="0.3">
      <c r="A145" t="s">
        <v>28</v>
      </c>
      <c r="B145" t="s">
        <v>29</v>
      </c>
      <c r="C145" t="s">
        <v>21</v>
      </c>
      <c r="D145" t="s">
        <v>79</v>
      </c>
      <c r="E145">
        <v>0</v>
      </c>
      <c r="F145">
        <v>0</v>
      </c>
      <c r="G145">
        <v>0</v>
      </c>
      <c r="H145">
        <v>1</v>
      </c>
    </row>
    <row r="146" spans="1:8" x14ac:dyDescent="0.3">
      <c r="A146" t="s">
        <v>28</v>
      </c>
      <c r="B146" t="s">
        <v>29</v>
      </c>
      <c r="C146" t="s">
        <v>21</v>
      </c>
      <c r="D146" t="s">
        <v>81</v>
      </c>
      <c r="E146">
        <v>1</v>
      </c>
      <c r="F146">
        <v>1</v>
      </c>
      <c r="G146">
        <v>1</v>
      </c>
      <c r="H146">
        <v>1</v>
      </c>
    </row>
    <row r="147" spans="1:8" x14ac:dyDescent="0.3">
      <c r="A147" t="s">
        <v>28</v>
      </c>
      <c r="B147" t="s">
        <v>29</v>
      </c>
      <c r="C147" t="s">
        <v>21</v>
      </c>
      <c r="D147" t="s">
        <v>83</v>
      </c>
      <c r="E147">
        <v>0</v>
      </c>
      <c r="F147">
        <v>0</v>
      </c>
      <c r="G147">
        <v>0</v>
      </c>
      <c r="H147">
        <v>1</v>
      </c>
    </row>
    <row r="148" spans="1:8" x14ac:dyDescent="0.3">
      <c r="A148" t="s">
        <v>28</v>
      </c>
      <c r="B148" t="s">
        <v>29</v>
      </c>
      <c r="C148" t="s">
        <v>21</v>
      </c>
      <c r="D148" t="s">
        <v>85</v>
      </c>
      <c r="E148">
        <v>0</v>
      </c>
      <c r="F148">
        <v>0</v>
      </c>
      <c r="G148">
        <v>0</v>
      </c>
      <c r="H148">
        <v>1</v>
      </c>
    </row>
    <row r="149" spans="1:8" x14ac:dyDescent="0.3">
      <c r="A149" t="s">
        <v>28</v>
      </c>
      <c r="B149" t="s">
        <v>29</v>
      </c>
      <c r="C149" t="s">
        <v>21</v>
      </c>
      <c r="D149" t="s">
        <v>87</v>
      </c>
      <c r="E149">
        <v>0</v>
      </c>
      <c r="F149">
        <v>0</v>
      </c>
      <c r="G149">
        <v>0</v>
      </c>
      <c r="H149">
        <v>1</v>
      </c>
    </row>
    <row r="150" spans="1:8" x14ac:dyDescent="0.3">
      <c r="A150" t="s">
        <v>28</v>
      </c>
      <c r="B150" t="s">
        <v>29</v>
      </c>
      <c r="C150" t="s">
        <v>21</v>
      </c>
      <c r="D150" t="s">
        <v>89</v>
      </c>
      <c r="E150">
        <v>0</v>
      </c>
      <c r="F150">
        <v>0</v>
      </c>
      <c r="G150">
        <v>0</v>
      </c>
      <c r="H150">
        <v>1</v>
      </c>
    </row>
    <row r="151" spans="1:8" x14ac:dyDescent="0.3">
      <c r="A151" t="s">
        <v>28</v>
      </c>
      <c r="B151" t="s">
        <v>29</v>
      </c>
      <c r="C151" t="s">
        <v>21</v>
      </c>
      <c r="D151" t="s">
        <v>91</v>
      </c>
      <c r="E151">
        <v>0</v>
      </c>
      <c r="F151">
        <v>0</v>
      </c>
      <c r="G151">
        <v>0</v>
      </c>
      <c r="H151">
        <v>1</v>
      </c>
    </row>
    <row r="152" spans="1:8" x14ac:dyDescent="0.3">
      <c r="A152" t="s">
        <v>28</v>
      </c>
      <c r="B152" t="s">
        <v>29</v>
      </c>
      <c r="C152" t="s">
        <v>21</v>
      </c>
      <c r="D152" t="s">
        <v>93</v>
      </c>
      <c r="E152">
        <v>0</v>
      </c>
      <c r="F152">
        <v>0</v>
      </c>
      <c r="G152">
        <v>0</v>
      </c>
      <c r="H152">
        <v>1</v>
      </c>
    </row>
    <row r="153" spans="1:8" x14ac:dyDescent="0.3">
      <c r="A153" t="s">
        <v>28</v>
      </c>
      <c r="B153" t="s">
        <v>29</v>
      </c>
      <c r="C153" t="s">
        <v>21</v>
      </c>
      <c r="D153" t="s">
        <v>95</v>
      </c>
      <c r="E153">
        <v>0</v>
      </c>
      <c r="F153">
        <v>0</v>
      </c>
      <c r="G153">
        <v>0</v>
      </c>
      <c r="H153">
        <v>1</v>
      </c>
    </row>
    <row r="154" spans="1:8" x14ac:dyDescent="0.3">
      <c r="A154" t="s">
        <v>28</v>
      </c>
      <c r="B154" t="s">
        <v>29</v>
      </c>
      <c r="C154" t="s">
        <v>21</v>
      </c>
      <c r="D154" t="s">
        <v>97</v>
      </c>
      <c r="E154">
        <v>0</v>
      </c>
      <c r="F154">
        <v>0</v>
      </c>
      <c r="G154">
        <v>0</v>
      </c>
      <c r="H154">
        <v>1</v>
      </c>
    </row>
    <row r="155" spans="1:8" x14ac:dyDescent="0.3">
      <c r="A155" t="s">
        <v>28</v>
      </c>
      <c r="B155" t="s">
        <v>29</v>
      </c>
      <c r="C155" t="s">
        <v>21</v>
      </c>
      <c r="D155" t="s">
        <v>99</v>
      </c>
      <c r="E155">
        <v>0</v>
      </c>
      <c r="F155">
        <v>0</v>
      </c>
      <c r="G155">
        <v>0</v>
      </c>
      <c r="H155">
        <v>1</v>
      </c>
    </row>
    <row r="156" spans="1:8" x14ac:dyDescent="0.3">
      <c r="A156" t="s">
        <v>28</v>
      </c>
      <c r="B156" t="s">
        <v>29</v>
      </c>
      <c r="C156" t="s">
        <v>21</v>
      </c>
      <c r="D156" t="s">
        <v>101</v>
      </c>
      <c r="E156">
        <v>0</v>
      </c>
      <c r="F156">
        <v>0</v>
      </c>
      <c r="G156">
        <v>0</v>
      </c>
      <c r="H156">
        <v>1</v>
      </c>
    </row>
    <row r="157" spans="1:8" x14ac:dyDescent="0.3">
      <c r="A157" t="s">
        <v>28</v>
      </c>
      <c r="B157" t="s">
        <v>29</v>
      </c>
      <c r="C157" t="s">
        <v>21</v>
      </c>
      <c r="D157" t="s">
        <v>103</v>
      </c>
      <c r="E157">
        <v>0</v>
      </c>
      <c r="F157">
        <v>0</v>
      </c>
      <c r="G157">
        <v>0</v>
      </c>
      <c r="H157">
        <v>1</v>
      </c>
    </row>
    <row r="158" spans="1:8" x14ac:dyDescent="0.3">
      <c r="A158" t="s">
        <v>28</v>
      </c>
      <c r="B158" t="s">
        <v>29</v>
      </c>
      <c r="C158" t="s">
        <v>21</v>
      </c>
      <c r="D158" t="s">
        <v>105</v>
      </c>
      <c r="E158">
        <v>0</v>
      </c>
      <c r="F158">
        <v>0</v>
      </c>
      <c r="G158">
        <v>0</v>
      </c>
      <c r="H158">
        <v>1</v>
      </c>
    </row>
    <row r="159" spans="1:8" x14ac:dyDescent="0.3">
      <c r="A159" t="s">
        <v>28</v>
      </c>
      <c r="B159" t="s">
        <v>29</v>
      </c>
      <c r="C159" t="s">
        <v>21</v>
      </c>
      <c r="D159" t="s">
        <v>107</v>
      </c>
      <c r="E159">
        <v>0</v>
      </c>
      <c r="F159">
        <v>0</v>
      </c>
      <c r="G159">
        <v>0</v>
      </c>
      <c r="H159">
        <v>1</v>
      </c>
    </row>
    <row r="160" spans="1:8" x14ac:dyDescent="0.3">
      <c r="A160" t="s">
        <v>28</v>
      </c>
      <c r="B160" t="s">
        <v>29</v>
      </c>
      <c r="C160" t="s">
        <v>21</v>
      </c>
      <c r="D160" t="s">
        <v>109</v>
      </c>
      <c r="E160">
        <v>1</v>
      </c>
      <c r="F160">
        <v>1</v>
      </c>
      <c r="G160">
        <v>1</v>
      </c>
      <c r="H160">
        <v>1</v>
      </c>
    </row>
    <row r="161" spans="1:8" x14ac:dyDescent="0.3">
      <c r="A161" t="s">
        <v>28</v>
      </c>
      <c r="B161" t="s">
        <v>29</v>
      </c>
      <c r="C161" t="s">
        <v>21</v>
      </c>
      <c r="D161" t="s">
        <v>111</v>
      </c>
      <c r="E161">
        <v>0</v>
      </c>
      <c r="F161">
        <v>0</v>
      </c>
      <c r="G161">
        <v>0</v>
      </c>
      <c r="H161">
        <v>1</v>
      </c>
    </row>
    <row r="162" spans="1:8" x14ac:dyDescent="0.3">
      <c r="A162" t="s">
        <v>28</v>
      </c>
      <c r="B162" t="s">
        <v>29</v>
      </c>
      <c r="C162" t="s">
        <v>23</v>
      </c>
      <c r="D162" t="s">
        <v>77</v>
      </c>
      <c r="E162">
        <v>0</v>
      </c>
      <c r="F162">
        <v>0</v>
      </c>
      <c r="G162">
        <v>0</v>
      </c>
      <c r="H162">
        <v>1</v>
      </c>
    </row>
    <row r="163" spans="1:8" x14ac:dyDescent="0.3">
      <c r="A163" t="s">
        <v>28</v>
      </c>
      <c r="B163" t="s">
        <v>29</v>
      </c>
      <c r="C163" t="s">
        <v>23</v>
      </c>
      <c r="D163" t="s">
        <v>79</v>
      </c>
      <c r="E163">
        <v>0</v>
      </c>
      <c r="F163">
        <v>0</v>
      </c>
      <c r="G163">
        <v>0</v>
      </c>
      <c r="H163">
        <v>1</v>
      </c>
    </row>
    <row r="164" spans="1:8" x14ac:dyDescent="0.3">
      <c r="A164" t="s">
        <v>28</v>
      </c>
      <c r="B164" t="s">
        <v>29</v>
      </c>
      <c r="C164" t="s">
        <v>23</v>
      </c>
      <c r="D164" t="s">
        <v>81</v>
      </c>
      <c r="E164">
        <v>1</v>
      </c>
      <c r="F164">
        <v>1</v>
      </c>
      <c r="G164">
        <v>1</v>
      </c>
      <c r="H164">
        <v>1</v>
      </c>
    </row>
    <row r="165" spans="1:8" x14ac:dyDescent="0.3">
      <c r="A165" t="s">
        <v>28</v>
      </c>
      <c r="B165" t="s">
        <v>29</v>
      </c>
      <c r="C165" t="s">
        <v>23</v>
      </c>
      <c r="D165" t="s">
        <v>83</v>
      </c>
      <c r="E165">
        <v>0</v>
      </c>
      <c r="F165">
        <v>0</v>
      </c>
      <c r="G165">
        <v>0</v>
      </c>
      <c r="H165">
        <v>1</v>
      </c>
    </row>
    <row r="166" spans="1:8" x14ac:dyDescent="0.3">
      <c r="A166" t="s">
        <v>28</v>
      </c>
      <c r="B166" t="s">
        <v>29</v>
      </c>
      <c r="C166" t="s">
        <v>23</v>
      </c>
      <c r="D166" t="s">
        <v>85</v>
      </c>
      <c r="E166">
        <v>0</v>
      </c>
      <c r="F166">
        <v>0</v>
      </c>
      <c r="G166">
        <v>0</v>
      </c>
      <c r="H166">
        <v>1</v>
      </c>
    </row>
    <row r="167" spans="1:8" x14ac:dyDescent="0.3">
      <c r="A167" t="s">
        <v>28</v>
      </c>
      <c r="B167" t="s">
        <v>29</v>
      </c>
      <c r="C167" t="s">
        <v>23</v>
      </c>
      <c r="D167" t="s">
        <v>87</v>
      </c>
      <c r="E167">
        <v>0</v>
      </c>
      <c r="F167">
        <v>0</v>
      </c>
      <c r="G167">
        <v>0</v>
      </c>
      <c r="H167">
        <v>1</v>
      </c>
    </row>
    <row r="168" spans="1:8" x14ac:dyDescent="0.3">
      <c r="A168" t="s">
        <v>28</v>
      </c>
      <c r="B168" t="s">
        <v>29</v>
      </c>
      <c r="C168" t="s">
        <v>23</v>
      </c>
      <c r="D168" t="s">
        <v>89</v>
      </c>
      <c r="E168">
        <v>0</v>
      </c>
      <c r="F168">
        <v>0</v>
      </c>
      <c r="G168">
        <v>0</v>
      </c>
      <c r="H168">
        <v>1</v>
      </c>
    </row>
    <row r="169" spans="1:8" x14ac:dyDescent="0.3">
      <c r="A169" t="s">
        <v>28</v>
      </c>
      <c r="B169" t="s">
        <v>29</v>
      </c>
      <c r="C169" t="s">
        <v>23</v>
      </c>
      <c r="D169" t="s">
        <v>91</v>
      </c>
      <c r="E169">
        <v>0</v>
      </c>
      <c r="F169">
        <v>0</v>
      </c>
      <c r="G169">
        <v>0</v>
      </c>
      <c r="H169">
        <v>1</v>
      </c>
    </row>
    <row r="170" spans="1:8" x14ac:dyDescent="0.3">
      <c r="A170" t="s">
        <v>28</v>
      </c>
      <c r="B170" t="s">
        <v>29</v>
      </c>
      <c r="C170" t="s">
        <v>23</v>
      </c>
      <c r="D170" t="s">
        <v>93</v>
      </c>
      <c r="E170">
        <v>0</v>
      </c>
      <c r="F170">
        <v>0</v>
      </c>
      <c r="G170">
        <v>0</v>
      </c>
      <c r="H170">
        <v>1</v>
      </c>
    </row>
    <row r="171" spans="1:8" x14ac:dyDescent="0.3">
      <c r="A171" t="s">
        <v>28</v>
      </c>
      <c r="B171" t="s">
        <v>29</v>
      </c>
      <c r="C171" t="s">
        <v>23</v>
      </c>
      <c r="D171" t="s">
        <v>95</v>
      </c>
      <c r="E171">
        <v>0</v>
      </c>
      <c r="F171">
        <v>0</v>
      </c>
      <c r="G171">
        <v>0</v>
      </c>
      <c r="H171">
        <v>1</v>
      </c>
    </row>
    <row r="172" spans="1:8" x14ac:dyDescent="0.3">
      <c r="A172" t="s">
        <v>28</v>
      </c>
      <c r="B172" t="s">
        <v>29</v>
      </c>
      <c r="C172" t="s">
        <v>23</v>
      </c>
      <c r="D172" t="s">
        <v>97</v>
      </c>
      <c r="E172">
        <v>0</v>
      </c>
      <c r="F172">
        <v>0</v>
      </c>
      <c r="G172">
        <v>0</v>
      </c>
      <c r="H172">
        <v>1</v>
      </c>
    </row>
    <row r="173" spans="1:8" x14ac:dyDescent="0.3">
      <c r="A173" t="s">
        <v>28</v>
      </c>
      <c r="B173" t="s">
        <v>29</v>
      </c>
      <c r="C173" t="s">
        <v>23</v>
      </c>
      <c r="D173" t="s">
        <v>99</v>
      </c>
      <c r="E173">
        <v>0</v>
      </c>
      <c r="F173">
        <v>0</v>
      </c>
      <c r="G173">
        <v>0</v>
      </c>
      <c r="H173">
        <v>1</v>
      </c>
    </row>
    <row r="174" spans="1:8" x14ac:dyDescent="0.3">
      <c r="A174" t="s">
        <v>28</v>
      </c>
      <c r="B174" t="s">
        <v>29</v>
      </c>
      <c r="C174" t="s">
        <v>23</v>
      </c>
      <c r="D174" t="s">
        <v>101</v>
      </c>
      <c r="E174">
        <v>0</v>
      </c>
      <c r="F174">
        <v>0</v>
      </c>
      <c r="G174">
        <v>0</v>
      </c>
      <c r="H174">
        <v>1</v>
      </c>
    </row>
    <row r="175" spans="1:8" x14ac:dyDescent="0.3">
      <c r="A175" t="s">
        <v>28</v>
      </c>
      <c r="B175" t="s">
        <v>29</v>
      </c>
      <c r="C175" t="s">
        <v>23</v>
      </c>
      <c r="D175" t="s">
        <v>103</v>
      </c>
      <c r="E175">
        <v>0</v>
      </c>
      <c r="F175">
        <v>0</v>
      </c>
      <c r="G175">
        <v>0</v>
      </c>
      <c r="H175">
        <v>1</v>
      </c>
    </row>
    <row r="176" spans="1:8" x14ac:dyDescent="0.3">
      <c r="A176" t="s">
        <v>28</v>
      </c>
      <c r="B176" t="s">
        <v>29</v>
      </c>
      <c r="C176" t="s">
        <v>23</v>
      </c>
      <c r="D176" t="s">
        <v>105</v>
      </c>
      <c r="E176">
        <v>0</v>
      </c>
      <c r="F176">
        <v>0</v>
      </c>
      <c r="G176">
        <v>0</v>
      </c>
      <c r="H176">
        <v>1</v>
      </c>
    </row>
    <row r="177" spans="1:8" x14ac:dyDescent="0.3">
      <c r="A177" t="s">
        <v>28</v>
      </c>
      <c r="B177" t="s">
        <v>29</v>
      </c>
      <c r="C177" t="s">
        <v>23</v>
      </c>
      <c r="D177" t="s">
        <v>107</v>
      </c>
      <c r="E177">
        <v>1</v>
      </c>
      <c r="F177">
        <v>0</v>
      </c>
      <c r="G177">
        <v>0</v>
      </c>
      <c r="H177">
        <v>0</v>
      </c>
    </row>
    <row r="178" spans="1:8" x14ac:dyDescent="0.3">
      <c r="A178" t="s">
        <v>28</v>
      </c>
      <c r="B178" t="s">
        <v>29</v>
      </c>
      <c r="C178" t="s">
        <v>23</v>
      </c>
      <c r="D178" t="s">
        <v>109</v>
      </c>
      <c r="E178">
        <v>1</v>
      </c>
      <c r="F178">
        <v>1</v>
      </c>
      <c r="G178">
        <v>1</v>
      </c>
      <c r="H178">
        <v>1</v>
      </c>
    </row>
    <row r="179" spans="1:8" x14ac:dyDescent="0.3">
      <c r="A179" t="s">
        <v>28</v>
      </c>
      <c r="B179" t="s">
        <v>29</v>
      </c>
      <c r="C179" t="s">
        <v>23</v>
      </c>
      <c r="D179" t="s">
        <v>111</v>
      </c>
      <c r="E179">
        <v>0</v>
      </c>
      <c r="F179">
        <v>0</v>
      </c>
      <c r="G179">
        <v>0</v>
      </c>
      <c r="H179">
        <v>1</v>
      </c>
    </row>
    <row r="180" spans="1:8" x14ac:dyDescent="0.3">
      <c r="A180" t="s">
        <v>28</v>
      </c>
      <c r="B180" t="s">
        <v>29</v>
      </c>
      <c r="C180" t="s">
        <v>24</v>
      </c>
      <c r="D180" t="s">
        <v>77</v>
      </c>
      <c r="E180">
        <v>0</v>
      </c>
      <c r="F180">
        <v>0</v>
      </c>
      <c r="G180">
        <v>0</v>
      </c>
      <c r="H180">
        <v>1</v>
      </c>
    </row>
    <row r="181" spans="1:8" x14ac:dyDescent="0.3">
      <c r="A181" t="s">
        <v>28</v>
      </c>
      <c r="B181" t="s">
        <v>29</v>
      </c>
      <c r="C181" t="s">
        <v>24</v>
      </c>
      <c r="D181" t="s">
        <v>79</v>
      </c>
      <c r="E181">
        <v>0</v>
      </c>
      <c r="F181">
        <v>0</v>
      </c>
      <c r="G181">
        <v>0</v>
      </c>
      <c r="H181">
        <v>1</v>
      </c>
    </row>
    <row r="182" spans="1:8" x14ac:dyDescent="0.3">
      <c r="A182" t="s">
        <v>28</v>
      </c>
      <c r="B182" t="s">
        <v>29</v>
      </c>
      <c r="C182" t="s">
        <v>24</v>
      </c>
      <c r="D182" t="s">
        <v>81</v>
      </c>
      <c r="E182">
        <v>1</v>
      </c>
      <c r="F182">
        <v>1</v>
      </c>
      <c r="G182">
        <v>1</v>
      </c>
      <c r="H182">
        <v>1</v>
      </c>
    </row>
    <row r="183" spans="1:8" x14ac:dyDescent="0.3">
      <c r="A183" t="s">
        <v>28</v>
      </c>
      <c r="B183" t="s">
        <v>29</v>
      </c>
      <c r="C183" t="s">
        <v>24</v>
      </c>
      <c r="D183" t="s">
        <v>83</v>
      </c>
      <c r="E183">
        <v>0</v>
      </c>
      <c r="F183">
        <v>0</v>
      </c>
      <c r="G183">
        <v>0</v>
      </c>
      <c r="H183">
        <v>1</v>
      </c>
    </row>
    <row r="184" spans="1:8" x14ac:dyDescent="0.3">
      <c r="A184" t="s">
        <v>28</v>
      </c>
      <c r="B184" t="s">
        <v>29</v>
      </c>
      <c r="C184" t="s">
        <v>24</v>
      </c>
      <c r="D184" t="s">
        <v>85</v>
      </c>
      <c r="E184">
        <v>0</v>
      </c>
      <c r="F184">
        <v>0</v>
      </c>
      <c r="G184">
        <v>0</v>
      </c>
      <c r="H184">
        <v>1</v>
      </c>
    </row>
    <row r="185" spans="1:8" x14ac:dyDescent="0.3">
      <c r="A185" t="s">
        <v>28</v>
      </c>
      <c r="B185" t="s">
        <v>29</v>
      </c>
      <c r="C185" t="s">
        <v>24</v>
      </c>
      <c r="D185" t="s">
        <v>87</v>
      </c>
      <c r="E185">
        <v>0</v>
      </c>
      <c r="F185">
        <v>0</v>
      </c>
      <c r="G185">
        <v>0</v>
      </c>
      <c r="H185">
        <v>1</v>
      </c>
    </row>
    <row r="186" spans="1:8" x14ac:dyDescent="0.3">
      <c r="A186" t="s">
        <v>28</v>
      </c>
      <c r="B186" t="s">
        <v>29</v>
      </c>
      <c r="C186" t="s">
        <v>24</v>
      </c>
      <c r="D186" t="s">
        <v>89</v>
      </c>
      <c r="E186">
        <v>0</v>
      </c>
      <c r="F186">
        <v>0</v>
      </c>
      <c r="G186">
        <v>0</v>
      </c>
      <c r="H186">
        <v>1</v>
      </c>
    </row>
    <row r="187" spans="1:8" x14ac:dyDescent="0.3">
      <c r="A187" t="s">
        <v>28</v>
      </c>
      <c r="B187" t="s">
        <v>29</v>
      </c>
      <c r="C187" t="s">
        <v>24</v>
      </c>
      <c r="D187" t="s">
        <v>91</v>
      </c>
      <c r="E187">
        <v>0</v>
      </c>
      <c r="F187">
        <v>0</v>
      </c>
      <c r="G187">
        <v>0</v>
      </c>
      <c r="H187">
        <v>1</v>
      </c>
    </row>
    <row r="188" spans="1:8" x14ac:dyDescent="0.3">
      <c r="A188" t="s">
        <v>28</v>
      </c>
      <c r="B188" t="s">
        <v>29</v>
      </c>
      <c r="C188" t="s">
        <v>24</v>
      </c>
      <c r="D188" t="s">
        <v>93</v>
      </c>
      <c r="E188">
        <v>0</v>
      </c>
      <c r="F188">
        <v>0</v>
      </c>
      <c r="G188">
        <v>0</v>
      </c>
      <c r="H188">
        <v>1</v>
      </c>
    </row>
    <row r="189" spans="1:8" x14ac:dyDescent="0.3">
      <c r="A189" t="s">
        <v>28</v>
      </c>
      <c r="B189" t="s">
        <v>29</v>
      </c>
      <c r="C189" t="s">
        <v>24</v>
      </c>
      <c r="D189" t="s">
        <v>95</v>
      </c>
      <c r="E189">
        <v>0</v>
      </c>
      <c r="F189">
        <v>0</v>
      </c>
      <c r="G189">
        <v>0</v>
      </c>
      <c r="H189">
        <v>1</v>
      </c>
    </row>
    <row r="190" spans="1:8" x14ac:dyDescent="0.3">
      <c r="A190" t="s">
        <v>28</v>
      </c>
      <c r="B190" t="s">
        <v>29</v>
      </c>
      <c r="C190" t="s">
        <v>24</v>
      </c>
      <c r="D190" t="s">
        <v>97</v>
      </c>
      <c r="E190">
        <v>0</v>
      </c>
      <c r="F190">
        <v>0</v>
      </c>
      <c r="G190">
        <v>0</v>
      </c>
      <c r="H190">
        <v>1</v>
      </c>
    </row>
    <row r="191" spans="1:8" x14ac:dyDescent="0.3">
      <c r="A191" t="s">
        <v>28</v>
      </c>
      <c r="B191" t="s">
        <v>29</v>
      </c>
      <c r="C191" t="s">
        <v>24</v>
      </c>
      <c r="D191" t="s">
        <v>99</v>
      </c>
      <c r="E191">
        <v>0</v>
      </c>
      <c r="F191">
        <v>0</v>
      </c>
      <c r="G191">
        <v>0</v>
      </c>
      <c r="H191">
        <v>1</v>
      </c>
    </row>
    <row r="192" spans="1:8" x14ac:dyDescent="0.3">
      <c r="A192" t="s">
        <v>28</v>
      </c>
      <c r="B192" t="s">
        <v>29</v>
      </c>
      <c r="C192" t="s">
        <v>24</v>
      </c>
      <c r="D192" t="s">
        <v>101</v>
      </c>
      <c r="E192">
        <v>0</v>
      </c>
      <c r="F192">
        <v>0</v>
      </c>
      <c r="G192">
        <v>0</v>
      </c>
      <c r="H192">
        <v>1</v>
      </c>
    </row>
    <row r="193" spans="1:8" x14ac:dyDescent="0.3">
      <c r="A193" t="s">
        <v>28</v>
      </c>
      <c r="B193" t="s">
        <v>29</v>
      </c>
      <c r="C193" t="s">
        <v>24</v>
      </c>
      <c r="D193" t="s">
        <v>103</v>
      </c>
      <c r="E193">
        <v>0</v>
      </c>
      <c r="F193">
        <v>0</v>
      </c>
      <c r="G193">
        <v>0</v>
      </c>
      <c r="H193">
        <v>1</v>
      </c>
    </row>
    <row r="194" spans="1:8" x14ac:dyDescent="0.3">
      <c r="A194" t="s">
        <v>28</v>
      </c>
      <c r="B194" t="s">
        <v>29</v>
      </c>
      <c r="C194" t="s">
        <v>24</v>
      </c>
      <c r="D194" t="s">
        <v>105</v>
      </c>
      <c r="E194">
        <v>0</v>
      </c>
      <c r="F194">
        <v>0</v>
      </c>
      <c r="G194">
        <v>0</v>
      </c>
      <c r="H194">
        <v>1</v>
      </c>
    </row>
    <row r="195" spans="1:8" x14ac:dyDescent="0.3">
      <c r="A195" t="s">
        <v>28</v>
      </c>
      <c r="B195" t="s">
        <v>29</v>
      </c>
      <c r="C195" t="s">
        <v>24</v>
      </c>
      <c r="D195" t="s">
        <v>107</v>
      </c>
      <c r="E195">
        <v>0</v>
      </c>
      <c r="F195">
        <v>0</v>
      </c>
      <c r="G195">
        <v>0</v>
      </c>
      <c r="H195">
        <v>1</v>
      </c>
    </row>
    <row r="196" spans="1:8" x14ac:dyDescent="0.3">
      <c r="A196" t="s">
        <v>28</v>
      </c>
      <c r="B196" t="s">
        <v>29</v>
      </c>
      <c r="C196" t="s">
        <v>24</v>
      </c>
      <c r="D196" t="s">
        <v>109</v>
      </c>
      <c r="E196">
        <v>1</v>
      </c>
      <c r="F196">
        <v>1</v>
      </c>
      <c r="G196">
        <v>1</v>
      </c>
      <c r="H196">
        <v>1</v>
      </c>
    </row>
    <row r="197" spans="1:8" x14ac:dyDescent="0.3">
      <c r="A197" t="s">
        <v>28</v>
      </c>
      <c r="B197" t="s">
        <v>29</v>
      </c>
      <c r="C197" t="s">
        <v>24</v>
      </c>
      <c r="D197" t="s">
        <v>111</v>
      </c>
      <c r="E197">
        <v>0</v>
      </c>
      <c r="F197">
        <v>0</v>
      </c>
      <c r="G197">
        <v>0</v>
      </c>
      <c r="H197">
        <v>1</v>
      </c>
    </row>
    <row r="198" spans="1:8" x14ac:dyDescent="0.3">
      <c r="A198" t="s">
        <v>28</v>
      </c>
      <c r="B198" t="s">
        <v>29</v>
      </c>
      <c r="C198" t="s">
        <v>25</v>
      </c>
      <c r="D198" t="s">
        <v>77</v>
      </c>
      <c r="E198">
        <v>0</v>
      </c>
      <c r="F198">
        <v>0</v>
      </c>
      <c r="G198">
        <v>0</v>
      </c>
      <c r="H198">
        <v>1</v>
      </c>
    </row>
    <row r="199" spans="1:8" x14ac:dyDescent="0.3">
      <c r="A199" t="s">
        <v>28</v>
      </c>
      <c r="B199" t="s">
        <v>29</v>
      </c>
      <c r="C199" t="s">
        <v>25</v>
      </c>
      <c r="D199" t="s">
        <v>79</v>
      </c>
      <c r="E199">
        <v>0</v>
      </c>
      <c r="F199">
        <v>0</v>
      </c>
      <c r="G199">
        <v>0</v>
      </c>
      <c r="H199">
        <v>1</v>
      </c>
    </row>
    <row r="200" spans="1:8" x14ac:dyDescent="0.3">
      <c r="A200" t="s">
        <v>28</v>
      </c>
      <c r="B200" t="s">
        <v>29</v>
      </c>
      <c r="C200" t="s">
        <v>25</v>
      </c>
      <c r="D200" t="s">
        <v>81</v>
      </c>
      <c r="E200">
        <v>0</v>
      </c>
      <c r="F200">
        <v>0</v>
      </c>
      <c r="G200">
        <v>1</v>
      </c>
      <c r="H200">
        <v>0</v>
      </c>
    </row>
    <row r="201" spans="1:8" x14ac:dyDescent="0.3">
      <c r="A201" t="s">
        <v>28</v>
      </c>
      <c r="B201" t="s">
        <v>29</v>
      </c>
      <c r="C201" t="s">
        <v>25</v>
      </c>
      <c r="D201" t="s">
        <v>83</v>
      </c>
      <c r="E201">
        <v>0</v>
      </c>
      <c r="F201">
        <v>0</v>
      </c>
      <c r="G201">
        <v>0</v>
      </c>
      <c r="H201">
        <v>1</v>
      </c>
    </row>
    <row r="202" spans="1:8" x14ac:dyDescent="0.3">
      <c r="A202" t="s">
        <v>28</v>
      </c>
      <c r="B202" t="s">
        <v>29</v>
      </c>
      <c r="C202" t="s">
        <v>25</v>
      </c>
      <c r="D202" t="s">
        <v>85</v>
      </c>
      <c r="E202">
        <v>0</v>
      </c>
      <c r="F202">
        <v>0</v>
      </c>
      <c r="G202">
        <v>0</v>
      </c>
      <c r="H202">
        <v>1</v>
      </c>
    </row>
    <row r="203" spans="1:8" x14ac:dyDescent="0.3">
      <c r="A203" t="s">
        <v>28</v>
      </c>
      <c r="B203" t="s">
        <v>29</v>
      </c>
      <c r="C203" t="s">
        <v>25</v>
      </c>
      <c r="D203" t="s">
        <v>87</v>
      </c>
      <c r="E203">
        <v>0</v>
      </c>
      <c r="F203">
        <v>0</v>
      </c>
      <c r="G203">
        <v>0</v>
      </c>
      <c r="H203">
        <v>1</v>
      </c>
    </row>
    <row r="204" spans="1:8" x14ac:dyDescent="0.3">
      <c r="A204" t="s">
        <v>28</v>
      </c>
      <c r="B204" t="s">
        <v>29</v>
      </c>
      <c r="C204" t="s">
        <v>25</v>
      </c>
      <c r="D204" t="s">
        <v>89</v>
      </c>
      <c r="E204">
        <v>0</v>
      </c>
      <c r="F204">
        <v>0</v>
      </c>
      <c r="G204">
        <v>0</v>
      </c>
      <c r="H204">
        <v>1</v>
      </c>
    </row>
    <row r="205" spans="1:8" x14ac:dyDescent="0.3">
      <c r="A205" t="s">
        <v>28</v>
      </c>
      <c r="B205" t="s">
        <v>29</v>
      </c>
      <c r="C205" t="s">
        <v>25</v>
      </c>
      <c r="D205" t="s">
        <v>91</v>
      </c>
      <c r="E205">
        <v>0</v>
      </c>
      <c r="F205">
        <v>0</v>
      </c>
      <c r="G205">
        <v>0</v>
      </c>
      <c r="H205">
        <v>1</v>
      </c>
    </row>
    <row r="206" spans="1:8" x14ac:dyDescent="0.3">
      <c r="A206" t="s">
        <v>28</v>
      </c>
      <c r="B206" t="s">
        <v>29</v>
      </c>
      <c r="C206" t="s">
        <v>25</v>
      </c>
      <c r="D206" t="s">
        <v>93</v>
      </c>
      <c r="E206">
        <v>0</v>
      </c>
      <c r="F206">
        <v>0</v>
      </c>
      <c r="G206">
        <v>0</v>
      </c>
      <c r="H206">
        <v>1</v>
      </c>
    </row>
    <row r="207" spans="1:8" x14ac:dyDescent="0.3">
      <c r="A207" t="s">
        <v>28</v>
      </c>
      <c r="B207" t="s">
        <v>29</v>
      </c>
      <c r="C207" t="s">
        <v>25</v>
      </c>
      <c r="D207" t="s">
        <v>95</v>
      </c>
      <c r="E207">
        <v>0</v>
      </c>
      <c r="F207">
        <v>0</v>
      </c>
      <c r="G207">
        <v>0</v>
      </c>
      <c r="H207">
        <v>1</v>
      </c>
    </row>
    <row r="208" spans="1:8" x14ac:dyDescent="0.3">
      <c r="A208" t="s">
        <v>28</v>
      </c>
      <c r="B208" t="s">
        <v>29</v>
      </c>
      <c r="C208" t="s">
        <v>25</v>
      </c>
      <c r="D208" t="s">
        <v>97</v>
      </c>
      <c r="E208">
        <v>0</v>
      </c>
      <c r="F208">
        <v>0</v>
      </c>
      <c r="G208">
        <v>0</v>
      </c>
      <c r="H208">
        <v>1</v>
      </c>
    </row>
    <row r="209" spans="1:8" x14ac:dyDescent="0.3">
      <c r="A209" t="s">
        <v>28</v>
      </c>
      <c r="B209" t="s">
        <v>29</v>
      </c>
      <c r="C209" t="s">
        <v>25</v>
      </c>
      <c r="D209" t="s">
        <v>99</v>
      </c>
      <c r="E209">
        <v>0</v>
      </c>
      <c r="F209">
        <v>0</v>
      </c>
      <c r="G209">
        <v>0</v>
      </c>
      <c r="H209">
        <v>1</v>
      </c>
    </row>
    <row r="210" spans="1:8" x14ac:dyDescent="0.3">
      <c r="A210" t="s">
        <v>28</v>
      </c>
      <c r="B210" t="s">
        <v>29</v>
      </c>
      <c r="C210" t="s">
        <v>25</v>
      </c>
      <c r="D210" t="s">
        <v>101</v>
      </c>
      <c r="E210">
        <v>0</v>
      </c>
      <c r="F210">
        <v>0</v>
      </c>
      <c r="G210">
        <v>0</v>
      </c>
      <c r="H210">
        <v>1</v>
      </c>
    </row>
    <row r="211" spans="1:8" x14ac:dyDescent="0.3">
      <c r="A211" t="s">
        <v>28</v>
      </c>
      <c r="B211" t="s">
        <v>29</v>
      </c>
      <c r="C211" t="s">
        <v>25</v>
      </c>
      <c r="D211" t="s">
        <v>103</v>
      </c>
      <c r="E211">
        <v>0</v>
      </c>
      <c r="F211">
        <v>0</v>
      </c>
      <c r="G211">
        <v>0</v>
      </c>
      <c r="H211">
        <v>1</v>
      </c>
    </row>
    <row r="212" spans="1:8" x14ac:dyDescent="0.3">
      <c r="A212" t="s">
        <v>28</v>
      </c>
      <c r="B212" t="s">
        <v>29</v>
      </c>
      <c r="C212" t="s">
        <v>25</v>
      </c>
      <c r="D212" t="s">
        <v>105</v>
      </c>
      <c r="E212">
        <v>0</v>
      </c>
      <c r="F212">
        <v>0</v>
      </c>
      <c r="G212">
        <v>0</v>
      </c>
      <c r="H212">
        <v>1</v>
      </c>
    </row>
    <row r="213" spans="1:8" x14ac:dyDescent="0.3">
      <c r="A213" t="s">
        <v>28</v>
      </c>
      <c r="B213" t="s">
        <v>29</v>
      </c>
      <c r="C213" t="s">
        <v>25</v>
      </c>
      <c r="D213" t="s">
        <v>107</v>
      </c>
      <c r="E213">
        <v>0</v>
      </c>
      <c r="F213">
        <v>0</v>
      </c>
      <c r="G213">
        <v>0</v>
      </c>
      <c r="H213">
        <v>1</v>
      </c>
    </row>
    <row r="214" spans="1:8" x14ac:dyDescent="0.3">
      <c r="A214" t="s">
        <v>28</v>
      </c>
      <c r="B214" t="s">
        <v>29</v>
      </c>
      <c r="C214" t="s">
        <v>25</v>
      </c>
      <c r="D214" t="s">
        <v>111</v>
      </c>
      <c r="E214">
        <v>0</v>
      </c>
      <c r="F214">
        <v>0</v>
      </c>
      <c r="G214">
        <v>0</v>
      </c>
      <c r="H214">
        <v>1</v>
      </c>
    </row>
    <row r="215" spans="1:8" x14ac:dyDescent="0.3">
      <c r="A215" t="s">
        <v>40</v>
      </c>
      <c r="B215" t="s">
        <v>41</v>
      </c>
      <c r="C215" t="s">
        <v>21</v>
      </c>
      <c r="D215" t="s">
        <v>77</v>
      </c>
      <c r="E215">
        <v>0</v>
      </c>
      <c r="F215">
        <v>0</v>
      </c>
      <c r="G215">
        <v>0</v>
      </c>
      <c r="H215">
        <v>1</v>
      </c>
    </row>
    <row r="216" spans="1:8" x14ac:dyDescent="0.3">
      <c r="A216" t="s">
        <v>40</v>
      </c>
      <c r="B216" t="s">
        <v>41</v>
      </c>
      <c r="C216" t="s">
        <v>21</v>
      </c>
      <c r="D216" t="s">
        <v>79</v>
      </c>
      <c r="E216">
        <v>0</v>
      </c>
      <c r="F216">
        <v>0</v>
      </c>
      <c r="G216">
        <v>0</v>
      </c>
      <c r="H216">
        <v>1</v>
      </c>
    </row>
    <row r="217" spans="1:8" x14ac:dyDescent="0.3">
      <c r="A217" t="s">
        <v>40</v>
      </c>
      <c r="B217" t="s">
        <v>41</v>
      </c>
      <c r="C217" t="s">
        <v>21</v>
      </c>
      <c r="D217" t="s">
        <v>81</v>
      </c>
      <c r="E217">
        <v>1</v>
      </c>
      <c r="F217">
        <v>1</v>
      </c>
      <c r="G217">
        <v>1</v>
      </c>
      <c r="H217">
        <v>1</v>
      </c>
    </row>
    <row r="218" spans="1:8" x14ac:dyDescent="0.3">
      <c r="A218" t="s">
        <v>40</v>
      </c>
      <c r="B218" t="s">
        <v>41</v>
      </c>
      <c r="C218" t="s">
        <v>21</v>
      </c>
      <c r="D218" t="s">
        <v>83</v>
      </c>
      <c r="E218">
        <v>0</v>
      </c>
      <c r="F218">
        <v>0</v>
      </c>
      <c r="G218">
        <v>0</v>
      </c>
      <c r="H218">
        <v>1</v>
      </c>
    </row>
    <row r="219" spans="1:8" x14ac:dyDescent="0.3">
      <c r="A219" t="s">
        <v>40</v>
      </c>
      <c r="B219" t="s">
        <v>41</v>
      </c>
      <c r="C219" t="s">
        <v>21</v>
      </c>
      <c r="D219" t="s">
        <v>85</v>
      </c>
      <c r="E219">
        <v>0</v>
      </c>
      <c r="F219">
        <v>0</v>
      </c>
      <c r="G219">
        <v>0</v>
      </c>
      <c r="H219">
        <v>1</v>
      </c>
    </row>
    <row r="220" spans="1:8" x14ac:dyDescent="0.3">
      <c r="A220" t="s">
        <v>40</v>
      </c>
      <c r="B220" t="s">
        <v>41</v>
      </c>
      <c r="C220" t="s">
        <v>21</v>
      </c>
      <c r="D220" t="s">
        <v>87</v>
      </c>
      <c r="E220">
        <v>0</v>
      </c>
      <c r="F220">
        <v>0</v>
      </c>
      <c r="G220">
        <v>0</v>
      </c>
      <c r="H220">
        <v>1</v>
      </c>
    </row>
    <row r="221" spans="1:8" x14ac:dyDescent="0.3">
      <c r="A221" t="s">
        <v>40</v>
      </c>
      <c r="B221" t="s">
        <v>41</v>
      </c>
      <c r="C221" t="s">
        <v>21</v>
      </c>
      <c r="D221" t="s">
        <v>89</v>
      </c>
      <c r="E221">
        <v>0</v>
      </c>
      <c r="F221">
        <v>0</v>
      </c>
      <c r="G221">
        <v>0</v>
      </c>
      <c r="H221">
        <v>1</v>
      </c>
    </row>
    <row r="222" spans="1:8" x14ac:dyDescent="0.3">
      <c r="A222" t="s">
        <v>40</v>
      </c>
      <c r="B222" t="s">
        <v>41</v>
      </c>
      <c r="C222" t="s">
        <v>21</v>
      </c>
      <c r="D222" t="s">
        <v>91</v>
      </c>
      <c r="E222">
        <v>0</v>
      </c>
      <c r="F222">
        <v>0</v>
      </c>
      <c r="G222">
        <v>0</v>
      </c>
      <c r="H222">
        <v>1</v>
      </c>
    </row>
    <row r="223" spans="1:8" x14ac:dyDescent="0.3">
      <c r="A223" t="s">
        <v>40</v>
      </c>
      <c r="B223" t="s">
        <v>41</v>
      </c>
      <c r="C223" t="s">
        <v>21</v>
      </c>
      <c r="D223" t="s">
        <v>93</v>
      </c>
      <c r="E223">
        <v>0</v>
      </c>
      <c r="F223">
        <v>0</v>
      </c>
      <c r="G223">
        <v>0</v>
      </c>
      <c r="H223">
        <v>1</v>
      </c>
    </row>
    <row r="224" spans="1:8" x14ac:dyDescent="0.3">
      <c r="A224" t="s">
        <v>40</v>
      </c>
      <c r="B224" t="s">
        <v>41</v>
      </c>
      <c r="C224" t="s">
        <v>21</v>
      </c>
      <c r="D224" t="s">
        <v>95</v>
      </c>
      <c r="E224">
        <v>0</v>
      </c>
      <c r="F224">
        <v>0</v>
      </c>
      <c r="G224">
        <v>0</v>
      </c>
      <c r="H224">
        <v>1</v>
      </c>
    </row>
    <row r="225" spans="1:8" x14ac:dyDescent="0.3">
      <c r="A225" t="s">
        <v>40</v>
      </c>
      <c r="B225" t="s">
        <v>41</v>
      </c>
      <c r="C225" t="s">
        <v>21</v>
      </c>
      <c r="D225" t="s">
        <v>97</v>
      </c>
      <c r="E225">
        <v>0</v>
      </c>
      <c r="F225">
        <v>0</v>
      </c>
      <c r="G225">
        <v>0</v>
      </c>
      <c r="H225">
        <v>1</v>
      </c>
    </row>
    <row r="226" spans="1:8" x14ac:dyDescent="0.3">
      <c r="A226" t="s">
        <v>40</v>
      </c>
      <c r="B226" t="s">
        <v>41</v>
      </c>
      <c r="C226" t="s">
        <v>21</v>
      </c>
      <c r="D226" t="s">
        <v>99</v>
      </c>
      <c r="E226">
        <v>0</v>
      </c>
      <c r="F226">
        <v>0</v>
      </c>
      <c r="G226">
        <v>0</v>
      </c>
      <c r="H226">
        <v>1</v>
      </c>
    </row>
    <row r="227" spans="1:8" x14ac:dyDescent="0.3">
      <c r="A227" t="s">
        <v>40</v>
      </c>
      <c r="B227" t="s">
        <v>41</v>
      </c>
      <c r="C227" t="s">
        <v>21</v>
      </c>
      <c r="D227" t="s">
        <v>101</v>
      </c>
      <c r="E227">
        <v>0</v>
      </c>
      <c r="F227">
        <v>0</v>
      </c>
      <c r="G227">
        <v>0</v>
      </c>
      <c r="H227">
        <v>1</v>
      </c>
    </row>
    <row r="228" spans="1:8" x14ac:dyDescent="0.3">
      <c r="A228" t="s">
        <v>40</v>
      </c>
      <c r="B228" t="s">
        <v>41</v>
      </c>
      <c r="C228" t="s">
        <v>21</v>
      </c>
      <c r="D228" t="s">
        <v>103</v>
      </c>
      <c r="E228">
        <v>0</v>
      </c>
      <c r="F228">
        <v>0</v>
      </c>
      <c r="G228">
        <v>0</v>
      </c>
      <c r="H228">
        <v>1</v>
      </c>
    </row>
    <row r="229" spans="1:8" x14ac:dyDescent="0.3">
      <c r="A229" t="s">
        <v>40</v>
      </c>
      <c r="B229" t="s">
        <v>41</v>
      </c>
      <c r="C229" t="s">
        <v>21</v>
      </c>
      <c r="D229" t="s">
        <v>105</v>
      </c>
      <c r="E229">
        <v>0</v>
      </c>
      <c r="F229">
        <v>0</v>
      </c>
      <c r="G229">
        <v>0</v>
      </c>
      <c r="H229">
        <v>1</v>
      </c>
    </row>
    <row r="230" spans="1:8" x14ac:dyDescent="0.3">
      <c r="A230" t="s">
        <v>40</v>
      </c>
      <c r="B230" t="s">
        <v>41</v>
      </c>
      <c r="C230" t="s">
        <v>21</v>
      </c>
      <c r="D230" t="s">
        <v>107</v>
      </c>
      <c r="E230">
        <v>0</v>
      </c>
      <c r="F230">
        <v>0</v>
      </c>
      <c r="G230">
        <v>0</v>
      </c>
      <c r="H230">
        <v>1</v>
      </c>
    </row>
    <row r="231" spans="1:8" x14ac:dyDescent="0.3">
      <c r="A231" t="s">
        <v>40</v>
      </c>
      <c r="B231" t="s">
        <v>41</v>
      </c>
      <c r="C231" t="s">
        <v>21</v>
      </c>
      <c r="D231" t="s">
        <v>109</v>
      </c>
      <c r="E231">
        <v>1</v>
      </c>
      <c r="F231">
        <v>1</v>
      </c>
      <c r="G231">
        <v>1</v>
      </c>
      <c r="H231">
        <v>1</v>
      </c>
    </row>
    <row r="232" spans="1:8" x14ac:dyDescent="0.3">
      <c r="A232" t="s">
        <v>40</v>
      </c>
      <c r="B232" t="s">
        <v>41</v>
      </c>
      <c r="C232" t="s">
        <v>21</v>
      </c>
      <c r="D232" t="s">
        <v>111</v>
      </c>
      <c r="E232">
        <v>0</v>
      </c>
      <c r="F232">
        <v>0</v>
      </c>
      <c r="G232">
        <v>0</v>
      </c>
      <c r="H232">
        <v>1</v>
      </c>
    </row>
    <row r="233" spans="1:8" x14ac:dyDescent="0.3">
      <c r="A233" t="s">
        <v>40</v>
      </c>
      <c r="B233" t="s">
        <v>41</v>
      </c>
      <c r="C233" t="s">
        <v>23</v>
      </c>
      <c r="D233" t="s">
        <v>77</v>
      </c>
      <c r="E233">
        <v>1</v>
      </c>
      <c r="F233">
        <v>1</v>
      </c>
      <c r="G233">
        <v>0</v>
      </c>
      <c r="H233">
        <v>0</v>
      </c>
    </row>
    <row r="234" spans="1:8" x14ac:dyDescent="0.3">
      <c r="A234" t="s">
        <v>40</v>
      </c>
      <c r="B234" t="s">
        <v>41</v>
      </c>
      <c r="C234" t="s">
        <v>23</v>
      </c>
      <c r="D234" t="s">
        <v>79</v>
      </c>
      <c r="E234">
        <v>0</v>
      </c>
      <c r="F234">
        <v>0</v>
      </c>
      <c r="G234">
        <v>0</v>
      </c>
      <c r="H234">
        <v>1</v>
      </c>
    </row>
    <row r="235" spans="1:8" x14ac:dyDescent="0.3">
      <c r="A235" t="s">
        <v>40</v>
      </c>
      <c r="B235" t="s">
        <v>41</v>
      </c>
      <c r="C235" t="s">
        <v>23</v>
      </c>
      <c r="D235" t="s">
        <v>81</v>
      </c>
      <c r="E235">
        <v>1</v>
      </c>
      <c r="F235">
        <v>1</v>
      </c>
      <c r="G235">
        <v>1</v>
      </c>
      <c r="H235">
        <v>1</v>
      </c>
    </row>
    <row r="236" spans="1:8" x14ac:dyDescent="0.3">
      <c r="A236" t="s">
        <v>40</v>
      </c>
      <c r="B236" t="s">
        <v>41</v>
      </c>
      <c r="C236" t="s">
        <v>23</v>
      </c>
      <c r="D236" t="s">
        <v>83</v>
      </c>
      <c r="E236">
        <v>1</v>
      </c>
      <c r="F236">
        <v>1</v>
      </c>
      <c r="G236">
        <v>0</v>
      </c>
      <c r="H236">
        <v>0</v>
      </c>
    </row>
    <row r="237" spans="1:8" x14ac:dyDescent="0.3">
      <c r="A237" t="s">
        <v>40</v>
      </c>
      <c r="B237" t="s">
        <v>41</v>
      </c>
      <c r="C237" t="s">
        <v>23</v>
      </c>
      <c r="D237" t="s">
        <v>85</v>
      </c>
      <c r="E237">
        <v>0</v>
      </c>
      <c r="F237">
        <v>0</v>
      </c>
      <c r="G237">
        <v>0</v>
      </c>
      <c r="H237">
        <v>1</v>
      </c>
    </row>
    <row r="238" spans="1:8" x14ac:dyDescent="0.3">
      <c r="A238" t="s">
        <v>40</v>
      </c>
      <c r="B238" t="s">
        <v>41</v>
      </c>
      <c r="C238" t="s">
        <v>23</v>
      </c>
      <c r="D238" t="s">
        <v>87</v>
      </c>
      <c r="E238">
        <v>0</v>
      </c>
      <c r="F238">
        <v>0</v>
      </c>
      <c r="G238">
        <v>0</v>
      </c>
      <c r="H238">
        <v>1</v>
      </c>
    </row>
    <row r="239" spans="1:8" x14ac:dyDescent="0.3">
      <c r="A239" t="s">
        <v>40</v>
      </c>
      <c r="B239" t="s">
        <v>41</v>
      </c>
      <c r="C239" t="s">
        <v>23</v>
      </c>
      <c r="D239" t="s">
        <v>89</v>
      </c>
      <c r="E239">
        <v>0</v>
      </c>
      <c r="F239">
        <v>0</v>
      </c>
      <c r="G239">
        <v>0</v>
      </c>
      <c r="H239">
        <v>1</v>
      </c>
    </row>
    <row r="240" spans="1:8" x14ac:dyDescent="0.3">
      <c r="A240" t="s">
        <v>40</v>
      </c>
      <c r="B240" t="s">
        <v>41</v>
      </c>
      <c r="C240" t="s">
        <v>23</v>
      </c>
      <c r="D240" t="s">
        <v>91</v>
      </c>
      <c r="E240">
        <v>0</v>
      </c>
      <c r="F240">
        <v>0</v>
      </c>
      <c r="G240">
        <v>0</v>
      </c>
      <c r="H240">
        <v>1</v>
      </c>
    </row>
    <row r="241" spans="1:8" x14ac:dyDescent="0.3">
      <c r="A241" t="s">
        <v>40</v>
      </c>
      <c r="B241" t="s">
        <v>41</v>
      </c>
      <c r="C241" t="s">
        <v>23</v>
      </c>
      <c r="D241" t="s">
        <v>93</v>
      </c>
      <c r="E241">
        <v>0</v>
      </c>
      <c r="F241">
        <v>0</v>
      </c>
      <c r="G241">
        <v>0</v>
      </c>
      <c r="H241">
        <v>1</v>
      </c>
    </row>
    <row r="242" spans="1:8" x14ac:dyDescent="0.3">
      <c r="A242" t="s">
        <v>40</v>
      </c>
      <c r="B242" t="s">
        <v>41</v>
      </c>
      <c r="C242" t="s">
        <v>23</v>
      </c>
      <c r="D242" t="s">
        <v>95</v>
      </c>
      <c r="E242">
        <v>0</v>
      </c>
      <c r="F242">
        <v>0</v>
      </c>
      <c r="G242">
        <v>0</v>
      </c>
      <c r="H242">
        <v>1</v>
      </c>
    </row>
    <row r="243" spans="1:8" x14ac:dyDescent="0.3">
      <c r="A243" t="s">
        <v>40</v>
      </c>
      <c r="B243" t="s">
        <v>41</v>
      </c>
      <c r="C243" t="s">
        <v>23</v>
      </c>
      <c r="D243" t="s">
        <v>97</v>
      </c>
      <c r="E243">
        <v>0</v>
      </c>
      <c r="F243">
        <v>0</v>
      </c>
      <c r="G243">
        <v>0</v>
      </c>
      <c r="H243">
        <v>1</v>
      </c>
    </row>
    <row r="244" spans="1:8" x14ac:dyDescent="0.3">
      <c r="A244" t="s">
        <v>40</v>
      </c>
      <c r="B244" t="s">
        <v>41</v>
      </c>
      <c r="C244" t="s">
        <v>23</v>
      </c>
      <c r="D244" t="s">
        <v>99</v>
      </c>
      <c r="E244">
        <v>1</v>
      </c>
      <c r="F244">
        <v>1</v>
      </c>
      <c r="G244">
        <v>1</v>
      </c>
      <c r="H244">
        <v>1</v>
      </c>
    </row>
    <row r="245" spans="1:8" x14ac:dyDescent="0.3">
      <c r="A245" t="s">
        <v>40</v>
      </c>
      <c r="B245" t="s">
        <v>41</v>
      </c>
      <c r="C245" t="s">
        <v>23</v>
      </c>
      <c r="D245" t="s">
        <v>101</v>
      </c>
      <c r="E245">
        <v>0</v>
      </c>
      <c r="F245">
        <v>0</v>
      </c>
      <c r="G245">
        <v>0</v>
      </c>
      <c r="H245">
        <v>1</v>
      </c>
    </row>
    <row r="246" spans="1:8" x14ac:dyDescent="0.3">
      <c r="A246" t="s">
        <v>40</v>
      </c>
      <c r="B246" t="s">
        <v>41</v>
      </c>
      <c r="C246" t="s">
        <v>23</v>
      </c>
      <c r="D246" t="s">
        <v>103</v>
      </c>
      <c r="E246">
        <v>0</v>
      </c>
      <c r="F246">
        <v>0</v>
      </c>
      <c r="G246">
        <v>0</v>
      </c>
      <c r="H246">
        <v>1</v>
      </c>
    </row>
    <row r="247" spans="1:8" x14ac:dyDescent="0.3">
      <c r="A247" t="s">
        <v>40</v>
      </c>
      <c r="B247" t="s">
        <v>41</v>
      </c>
      <c r="C247" t="s">
        <v>23</v>
      </c>
      <c r="D247" t="s">
        <v>105</v>
      </c>
      <c r="E247">
        <v>0</v>
      </c>
      <c r="F247">
        <v>0</v>
      </c>
      <c r="G247">
        <v>0</v>
      </c>
      <c r="H247">
        <v>1</v>
      </c>
    </row>
    <row r="248" spans="1:8" x14ac:dyDescent="0.3">
      <c r="A248" t="s">
        <v>40</v>
      </c>
      <c r="B248" t="s">
        <v>41</v>
      </c>
      <c r="C248" t="s">
        <v>23</v>
      </c>
      <c r="D248" t="s">
        <v>107</v>
      </c>
      <c r="E248">
        <v>0</v>
      </c>
      <c r="F248">
        <v>0</v>
      </c>
      <c r="G248">
        <v>0</v>
      </c>
      <c r="H248">
        <v>1</v>
      </c>
    </row>
    <row r="249" spans="1:8" x14ac:dyDescent="0.3">
      <c r="A249" t="s">
        <v>40</v>
      </c>
      <c r="B249" t="s">
        <v>41</v>
      </c>
      <c r="C249" t="s">
        <v>23</v>
      </c>
      <c r="D249" t="s">
        <v>109</v>
      </c>
      <c r="E249">
        <v>1</v>
      </c>
      <c r="F249">
        <v>1</v>
      </c>
      <c r="G249">
        <v>1</v>
      </c>
      <c r="H249">
        <v>1</v>
      </c>
    </row>
    <row r="250" spans="1:8" x14ac:dyDescent="0.3">
      <c r="A250" t="s">
        <v>40</v>
      </c>
      <c r="B250" t="s">
        <v>41</v>
      </c>
      <c r="C250" t="s">
        <v>23</v>
      </c>
      <c r="D250" t="s">
        <v>111</v>
      </c>
      <c r="E250">
        <v>0</v>
      </c>
      <c r="F250">
        <v>0</v>
      </c>
      <c r="G250">
        <v>0</v>
      </c>
      <c r="H250">
        <v>1</v>
      </c>
    </row>
    <row r="251" spans="1:8" x14ac:dyDescent="0.3">
      <c r="A251" t="s">
        <v>40</v>
      </c>
      <c r="B251" t="s">
        <v>41</v>
      </c>
      <c r="C251" t="s">
        <v>24</v>
      </c>
      <c r="D251" t="s">
        <v>77</v>
      </c>
      <c r="E251">
        <v>1</v>
      </c>
      <c r="F251">
        <v>1</v>
      </c>
      <c r="G251">
        <v>1</v>
      </c>
      <c r="H251">
        <v>1</v>
      </c>
    </row>
    <row r="252" spans="1:8" x14ac:dyDescent="0.3">
      <c r="A252" t="s">
        <v>40</v>
      </c>
      <c r="B252" t="s">
        <v>41</v>
      </c>
      <c r="C252" t="s">
        <v>24</v>
      </c>
      <c r="D252" t="s">
        <v>79</v>
      </c>
      <c r="E252">
        <v>0</v>
      </c>
      <c r="F252">
        <v>0</v>
      </c>
      <c r="G252">
        <v>0</v>
      </c>
      <c r="H252">
        <v>1</v>
      </c>
    </row>
    <row r="253" spans="1:8" x14ac:dyDescent="0.3">
      <c r="A253" t="s">
        <v>40</v>
      </c>
      <c r="B253" t="s">
        <v>41</v>
      </c>
      <c r="C253" t="s">
        <v>24</v>
      </c>
      <c r="D253" t="s">
        <v>81</v>
      </c>
      <c r="E253">
        <v>1</v>
      </c>
      <c r="F253">
        <v>1</v>
      </c>
      <c r="G253">
        <v>1</v>
      </c>
      <c r="H253">
        <v>1</v>
      </c>
    </row>
    <row r="254" spans="1:8" x14ac:dyDescent="0.3">
      <c r="A254" t="s">
        <v>40</v>
      </c>
      <c r="B254" t="s">
        <v>41</v>
      </c>
      <c r="C254" t="s">
        <v>24</v>
      </c>
      <c r="D254" t="s">
        <v>83</v>
      </c>
      <c r="E254">
        <v>1</v>
      </c>
      <c r="F254">
        <v>1</v>
      </c>
      <c r="G254">
        <v>1</v>
      </c>
      <c r="H254">
        <v>1</v>
      </c>
    </row>
    <row r="255" spans="1:8" x14ac:dyDescent="0.3">
      <c r="A255" t="s">
        <v>40</v>
      </c>
      <c r="B255" t="s">
        <v>41</v>
      </c>
      <c r="C255" t="s">
        <v>24</v>
      </c>
      <c r="D255" t="s">
        <v>85</v>
      </c>
      <c r="E255">
        <v>0</v>
      </c>
      <c r="F255">
        <v>0</v>
      </c>
      <c r="G255">
        <v>0</v>
      </c>
      <c r="H255">
        <v>1</v>
      </c>
    </row>
    <row r="256" spans="1:8" x14ac:dyDescent="0.3">
      <c r="A256" t="s">
        <v>40</v>
      </c>
      <c r="B256" t="s">
        <v>41</v>
      </c>
      <c r="C256" t="s">
        <v>24</v>
      </c>
      <c r="D256" t="s">
        <v>87</v>
      </c>
      <c r="E256">
        <v>0</v>
      </c>
      <c r="F256">
        <v>0</v>
      </c>
      <c r="G256">
        <v>0</v>
      </c>
      <c r="H256">
        <v>1</v>
      </c>
    </row>
    <row r="257" spans="1:8" x14ac:dyDescent="0.3">
      <c r="A257" t="s">
        <v>40</v>
      </c>
      <c r="B257" t="s">
        <v>41</v>
      </c>
      <c r="C257" t="s">
        <v>24</v>
      </c>
      <c r="D257" t="s">
        <v>89</v>
      </c>
      <c r="E257">
        <v>0</v>
      </c>
      <c r="F257">
        <v>0</v>
      </c>
      <c r="G257">
        <v>0</v>
      </c>
      <c r="H257">
        <v>1</v>
      </c>
    </row>
    <row r="258" spans="1:8" x14ac:dyDescent="0.3">
      <c r="A258" t="s">
        <v>40</v>
      </c>
      <c r="B258" t="s">
        <v>41</v>
      </c>
      <c r="C258" t="s">
        <v>24</v>
      </c>
      <c r="D258" t="s">
        <v>91</v>
      </c>
      <c r="E258">
        <v>0</v>
      </c>
      <c r="F258">
        <v>0</v>
      </c>
      <c r="G258">
        <v>0</v>
      </c>
      <c r="H258">
        <v>1</v>
      </c>
    </row>
    <row r="259" spans="1:8" x14ac:dyDescent="0.3">
      <c r="A259" t="s">
        <v>40</v>
      </c>
      <c r="B259" t="s">
        <v>41</v>
      </c>
      <c r="C259" t="s">
        <v>24</v>
      </c>
      <c r="D259" t="s">
        <v>93</v>
      </c>
      <c r="E259">
        <v>0</v>
      </c>
      <c r="F259">
        <v>0</v>
      </c>
      <c r="G259">
        <v>0</v>
      </c>
      <c r="H259">
        <v>1</v>
      </c>
    </row>
    <row r="260" spans="1:8" x14ac:dyDescent="0.3">
      <c r="A260" t="s">
        <v>40</v>
      </c>
      <c r="B260" t="s">
        <v>41</v>
      </c>
      <c r="C260" t="s">
        <v>24</v>
      </c>
      <c r="D260" t="s">
        <v>95</v>
      </c>
      <c r="E260">
        <v>0</v>
      </c>
      <c r="F260">
        <v>0</v>
      </c>
      <c r="G260">
        <v>0</v>
      </c>
      <c r="H260">
        <v>1</v>
      </c>
    </row>
    <row r="261" spans="1:8" x14ac:dyDescent="0.3">
      <c r="A261" t="s">
        <v>40</v>
      </c>
      <c r="B261" t="s">
        <v>41</v>
      </c>
      <c r="C261" t="s">
        <v>24</v>
      </c>
      <c r="D261" t="s">
        <v>97</v>
      </c>
      <c r="E261">
        <v>0</v>
      </c>
      <c r="F261">
        <v>0</v>
      </c>
      <c r="G261">
        <v>0</v>
      </c>
      <c r="H261">
        <v>1</v>
      </c>
    </row>
    <row r="262" spans="1:8" x14ac:dyDescent="0.3">
      <c r="A262" t="s">
        <v>40</v>
      </c>
      <c r="B262" t="s">
        <v>41</v>
      </c>
      <c r="C262" t="s">
        <v>24</v>
      </c>
      <c r="D262" t="s">
        <v>99</v>
      </c>
      <c r="E262">
        <v>0</v>
      </c>
      <c r="F262">
        <v>0</v>
      </c>
      <c r="G262">
        <v>0</v>
      </c>
      <c r="H262">
        <v>1</v>
      </c>
    </row>
    <row r="263" spans="1:8" x14ac:dyDescent="0.3">
      <c r="A263" t="s">
        <v>40</v>
      </c>
      <c r="B263" t="s">
        <v>41</v>
      </c>
      <c r="C263" t="s">
        <v>24</v>
      </c>
      <c r="D263" t="s">
        <v>101</v>
      </c>
      <c r="E263">
        <v>0</v>
      </c>
      <c r="F263">
        <v>0</v>
      </c>
      <c r="G263">
        <v>0</v>
      </c>
      <c r="H263">
        <v>1</v>
      </c>
    </row>
    <row r="264" spans="1:8" x14ac:dyDescent="0.3">
      <c r="A264" t="s">
        <v>40</v>
      </c>
      <c r="B264" t="s">
        <v>41</v>
      </c>
      <c r="C264" t="s">
        <v>24</v>
      </c>
      <c r="D264" t="s">
        <v>103</v>
      </c>
      <c r="E264">
        <v>0</v>
      </c>
      <c r="F264">
        <v>0</v>
      </c>
      <c r="G264">
        <v>0</v>
      </c>
      <c r="H264">
        <v>1</v>
      </c>
    </row>
    <row r="265" spans="1:8" x14ac:dyDescent="0.3">
      <c r="A265" t="s">
        <v>40</v>
      </c>
      <c r="B265" t="s">
        <v>41</v>
      </c>
      <c r="C265" t="s">
        <v>24</v>
      </c>
      <c r="D265" t="s">
        <v>105</v>
      </c>
      <c r="E265">
        <v>0</v>
      </c>
      <c r="F265">
        <v>0</v>
      </c>
      <c r="G265">
        <v>0</v>
      </c>
      <c r="H265">
        <v>1</v>
      </c>
    </row>
    <row r="266" spans="1:8" x14ac:dyDescent="0.3">
      <c r="A266" t="s">
        <v>40</v>
      </c>
      <c r="B266" t="s">
        <v>41</v>
      </c>
      <c r="C266" t="s">
        <v>24</v>
      </c>
      <c r="D266" t="s">
        <v>107</v>
      </c>
      <c r="E266">
        <v>0</v>
      </c>
      <c r="F266">
        <v>0</v>
      </c>
      <c r="G266">
        <v>0</v>
      </c>
      <c r="H266">
        <v>1</v>
      </c>
    </row>
    <row r="267" spans="1:8" x14ac:dyDescent="0.3">
      <c r="A267" t="s">
        <v>40</v>
      </c>
      <c r="B267" t="s">
        <v>41</v>
      </c>
      <c r="C267" t="s">
        <v>24</v>
      </c>
      <c r="D267" t="s">
        <v>109</v>
      </c>
      <c r="E267">
        <v>1</v>
      </c>
      <c r="F267">
        <v>1</v>
      </c>
      <c r="G267">
        <v>1</v>
      </c>
      <c r="H267">
        <v>1</v>
      </c>
    </row>
    <row r="268" spans="1:8" x14ac:dyDescent="0.3">
      <c r="A268" t="s">
        <v>40</v>
      </c>
      <c r="B268" t="s">
        <v>41</v>
      </c>
      <c r="C268" t="s">
        <v>24</v>
      </c>
      <c r="D268" t="s">
        <v>111</v>
      </c>
      <c r="E268">
        <v>0</v>
      </c>
      <c r="F268">
        <v>0</v>
      </c>
      <c r="G268">
        <v>0</v>
      </c>
      <c r="H268">
        <v>1</v>
      </c>
    </row>
    <row r="269" spans="1:8" x14ac:dyDescent="0.3">
      <c r="A269" t="s">
        <v>40</v>
      </c>
      <c r="B269" t="s">
        <v>41</v>
      </c>
      <c r="C269" t="s">
        <v>25</v>
      </c>
      <c r="D269" t="s">
        <v>77</v>
      </c>
      <c r="E269">
        <v>0</v>
      </c>
      <c r="F269">
        <v>0</v>
      </c>
      <c r="G269">
        <v>0</v>
      </c>
      <c r="H269">
        <v>1</v>
      </c>
    </row>
    <row r="270" spans="1:8" x14ac:dyDescent="0.3">
      <c r="A270" t="s">
        <v>40</v>
      </c>
      <c r="B270" t="s">
        <v>41</v>
      </c>
      <c r="C270" t="s">
        <v>25</v>
      </c>
      <c r="D270" t="s">
        <v>79</v>
      </c>
      <c r="E270">
        <v>0</v>
      </c>
      <c r="F270">
        <v>0</v>
      </c>
      <c r="G270">
        <v>0</v>
      </c>
      <c r="H270">
        <v>1</v>
      </c>
    </row>
    <row r="271" spans="1:8" x14ac:dyDescent="0.3">
      <c r="A271" t="s">
        <v>40</v>
      </c>
      <c r="B271" t="s">
        <v>41</v>
      </c>
      <c r="C271" t="s">
        <v>25</v>
      </c>
      <c r="D271" t="s">
        <v>81</v>
      </c>
      <c r="E271">
        <v>1</v>
      </c>
      <c r="F271">
        <v>1</v>
      </c>
      <c r="G271">
        <v>1</v>
      </c>
      <c r="H271">
        <v>1</v>
      </c>
    </row>
    <row r="272" spans="1:8" x14ac:dyDescent="0.3">
      <c r="A272" t="s">
        <v>40</v>
      </c>
      <c r="B272" t="s">
        <v>41</v>
      </c>
      <c r="C272" t="s">
        <v>25</v>
      </c>
      <c r="D272" t="s">
        <v>83</v>
      </c>
      <c r="E272">
        <v>0</v>
      </c>
      <c r="F272">
        <v>0</v>
      </c>
      <c r="G272">
        <v>0</v>
      </c>
      <c r="H272">
        <v>1</v>
      </c>
    </row>
    <row r="273" spans="1:8" x14ac:dyDescent="0.3">
      <c r="A273" t="s">
        <v>40</v>
      </c>
      <c r="B273" t="s">
        <v>41</v>
      </c>
      <c r="C273" t="s">
        <v>25</v>
      </c>
      <c r="D273" t="s">
        <v>85</v>
      </c>
      <c r="E273">
        <v>0</v>
      </c>
      <c r="F273">
        <v>0</v>
      </c>
      <c r="G273">
        <v>0</v>
      </c>
      <c r="H273">
        <v>1</v>
      </c>
    </row>
    <row r="274" spans="1:8" x14ac:dyDescent="0.3">
      <c r="A274" t="s">
        <v>40</v>
      </c>
      <c r="B274" t="s">
        <v>41</v>
      </c>
      <c r="C274" t="s">
        <v>25</v>
      </c>
      <c r="D274" t="s">
        <v>87</v>
      </c>
      <c r="E274">
        <v>0</v>
      </c>
      <c r="F274">
        <v>0</v>
      </c>
      <c r="G274">
        <v>0</v>
      </c>
      <c r="H274">
        <v>1</v>
      </c>
    </row>
    <row r="275" spans="1:8" x14ac:dyDescent="0.3">
      <c r="A275" t="s">
        <v>40</v>
      </c>
      <c r="B275" t="s">
        <v>41</v>
      </c>
      <c r="C275" t="s">
        <v>25</v>
      </c>
      <c r="D275" t="s">
        <v>89</v>
      </c>
      <c r="E275">
        <v>0</v>
      </c>
      <c r="F275">
        <v>0</v>
      </c>
      <c r="G275">
        <v>0</v>
      </c>
      <c r="H275">
        <v>1</v>
      </c>
    </row>
    <row r="276" spans="1:8" x14ac:dyDescent="0.3">
      <c r="A276" t="s">
        <v>40</v>
      </c>
      <c r="B276" t="s">
        <v>41</v>
      </c>
      <c r="C276" t="s">
        <v>25</v>
      </c>
      <c r="D276" t="s">
        <v>91</v>
      </c>
      <c r="E276">
        <v>0</v>
      </c>
      <c r="F276">
        <v>0</v>
      </c>
      <c r="G276">
        <v>0</v>
      </c>
      <c r="H276">
        <v>1</v>
      </c>
    </row>
    <row r="277" spans="1:8" x14ac:dyDescent="0.3">
      <c r="A277" t="s">
        <v>40</v>
      </c>
      <c r="B277" t="s">
        <v>41</v>
      </c>
      <c r="C277" t="s">
        <v>25</v>
      </c>
      <c r="D277" t="s">
        <v>93</v>
      </c>
      <c r="E277">
        <v>0</v>
      </c>
      <c r="F277">
        <v>0</v>
      </c>
      <c r="G277">
        <v>0</v>
      </c>
      <c r="H277">
        <v>1</v>
      </c>
    </row>
    <row r="278" spans="1:8" x14ac:dyDescent="0.3">
      <c r="A278" t="s">
        <v>40</v>
      </c>
      <c r="B278" t="s">
        <v>41</v>
      </c>
      <c r="C278" t="s">
        <v>25</v>
      </c>
      <c r="D278" t="s">
        <v>95</v>
      </c>
      <c r="E278">
        <v>0</v>
      </c>
      <c r="F278">
        <v>0</v>
      </c>
      <c r="G278">
        <v>0</v>
      </c>
      <c r="H278">
        <v>1</v>
      </c>
    </row>
    <row r="279" spans="1:8" x14ac:dyDescent="0.3">
      <c r="A279" t="s">
        <v>40</v>
      </c>
      <c r="B279" t="s">
        <v>41</v>
      </c>
      <c r="C279" t="s">
        <v>25</v>
      </c>
      <c r="D279" t="s">
        <v>97</v>
      </c>
      <c r="E279">
        <v>0</v>
      </c>
      <c r="F279">
        <v>0</v>
      </c>
      <c r="G279">
        <v>0</v>
      </c>
      <c r="H279">
        <v>1</v>
      </c>
    </row>
    <row r="280" spans="1:8" x14ac:dyDescent="0.3">
      <c r="A280" t="s">
        <v>40</v>
      </c>
      <c r="B280" t="s">
        <v>41</v>
      </c>
      <c r="C280" t="s">
        <v>25</v>
      </c>
      <c r="D280" t="s">
        <v>99</v>
      </c>
      <c r="E280">
        <v>0</v>
      </c>
      <c r="F280">
        <v>0</v>
      </c>
      <c r="G280">
        <v>0</v>
      </c>
      <c r="H280">
        <v>1</v>
      </c>
    </row>
    <row r="281" spans="1:8" x14ac:dyDescent="0.3">
      <c r="A281" t="s">
        <v>40</v>
      </c>
      <c r="B281" t="s">
        <v>41</v>
      </c>
      <c r="C281" t="s">
        <v>25</v>
      </c>
      <c r="D281" t="s">
        <v>101</v>
      </c>
      <c r="E281">
        <v>0</v>
      </c>
      <c r="F281">
        <v>0</v>
      </c>
      <c r="G281">
        <v>0</v>
      </c>
      <c r="H281">
        <v>1</v>
      </c>
    </row>
    <row r="282" spans="1:8" x14ac:dyDescent="0.3">
      <c r="A282" t="s">
        <v>40</v>
      </c>
      <c r="B282" t="s">
        <v>41</v>
      </c>
      <c r="C282" t="s">
        <v>25</v>
      </c>
      <c r="D282" t="s">
        <v>103</v>
      </c>
      <c r="E282">
        <v>0</v>
      </c>
      <c r="F282">
        <v>0</v>
      </c>
      <c r="G282">
        <v>0</v>
      </c>
      <c r="H282">
        <v>1</v>
      </c>
    </row>
    <row r="283" spans="1:8" x14ac:dyDescent="0.3">
      <c r="A283" t="s">
        <v>40</v>
      </c>
      <c r="B283" t="s">
        <v>41</v>
      </c>
      <c r="C283" t="s">
        <v>25</v>
      </c>
      <c r="D283" t="s">
        <v>105</v>
      </c>
      <c r="E283">
        <v>0</v>
      </c>
      <c r="F283">
        <v>0</v>
      </c>
      <c r="G283">
        <v>0</v>
      </c>
      <c r="H283">
        <v>1</v>
      </c>
    </row>
    <row r="284" spans="1:8" x14ac:dyDescent="0.3">
      <c r="A284" t="s">
        <v>40</v>
      </c>
      <c r="B284" t="s">
        <v>41</v>
      </c>
      <c r="C284" t="s">
        <v>25</v>
      </c>
      <c r="D284" t="s">
        <v>107</v>
      </c>
      <c r="E284">
        <v>0</v>
      </c>
      <c r="F284">
        <v>0</v>
      </c>
      <c r="G284">
        <v>0</v>
      </c>
      <c r="H284">
        <v>1</v>
      </c>
    </row>
    <row r="285" spans="1:8" x14ac:dyDescent="0.3">
      <c r="A285" t="s">
        <v>40</v>
      </c>
      <c r="B285" t="s">
        <v>41</v>
      </c>
      <c r="C285" t="s">
        <v>25</v>
      </c>
      <c r="D285" t="s">
        <v>111</v>
      </c>
      <c r="E285">
        <v>0</v>
      </c>
      <c r="F285">
        <v>0</v>
      </c>
      <c r="G285">
        <v>0</v>
      </c>
      <c r="H285">
        <v>1</v>
      </c>
    </row>
    <row r="286" spans="1:8" x14ac:dyDescent="0.3">
      <c r="A286" t="s">
        <v>47</v>
      </c>
      <c r="B286" t="s">
        <v>48</v>
      </c>
      <c r="C286" t="s">
        <v>21</v>
      </c>
      <c r="D286" t="s">
        <v>77</v>
      </c>
      <c r="E286">
        <v>0</v>
      </c>
      <c r="F286">
        <v>0</v>
      </c>
      <c r="G286">
        <v>0</v>
      </c>
      <c r="H286">
        <v>1</v>
      </c>
    </row>
    <row r="287" spans="1:8" x14ac:dyDescent="0.3">
      <c r="A287" t="s">
        <v>47</v>
      </c>
      <c r="B287" t="s">
        <v>48</v>
      </c>
      <c r="C287" t="s">
        <v>21</v>
      </c>
      <c r="D287" t="s">
        <v>79</v>
      </c>
      <c r="E287">
        <v>0</v>
      </c>
      <c r="F287">
        <v>0</v>
      </c>
      <c r="G287">
        <v>0</v>
      </c>
      <c r="H287">
        <v>1</v>
      </c>
    </row>
    <row r="288" spans="1:8" x14ac:dyDescent="0.3">
      <c r="A288" t="s">
        <v>47</v>
      </c>
      <c r="B288" t="s">
        <v>48</v>
      </c>
      <c r="C288" t="s">
        <v>21</v>
      </c>
      <c r="D288" t="s">
        <v>81</v>
      </c>
      <c r="E288">
        <v>1</v>
      </c>
      <c r="F288">
        <v>1</v>
      </c>
      <c r="G288">
        <v>1</v>
      </c>
      <c r="H288">
        <v>1</v>
      </c>
    </row>
    <row r="289" spans="1:8" x14ac:dyDescent="0.3">
      <c r="A289" t="s">
        <v>47</v>
      </c>
      <c r="B289" t="s">
        <v>48</v>
      </c>
      <c r="C289" t="s">
        <v>21</v>
      </c>
      <c r="D289" t="s">
        <v>83</v>
      </c>
      <c r="E289">
        <v>0</v>
      </c>
      <c r="F289">
        <v>0</v>
      </c>
      <c r="G289">
        <v>0</v>
      </c>
      <c r="H289">
        <v>1</v>
      </c>
    </row>
    <row r="290" spans="1:8" x14ac:dyDescent="0.3">
      <c r="A290" t="s">
        <v>47</v>
      </c>
      <c r="B290" t="s">
        <v>48</v>
      </c>
      <c r="C290" t="s">
        <v>21</v>
      </c>
      <c r="D290" t="s">
        <v>85</v>
      </c>
      <c r="E290">
        <v>0</v>
      </c>
      <c r="F290">
        <v>0</v>
      </c>
      <c r="G290">
        <v>0</v>
      </c>
      <c r="H290">
        <v>1</v>
      </c>
    </row>
    <row r="291" spans="1:8" x14ac:dyDescent="0.3">
      <c r="A291" t="s">
        <v>47</v>
      </c>
      <c r="B291" t="s">
        <v>48</v>
      </c>
      <c r="C291" t="s">
        <v>21</v>
      </c>
      <c r="D291" t="s">
        <v>87</v>
      </c>
      <c r="E291">
        <v>0</v>
      </c>
      <c r="F291">
        <v>0</v>
      </c>
      <c r="G291">
        <v>0</v>
      </c>
      <c r="H291">
        <v>1</v>
      </c>
    </row>
    <row r="292" spans="1:8" x14ac:dyDescent="0.3">
      <c r="A292" t="s">
        <v>47</v>
      </c>
      <c r="B292" t="s">
        <v>48</v>
      </c>
      <c r="C292" t="s">
        <v>21</v>
      </c>
      <c r="D292" t="s">
        <v>89</v>
      </c>
      <c r="E292">
        <v>0</v>
      </c>
      <c r="F292">
        <v>0</v>
      </c>
      <c r="G292">
        <v>0</v>
      </c>
      <c r="H292">
        <v>1</v>
      </c>
    </row>
    <row r="293" spans="1:8" x14ac:dyDescent="0.3">
      <c r="A293" t="s">
        <v>47</v>
      </c>
      <c r="B293" t="s">
        <v>48</v>
      </c>
      <c r="C293" t="s">
        <v>21</v>
      </c>
      <c r="D293" t="s">
        <v>91</v>
      </c>
      <c r="E293">
        <v>0</v>
      </c>
      <c r="F293">
        <v>0</v>
      </c>
      <c r="G293">
        <v>0</v>
      </c>
      <c r="H293">
        <v>1</v>
      </c>
    </row>
    <row r="294" spans="1:8" x14ac:dyDescent="0.3">
      <c r="A294" t="s">
        <v>47</v>
      </c>
      <c r="B294" t="s">
        <v>48</v>
      </c>
      <c r="C294" t="s">
        <v>21</v>
      </c>
      <c r="D294" t="s">
        <v>93</v>
      </c>
      <c r="E294">
        <v>0</v>
      </c>
      <c r="F294">
        <v>0</v>
      </c>
      <c r="G294">
        <v>0</v>
      </c>
      <c r="H294">
        <v>1</v>
      </c>
    </row>
    <row r="295" spans="1:8" x14ac:dyDescent="0.3">
      <c r="A295" t="s">
        <v>47</v>
      </c>
      <c r="B295" t="s">
        <v>48</v>
      </c>
      <c r="C295" t="s">
        <v>21</v>
      </c>
      <c r="D295" t="s">
        <v>95</v>
      </c>
      <c r="E295">
        <v>0</v>
      </c>
      <c r="F295">
        <v>0</v>
      </c>
      <c r="G295">
        <v>0</v>
      </c>
      <c r="H295">
        <v>1</v>
      </c>
    </row>
    <row r="296" spans="1:8" x14ac:dyDescent="0.3">
      <c r="A296" t="s">
        <v>47</v>
      </c>
      <c r="B296" t="s">
        <v>48</v>
      </c>
      <c r="C296" t="s">
        <v>21</v>
      </c>
      <c r="D296" t="s">
        <v>97</v>
      </c>
      <c r="E296">
        <v>0</v>
      </c>
      <c r="F296">
        <v>0</v>
      </c>
      <c r="G296">
        <v>0</v>
      </c>
      <c r="H296">
        <v>1</v>
      </c>
    </row>
    <row r="297" spans="1:8" x14ac:dyDescent="0.3">
      <c r="A297" t="s">
        <v>47</v>
      </c>
      <c r="B297" t="s">
        <v>48</v>
      </c>
      <c r="C297" t="s">
        <v>21</v>
      </c>
      <c r="D297" t="s">
        <v>99</v>
      </c>
      <c r="E297">
        <v>0</v>
      </c>
      <c r="F297">
        <v>0</v>
      </c>
      <c r="G297">
        <v>0</v>
      </c>
      <c r="H297">
        <v>1</v>
      </c>
    </row>
    <row r="298" spans="1:8" x14ac:dyDescent="0.3">
      <c r="A298" t="s">
        <v>47</v>
      </c>
      <c r="B298" t="s">
        <v>48</v>
      </c>
      <c r="C298" t="s">
        <v>21</v>
      </c>
      <c r="D298" t="s">
        <v>101</v>
      </c>
      <c r="E298">
        <v>0</v>
      </c>
      <c r="F298">
        <v>0</v>
      </c>
      <c r="G298">
        <v>0</v>
      </c>
      <c r="H298">
        <v>1</v>
      </c>
    </row>
    <row r="299" spans="1:8" x14ac:dyDescent="0.3">
      <c r="A299" t="s">
        <v>47</v>
      </c>
      <c r="B299" t="s">
        <v>48</v>
      </c>
      <c r="C299" t="s">
        <v>21</v>
      </c>
      <c r="D299" t="s">
        <v>103</v>
      </c>
      <c r="E299">
        <v>0</v>
      </c>
      <c r="F299">
        <v>0</v>
      </c>
      <c r="G299">
        <v>0</v>
      </c>
      <c r="H299">
        <v>1</v>
      </c>
    </row>
    <row r="300" spans="1:8" x14ac:dyDescent="0.3">
      <c r="A300" t="s">
        <v>47</v>
      </c>
      <c r="B300" t="s">
        <v>48</v>
      </c>
      <c r="C300" t="s">
        <v>21</v>
      </c>
      <c r="D300" t="s">
        <v>105</v>
      </c>
      <c r="E300">
        <v>0</v>
      </c>
      <c r="F300">
        <v>0</v>
      </c>
      <c r="G300">
        <v>0</v>
      </c>
      <c r="H300">
        <v>1</v>
      </c>
    </row>
    <row r="301" spans="1:8" x14ac:dyDescent="0.3">
      <c r="A301" t="s">
        <v>47</v>
      </c>
      <c r="B301" t="s">
        <v>48</v>
      </c>
      <c r="C301" t="s">
        <v>21</v>
      </c>
      <c r="D301" t="s">
        <v>107</v>
      </c>
      <c r="E301">
        <v>1</v>
      </c>
      <c r="F301">
        <v>1</v>
      </c>
      <c r="G301">
        <v>1</v>
      </c>
      <c r="H301">
        <v>1</v>
      </c>
    </row>
    <row r="302" spans="1:8" x14ac:dyDescent="0.3">
      <c r="A302" t="s">
        <v>47</v>
      </c>
      <c r="B302" t="s">
        <v>48</v>
      </c>
      <c r="C302" t="s">
        <v>21</v>
      </c>
      <c r="D302" t="s">
        <v>109</v>
      </c>
      <c r="E302">
        <v>1</v>
      </c>
      <c r="F302">
        <v>1</v>
      </c>
      <c r="G302">
        <v>1</v>
      </c>
      <c r="H302">
        <v>1</v>
      </c>
    </row>
    <row r="303" spans="1:8" x14ac:dyDescent="0.3">
      <c r="A303" t="s">
        <v>47</v>
      </c>
      <c r="B303" t="s">
        <v>48</v>
      </c>
      <c r="C303" t="s">
        <v>21</v>
      </c>
      <c r="D303" t="s">
        <v>111</v>
      </c>
      <c r="E303">
        <v>0</v>
      </c>
      <c r="F303">
        <v>0</v>
      </c>
      <c r="G303">
        <v>0</v>
      </c>
      <c r="H303">
        <v>1</v>
      </c>
    </row>
    <row r="304" spans="1:8" x14ac:dyDescent="0.3">
      <c r="A304" t="s">
        <v>47</v>
      </c>
      <c r="B304" t="s">
        <v>48</v>
      </c>
      <c r="C304" t="s">
        <v>23</v>
      </c>
      <c r="D304" t="s">
        <v>77</v>
      </c>
      <c r="E304">
        <v>0</v>
      </c>
      <c r="F304">
        <v>0</v>
      </c>
      <c r="G304">
        <v>0</v>
      </c>
      <c r="H304">
        <v>1</v>
      </c>
    </row>
    <row r="305" spans="1:8" x14ac:dyDescent="0.3">
      <c r="A305" t="s">
        <v>47</v>
      </c>
      <c r="B305" t="s">
        <v>48</v>
      </c>
      <c r="C305" t="s">
        <v>23</v>
      </c>
      <c r="D305" t="s">
        <v>79</v>
      </c>
      <c r="E305">
        <v>0</v>
      </c>
      <c r="F305">
        <v>0</v>
      </c>
      <c r="G305">
        <v>0</v>
      </c>
      <c r="H305">
        <v>1</v>
      </c>
    </row>
    <row r="306" spans="1:8" x14ac:dyDescent="0.3">
      <c r="A306" t="s">
        <v>47</v>
      </c>
      <c r="B306" t="s">
        <v>48</v>
      </c>
      <c r="C306" t="s">
        <v>23</v>
      </c>
      <c r="D306" t="s">
        <v>81</v>
      </c>
      <c r="E306">
        <v>1</v>
      </c>
      <c r="F306">
        <v>0</v>
      </c>
      <c r="G306">
        <v>0</v>
      </c>
      <c r="H306">
        <v>0</v>
      </c>
    </row>
    <row r="307" spans="1:8" x14ac:dyDescent="0.3">
      <c r="A307" t="s">
        <v>47</v>
      </c>
      <c r="B307" t="s">
        <v>48</v>
      </c>
      <c r="C307" t="s">
        <v>23</v>
      </c>
      <c r="D307" t="s">
        <v>83</v>
      </c>
      <c r="E307">
        <v>0</v>
      </c>
      <c r="F307">
        <v>0</v>
      </c>
      <c r="G307">
        <v>0</v>
      </c>
      <c r="H307">
        <v>1</v>
      </c>
    </row>
    <row r="308" spans="1:8" x14ac:dyDescent="0.3">
      <c r="A308" t="s">
        <v>47</v>
      </c>
      <c r="B308" t="s">
        <v>48</v>
      </c>
      <c r="C308" t="s">
        <v>23</v>
      </c>
      <c r="D308" t="s">
        <v>85</v>
      </c>
      <c r="E308">
        <v>0</v>
      </c>
      <c r="F308">
        <v>0</v>
      </c>
      <c r="G308">
        <v>0</v>
      </c>
      <c r="H308">
        <v>1</v>
      </c>
    </row>
    <row r="309" spans="1:8" x14ac:dyDescent="0.3">
      <c r="A309" t="s">
        <v>47</v>
      </c>
      <c r="B309" t="s">
        <v>48</v>
      </c>
      <c r="C309" t="s">
        <v>23</v>
      </c>
      <c r="D309" t="s">
        <v>87</v>
      </c>
      <c r="E309">
        <v>0</v>
      </c>
      <c r="F309">
        <v>0</v>
      </c>
      <c r="G309">
        <v>0</v>
      </c>
      <c r="H309">
        <v>1</v>
      </c>
    </row>
    <row r="310" spans="1:8" x14ac:dyDescent="0.3">
      <c r="A310" t="s">
        <v>47</v>
      </c>
      <c r="B310" t="s">
        <v>48</v>
      </c>
      <c r="C310" t="s">
        <v>23</v>
      </c>
      <c r="D310" t="s">
        <v>89</v>
      </c>
      <c r="E310">
        <v>0</v>
      </c>
      <c r="F310">
        <v>0</v>
      </c>
      <c r="G310">
        <v>0</v>
      </c>
      <c r="H310">
        <v>1</v>
      </c>
    </row>
    <row r="311" spans="1:8" x14ac:dyDescent="0.3">
      <c r="A311" t="s">
        <v>47</v>
      </c>
      <c r="B311" t="s">
        <v>48</v>
      </c>
      <c r="C311" t="s">
        <v>23</v>
      </c>
      <c r="D311" t="s">
        <v>91</v>
      </c>
      <c r="E311">
        <v>0</v>
      </c>
      <c r="F311">
        <v>0</v>
      </c>
      <c r="G311">
        <v>0</v>
      </c>
      <c r="H311">
        <v>1</v>
      </c>
    </row>
    <row r="312" spans="1:8" x14ac:dyDescent="0.3">
      <c r="A312" t="s">
        <v>47</v>
      </c>
      <c r="B312" t="s">
        <v>48</v>
      </c>
      <c r="C312" t="s">
        <v>23</v>
      </c>
      <c r="D312" t="s">
        <v>93</v>
      </c>
      <c r="E312">
        <v>0</v>
      </c>
      <c r="F312">
        <v>0</v>
      </c>
      <c r="G312">
        <v>0</v>
      </c>
      <c r="H312">
        <v>1</v>
      </c>
    </row>
    <row r="313" spans="1:8" x14ac:dyDescent="0.3">
      <c r="A313" t="s">
        <v>47</v>
      </c>
      <c r="B313" t="s">
        <v>48</v>
      </c>
      <c r="C313" t="s">
        <v>23</v>
      </c>
      <c r="D313" t="s">
        <v>95</v>
      </c>
      <c r="E313">
        <v>0</v>
      </c>
      <c r="F313">
        <v>0</v>
      </c>
      <c r="G313">
        <v>0</v>
      </c>
      <c r="H313">
        <v>1</v>
      </c>
    </row>
    <row r="314" spans="1:8" x14ac:dyDescent="0.3">
      <c r="A314" t="s">
        <v>47</v>
      </c>
      <c r="B314" t="s">
        <v>48</v>
      </c>
      <c r="C314" t="s">
        <v>23</v>
      </c>
      <c r="D314" t="s">
        <v>97</v>
      </c>
      <c r="E314">
        <v>0</v>
      </c>
      <c r="F314">
        <v>0</v>
      </c>
      <c r="G314">
        <v>0</v>
      </c>
      <c r="H314">
        <v>1</v>
      </c>
    </row>
    <row r="315" spans="1:8" x14ac:dyDescent="0.3">
      <c r="A315" t="s">
        <v>47</v>
      </c>
      <c r="B315" t="s">
        <v>48</v>
      </c>
      <c r="C315" t="s">
        <v>23</v>
      </c>
      <c r="D315" t="s">
        <v>99</v>
      </c>
      <c r="E315">
        <v>0</v>
      </c>
      <c r="F315">
        <v>0</v>
      </c>
      <c r="G315">
        <v>0</v>
      </c>
      <c r="H315">
        <v>1</v>
      </c>
    </row>
    <row r="316" spans="1:8" x14ac:dyDescent="0.3">
      <c r="A316" t="s">
        <v>47</v>
      </c>
      <c r="B316" t="s">
        <v>48</v>
      </c>
      <c r="C316" t="s">
        <v>23</v>
      </c>
      <c r="D316" t="s">
        <v>101</v>
      </c>
      <c r="E316">
        <v>0</v>
      </c>
      <c r="F316">
        <v>0</v>
      </c>
      <c r="G316">
        <v>0</v>
      </c>
      <c r="H316">
        <v>1</v>
      </c>
    </row>
    <row r="317" spans="1:8" x14ac:dyDescent="0.3">
      <c r="A317" t="s">
        <v>47</v>
      </c>
      <c r="B317" t="s">
        <v>48</v>
      </c>
      <c r="C317" t="s">
        <v>23</v>
      </c>
      <c r="D317" t="s">
        <v>103</v>
      </c>
      <c r="E317">
        <v>0</v>
      </c>
      <c r="F317">
        <v>0</v>
      </c>
      <c r="G317">
        <v>0</v>
      </c>
      <c r="H317">
        <v>1</v>
      </c>
    </row>
    <row r="318" spans="1:8" x14ac:dyDescent="0.3">
      <c r="A318" t="s">
        <v>47</v>
      </c>
      <c r="B318" t="s">
        <v>48</v>
      </c>
      <c r="C318" t="s">
        <v>23</v>
      </c>
      <c r="D318" t="s">
        <v>105</v>
      </c>
      <c r="E318">
        <v>0</v>
      </c>
      <c r="F318">
        <v>0</v>
      </c>
      <c r="G318">
        <v>0</v>
      </c>
      <c r="H318">
        <v>1</v>
      </c>
    </row>
    <row r="319" spans="1:8" x14ac:dyDescent="0.3">
      <c r="A319" t="s">
        <v>47</v>
      </c>
      <c r="B319" t="s">
        <v>48</v>
      </c>
      <c r="C319" t="s">
        <v>23</v>
      </c>
      <c r="D319" t="s">
        <v>107</v>
      </c>
      <c r="E319">
        <v>0</v>
      </c>
      <c r="F319">
        <v>1</v>
      </c>
      <c r="G319">
        <v>0</v>
      </c>
      <c r="H319">
        <v>0</v>
      </c>
    </row>
    <row r="320" spans="1:8" x14ac:dyDescent="0.3">
      <c r="A320" t="s">
        <v>47</v>
      </c>
      <c r="B320" t="s">
        <v>48</v>
      </c>
      <c r="C320" t="s">
        <v>23</v>
      </c>
      <c r="D320" t="s">
        <v>109</v>
      </c>
      <c r="E320">
        <v>1</v>
      </c>
      <c r="F320">
        <v>1</v>
      </c>
      <c r="G320">
        <v>1</v>
      </c>
      <c r="H320">
        <v>1</v>
      </c>
    </row>
    <row r="321" spans="1:8" x14ac:dyDescent="0.3">
      <c r="A321" t="s">
        <v>47</v>
      </c>
      <c r="B321" t="s">
        <v>48</v>
      </c>
      <c r="C321" t="s">
        <v>23</v>
      </c>
      <c r="D321" t="s">
        <v>111</v>
      </c>
      <c r="E321">
        <v>0</v>
      </c>
      <c r="F321">
        <v>0</v>
      </c>
      <c r="G321">
        <v>0</v>
      </c>
      <c r="H321">
        <v>1</v>
      </c>
    </row>
    <row r="322" spans="1:8" x14ac:dyDescent="0.3">
      <c r="A322" t="s">
        <v>47</v>
      </c>
      <c r="B322" t="s">
        <v>48</v>
      </c>
      <c r="C322" t="s">
        <v>24</v>
      </c>
      <c r="D322" t="s">
        <v>77</v>
      </c>
      <c r="E322">
        <v>0</v>
      </c>
      <c r="F322">
        <v>0</v>
      </c>
      <c r="G322">
        <v>0</v>
      </c>
      <c r="H322">
        <v>1</v>
      </c>
    </row>
    <row r="323" spans="1:8" x14ac:dyDescent="0.3">
      <c r="A323" t="s">
        <v>47</v>
      </c>
      <c r="B323" t="s">
        <v>48</v>
      </c>
      <c r="C323" t="s">
        <v>24</v>
      </c>
      <c r="D323" t="s">
        <v>79</v>
      </c>
      <c r="E323">
        <v>0</v>
      </c>
      <c r="F323">
        <v>0</v>
      </c>
      <c r="G323">
        <v>0</v>
      </c>
      <c r="H323">
        <v>1</v>
      </c>
    </row>
    <row r="324" spans="1:8" x14ac:dyDescent="0.3">
      <c r="A324" t="s">
        <v>47</v>
      </c>
      <c r="B324" t="s">
        <v>48</v>
      </c>
      <c r="C324" t="s">
        <v>24</v>
      </c>
      <c r="D324" t="s">
        <v>81</v>
      </c>
      <c r="E324">
        <v>1</v>
      </c>
      <c r="F324">
        <v>1</v>
      </c>
      <c r="G324">
        <v>1</v>
      </c>
      <c r="H324">
        <v>1</v>
      </c>
    </row>
    <row r="325" spans="1:8" x14ac:dyDescent="0.3">
      <c r="A325" t="s">
        <v>47</v>
      </c>
      <c r="B325" t="s">
        <v>48</v>
      </c>
      <c r="C325" t="s">
        <v>24</v>
      </c>
      <c r="D325" t="s">
        <v>83</v>
      </c>
      <c r="E325">
        <v>0</v>
      </c>
      <c r="F325">
        <v>0</v>
      </c>
      <c r="G325">
        <v>0</v>
      </c>
      <c r="H325">
        <v>1</v>
      </c>
    </row>
    <row r="326" spans="1:8" x14ac:dyDescent="0.3">
      <c r="A326" t="s">
        <v>47</v>
      </c>
      <c r="B326" t="s">
        <v>48</v>
      </c>
      <c r="C326" t="s">
        <v>24</v>
      </c>
      <c r="D326" t="s">
        <v>85</v>
      </c>
      <c r="E326">
        <v>0</v>
      </c>
      <c r="F326">
        <v>0</v>
      </c>
      <c r="G326">
        <v>0</v>
      </c>
      <c r="H326">
        <v>1</v>
      </c>
    </row>
    <row r="327" spans="1:8" x14ac:dyDescent="0.3">
      <c r="A327" t="s">
        <v>47</v>
      </c>
      <c r="B327" t="s">
        <v>48</v>
      </c>
      <c r="C327" t="s">
        <v>24</v>
      </c>
      <c r="D327" t="s">
        <v>87</v>
      </c>
      <c r="E327">
        <v>0</v>
      </c>
      <c r="F327">
        <v>0</v>
      </c>
      <c r="G327">
        <v>0</v>
      </c>
      <c r="H327">
        <v>1</v>
      </c>
    </row>
    <row r="328" spans="1:8" x14ac:dyDescent="0.3">
      <c r="A328" t="s">
        <v>47</v>
      </c>
      <c r="B328" t="s">
        <v>48</v>
      </c>
      <c r="C328" t="s">
        <v>24</v>
      </c>
      <c r="D328" t="s">
        <v>89</v>
      </c>
      <c r="E328">
        <v>0</v>
      </c>
      <c r="F328">
        <v>0</v>
      </c>
      <c r="G328">
        <v>0</v>
      </c>
      <c r="H328">
        <v>1</v>
      </c>
    </row>
    <row r="329" spans="1:8" x14ac:dyDescent="0.3">
      <c r="A329" t="s">
        <v>47</v>
      </c>
      <c r="B329" t="s">
        <v>48</v>
      </c>
      <c r="C329" t="s">
        <v>24</v>
      </c>
      <c r="D329" t="s">
        <v>91</v>
      </c>
      <c r="E329">
        <v>0</v>
      </c>
      <c r="F329">
        <v>0</v>
      </c>
      <c r="G329">
        <v>0</v>
      </c>
      <c r="H329">
        <v>1</v>
      </c>
    </row>
    <row r="330" spans="1:8" x14ac:dyDescent="0.3">
      <c r="A330" t="s">
        <v>47</v>
      </c>
      <c r="B330" t="s">
        <v>48</v>
      </c>
      <c r="C330" t="s">
        <v>24</v>
      </c>
      <c r="D330" t="s">
        <v>93</v>
      </c>
      <c r="E330">
        <v>0</v>
      </c>
      <c r="F330">
        <v>0</v>
      </c>
      <c r="G330">
        <v>0</v>
      </c>
      <c r="H330">
        <v>1</v>
      </c>
    </row>
    <row r="331" spans="1:8" x14ac:dyDescent="0.3">
      <c r="A331" t="s">
        <v>47</v>
      </c>
      <c r="B331" t="s">
        <v>48</v>
      </c>
      <c r="C331" t="s">
        <v>24</v>
      </c>
      <c r="D331" t="s">
        <v>95</v>
      </c>
      <c r="E331">
        <v>0</v>
      </c>
      <c r="F331">
        <v>0</v>
      </c>
      <c r="G331">
        <v>0</v>
      </c>
      <c r="H331">
        <v>1</v>
      </c>
    </row>
    <row r="332" spans="1:8" x14ac:dyDescent="0.3">
      <c r="A332" t="s">
        <v>47</v>
      </c>
      <c r="B332" t="s">
        <v>48</v>
      </c>
      <c r="C332" t="s">
        <v>24</v>
      </c>
      <c r="D332" t="s">
        <v>97</v>
      </c>
      <c r="E332">
        <v>0</v>
      </c>
      <c r="F332">
        <v>0</v>
      </c>
      <c r="G332">
        <v>0</v>
      </c>
      <c r="H332">
        <v>1</v>
      </c>
    </row>
    <row r="333" spans="1:8" x14ac:dyDescent="0.3">
      <c r="A333" t="s">
        <v>47</v>
      </c>
      <c r="B333" t="s">
        <v>48</v>
      </c>
      <c r="C333" t="s">
        <v>24</v>
      </c>
      <c r="D333" t="s">
        <v>99</v>
      </c>
      <c r="E333">
        <v>0</v>
      </c>
      <c r="F333">
        <v>0</v>
      </c>
      <c r="G333">
        <v>0</v>
      </c>
      <c r="H333">
        <v>1</v>
      </c>
    </row>
    <row r="334" spans="1:8" x14ac:dyDescent="0.3">
      <c r="A334" t="s">
        <v>47</v>
      </c>
      <c r="B334" t="s">
        <v>48</v>
      </c>
      <c r="C334" t="s">
        <v>24</v>
      </c>
      <c r="D334" t="s">
        <v>101</v>
      </c>
      <c r="E334">
        <v>0</v>
      </c>
      <c r="F334">
        <v>0</v>
      </c>
      <c r="G334">
        <v>0</v>
      </c>
      <c r="H334">
        <v>1</v>
      </c>
    </row>
    <row r="335" spans="1:8" x14ac:dyDescent="0.3">
      <c r="A335" t="s">
        <v>47</v>
      </c>
      <c r="B335" t="s">
        <v>48</v>
      </c>
      <c r="C335" t="s">
        <v>24</v>
      </c>
      <c r="D335" t="s">
        <v>103</v>
      </c>
      <c r="E335">
        <v>0</v>
      </c>
      <c r="F335">
        <v>0</v>
      </c>
      <c r="G335">
        <v>0</v>
      </c>
      <c r="H335">
        <v>1</v>
      </c>
    </row>
    <row r="336" spans="1:8" x14ac:dyDescent="0.3">
      <c r="A336" t="s">
        <v>47</v>
      </c>
      <c r="B336" t="s">
        <v>48</v>
      </c>
      <c r="C336" t="s">
        <v>24</v>
      </c>
      <c r="D336" t="s">
        <v>105</v>
      </c>
      <c r="E336">
        <v>0</v>
      </c>
      <c r="F336">
        <v>0</v>
      </c>
      <c r="G336">
        <v>0</v>
      </c>
      <c r="H336">
        <v>1</v>
      </c>
    </row>
    <row r="337" spans="1:8" x14ac:dyDescent="0.3">
      <c r="A337" t="s">
        <v>47</v>
      </c>
      <c r="B337" t="s">
        <v>48</v>
      </c>
      <c r="C337" t="s">
        <v>24</v>
      </c>
      <c r="D337" t="s">
        <v>107</v>
      </c>
      <c r="E337">
        <v>0</v>
      </c>
      <c r="F337">
        <v>0</v>
      </c>
      <c r="G337">
        <v>0</v>
      </c>
      <c r="H337">
        <v>1</v>
      </c>
    </row>
    <row r="338" spans="1:8" x14ac:dyDescent="0.3">
      <c r="A338" t="s">
        <v>47</v>
      </c>
      <c r="B338" t="s">
        <v>48</v>
      </c>
      <c r="C338" t="s">
        <v>24</v>
      </c>
      <c r="D338" t="s">
        <v>109</v>
      </c>
      <c r="E338">
        <v>1</v>
      </c>
      <c r="F338">
        <v>1</v>
      </c>
      <c r="G338">
        <v>1</v>
      </c>
      <c r="H338">
        <v>1</v>
      </c>
    </row>
    <row r="339" spans="1:8" x14ac:dyDescent="0.3">
      <c r="A339" t="s">
        <v>47</v>
      </c>
      <c r="B339" t="s">
        <v>48</v>
      </c>
      <c r="C339" t="s">
        <v>24</v>
      </c>
      <c r="D339" t="s">
        <v>111</v>
      </c>
      <c r="E339">
        <v>0</v>
      </c>
      <c r="F339">
        <v>0</v>
      </c>
      <c r="G339">
        <v>0</v>
      </c>
      <c r="H339">
        <v>1</v>
      </c>
    </row>
    <row r="340" spans="1:8" x14ac:dyDescent="0.3">
      <c r="A340" t="s">
        <v>47</v>
      </c>
      <c r="B340" t="s">
        <v>48</v>
      </c>
      <c r="C340" t="s">
        <v>25</v>
      </c>
      <c r="D340" t="s">
        <v>77</v>
      </c>
      <c r="E340">
        <v>0</v>
      </c>
      <c r="F340">
        <v>0</v>
      </c>
      <c r="G340">
        <v>0</v>
      </c>
      <c r="H340">
        <v>1</v>
      </c>
    </row>
    <row r="341" spans="1:8" x14ac:dyDescent="0.3">
      <c r="A341" t="s">
        <v>47</v>
      </c>
      <c r="B341" t="s">
        <v>48</v>
      </c>
      <c r="C341" t="s">
        <v>25</v>
      </c>
      <c r="D341" t="s">
        <v>79</v>
      </c>
      <c r="E341">
        <v>0</v>
      </c>
      <c r="F341">
        <v>0</v>
      </c>
      <c r="G341">
        <v>0</v>
      </c>
      <c r="H341">
        <v>1</v>
      </c>
    </row>
    <row r="342" spans="1:8" x14ac:dyDescent="0.3">
      <c r="A342" t="s">
        <v>47</v>
      </c>
      <c r="B342" t="s">
        <v>48</v>
      </c>
      <c r="C342" t="s">
        <v>25</v>
      </c>
      <c r="D342" t="s">
        <v>81</v>
      </c>
      <c r="E342">
        <v>1</v>
      </c>
      <c r="F342">
        <v>0</v>
      </c>
      <c r="G342">
        <v>0</v>
      </c>
      <c r="H342">
        <v>0</v>
      </c>
    </row>
    <row r="343" spans="1:8" x14ac:dyDescent="0.3">
      <c r="A343" t="s">
        <v>47</v>
      </c>
      <c r="B343" t="s">
        <v>48</v>
      </c>
      <c r="C343" t="s">
        <v>25</v>
      </c>
      <c r="D343" t="s">
        <v>83</v>
      </c>
      <c r="E343">
        <v>0</v>
      </c>
      <c r="F343">
        <v>0</v>
      </c>
      <c r="G343">
        <v>0</v>
      </c>
      <c r="H343">
        <v>1</v>
      </c>
    </row>
    <row r="344" spans="1:8" x14ac:dyDescent="0.3">
      <c r="A344" t="s">
        <v>47</v>
      </c>
      <c r="B344" t="s">
        <v>48</v>
      </c>
      <c r="C344" t="s">
        <v>25</v>
      </c>
      <c r="D344" t="s">
        <v>85</v>
      </c>
      <c r="E344">
        <v>0</v>
      </c>
      <c r="F344">
        <v>0</v>
      </c>
      <c r="G344">
        <v>0</v>
      </c>
      <c r="H344">
        <v>1</v>
      </c>
    </row>
    <row r="345" spans="1:8" x14ac:dyDescent="0.3">
      <c r="A345" t="s">
        <v>47</v>
      </c>
      <c r="B345" t="s">
        <v>48</v>
      </c>
      <c r="C345" t="s">
        <v>25</v>
      </c>
      <c r="D345" t="s">
        <v>87</v>
      </c>
      <c r="E345">
        <v>0</v>
      </c>
      <c r="F345">
        <v>0</v>
      </c>
      <c r="G345">
        <v>0</v>
      </c>
      <c r="H345">
        <v>1</v>
      </c>
    </row>
    <row r="346" spans="1:8" x14ac:dyDescent="0.3">
      <c r="A346" t="s">
        <v>47</v>
      </c>
      <c r="B346" t="s">
        <v>48</v>
      </c>
      <c r="C346" t="s">
        <v>25</v>
      </c>
      <c r="D346" t="s">
        <v>89</v>
      </c>
      <c r="E346">
        <v>0</v>
      </c>
      <c r="F346">
        <v>0</v>
      </c>
      <c r="G346">
        <v>0</v>
      </c>
      <c r="H346">
        <v>1</v>
      </c>
    </row>
    <row r="347" spans="1:8" x14ac:dyDescent="0.3">
      <c r="A347" t="s">
        <v>47</v>
      </c>
      <c r="B347" t="s">
        <v>48</v>
      </c>
      <c r="C347" t="s">
        <v>25</v>
      </c>
      <c r="D347" t="s">
        <v>91</v>
      </c>
      <c r="E347">
        <v>0</v>
      </c>
      <c r="F347">
        <v>0</v>
      </c>
      <c r="G347">
        <v>0</v>
      </c>
      <c r="H347">
        <v>1</v>
      </c>
    </row>
    <row r="348" spans="1:8" x14ac:dyDescent="0.3">
      <c r="A348" t="s">
        <v>47</v>
      </c>
      <c r="B348" t="s">
        <v>48</v>
      </c>
      <c r="C348" t="s">
        <v>25</v>
      </c>
      <c r="D348" t="s">
        <v>93</v>
      </c>
      <c r="E348">
        <v>0</v>
      </c>
      <c r="F348">
        <v>0</v>
      </c>
      <c r="G348">
        <v>0</v>
      </c>
      <c r="H348">
        <v>1</v>
      </c>
    </row>
    <row r="349" spans="1:8" x14ac:dyDescent="0.3">
      <c r="A349" t="s">
        <v>47</v>
      </c>
      <c r="B349" t="s">
        <v>48</v>
      </c>
      <c r="C349" t="s">
        <v>25</v>
      </c>
      <c r="D349" t="s">
        <v>95</v>
      </c>
      <c r="E349">
        <v>0</v>
      </c>
      <c r="F349">
        <v>0</v>
      </c>
      <c r="G349">
        <v>0</v>
      </c>
      <c r="H349">
        <v>1</v>
      </c>
    </row>
    <row r="350" spans="1:8" x14ac:dyDescent="0.3">
      <c r="A350" t="s">
        <v>47</v>
      </c>
      <c r="B350" t="s">
        <v>48</v>
      </c>
      <c r="C350" t="s">
        <v>25</v>
      </c>
      <c r="D350" t="s">
        <v>97</v>
      </c>
      <c r="E350">
        <v>0</v>
      </c>
      <c r="F350">
        <v>0</v>
      </c>
      <c r="G350">
        <v>0</v>
      </c>
      <c r="H350">
        <v>1</v>
      </c>
    </row>
    <row r="351" spans="1:8" x14ac:dyDescent="0.3">
      <c r="A351" t="s">
        <v>47</v>
      </c>
      <c r="B351" t="s">
        <v>48</v>
      </c>
      <c r="C351" t="s">
        <v>25</v>
      </c>
      <c r="D351" t="s">
        <v>99</v>
      </c>
      <c r="E351">
        <v>0</v>
      </c>
      <c r="F351">
        <v>0</v>
      </c>
      <c r="G351">
        <v>0</v>
      </c>
      <c r="H351">
        <v>1</v>
      </c>
    </row>
    <row r="352" spans="1:8" x14ac:dyDescent="0.3">
      <c r="A352" t="s">
        <v>47</v>
      </c>
      <c r="B352" t="s">
        <v>48</v>
      </c>
      <c r="C352" t="s">
        <v>25</v>
      </c>
      <c r="D352" t="s">
        <v>101</v>
      </c>
      <c r="E352">
        <v>0</v>
      </c>
      <c r="F352">
        <v>0</v>
      </c>
      <c r="G352">
        <v>0</v>
      </c>
      <c r="H352">
        <v>1</v>
      </c>
    </row>
    <row r="353" spans="1:8" x14ac:dyDescent="0.3">
      <c r="A353" t="s">
        <v>47</v>
      </c>
      <c r="B353" t="s">
        <v>48</v>
      </c>
      <c r="C353" t="s">
        <v>25</v>
      </c>
      <c r="D353" t="s">
        <v>103</v>
      </c>
      <c r="E353">
        <v>0</v>
      </c>
      <c r="F353">
        <v>0</v>
      </c>
      <c r="G353">
        <v>0</v>
      </c>
      <c r="H353">
        <v>1</v>
      </c>
    </row>
    <row r="354" spans="1:8" x14ac:dyDescent="0.3">
      <c r="A354" t="s">
        <v>47</v>
      </c>
      <c r="B354" t="s">
        <v>48</v>
      </c>
      <c r="C354" t="s">
        <v>25</v>
      </c>
      <c r="D354" t="s">
        <v>105</v>
      </c>
      <c r="E354">
        <v>0</v>
      </c>
      <c r="F354">
        <v>0</v>
      </c>
      <c r="G354">
        <v>0</v>
      </c>
      <c r="H354">
        <v>1</v>
      </c>
    </row>
    <row r="355" spans="1:8" x14ac:dyDescent="0.3">
      <c r="A355" t="s">
        <v>47</v>
      </c>
      <c r="B355" t="s">
        <v>48</v>
      </c>
      <c r="C355" t="s">
        <v>25</v>
      </c>
      <c r="D355" t="s">
        <v>107</v>
      </c>
      <c r="E355">
        <v>0</v>
      </c>
      <c r="F355">
        <v>0</v>
      </c>
      <c r="G355">
        <v>0</v>
      </c>
      <c r="H355">
        <v>1</v>
      </c>
    </row>
    <row r="356" spans="1:8" x14ac:dyDescent="0.3">
      <c r="A356" t="s">
        <v>47</v>
      </c>
      <c r="B356" t="s">
        <v>48</v>
      </c>
      <c r="C356" t="s">
        <v>25</v>
      </c>
      <c r="D356" t="s">
        <v>111</v>
      </c>
      <c r="E356">
        <v>0</v>
      </c>
      <c r="F356">
        <v>0</v>
      </c>
      <c r="G356">
        <v>0</v>
      </c>
      <c r="H356">
        <v>1</v>
      </c>
    </row>
    <row r="357" spans="1:8" x14ac:dyDescent="0.3">
      <c r="A357" t="s">
        <v>49</v>
      </c>
      <c r="B357" t="s">
        <v>50</v>
      </c>
      <c r="C357" t="s">
        <v>21</v>
      </c>
      <c r="D357" t="s">
        <v>77</v>
      </c>
      <c r="E357">
        <v>0</v>
      </c>
      <c r="F357">
        <v>0</v>
      </c>
      <c r="G357">
        <v>0</v>
      </c>
      <c r="H357">
        <v>1</v>
      </c>
    </row>
    <row r="358" spans="1:8" x14ac:dyDescent="0.3">
      <c r="A358" t="s">
        <v>49</v>
      </c>
      <c r="B358" t="s">
        <v>50</v>
      </c>
      <c r="C358" t="s">
        <v>21</v>
      </c>
      <c r="D358" t="s">
        <v>79</v>
      </c>
      <c r="E358">
        <v>0</v>
      </c>
      <c r="F358">
        <v>0</v>
      </c>
      <c r="G358">
        <v>0</v>
      </c>
      <c r="H358">
        <v>1</v>
      </c>
    </row>
    <row r="359" spans="1:8" x14ac:dyDescent="0.3">
      <c r="A359" t="s">
        <v>49</v>
      </c>
      <c r="B359" t="s">
        <v>50</v>
      </c>
      <c r="C359" t="s">
        <v>21</v>
      </c>
      <c r="D359" t="s">
        <v>81</v>
      </c>
      <c r="E359">
        <v>1</v>
      </c>
      <c r="F359">
        <v>1</v>
      </c>
      <c r="G359">
        <v>1</v>
      </c>
      <c r="H359">
        <v>1</v>
      </c>
    </row>
    <row r="360" spans="1:8" x14ac:dyDescent="0.3">
      <c r="A360" t="s">
        <v>49</v>
      </c>
      <c r="B360" t="s">
        <v>50</v>
      </c>
      <c r="C360" t="s">
        <v>21</v>
      </c>
      <c r="D360" t="s">
        <v>83</v>
      </c>
      <c r="E360">
        <v>0</v>
      </c>
      <c r="F360">
        <v>0</v>
      </c>
      <c r="G360">
        <v>0</v>
      </c>
      <c r="H360">
        <v>1</v>
      </c>
    </row>
    <row r="361" spans="1:8" x14ac:dyDescent="0.3">
      <c r="A361" t="s">
        <v>49</v>
      </c>
      <c r="B361" t="s">
        <v>50</v>
      </c>
      <c r="C361" t="s">
        <v>21</v>
      </c>
      <c r="D361" t="s">
        <v>85</v>
      </c>
      <c r="E361">
        <v>0</v>
      </c>
      <c r="F361">
        <v>0</v>
      </c>
      <c r="G361">
        <v>0</v>
      </c>
      <c r="H361">
        <v>1</v>
      </c>
    </row>
    <row r="362" spans="1:8" x14ac:dyDescent="0.3">
      <c r="A362" t="s">
        <v>49</v>
      </c>
      <c r="B362" t="s">
        <v>50</v>
      </c>
      <c r="C362" t="s">
        <v>21</v>
      </c>
      <c r="D362" t="s">
        <v>87</v>
      </c>
      <c r="E362">
        <v>0</v>
      </c>
      <c r="F362">
        <v>0</v>
      </c>
      <c r="G362">
        <v>0</v>
      </c>
      <c r="H362">
        <v>1</v>
      </c>
    </row>
    <row r="363" spans="1:8" x14ac:dyDescent="0.3">
      <c r="A363" t="s">
        <v>49</v>
      </c>
      <c r="B363" t="s">
        <v>50</v>
      </c>
      <c r="C363" t="s">
        <v>21</v>
      </c>
      <c r="D363" t="s">
        <v>89</v>
      </c>
      <c r="E363">
        <v>0</v>
      </c>
      <c r="F363">
        <v>0</v>
      </c>
      <c r="G363">
        <v>0</v>
      </c>
      <c r="H363">
        <v>1</v>
      </c>
    </row>
    <row r="364" spans="1:8" x14ac:dyDescent="0.3">
      <c r="A364" t="s">
        <v>49</v>
      </c>
      <c r="B364" t="s">
        <v>50</v>
      </c>
      <c r="C364" t="s">
        <v>21</v>
      </c>
      <c r="D364" t="s">
        <v>91</v>
      </c>
      <c r="E364">
        <v>0</v>
      </c>
      <c r="F364">
        <v>0</v>
      </c>
      <c r="G364">
        <v>0</v>
      </c>
      <c r="H364">
        <v>1</v>
      </c>
    </row>
    <row r="365" spans="1:8" x14ac:dyDescent="0.3">
      <c r="A365" t="s">
        <v>49</v>
      </c>
      <c r="B365" t="s">
        <v>50</v>
      </c>
      <c r="C365" t="s">
        <v>21</v>
      </c>
      <c r="D365" t="s">
        <v>93</v>
      </c>
      <c r="E365">
        <v>0</v>
      </c>
      <c r="F365">
        <v>0</v>
      </c>
      <c r="G365">
        <v>0</v>
      </c>
      <c r="H365">
        <v>1</v>
      </c>
    </row>
    <row r="366" spans="1:8" x14ac:dyDescent="0.3">
      <c r="A366" t="s">
        <v>49</v>
      </c>
      <c r="B366" t="s">
        <v>50</v>
      </c>
      <c r="C366" t="s">
        <v>21</v>
      </c>
      <c r="D366" t="s">
        <v>95</v>
      </c>
      <c r="E366">
        <v>0</v>
      </c>
      <c r="F366">
        <v>0</v>
      </c>
      <c r="G366">
        <v>0</v>
      </c>
      <c r="H366">
        <v>1</v>
      </c>
    </row>
    <row r="367" spans="1:8" x14ac:dyDescent="0.3">
      <c r="A367" t="s">
        <v>49</v>
      </c>
      <c r="B367" t="s">
        <v>50</v>
      </c>
      <c r="C367" t="s">
        <v>21</v>
      </c>
      <c r="D367" t="s">
        <v>97</v>
      </c>
      <c r="E367">
        <v>0</v>
      </c>
      <c r="F367">
        <v>0</v>
      </c>
      <c r="G367">
        <v>0</v>
      </c>
      <c r="H367">
        <v>1</v>
      </c>
    </row>
    <row r="368" spans="1:8" x14ac:dyDescent="0.3">
      <c r="A368" t="s">
        <v>49</v>
      </c>
      <c r="B368" t="s">
        <v>50</v>
      </c>
      <c r="C368" t="s">
        <v>21</v>
      </c>
      <c r="D368" t="s">
        <v>99</v>
      </c>
      <c r="E368">
        <v>0</v>
      </c>
      <c r="F368">
        <v>0</v>
      </c>
      <c r="G368">
        <v>0</v>
      </c>
      <c r="H368">
        <v>1</v>
      </c>
    </row>
    <row r="369" spans="1:8" x14ac:dyDescent="0.3">
      <c r="A369" t="s">
        <v>49</v>
      </c>
      <c r="B369" t="s">
        <v>50</v>
      </c>
      <c r="C369" t="s">
        <v>21</v>
      </c>
      <c r="D369" t="s">
        <v>101</v>
      </c>
      <c r="E369">
        <v>1</v>
      </c>
      <c r="F369">
        <v>1</v>
      </c>
      <c r="G369">
        <v>1</v>
      </c>
      <c r="H369">
        <v>1</v>
      </c>
    </row>
    <row r="370" spans="1:8" x14ac:dyDescent="0.3">
      <c r="A370" t="s">
        <v>49</v>
      </c>
      <c r="B370" t="s">
        <v>50</v>
      </c>
      <c r="C370" t="s">
        <v>21</v>
      </c>
      <c r="D370" t="s">
        <v>103</v>
      </c>
      <c r="E370">
        <v>0</v>
      </c>
      <c r="F370">
        <v>0</v>
      </c>
      <c r="G370">
        <v>0</v>
      </c>
      <c r="H370">
        <v>1</v>
      </c>
    </row>
    <row r="371" spans="1:8" x14ac:dyDescent="0.3">
      <c r="A371" t="s">
        <v>49</v>
      </c>
      <c r="B371" t="s">
        <v>50</v>
      </c>
      <c r="C371" t="s">
        <v>21</v>
      </c>
      <c r="D371" t="s">
        <v>105</v>
      </c>
      <c r="E371">
        <v>0</v>
      </c>
      <c r="F371">
        <v>0</v>
      </c>
      <c r="G371">
        <v>0</v>
      </c>
      <c r="H371">
        <v>1</v>
      </c>
    </row>
    <row r="372" spans="1:8" x14ac:dyDescent="0.3">
      <c r="A372" t="s">
        <v>49</v>
      </c>
      <c r="B372" t="s">
        <v>50</v>
      </c>
      <c r="C372" t="s">
        <v>21</v>
      </c>
      <c r="D372" t="s">
        <v>107</v>
      </c>
      <c r="E372">
        <v>0</v>
      </c>
      <c r="F372">
        <v>0</v>
      </c>
      <c r="G372">
        <v>0</v>
      </c>
      <c r="H372">
        <v>1</v>
      </c>
    </row>
    <row r="373" spans="1:8" x14ac:dyDescent="0.3">
      <c r="A373" t="s">
        <v>49</v>
      </c>
      <c r="B373" t="s">
        <v>50</v>
      </c>
      <c r="C373" t="s">
        <v>21</v>
      </c>
      <c r="D373" t="s">
        <v>109</v>
      </c>
      <c r="E373">
        <v>1</v>
      </c>
      <c r="F373">
        <v>1</v>
      </c>
      <c r="G373">
        <v>1</v>
      </c>
      <c r="H373">
        <v>1</v>
      </c>
    </row>
    <row r="374" spans="1:8" x14ac:dyDescent="0.3">
      <c r="A374" t="s">
        <v>49</v>
      </c>
      <c r="B374" t="s">
        <v>50</v>
      </c>
      <c r="C374" t="s">
        <v>21</v>
      </c>
      <c r="D374" t="s">
        <v>111</v>
      </c>
      <c r="E374">
        <v>0</v>
      </c>
      <c r="F374">
        <v>0</v>
      </c>
      <c r="G374">
        <v>0</v>
      </c>
      <c r="H374">
        <v>1</v>
      </c>
    </row>
    <row r="375" spans="1:8" x14ac:dyDescent="0.3">
      <c r="A375" t="s">
        <v>49</v>
      </c>
      <c r="B375" t="s">
        <v>50</v>
      </c>
      <c r="C375" t="s">
        <v>23</v>
      </c>
      <c r="D375" t="s">
        <v>77</v>
      </c>
      <c r="E375">
        <v>0</v>
      </c>
      <c r="F375">
        <v>0</v>
      </c>
      <c r="G375">
        <v>0</v>
      </c>
      <c r="H375">
        <v>1</v>
      </c>
    </row>
    <row r="376" spans="1:8" x14ac:dyDescent="0.3">
      <c r="A376" t="s">
        <v>49</v>
      </c>
      <c r="B376" t="s">
        <v>50</v>
      </c>
      <c r="C376" t="s">
        <v>23</v>
      </c>
      <c r="D376" t="s">
        <v>79</v>
      </c>
      <c r="E376">
        <v>0</v>
      </c>
      <c r="F376">
        <v>0</v>
      </c>
      <c r="G376">
        <v>0</v>
      </c>
      <c r="H376">
        <v>1</v>
      </c>
    </row>
    <row r="377" spans="1:8" x14ac:dyDescent="0.3">
      <c r="A377" t="s">
        <v>49</v>
      </c>
      <c r="B377" t="s">
        <v>50</v>
      </c>
      <c r="C377" t="s">
        <v>23</v>
      </c>
      <c r="D377" t="s">
        <v>81</v>
      </c>
      <c r="E377">
        <v>0</v>
      </c>
      <c r="F377">
        <v>0</v>
      </c>
      <c r="G377">
        <v>0</v>
      </c>
      <c r="H377">
        <v>1</v>
      </c>
    </row>
    <row r="378" spans="1:8" x14ac:dyDescent="0.3">
      <c r="A378" t="s">
        <v>49</v>
      </c>
      <c r="B378" t="s">
        <v>50</v>
      </c>
      <c r="C378" t="s">
        <v>23</v>
      </c>
      <c r="D378" t="s">
        <v>83</v>
      </c>
      <c r="E378">
        <v>0</v>
      </c>
      <c r="F378">
        <v>1</v>
      </c>
      <c r="G378">
        <v>0</v>
      </c>
      <c r="H378">
        <v>0</v>
      </c>
    </row>
    <row r="379" spans="1:8" x14ac:dyDescent="0.3">
      <c r="A379" t="s">
        <v>49</v>
      </c>
      <c r="B379" t="s">
        <v>50</v>
      </c>
      <c r="C379" t="s">
        <v>23</v>
      </c>
      <c r="D379" t="s">
        <v>85</v>
      </c>
      <c r="E379">
        <v>0</v>
      </c>
      <c r="F379">
        <v>0</v>
      </c>
      <c r="G379">
        <v>0</v>
      </c>
      <c r="H379">
        <v>1</v>
      </c>
    </row>
    <row r="380" spans="1:8" x14ac:dyDescent="0.3">
      <c r="A380" t="s">
        <v>49</v>
      </c>
      <c r="B380" t="s">
        <v>50</v>
      </c>
      <c r="C380" t="s">
        <v>23</v>
      </c>
      <c r="D380" t="s">
        <v>87</v>
      </c>
      <c r="E380">
        <v>0</v>
      </c>
      <c r="F380">
        <v>0</v>
      </c>
      <c r="G380">
        <v>0</v>
      </c>
      <c r="H380">
        <v>1</v>
      </c>
    </row>
    <row r="381" spans="1:8" x14ac:dyDescent="0.3">
      <c r="A381" t="s">
        <v>49</v>
      </c>
      <c r="B381" t="s">
        <v>50</v>
      </c>
      <c r="C381" t="s">
        <v>23</v>
      </c>
      <c r="D381" t="s">
        <v>89</v>
      </c>
      <c r="E381">
        <v>0</v>
      </c>
      <c r="F381">
        <v>0</v>
      </c>
      <c r="G381">
        <v>0</v>
      </c>
      <c r="H381">
        <v>1</v>
      </c>
    </row>
    <row r="382" spans="1:8" x14ac:dyDescent="0.3">
      <c r="A382" t="s">
        <v>49</v>
      </c>
      <c r="B382" t="s">
        <v>50</v>
      </c>
      <c r="C382" t="s">
        <v>23</v>
      </c>
      <c r="D382" t="s">
        <v>91</v>
      </c>
      <c r="E382">
        <v>0</v>
      </c>
      <c r="F382">
        <v>0</v>
      </c>
      <c r="G382">
        <v>0</v>
      </c>
      <c r="H382">
        <v>1</v>
      </c>
    </row>
    <row r="383" spans="1:8" x14ac:dyDescent="0.3">
      <c r="A383" t="s">
        <v>49</v>
      </c>
      <c r="B383" t="s">
        <v>50</v>
      </c>
      <c r="C383" t="s">
        <v>23</v>
      </c>
      <c r="D383" t="s">
        <v>93</v>
      </c>
      <c r="E383">
        <v>0</v>
      </c>
      <c r="F383">
        <v>0</v>
      </c>
      <c r="G383">
        <v>0</v>
      </c>
      <c r="H383">
        <v>1</v>
      </c>
    </row>
    <row r="384" spans="1:8" x14ac:dyDescent="0.3">
      <c r="A384" t="s">
        <v>49</v>
      </c>
      <c r="B384" t="s">
        <v>50</v>
      </c>
      <c r="C384" t="s">
        <v>23</v>
      </c>
      <c r="D384" t="s">
        <v>95</v>
      </c>
      <c r="E384">
        <v>0</v>
      </c>
      <c r="F384">
        <v>0</v>
      </c>
      <c r="G384">
        <v>0</v>
      </c>
      <c r="H384">
        <v>1</v>
      </c>
    </row>
    <row r="385" spans="1:8" x14ac:dyDescent="0.3">
      <c r="A385" t="s">
        <v>49</v>
      </c>
      <c r="B385" t="s">
        <v>50</v>
      </c>
      <c r="C385" t="s">
        <v>23</v>
      </c>
      <c r="D385" t="s">
        <v>97</v>
      </c>
      <c r="E385">
        <v>0</v>
      </c>
      <c r="F385">
        <v>0</v>
      </c>
      <c r="G385">
        <v>0</v>
      </c>
      <c r="H385">
        <v>1</v>
      </c>
    </row>
    <row r="386" spans="1:8" x14ac:dyDescent="0.3">
      <c r="A386" t="s">
        <v>49</v>
      </c>
      <c r="B386" t="s">
        <v>50</v>
      </c>
      <c r="C386" t="s">
        <v>23</v>
      </c>
      <c r="D386" t="s">
        <v>99</v>
      </c>
      <c r="E386">
        <v>0</v>
      </c>
      <c r="F386">
        <v>0</v>
      </c>
      <c r="G386">
        <v>0</v>
      </c>
      <c r="H386">
        <v>1</v>
      </c>
    </row>
    <row r="387" spans="1:8" x14ac:dyDescent="0.3">
      <c r="A387" t="s">
        <v>49</v>
      </c>
      <c r="B387" t="s">
        <v>50</v>
      </c>
      <c r="C387" t="s">
        <v>23</v>
      </c>
      <c r="D387" t="s">
        <v>101</v>
      </c>
      <c r="E387">
        <v>0</v>
      </c>
      <c r="F387">
        <v>0</v>
      </c>
      <c r="G387">
        <v>0</v>
      </c>
      <c r="H387">
        <v>1</v>
      </c>
    </row>
    <row r="388" spans="1:8" x14ac:dyDescent="0.3">
      <c r="A388" t="s">
        <v>49</v>
      </c>
      <c r="B388" t="s">
        <v>50</v>
      </c>
      <c r="C388" t="s">
        <v>23</v>
      </c>
      <c r="D388" t="s">
        <v>103</v>
      </c>
      <c r="E388">
        <v>0</v>
      </c>
      <c r="F388">
        <v>0</v>
      </c>
      <c r="G388">
        <v>0</v>
      </c>
      <c r="H388">
        <v>1</v>
      </c>
    </row>
    <row r="389" spans="1:8" x14ac:dyDescent="0.3">
      <c r="A389" t="s">
        <v>49</v>
      </c>
      <c r="B389" t="s">
        <v>50</v>
      </c>
      <c r="C389" t="s">
        <v>23</v>
      </c>
      <c r="D389" t="s">
        <v>105</v>
      </c>
      <c r="E389">
        <v>0</v>
      </c>
      <c r="F389">
        <v>0</v>
      </c>
      <c r="G389">
        <v>0</v>
      </c>
      <c r="H389">
        <v>1</v>
      </c>
    </row>
    <row r="390" spans="1:8" x14ac:dyDescent="0.3">
      <c r="A390" t="s">
        <v>49</v>
      </c>
      <c r="B390" t="s">
        <v>50</v>
      </c>
      <c r="C390" t="s">
        <v>23</v>
      </c>
      <c r="D390" t="s">
        <v>107</v>
      </c>
      <c r="E390">
        <v>0</v>
      </c>
      <c r="F390">
        <v>0</v>
      </c>
      <c r="G390">
        <v>0</v>
      </c>
      <c r="H390">
        <v>1</v>
      </c>
    </row>
    <row r="391" spans="1:8" x14ac:dyDescent="0.3">
      <c r="A391" t="s">
        <v>49</v>
      </c>
      <c r="B391" t="s">
        <v>50</v>
      </c>
      <c r="C391" t="s">
        <v>23</v>
      </c>
      <c r="D391" t="s">
        <v>109</v>
      </c>
      <c r="E391">
        <v>1</v>
      </c>
      <c r="F391">
        <v>1</v>
      </c>
      <c r="G391">
        <v>1</v>
      </c>
      <c r="H391">
        <v>1</v>
      </c>
    </row>
    <row r="392" spans="1:8" x14ac:dyDescent="0.3">
      <c r="A392" t="s">
        <v>49</v>
      </c>
      <c r="B392" t="s">
        <v>50</v>
      </c>
      <c r="C392" t="s">
        <v>23</v>
      </c>
      <c r="D392" t="s">
        <v>111</v>
      </c>
      <c r="E392">
        <v>0</v>
      </c>
      <c r="F392">
        <v>0</v>
      </c>
      <c r="G392">
        <v>0</v>
      </c>
      <c r="H392">
        <v>1</v>
      </c>
    </row>
    <row r="393" spans="1:8" x14ac:dyDescent="0.3">
      <c r="A393" t="s">
        <v>49</v>
      </c>
      <c r="B393" t="s">
        <v>50</v>
      </c>
      <c r="C393" t="s">
        <v>24</v>
      </c>
      <c r="D393" t="s">
        <v>77</v>
      </c>
      <c r="E393">
        <v>0</v>
      </c>
      <c r="F393">
        <v>1</v>
      </c>
      <c r="G393">
        <v>0</v>
      </c>
      <c r="H393">
        <v>0</v>
      </c>
    </row>
    <row r="394" spans="1:8" x14ac:dyDescent="0.3">
      <c r="A394" t="s">
        <v>49</v>
      </c>
      <c r="B394" t="s">
        <v>50</v>
      </c>
      <c r="C394" t="s">
        <v>24</v>
      </c>
      <c r="D394" t="s">
        <v>79</v>
      </c>
      <c r="E394">
        <v>0</v>
      </c>
      <c r="F394">
        <v>0</v>
      </c>
      <c r="G394">
        <v>0</v>
      </c>
      <c r="H394">
        <v>1</v>
      </c>
    </row>
    <row r="395" spans="1:8" x14ac:dyDescent="0.3">
      <c r="A395" t="s">
        <v>49</v>
      </c>
      <c r="B395" t="s">
        <v>50</v>
      </c>
      <c r="C395" t="s">
        <v>24</v>
      </c>
      <c r="D395" t="s">
        <v>81</v>
      </c>
      <c r="E395">
        <v>1</v>
      </c>
      <c r="F395">
        <v>1</v>
      </c>
      <c r="G395">
        <v>1</v>
      </c>
      <c r="H395">
        <v>1</v>
      </c>
    </row>
    <row r="396" spans="1:8" x14ac:dyDescent="0.3">
      <c r="A396" t="s">
        <v>49</v>
      </c>
      <c r="B396" t="s">
        <v>50</v>
      </c>
      <c r="C396" t="s">
        <v>24</v>
      </c>
      <c r="D396" t="s">
        <v>83</v>
      </c>
      <c r="E396">
        <v>1</v>
      </c>
      <c r="F396">
        <v>1</v>
      </c>
      <c r="G396">
        <v>1</v>
      </c>
      <c r="H396">
        <v>1</v>
      </c>
    </row>
    <row r="397" spans="1:8" x14ac:dyDescent="0.3">
      <c r="A397" t="s">
        <v>49</v>
      </c>
      <c r="B397" t="s">
        <v>50</v>
      </c>
      <c r="C397" t="s">
        <v>24</v>
      </c>
      <c r="D397" t="s">
        <v>85</v>
      </c>
      <c r="E397">
        <v>0</v>
      </c>
      <c r="F397">
        <v>0</v>
      </c>
      <c r="G397">
        <v>0</v>
      </c>
      <c r="H397">
        <v>1</v>
      </c>
    </row>
    <row r="398" spans="1:8" x14ac:dyDescent="0.3">
      <c r="A398" t="s">
        <v>49</v>
      </c>
      <c r="B398" t="s">
        <v>50</v>
      </c>
      <c r="C398" t="s">
        <v>24</v>
      </c>
      <c r="D398" t="s">
        <v>87</v>
      </c>
      <c r="E398">
        <v>0</v>
      </c>
      <c r="F398">
        <v>0</v>
      </c>
      <c r="G398">
        <v>0</v>
      </c>
      <c r="H398">
        <v>1</v>
      </c>
    </row>
    <row r="399" spans="1:8" x14ac:dyDescent="0.3">
      <c r="A399" t="s">
        <v>49</v>
      </c>
      <c r="B399" t="s">
        <v>50</v>
      </c>
      <c r="C399" t="s">
        <v>24</v>
      </c>
      <c r="D399" t="s">
        <v>89</v>
      </c>
      <c r="E399">
        <v>0</v>
      </c>
      <c r="F399">
        <v>0</v>
      </c>
      <c r="G399">
        <v>0</v>
      </c>
      <c r="H399">
        <v>1</v>
      </c>
    </row>
    <row r="400" spans="1:8" x14ac:dyDescent="0.3">
      <c r="A400" t="s">
        <v>49</v>
      </c>
      <c r="B400" t="s">
        <v>50</v>
      </c>
      <c r="C400" t="s">
        <v>24</v>
      </c>
      <c r="D400" t="s">
        <v>91</v>
      </c>
      <c r="E400">
        <v>0</v>
      </c>
      <c r="F400">
        <v>0</v>
      </c>
      <c r="G400">
        <v>0</v>
      </c>
      <c r="H400">
        <v>1</v>
      </c>
    </row>
    <row r="401" spans="1:8" x14ac:dyDescent="0.3">
      <c r="A401" t="s">
        <v>49</v>
      </c>
      <c r="B401" t="s">
        <v>50</v>
      </c>
      <c r="C401" t="s">
        <v>24</v>
      </c>
      <c r="D401" t="s">
        <v>93</v>
      </c>
      <c r="E401">
        <v>0</v>
      </c>
      <c r="F401">
        <v>0</v>
      </c>
      <c r="G401">
        <v>0</v>
      </c>
      <c r="H401">
        <v>1</v>
      </c>
    </row>
    <row r="402" spans="1:8" x14ac:dyDescent="0.3">
      <c r="A402" t="s">
        <v>49</v>
      </c>
      <c r="B402" t="s">
        <v>50</v>
      </c>
      <c r="C402" t="s">
        <v>24</v>
      </c>
      <c r="D402" t="s">
        <v>95</v>
      </c>
      <c r="E402">
        <v>0</v>
      </c>
      <c r="F402">
        <v>0</v>
      </c>
      <c r="G402">
        <v>0</v>
      </c>
      <c r="H402">
        <v>1</v>
      </c>
    </row>
    <row r="403" spans="1:8" x14ac:dyDescent="0.3">
      <c r="A403" t="s">
        <v>49</v>
      </c>
      <c r="B403" t="s">
        <v>50</v>
      </c>
      <c r="C403" t="s">
        <v>24</v>
      </c>
      <c r="D403" t="s">
        <v>97</v>
      </c>
      <c r="E403">
        <v>0</v>
      </c>
      <c r="F403">
        <v>0</v>
      </c>
      <c r="G403">
        <v>0</v>
      </c>
      <c r="H403">
        <v>1</v>
      </c>
    </row>
    <row r="404" spans="1:8" x14ac:dyDescent="0.3">
      <c r="A404" t="s">
        <v>49</v>
      </c>
      <c r="B404" t="s">
        <v>50</v>
      </c>
      <c r="C404" t="s">
        <v>24</v>
      </c>
      <c r="D404" t="s">
        <v>99</v>
      </c>
      <c r="E404">
        <v>0</v>
      </c>
      <c r="F404">
        <v>0</v>
      </c>
      <c r="G404">
        <v>0</v>
      </c>
      <c r="H404">
        <v>1</v>
      </c>
    </row>
    <row r="405" spans="1:8" x14ac:dyDescent="0.3">
      <c r="A405" t="s">
        <v>49</v>
      </c>
      <c r="B405" t="s">
        <v>50</v>
      </c>
      <c r="C405" t="s">
        <v>24</v>
      </c>
      <c r="D405" t="s">
        <v>101</v>
      </c>
      <c r="E405">
        <v>1</v>
      </c>
      <c r="F405">
        <v>1</v>
      </c>
      <c r="G405">
        <v>1</v>
      </c>
      <c r="H405">
        <v>1</v>
      </c>
    </row>
    <row r="406" spans="1:8" x14ac:dyDescent="0.3">
      <c r="A406" t="s">
        <v>49</v>
      </c>
      <c r="B406" t="s">
        <v>50</v>
      </c>
      <c r="C406" t="s">
        <v>24</v>
      </c>
      <c r="D406" t="s">
        <v>103</v>
      </c>
      <c r="E406">
        <v>0</v>
      </c>
      <c r="F406">
        <v>0</v>
      </c>
      <c r="G406">
        <v>0</v>
      </c>
      <c r="H406">
        <v>1</v>
      </c>
    </row>
    <row r="407" spans="1:8" x14ac:dyDescent="0.3">
      <c r="A407" t="s">
        <v>49</v>
      </c>
      <c r="B407" t="s">
        <v>50</v>
      </c>
      <c r="C407" t="s">
        <v>24</v>
      </c>
      <c r="D407" t="s">
        <v>105</v>
      </c>
      <c r="E407">
        <v>0</v>
      </c>
      <c r="F407">
        <v>0</v>
      </c>
      <c r="G407">
        <v>0</v>
      </c>
      <c r="H407">
        <v>1</v>
      </c>
    </row>
    <row r="408" spans="1:8" x14ac:dyDescent="0.3">
      <c r="A408" t="s">
        <v>49</v>
      </c>
      <c r="B408" t="s">
        <v>50</v>
      </c>
      <c r="C408" t="s">
        <v>24</v>
      </c>
      <c r="D408" t="s">
        <v>107</v>
      </c>
      <c r="E408">
        <v>0</v>
      </c>
      <c r="F408">
        <v>0</v>
      </c>
      <c r="G408">
        <v>0</v>
      </c>
      <c r="H408">
        <v>1</v>
      </c>
    </row>
    <row r="409" spans="1:8" x14ac:dyDescent="0.3">
      <c r="A409" t="s">
        <v>49</v>
      </c>
      <c r="B409" t="s">
        <v>50</v>
      </c>
      <c r="C409" t="s">
        <v>24</v>
      </c>
      <c r="D409" t="s">
        <v>109</v>
      </c>
      <c r="E409">
        <v>0</v>
      </c>
      <c r="F409">
        <v>1</v>
      </c>
      <c r="G409">
        <v>1</v>
      </c>
      <c r="H409">
        <v>0</v>
      </c>
    </row>
    <row r="410" spans="1:8" x14ac:dyDescent="0.3">
      <c r="A410" t="s">
        <v>49</v>
      </c>
      <c r="B410" t="s">
        <v>50</v>
      </c>
      <c r="C410" t="s">
        <v>24</v>
      </c>
      <c r="D410" t="s">
        <v>111</v>
      </c>
      <c r="E410">
        <v>0</v>
      </c>
      <c r="F410">
        <v>0</v>
      </c>
      <c r="G410">
        <v>0</v>
      </c>
      <c r="H410">
        <v>1</v>
      </c>
    </row>
    <row r="411" spans="1:8" x14ac:dyDescent="0.3">
      <c r="A411" t="s">
        <v>49</v>
      </c>
      <c r="B411" t="s">
        <v>50</v>
      </c>
      <c r="C411" t="s">
        <v>25</v>
      </c>
      <c r="D411" t="s">
        <v>77</v>
      </c>
      <c r="E411">
        <v>0</v>
      </c>
      <c r="F411">
        <v>0</v>
      </c>
      <c r="G411">
        <v>0</v>
      </c>
      <c r="H411">
        <v>1</v>
      </c>
    </row>
    <row r="412" spans="1:8" x14ac:dyDescent="0.3">
      <c r="A412" t="s">
        <v>49</v>
      </c>
      <c r="B412" t="s">
        <v>50</v>
      </c>
      <c r="C412" t="s">
        <v>25</v>
      </c>
      <c r="D412" t="s">
        <v>79</v>
      </c>
      <c r="E412">
        <v>0</v>
      </c>
      <c r="F412">
        <v>0</v>
      </c>
      <c r="G412">
        <v>0</v>
      </c>
      <c r="H412">
        <v>1</v>
      </c>
    </row>
    <row r="413" spans="1:8" x14ac:dyDescent="0.3">
      <c r="A413" t="s">
        <v>49</v>
      </c>
      <c r="B413" t="s">
        <v>50</v>
      </c>
      <c r="C413" t="s">
        <v>25</v>
      </c>
      <c r="D413" t="s">
        <v>81</v>
      </c>
      <c r="E413">
        <v>1</v>
      </c>
      <c r="F413">
        <v>1</v>
      </c>
      <c r="G413">
        <v>1</v>
      </c>
      <c r="H413">
        <v>1</v>
      </c>
    </row>
    <row r="414" spans="1:8" x14ac:dyDescent="0.3">
      <c r="A414" t="s">
        <v>49</v>
      </c>
      <c r="B414" t="s">
        <v>50</v>
      </c>
      <c r="C414" t="s">
        <v>25</v>
      </c>
      <c r="D414" t="s">
        <v>83</v>
      </c>
      <c r="E414">
        <v>0</v>
      </c>
      <c r="F414">
        <v>0</v>
      </c>
      <c r="G414">
        <v>0</v>
      </c>
      <c r="H414">
        <v>1</v>
      </c>
    </row>
    <row r="415" spans="1:8" x14ac:dyDescent="0.3">
      <c r="A415" t="s">
        <v>49</v>
      </c>
      <c r="B415" t="s">
        <v>50</v>
      </c>
      <c r="C415" t="s">
        <v>25</v>
      </c>
      <c r="D415" t="s">
        <v>85</v>
      </c>
      <c r="E415">
        <v>0</v>
      </c>
      <c r="F415">
        <v>0</v>
      </c>
      <c r="G415">
        <v>0</v>
      </c>
      <c r="H415">
        <v>1</v>
      </c>
    </row>
    <row r="416" spans="1:8" x14ac:dyDescent="0.3">
      <c r="A416" t="s">
        <v>49</v>
      </c>
      <c r="B416" t="s">
        <v>50</v>
      </c>
      <c r="C416" t="s">
        <v>25</v>
      </c>
      <c r="D416" t="s">
        <v>87</v>
      </c>
      <c r="E416">
        <v>0</v>
      </c>
      <c r="F416">
        <v>0</v>
      </c>
      <c r="G416">
        <v>0</v>
      </c>
      <c r="H416">
        <v>1</v>
      </c>
    </row>
    <row r="417" spans="1:8" x14ac:dyDescent="0.3">
      <c r="A417" t="s">
        <v>49</v>
      </c>
      <c r="B417" t="s">
        <v>50</v>
      </c>
      <c r="C417" t="s">
        <v>25</v>
      </c>
      <c r="D417" t="s">
        <v>89</v>
      </c>
      <c r="E417">
        <v>0</v>
      </c>
      <c r="F417">
        <v>0</v>
      </c>
      <c r="G417">
        <v>0</v>
      </c>
      <c r="H417">
        <v>1</v>
      </c>
    </row>
    <row r="418" spans="1:8" x14ac:dyDescent="0.3">
      <c r="A418" t="s">
        <v>49</v>
      </c>
      <c r="B418" t="s">
        <v>50</v>
      </c>
      <c r="C418" t="s">
        <v>25</v>
      </c>
      <c r="D418" t="s">
        <v>91</v>
      </c>
      <c r="E418">
        <v>0</v>
      </c>
      <c r="F418">
        <v>0</v>
      </c>
      <c r="G418">
        <v>0</v>
      </c>
      <c r="H418">
        <v>1</v>
      </c>
    </row>
    <row r="419" spans="1:8" x14ac:dyDescent="0.3">
      <c r="A419" t="s">
        <v>49</v>
      </c>
      <c r="B419" t="s">
        <v>50</v>
      </c>
      <c r="C419" t="s">
        <v>25</v>
      </c>
      <c r="D419" t="s">
        <v>93</v>
      </c>
      <c r="E419">
        <v>0</v>
      </c>
      <c r="F419">
        <v>0</v>
      </c>
      <c r="G419">
        <v>0</v>
      </c>
      <c r="H419">
        <v>1</v>
      </c>
    </row>
    <row r="420" spans="1:8" x14ac:dyDescent="0.3">
      <c r="A420" t="s">
        <v>49</v>
      </c>
      <c r="B420" t="s">
        <v>50</v>
      </c>
      <c r="C420" t="s">
        <v>25</v>
      </c>
      <c r="D420" t="s">
        <v>95</v>
      </c>
      <c r="E420">
        <v>0</v>
      </c>
      <c r="F420">
        <v>0</v>
      </c>
      <c r="G420">
        <v>0</v>
      </c>
      <c r="H420">
        <v>1</v>
      </c>
    </row>
    <row r="421" spans="1:8" x14ac:dyDescent="0.3">
      <c r="A421" t="s">
        <v>49</v>
      </c>
      <c r="B421" t="s">
        <v>50</v>
      </c>
      <c r="C421" t="s">
        <v>25</v>
      </c>
      <c r="D421" t="s">
        <v>97</v>
      </c>
      <c r="E421">
        <v>0</v>
      </c>
      <c r="F421">
        <v>0</v>
      </c>
      <c r="G421">
        <v>0</v>
      </c>
      <c r="H421">
        <v>1</v>
      </c>
    </row>
    <row r="422" spans="1:8" x14ac:dyDescent="0.3">
      <c r="A422" t="s">
        <v>49</v>
      </c>
      <c r="B422" t="s">
        <v>50</v>
      </c>
      <c r="C422" t="s">
        <v>25</v>
      </c>
      <c r="D422" t="s">
        <v>99</v>
      </c>
      <c r="E422">
        <v>0</v>
      </c>
      <c r="F422">
        <v>0</v>
      </c>
      <c r="G422">
        <v>0</v>
      </c>
      <c r="H422">
        <v>1</v>
      </c>
    </row>
    <row r="423" spans="1:8" x14ac:dyDescent="0.3">
      <c r="A423" t="s">
        <v>49</v>
      </c>
      <c r="B423" t="s">
        <v>50</v>
      </c>
      <c r="C423" t="s">
        <v>25</v>
      </c>
      <c r="D423" t="s">
        <v>101</v>
      </c>
      <c r="E423">
        <v>0</v>
      </c>
      <c r="F423">
        <v>0</v>
      </c>
      <c r="G423">
        <v>0</v>
      </c>
      <c r="H423">
        <v>1</v>
      </c>
    </row>
    <row r="424" spans="1:8" x14ac:dyDescent="0.3">
      <c r="A424" t="s">
        <v>49</v>
      </c>
      <c r="B424" t="s">
        <v>50</v>
      </c>
      <c r="C424" t="s">
        <v>25</v>
      </c>
      <c r="D424" t="s">
        <v>103</v>
      </c>
      <c r="E424">
        <v>0</v>
      </c>
      <c r="F424">
        <v>0</v>
      </c>
      <c r="G424">
        <v>0</v>
      </c>
      <c r="H424">
        <v>1</v>
      </c>
    </row>
    <row r="425" spans="1:8" x14ac:dyDescent="0.3">
      <c r="A425" t="s">
        <v>49</v>
      </c>
      <c r="B425" t="s">
        <v>50</v>
      </c>
      <c r="C425" t="s">
        <v>25</v>
      </c>
      <c r="D425" t="s">
        <v>105</v>
      </c>
      <c r="E425">
        <v>0</v>
      </c>
      <c r="F425">
        <v>0</v>
      </c>
      <c r="G425">
        <v>0</v>
      </c>
      <c r="H425">
        <v>1</v>
      </c>
    </row>
    <row r="426" spans="1:8" x14ac:dyDescent="0.3">
      <c r="A426" t="s">
        <v>49</v>
      </c>
      <c r="B426" t="s">
        <v>50</v>
      </c>
      <c r="C426" t="s">
        <v>25</v>
      </c>
      <c r="D426" t="s">
        <v>107</v>
      </c>
      <c r="E426">
        <v>0</v>
      </c>
      <c r="F426">
        <v>0</v>
      </c>
      <c r="G426">
        <v>0</v>
      </c>
      <c r="H426">
        <v>1</v>
      </c>
    </row>
    <row r="427" spans="1:8" x14ac:dyDescent="0.3">
      <c r="A427" t="s">
        <v>49</v>
      </c>
      <c r="B427" t="s">
        <v>50</v>
      </c>
      <c r="C427" t="s">
        <v>25</v>
      </c>
      <c r="D427" t="s">
        <v>111</v>
      </c>
      <c r="E427">
        <v>0</v>
      </c>
      <c r="F427">
        <v>0</v>
      </c>
      <c r="G427">
        <v>0</v>
      </c>
      <c r="H427">
        <v>1</v>
      </c>
    </row>
    <row r="428" spans="1:8" x14ac:dyDescent="0.3">
      <c r="A428" t="s">
        <v>51</v>
      </c>
      <c r="B428" t="s">
        <v>52</v>
      </c>
      <c r="C428" t="s">
        <v>21</v>
      </c>
      <c r="D428" t="s">
        <v>77</v>
      </c>
      <c r="E428">
        <v>0</v>
      </c>
      <c r="F428">
        <v>0</v>
      </c>
      <c r="G428">
        <v>0</v>
      </c>
      <c r="H428">
        <v>1</v>
      </c>
    </row>
    <row r="429" spans="1:8" x14ac:dyDescent="0.3">
      <c r="A429" t="s">
        <v>51</v>
      </c>
      <c r="B429" t="s">
        <v>52</v>
      </c>
      <c r="C429" t="s">
        <v>21</v>
      </c>
      <c r="D429" t="s">
        <v>79</v>
      </c>
      <c r="E429">
        <v>0</v>
      </c>
      <c r="F429">
        <v>0</v>
      </c>
      <c r="G429">
        <v>0</v>
      </c>
      <c r="H429">
        <v>1</v>
      </c>
    </row>
    <row r="430" spans="1:8" x14ac:dyDescent="0.3">
      <c r="A430" t="s">
        <v>51</v>
      </c>
      <c r="B430" t="s">
        <v>52</v>
      </c>
      <c r="C430" t="s">
        <v>21</v>
      </c>
      <c r="D430" t="s">
        <v>81</v>
      </c>
      <c r="E430">
        <v>1</v>
      </c>
      <c r="F430">
        <v>1</v>
      </c>
      <c r="G430">
        <v>1</v>
      </c>
      <c r="H430">
        <v>1</v>
      </c>
    </row>
    <row r="431" spans="1:8" x14ac:dyDescent="0.3">
      <c r="A431" t="s">
        <v>51</v>
      </c>
      <c r="B431" t="s">
        <v>52</v>
      </c>
      <c r="C431" t="s">
        <v>21</v>
      </c>
      <c r="D431" t="s">
        <v>83</v>
      </c>
      <c r="E431">
        <v>0</v>
      </c>
      <c r="F431">
        <v>0</v>
      </c>
      <c r="G431">
        <v>0</v>
      </c>
      <c r="H431">
        <v>1</v>
      </c>
    </row>
    <row r="432" spans="1:8" x14ac:dyDescent="0.3">
      <c r="A432" t="s">
        <v>51</v>
      </c>
      <c r="B432" t="s">
        <v>52</v>
      </c>
      <c r="C432" t="s">
        <v>21</v>
      </c>
      <c r="D432" t="s">
        <v>85</v>
      </c>
      <c r="E432">
        <v>0</v>
      </c>
      <c r="F432">
        <v>0</v>
      </c>
      <c r="G432">
        <v>0</v>
      </c>
      <c r="H432">
        <v>1</v>
      </c>
    </row>
    <row r="433" spans="1:8" x14ac:dyDescent="0.3">
      <c r="A433" t="s">
        <v>51</v>
      </c>
      <c r="B433" t="s">
        <v>52</v>
      </c>
      <c r="C433" t="s">
        <v>21</v>
      </c>
      <c r="D433" t="s">
        <v>87</v>
      </c>
      <c r="E433">
        <v>0</v>
      </c>
      <c r="F433">
        <v>0</v>
      </c>
      <c r="G433">
        <v>0</v>
      </c>
      <c r="H433">
        <v>1</v>
      </c>
    </row>
    <row r="434" spans="1:8" x14ac:dyDescent="0.3">
      <c r="A434" t="s">
        <v>51</v>
      </c>
      <c r="B434" t="s">
        <v>52</v>
      </c>
      <c r="C434" t="s">
        <v>21</v>
      </c>
      <c r="D434" t="s">
        <v>89</v>
      </c>
      <c r="E434">
        <v>0</v>
      </c>
      <c r="F434">
        <v>0</v>
      </c>
      <c r="G434">
        <v>0</v>
      </c>
      <c r="H434">
        <v>1</v>
      </c>
    </row>
    <row r="435" spans="1:8" x14ac:dyDescent="0.3">
      <c r="A435" t="s">
        <v>51</v>
      </c>
      <c r="B435" t="s">
        <v>52</v>
      </c>
      <c r="C435" t="s">
        <v>21</v>
      </c>
      <c r="D435" t="s">
        <v>91</v>
      </c>
      <c r="E435">
        <v>0</v>
      </c>
      <c r="F435">
        <v>0</v>
      </c>
      <c r="G435">
        <v>0</v>
      </c>
      <c r="H435">
        <v>1</v>
      </c>
    </row>
    <row r="436" spans="1:8" x14ac:dyDescent="0.3">
      <c r="A436" t="s">
        <v>51</v>
      </c>
      <c r="B436" t="s">
        <v>52</v>
      </c>
      <c r="C436" t="s">
        <v>21</v>
      </c>
      <c r="D436" t="s">
        <v>93</v>
      </c>
      <c r="E436">
        <v>0</v>
      </c>
      <c r="F436">
        <v>0</v>
      </c>
      <c r="G436">
        <v>0</v>
      </c>
      <c r="H436">
        <v>1</v>
      </c>
    </row>
    <row r="437" spans="1:8" x14ac:dyDescent="0.3">
      <c r="A437" t="s">
        <v>51</v>
      </c>
      <c r="B437" t="s">
        <v>52</v>
      </c>
      <c r="C437" t="s">
        <v>21</v>
      </c>
      <c r="D437" t="s">
        <v>95</v>
      </c>
      <c r="E437">
        <v>0</v>
      </c>
      <c r="F437">
        <v>0</v>
      </c>
      <c r="G437">
        <v>0</v>
      </c>
      <c r="H437">
        <v>1</v>
      </c>
    </row>
    <row r="438" spans="1:8" x14ac:dyDescent="0.3">
      <c r="A438" t="s">
        <v>51</v>
      </c>
      <c r="B438" t="s">
        <v>52</v>
      </c>
      <c r="C438" t="s">
        <v>21</v>
      </c>
      <c r="D438" t="s">
        <v>97</v>
      </c>
      <c r="E438">
        <v>0</v>
      </c>
      <c r="F438">
        <v>0</v>
      </c>
      <c r="G438">
        <v>0</v>
      </c>
      <c r="H438">
        <v>1</v>
      </c>
    </row>
    <row r="439" spans="1:8" x14ac:dyDescent="0.3">
      <c r="A439" t="s">
        <v>51</v>
      </c>
      <c r="B439" t="s">
        <v>52</v>
      </c>
      <c r="C439" t="s">
        <v>21</v>
      </c>
      <c r="D439" t="s">
        <v>99</v>
      </c>
      <c r="E439">
        <v>0</v>
      </c>
      <c r="F439">
        <v>0</v>
      </c>
      <c r="G439">
        <v>0</v>
      </c>
      <c r="H439">
        <v>1</v>
      </c>
    </row>
    <row r="440" spans="1:8" x14ac:dyDescent="0.3">
      <c r="A440" t="s">
        <v>51</v>
      </c>
      <c r="B440" t="s">
        <v>52</v>
      </c>
      <c r="C440" t="s">
        <v>21</v>
      </c>
      <c r="D440" t="s">
        <v>101</v>
      </c>
      <c r="E440">
        <v>0</v>
      </c>
      <c r="F440">
        <v>0</v>
      </c>
      <c r="G440">
        <v>0</v>
      </c>
      <c r="H440">
        <v>1</v>
      </c>
    </row>
    <row r="441" spans="1:8" x14ac:dyDescent="0.3">
      <c r="A441" t="s">
        <v>51</v>
      </c>
      <c r="B441" t="s">
        <v>52</v>
      </c>
      <c r="C441" t="s">
        <v>21</v>
      </c>
      <c r="D441" t="s">
        <v>103</v>
      </c>
      <c r="E441">
        <v>0</v>
      </c>
      <c r="F441">
        <v>0</v>
      </c>
      <c r="G441">
        <v>0</v>
      </c>
      <c r="H441">
        <v>1</v>
      </c>
    </row>
    <row r="442" spans="1:8" x14ac:dyDescent="0.3">
      <c r="A442" t="s">
        <v>51</v>
      </c>
      <c r="B442" t="s">
        <v>52</v>
      </c>
      <c r="C442" t="s">
        <v>21</v>
      </c>
      <c r="D442" t="s">
        <v>105</v>
      </c>
      <c r="E442">
        <v>0</v>
      </c>
      <c r="F442">
        <v>0</v>
      </c>
      <c r="G442">
        <v>0</v>
      </c>
      <c r="H442">
        <v>1</v>
      </c>
    </row>
    <row r="443" spans="1:8" x14ac:dyDescent="0.3">
      <c r="A443" t="s">
        <v>51</v>
      </c>
      <c r="B443" t="s">
        <v>52</v>
      </c>
      <c r="C443" t="s">
        <v>21</v>
      </c>
      <c r="D443" t="s">
        <v>107</v>
      </c>
      <c r="E443">
        <v>0</v>
      </c>
      <c r="F443">
        <v>0</v>
      </c>
      <c r="G443">
        <v>0</v>
      </c>
      <c r="H443">
        <v>1</v>
      </c>
    </row>
    <row r="444" spans="1:8" x14ac:dyDescent="0.3">
      <c r="A444" t="s">
        <v>51</v>
      </c>
      <c r="B444" t="s">
        <v>52</v>
      </c>
      <c r="C444" t="s">
        <v>21</v>
      </c>
      <c r="D444" t="s">
        <v>109</v>
      </c>
      <c r="E444">
        <v>1</v>
      </c>
      <c r="F444">
        <v>1</v>
      </c>
      <c r="G444">
        <v>1</v>
      </c>
      <c r="H444">
        <v>1</v>
      </c>
    </row>
    <row r="445" spans="1:8" x14ac:dyDescent="0.3">
      <c r="A445" t="s">
        <v>51</v>
      </c>
      <c r="B445" t="s">
        <v>52</v>
      </c>
      <c r="C445" t="s">
        <v>21</v>
      </c>
      <c r="D445" t="s">
        <v>111</v>
      </c>
      <c r="E445">
        <v>0</v>
      </c>
      <c r="F445">
        <v>0</v>
      </c>
      <c r="G445">
        <v>0</v>
      </c>
      <c r="H445">
        <v>1</v>
      </c>
    </row>
    <row r="446" spans="1:8" x14ac:dyDescent="0.3">
      <c r="A446" t="s">
        <v>51</v>
      </c>
      <c r="B446" t="s">
        <v>52</v>
      </c>
      <c r="C446" t="s">
        <v>23</v>
      </c>
      <c r="D446" t="s">
        <v>77</v>
      </c>
      <c r="E446">
        <v>0</v>
      </c>
      <c r="F446">
        <v>0</v>
      </c>
      <c r="G446">
        <v>0</v>
      </c>
      <c r="H446">
        <v>1</v>
      </c>
    </row>
    <row r="447" spans="1:8" x14ac:dyDescent="0.3">
      <c r="A447" t="s">
        <v>51</v>
      </c>
      <c r="B447" t="s">
        <v>52</v>
      </c>
      <c r="C447" t="s">
        <v>23</v>
      </c>
      <c r="D447" t="s">
        <v>79</v>
      </c>
      <c r="E447">
        <v>1</v>
      </c>
      <c r="F447">
        <v>1</v>
      </c>
      <c r="G447">
        <v>1</v>
      </c>
      <c r="H447">
        <v>1</v>
      </c>
    </row>
    <row r="448" spans="1:8" x14ac:dyDescent="0.3">
      <c r="A448" t="s">
        <v>51</v>
      </c>
      <c r="B448" t="s">
        <v>52</v>
      </c>
      <c r="C448" t="s">
        <v>23</v>
      </c>
      <c r="D448" t="s">
        <v>81</v>
      </c>
      <c r="E448">
        <v>1</v>
      </c>
      <c r="F448">
        <v>1</v>
      </c>
      <c r="G448">
        <v>1</v>
      </c>
      <c r="H448">
        <v>1</v>
      </c>
    </row>
    <row r="449" spans="1:8" x14ac:dyDescent="0.3">
      <c r="A449" t="s">
        <v>51</v>
      </c>
      <c r="B449" t="s">
        <v>52</v>
      </c>
      <c r="C449" t="s">
        <v>23</v>
      </c>
      <c r="D449" t="s">
        <v>83</v>
      </c>
      <c r="E449">
        <v>0</v>
      </c>
      <c r="F449">
        <v>0</v>
      </c>
      <c r="G449">
        <v>0</v>
      </c>
      <c r="H449">
        <v>1</v>
      </c>
    </row>
    <row r="450" spans="1:8" x14ac:dyDescent="0.3">
      <c r="A450" t="s">
        <v>51</v>
      </c>
      <c r="B450" t="s">
        <v>52</v>
      </c>
      <c r="C450" t="s">
        <v>23</v>
      </c>
      <c r="D450" t="s">
        <v>85</v>
      </c>
      <c r="E450">
        <v>0</v>
      </c>
      <c r="F450">
        <v>0</v>
      </c>
      <c r="G450">
        <v>0</v>
      </c>
      <c r="H450">
        <v>1</v>
      </c>
    </row>
    <row r="451" spans="1:8" x14ac:dyDescent="0.3">
      <c r="A451" t="s">
        <v>51</v>
      </c>
      <c r="B451" t="s">
        <v>52</v>
      </c>
      <c r="C451" t="s">
        <v>23</v>
      </c>
      <c r="D451" t="s">
        <v>87</v>
      </c>
      <c r="E451">
        <v>0</v>
      </c>
      <c r="F451">
        <v>0</v>
      </c>
      <c r="G451">
        <v>0</v>
      </c>
      <c r="H451">
        <v>1</v>
      </c>
    </row>
    <row r="452" spans="1:8" x14ac:dyDescent="0.3">
      <c r="A452" t="s">
        <v>51</v>
      </c>
      <c r="B452" t="s">
        <v>52</v>
      </c>
      <c r="C452" t="s">
        <v>23</v>
      </c>
      <c r="D452" t="s">
        <v>89</v>
      </c>
      <c r="E452">
        <v>0</v>
      </c>
      <c r="F452">
        <v>0</v>
      </c>
      <c r="G452">
        <v>0</v>
      </c>
      <c r="H452">
        <v>1</v>
      </c>
    </row>
    <row r="453" spans="1:8" x14ac:dyDescent="0.3">
      <c r="A453" t="s">
        <v>51</v>
      </c>
      <c r="B453" t="s">
        <v>52</v>
      </c>
      <c r="C453" t="s">
        <v>23</v>
      </c>
      <c r="D453" t="s">
        <v>91</v>
      </c>
      <c r="E453">
        <v>0</v>
      </c>
      <c r="F453">
        <v>0</v>
      </c>
      <c r="G453">
        <v>0</v>
      </c>
      <c r="H453">
        <v>1</v>
      </c>
    </row>
    <row r="454" spans="1:8" x14ac:dyDescent="0.3">
      <c r="A454" t="s">
        <v>51</v>
      </c>
      <c r="B454" t="s">
        <v>52</v>
      </c>
      <c r="C454" t="s">
        <v>23</v>
      </c>
      <c r="D454" t="s">
        <v>93</v>
      </c>
      <c r="E454">
        <v>0</v>
      </c>
      <c r="F454">
        <v>0</v>
      </c>
      <c r="G454">
        <v>0</v>
      </c>
      <c r="H454">
        <v>1</v>
      </c>
    </row>
    <row r="455" spans="1:8" x14ac:dyDescent="0.3">
      <c r="A455" t="s">
        <v>51</v>
      </c>
      <c r="B455" t="s">
        <v>52</v>
      </c>
      <c r="C455" t="s">
        <v>23</v>
      </c>
      <c r="D455" t="s">
        <v>95</v>
      </c>
      <c r="E455">
        <v>1</v>
      </c>
      <c r="F455">
        <v>0</v>
      </c>
      <c r="G455">
        <v>0</v>
      </c>
      <c r="H455">
        <v>0</v>
      </c>
    </row>
    <row r="456" spans="1:8" x14ac:dyDescent="0.3">
      <c r="A456" t="s">
        <v>51</v>
      </c>
      <c r="B456" t="s">
        <v>52</v>
      </c>
      <c r="C456" t="s">
        <v>23</v>
      </c>
      <c r="D456" t="s">
        <v>97</v>
      </c>
      <c r="E456">
        <v>0</v>
      </c>
      <c r="F456">
        <v>0</v>
      </c>
      <c r="G456">
        <v>0</v>
      </c>
      <c r="H456">
        <v>1</v>
      </c>
    </row>
    <row r="457" spans="1:8" x14ac:dyDescent="0.3">
      <c r="A457" t="s">
        <v>51</v>
      </c>
      <c r="B457" t="s">
        <v>52</v>
      </c>
      <c r="C457" t="s">
        <v>23</v>
      </c>
      <c r="D457" t="s">
        <v>99</v>
      </c>
      <c r="E457">
        <v>1</v>
      </c>
      <c r="F457">
        <v>1</v>
      </c>
      <c r="G457">
        <v>0</v>
      </c>
      <c r="H457">
        <v>0</v>
      </c>
    </row>
    <row r="458" spans="1:8" x14ac:dyDescent="0.3">
      <c r="A458" t="s">
        <v>51</v>
      </c>
      <c r="B458" t="s">
        <v>52</v>
      </c>
      <c r="C458" t="s">
        <v>23</v>
      </c>
      <c r="D458" t="s">
        <v>101</v>
      </c>
      <c r="E458">
        <v>1</v>
      </c>
      <c r="F458">
        <v>0</v>
      </c>
      <c r="G458">
        <v>0</v>
      </c>
      <c r="H458">
        <v>0</v>
      </c>
    </row>
    <row r="459" spans="1:8" x14ac:dyDescent="0.3">
      <c r="A459" t="s">
        <v>51</v>
      </c>
      <c r="B459" t="s">
        <v>52</v>
      </c>
      <c r="C459" t="s">
        <v>23</v>
      </c>
      <c r="D459" t="s">
        <v>103</v>
      </c>
      <c r="E459">
        <v>0</v>
      </c>
      <c r="F459">
        <v>0</v>
      </c>
      <c r="G459">
        <v>0</v>
      </c>
      <c r="H459">
        <v>1</v>
      </c>
    </row>
    <row r="460" spans="1:8" x14ac:dyDescent="0.3">
      <c r="A460" t="s">
        <v>51</v>
      </c>
      <c r="B460" t="s">
        <v>52</v>
      </c>
      <c r="C460" t="s">
        <v>23</v>
      </c>
      <c r="D460" t="s">
        <v>105</v>
      </c>
      <c r="E460">
        <v>0</v>
      </c>
      <c r="F460">
        <v>0</v>
      </c>
      <c r="G460">
        <v>0</v>
      </c>
      <c r="H460">
        <v>1</v>
      </c>
    </row>
    <row r="461" spans="1:8" x14ac:dyDescent="0.3">
      <c r="A461" t="s">
        <v>51</v>
      </c>
      <c r="B461" t="s">
        <v>52</v>
      </c>
      <c r="C461" t="s">
        <v>23</v>
      </c>
      <c r="D461" t="s">
        <v>107</v>
      </c>
      <c r="E461">
        <v>0</v>
      </c>
      <c r="F461">
        <v>0</v>
      </c>
      <c r="G461">
        <v>0</v>
      </c>
      <c r="H461">
        <v>1</v>
      </c>
    </row>
    <row r="462" spans="1:8" x14ac:dyDescent="0.3">
      <c r="A462" t="s">
        <v>51</v>
      </c>
      <c r="B462" t="s">
        <v>52</v>
      </c>
      <c r="C462" t="s">
        <v>23</v>
      </c>
      <c r="D462" t="s">
        <v>109</v>
      </c>
      <c r="E462">
        <v>1</v>
      </c>
      <c r="F462">
        <v>1</v>
      </c>
      <c r="G462">
        <v>1</v>
      </c>
      <c r="H462">
        <v>1</v>
      </c>
    </row>
    <row r="463" spans="1:8" x14ac:dyDescent="0.3">
      <c r="A463" t="s">
        <v>51</v>
      </c>
      <c r="B463" t="s">
        <v>52</v>
      </c>
      <c r="C463" t="s">
        <v>23</v>
      </c>
      <c r="D463" t="s">
        <v>111</v>
      </c>
      <c r="E463">
        <v>0</v>
      </c>
      <c r="F463">
        <v>0</v>
      </c>
      <c r="G463">
        <v>0</v>
      </c>
      <c r="H463">
        <v>1</v>
      </c>
    </row>
    <row r="464" spans="1:8" x14ac:dyDescent="0.3">
      <c r="A464" t="s">
        <v>51</v>
      </c>
      <c r="B464" t="s">
        <v>52</v>
      </c>
      <c r="C464" t="s">
        <v>24</v>
      </c>
      <c r="D464" t="s">
        <v>77</v>
      </c>
      <c r="E464">
        <v>0</v>
      </c>
      <c r="F464">
        <v>0</v>
      </c>
      <c r="G464">
        <v>0</v>
      </c>
      <c r="H464">
        <v>1</v>
      </c>
    </row>
    <row r="465" spans="1:8" x14ac:dyDescent="0.3">
      <c r="A465" t="s">
        <v>51</v>
      </c>
      <c r="B465" t="s">
        <v>52</v>
      </c>
      <c r="C465" t="s">
        <v>24</v>
      </c>
      <c r="D465" t="s">
        <v>79</v>
      </c>
      <c r="E465">
        <v>0</v>
      </c>
      <c r="F465">
        <v>0</v>
      </c>
      <c r="G465">
        <v>0</v>
      </c>
      <c r="H465">
        <v>1</v>
      </c>
    </row>
    <row r="466" spans="1:8" x14ac:dyDescent="0.3">
      <c r="A466" t="s">
        <v>51</v>
      </c>
      <c r="B466" t="s">
        <v>52</v>
      </c>
      <c r="C466" t="s">
        <v>24</v>
      </c>
      <c r="D466" t="s">
        <v>81</v>
      </c>
      <c r="E466">
        <v>1</v>
      </c>
      <c r="F466">
        <v>1</v>
      </c>
      <c r="G466">
        <v>1</v>
      </c>
      <c r="H466">
        <v>1</v>
      </c>
    </row>
    <row r="467" spans="1:8" x14ac:dyDescent="0.3">
      <c r="A467" t="s">
        <v>51</v>
      </c>
      <c r="B467" t="s">
        <v>52</v>
      </c>
      <c r="C467" t="s">
        <v>24</v>
      </c>
      <c r="D467" t="s">
        <v>83</v>
      </c>
      <c r="E467">
        <v>0</v>
      </c>
      <c r="F467">
        <v>0</v>
      </c>
      <c r="G467">
        <v>0</v>
      </c>
      <c r="H467">
        <v>1</v>
      </c>
    </row>
    <row r="468" spans="1:8" x14ac:dyDescent="0.3">
      <c r="A468" t="s">
        <v>51</v>
      </c>
      <c r="B468" t="s">
        <v>52</v>
      </c>
      <c r="C468" t="s">
        <v>24</v>
      </c>
      <c r="D468" t="s">
        <v>85</v>
      </c>
      <c r="E468">
        <v>0</v>
      </c>
      <c r="F468">
        <v>1</v>
      </c>
      <c r="G468">
        <v>1</v>
      </c>
      <c r="H468">
        <v>0</v>
      </c>
    </row>
    <row r="469" spans="1:8" x14ac:dyDescent="0.3">
      <c r="A469" t="s">
        <v>51</v>
      </c>
      <c r="B469" t="s">
        <v>52</v>
      </c>
      <c r="C469" t="s">
        <v>24</v>
      </c>
      <c r="D469" t="s">
        <v>87</v>
      </c>
      <c r="E469">
        <v>0</v>
      </c>
      <c r="F469">
        <v>0</v>
      </c>
      <c r="G469">
        <v>0</v>
      </c>
      <c r="H469">
        <v>1</v>
      </c>
    </row>
    <row r="470" spans="1:8" x14ac:dyDescent="0.3">
      <c r="A470" t="s">
        <v>51</v>
      </c>
      <c r="B470" t="s">
        <v>52</v>
      </c>
      <c r="C470" t="s">
        <v>24</v>
      </c>
      <c r="D470" t="s">
        <v>89</v>
      </c>
      <c r="E470">
        <v>0</v>
      </c>
      <c r="F470">
        <v>0</v>
      </c>
      <c r="G470">
        <v>0</v>
      </c>
      <c r="H470">
        <v>1</v>
      </c>
    </row>
    <row r="471" spans="1:8" x14ac:dyDescent="0.3">
      <c r="A471" t="s">
        <v>51</v>
      </c>
      <c r="B471" t="s">
        <v>52</v>
      </c>
      <c r="C471" t="s">
        <v>24</v>
      </c>
      <c r="D471" t="s">
        <v>91</v>
      </c>
      <c r="E471">
        <v>0</v>
      </c>
      <c r="F471">
        <v>0</v>
      </c>
      <c r="G471">
        <v>0</v>
      </c>
      <c r="H471">
        <v>1</v>
      </c>
    </row>
    <row r="472" spans="1:8" x14ac:dyDescent="0.3">
      <c r="A472" t="s">
        <v>51</v>
      </c>
      <c r="B472" t="s">
        <v>52</v>
      </c>
      <c r="C472" t="s">
        <v>24</v>
      </c>
      <c r="D472" t="s">
        <v>93</v>
      </c>
      <c r="E472">
        <v>0</v>
      </c>
      <c r="F472">
        <v>0</v>
      </c>
      <c r="G472">
        <v>0</v>
      </c>
      <c r="H472">
        <v>1</v>
      </c>
    </row>
    <row r="473" spans="1:8" x14ac:dyDescent="0.3">
      <c r="A473" t="s">
        <v>51</v>
      </c>
      <c r="B473" t="s">
        <v>52</v>
      </c>
      <c r="C473" t="s">
        <v>24</v>
      </c>
      <c r="D473" t="s">
        <v>95</v>
      </c>
      <c r="E473">
        <v>0</v>
      </c>
      <c r="F473">
        <v>0</v>
      </c>
      <c r="G473">
        <v>0</v>
      </c>
      <c r="H473">
        <v>1</v>
      </c>
    </row>
    <row r="474" spans="1:8" x14ac:dyDescent="0.3">
      <c r="A474" t="s">
        <v>51</v>
      </c>
      <c r="B474" t="s">
        <v>52</v>
      </c>
      <c r="C474" t="s">
        <v>24</v>
      </c>
      <c r="D474" t="s">
        <v>97</v>
      </c>
      <c r="E474">
        <v>0</v>
      </c>
      <c r="F474">
        <v>0</v>
      </c>
      <c r="G474">
        <v>0</v>
      </c>
      <c r="H474">
        <v>1</v>
      </c>
    </row>
    <row r="475" spans="1:8" x14ac:dyDescent="0.3">
      <c r="A475" t="s">
        <v>51</v>
      </c>
      <c r="B475" t="s">
        <v>52</v>
      </c>
      <c r="C475" t="s">
        <v>24</v>
      </c>
      <c r="D475" t="s">
        <v>99</v>
      </c>
      <c r="E475">
        <v>0</v>
      </c>
      <c r="F475">
        <v>1</v>
      </c>
      <c r="G475">
        <v>0</v>
      </c>
      <c r="H475">
        <v>0</v>
      </c>
    </row>
    <row r="476" spans="1:8" x14ac:dyDescent="0.3">
      <c r="A476" t="s">
        <v>51</v>
      </c>
      <c r="B476" t="s">
        <v>52</v>
      </c>
      <c r="C476" t="s">
        <v>24</v>
      </c>
      <c r="D476" t="s">
        <v>101</v>
      </c>
      <c r="E476">
        <v>0</v>
      </c>
      <c r="F476">
        <v>0</v>
      </c>
      <c r="G476">
        <v>0</v>
      </c>
      <c r="H476">
        <v>1</v>
      </c>
    </row>
    <row r="477" spans="1:8" x14ac:dyDescent="0.3">
      <c r="A477" t="s">
        <v>51</v>
      </c>
      <c r="B477" t="s">
        <v>52</v>
      </c>
      <c r="C477" t="s">
        <v>24</v>
      </c>
      <c r="D477" t="s">
        <v>103</v>
      </c>
      <c r="E477">
        <v>0</v>
      </c>
      <c r="F477">
        <v>0</v>
      </c>
      <c r="G477">
        <v>0</v>
      </c>
      <c r="H477">
        <v>1</v>
      </c>
    </row>
    <row r="478" spans="1:8" x14ac:dyDescent="0.3">
      <c r="A478" t="s">
        <v>51</v>
      </c>
      <c r="B478" t="s">
        <v>52</v>
      </c>
      <c r="C478" t="s">
        <v>24</v>
      </c>
      <c r="D478" t="s">
        <v>105</v>
      </c>
      <c r="E478">
        <v>0</v>
      </c>
      <c r="F478">
        <v>0</v>
      </c>
      <c r="G478">
        <v>0</v>
      </c>
      <c r="H478">
        <v>1</v>
      </c>
    </row>
    <row r="479" spans="1:8" x14ac:dyDescent="0.3">
      <c r="A479" t="s">
        <v>51</v>
      </c>
      <c r="B479" t="s">
        <v>52</v>
      </c>
      <c r="C479" t="s">
        <v>24</v>
      </c>
      <c r="D479" t="s">
        <v>107</v>
      </c>
      <c r="E479">
        <v>0</v>
      </c>
      <c r="F479">
        <v>0</v>
      </c>
      <c r="G479">
        <v>0</v>
      </c>
      <c r="H479">
        <v>1</v>
      </c>
    </row>
    <row r="480" spans="1:8" x14ac:dyDescent="0.3">
      <c r="A480" t="s">
        <v>51</v>
      </c>
      <c r="B480" t="s">
        <v>52</v>
      </c>
      <c r="C480" t="s">
        <v>24</v>
      </c>
      <c r="D480" t="s">
        <v>109</v>
      </c>
      <c r="E480">
        <v>1</v>
      </c>
      <c r="F480">
        <v>1</v>
      </c>
      <c r="G480">
        <v>1</v>
      </c>
      <c r="H480">
        <v>1</v>
      </c>
    </row>
    <row r="481" spans="1:8" x14ac:dyDescent="0.3">
      <c r="A481" t="s">
        <v>51</v>
      </c>
      <c r="B481" t="s">
        <v>52</v>
      </c>
      <c r="C481" t="s">
        <v>24</v>
      </c>
      <c r="D481" t="s">
        <v>111</v>
      </c>
      <c r="E481">
        <v>0</v>
      </c>
      <c r="F481">
        <v>0</v>
      </c>
      <c r="G481">
        <v>0</v>
      </c>
      <c r="H481">
        <v>1</v>
      </c>
    </row>
    <row r="482" spans="1:8" x14ac:dyDescent="0.3">
      <c r="A482" t="s">
        <v>51</v>
      </c>
      <c r="B482" t="s">
        <v>52</v>
      </c>
      <c r="C482" t="s">
        <v>25</v>
      </c>
      <c r="D482" t="s">
        <v>77</v>
      </c>
      <c r="E482">
        <v>0</v>
      </c>
      <c r="F482">
        <v>0</v>
      </c>
      <c r="G482">
        <v>0</v>
      </c>
      <c r="H482">
        <v>1</v>
      </c>
    </row>
    <row r="483" spans="1:8" x14ac:dyDescent="0.3">
      <c r="A483" t="s">
        <v>51</v>
      </c>
      <c r="B483" t="s">
        <v>52</v>
      </c>
      <c r="C483" t="s">
        <v>25</v>
      </c>
      <c r="D483" t="s">
        <v>79</v>
      </c>
      <c r="E483">
        <v>0</v>
      </c>
      <c r="F483">
        <v>0</v>
      </c>
      <c r="G483">
        <v>0</v>
      </c>
      <c r="H483">
        <v>1</v>
      </c>
    </row>
    <row r="484" spans="1:8" x14ac:dyDescent="0.3">
      <c r="A484" t="s">
        <v>51</v>
      </c>
      <c r="B484" t="s">
        <v>52</v>
      </c>
      <c r="C484" t="s">
        <v>25</v>
      </c>
      <c r="D484" t="s">
        <v>81</v>
      </c>
      <c r="E484">
        <v>1</v>
      </c>
      <c r="F484">
        <v>0</v>
      </c>
      <c r="G484">
        <v>1</v>
      </c>
      <c r="H484">
        <v>0</v>
      </c>
    </row>
    <row r="485" spans="1:8" x14ac:dyDescent="0.3">
      <c r="A485" t="s">
        <v>51</v>
      </c>
      <c r="B485" t="s">
        <v>52</v>
      </c>
      <c r="C485" t="s">
        <v>25</v>
      </c>
      <c r="D485" t="s">
        <v>83</v>
      </c>
      <c r="E485">
        <v>0</v>
      </c>
      <c r="F485">
        <v>0</v>
      </c>
      <c r="G485">
        <v>0</v>
      </c>
      <c r="H485">
        <v>1</v>
      </c>
    </row>
    <row r="486" spans="1:8" x14ac:dyDescent="0.3">
      <c r="A486" t="s">
        <v>51</v>
      </c>
      <c r="B486" t="s">
        <v>52</v>
      </c>
      <c r="C486" t="s">
        <v>25</v>
      </c>
      <c r="D486" t="s">
        <v>85</v>
      </c>
      <c r="E486">
        <v>0</v>
      </c>
      <c r="F486">
        <v>0</v>
      </c>
      <c r="G486">
        <v>0</v>
      </c>
      <c r="H486">
        <v>1</v>
      </c>
    </row>
    <row r="487" spans="1:8" x14ac:dyDescent="0.3">
      <c r="A487" t="s">
        <v>51</v>
      </c>
      <c r="B487" t="s">
        <v>52</v>
      </c>
      <c r="C487" t="s">
        <v>25</v>
      </c>
      <c r="D487" t="s">
        <v>87</v>
      </c>
      <c r="E487">
        <v>0</v>
      </c>
      <c r="F487">
        <v>0</v>
      </c>
      <c r="G487">
        <v>0</v>
      </c>
      <c r="H487">
        <v>1</v>
      </c>
    </row>
    <row r="488" spans="1:8" x14ac:dyDescent="0.3">
      <c r="A488" t="s">
        <v>51</v>
      </c>
      <c r="B488" t="s">
        <v>52</v>
      </c>
      <c r="C488" t="s">
        <v>25</v>
      </c>
      <c r="D488" t="s">
        <v>89</v>
      </c>
      <c r="E488">
        <v>0</v>
      </c>
      <c r="F488">
        <v>0</v>
      </c>
      <c r="G488">
        <v>0</v>
      </c>
      <c r="H488">
        <v>1</v>
      </c>
    </row>
    <row r="489" spans="1:8" x14ac:dyDescent="0.3">
      <c r="A489" t="s">
        <v>51</v>
      </c>
      <c r="B489" t="s">
        <v>52</v>
      </c>
      <c r="C489" t="s">
        <v>25</v>
      </c>
      <c r="D489" t="s">
        <v>91</v>
      </c>
      <c r="E489">
        <v>0</v>
      </c>
      <c r="F489">
        <v>0</v>
      </c>
      <c r="G489">
        <v>0</v>
      </c>
      <c r="H489">
        <v>1</v>
      </c>
    </row>
    <row r="490" spans="1:8" x14ac:dyDescent="0.3">
      <c r="A490" t="s">
        <v>51</v>
      </c>
      <c r="B490" t="s">
        <v>52</v>
      </c>
      <c r="C490" t="s">
        <v>25</v>
      </c>
      <c r="D490" t="s">
        <v>93</v>
      </c>
      <c r="E490">
        <v>0</v>
      </c>
      <c r="F490">
        <v>0</v>
      </c>
      <c r="G490">
        <v>0</v>
      </c>
      <c r="H490">
        <v>1</v>
      </c>
    </row>
    <row r="491" spans="1:8" x14ac:dyDescent="0.3">
      <c r="A491" t="s">
        <v>51</v>
      </c>
      <c r="B491" t="s">
        <v>52</v>
      </c>
      <c r="C491" t="s">
        <v>25</v>
      </c>
      <c r="D491" t="s">
        <v>95</v>
      </c>
      <c r="E491">
        <v>0</v>
      </c>
      <c r="F491">
        <v>0</v>
      </c>
      <c r="G491">
        <v>0</v>
      </c>
      <c r="H491">
        <v>1</v>
      </c>
    </row>
    <row r="492" spans="1:8" x14ac:dyDescent="0.3">
      <c r="A492" t="s">
        <v>51</v>
      </c>
      <c r="B492" t="s">
        <v>52</v>
      </c>
      <c r="C492" t="s">
        <v>25</v>
      </c>
      <c r="D492" t="s">
        <v>97</v>
      </c>
      <c r="E492">
        <v>0</v>
      </c>
      <c r="F492">
        <v>0</v>
      </c>
      <c r="G492">
        <v>0</v>
      </c>
      <c r="H492">
        <v>1</v>
      </c>
    </row>
    <row r="493" spans="1:8" x14ac:dyDescent="0.3">
      <c r="A493" t="s">
        <v>51</v>
      </c>
      <c r="B493" t="s">
        <v>52</v>
      </c>
      <c r="C493" t="s">
        <v>25</v>
      </c>
      <c r="D493" t="s">
        <v>99</v>
      </c>
      <c r="E493">
        <v>0</v>
      </c>
      <c r="F493">
        <v>1</v>
      </c>
      <c r="G493">
        <v>1</v>
      </c>
      <c r="H493">
        <v>0</v>
      </c>
    </row>
    <row r="494" spans="1:8" x14ac:dyDescent="0.3">
      <c r="A494" t="s">
        <v>51</v>
      </c>
      <c r="B494" t="s">
        <v>52</v>
      </c>
      <c r="C494" t="s">
        <v>25</v>
      </c>
      <c r="D494" t="s">
        <v>101</v>
      </c>
      <c r="E494">
        <v>0</v>
      </c>
      <c r="F494">
        <v>0</v>
      </c>
      <c r="G494">
        <v>0</v>
      </c>
      <c r="H494">
        <v>1</v>
      </c>
    </row>
    <row r="495" spans="1:8" x14ac:dyDescent="0.3">
      <c r="A495" t="s">
        <v>51</v>
      </c>
      <c r="B495" t="s">
        <v>52</v>
      </c>
      <c r="C495" t="s">
        <v>25</v>
      </c>
      <c r="D495" t="s">
        <v>103</v>
      </c>
      <c r="E495">
        <v>0</v>
      </c>
      <c r="F495">
        <v>0</v>
      </c>
      <c r="G495">
        <v>0</v>
      </c>
      <c r="H495">
        <v>1</v>
      </c>
    </row>
    <row r="496" spans="1:8" x14ac:dyDescent="0.3">
      <c r="A496" t="s">
        <v>51</v>
      </c>
      <c r="B496" t="s">
        <v>52</v>
      </c>
      <c r="C496" t="s">
        <v>25</v>
      </c>
      <c r="D496" t="s">
        <v>105</v>
      </c>
      <c r="E496">
        <v>0</v>
      </c>
      <c r="F496">
        <v>0</v>
      </c>
      <c r="G496">
        <v>0</v>
      </c>
      <c r="H496">
        <v>1</v>
      </c>
    </row>
    <row r="497" spans="1:8" x14ac:dyDescent="0.3">
      <c r="A497" t="s">
        <v>51</v>
      </c>
      <c r="B497" t="s">
        <v>52</v>
      </c>
      <c r="C497" t="s">
        <v>25</v>
      </c>
      <c r="D497" t="s">
        <v>107</v>
      </c>
      <c r="E497">
        <v>0</v>
      </c>
      <c r="F497">
        <v>0</v>
      </c>
      <c r="G497">
        <v>0</v>
      </c>
      <c r="H497">
        <v>1</v>
      </c>
    </row>
    <row r="498" spans="1:8" x14ac:dyDescent="0.3">
      <c r="A498" t="s">
        <v>51</v>
      </c>
      <c r="B498" t="s">
        <v>52</v>
      </c>
      <c r="C498" t="s">
        <v>25</v>
      </c>
      <c r="D498" t="s">
        <v>111</v>
      </c>
      <c r="E498">
        <v>0</v>
      </c>
      <c r="F498">
        <v>0</v>
      </c>
      <c r="G498">
        <v>0</v>
      </c>
      <c r="H498">
        <v>1</v>
      </c>
    </row>
    <row r="499" spans="1:8" x14ac:dyDescent="0.3">
      <c r="A499" t="s">
        <v>59</v>
      </c>
      <c r="B499" t="s">
        <v>60</v>
      </c>
      <c r="C499" t="s">
        <v>21</v>
      </c>
      <c r="D499" t="s">
        <v>77</v>
      </c>
      <c r="E499">
        <v>0</v>
      </c>
      <c r="F499">
        <v>0</v>
      </c>
      <c r="G499">
        <v>0</v>
      </c>
      <c r="H499">
        <v>1</v>
      </c>
    </row>
    <row r="500" spans="1:8" x14ac:dyDescent="0.3">
      <c r="A500" t="s">
        <v>59</v>
      </c>
      <c r="B500" t="s">
        <v>60</v>
      </c>
      <c r="C500" t="s">
        <v>21</v>
      </c>
      <c r="D500" t="s">
        <v>79</v>
      </c>
      <c r="E500">
        <v>0</v>
      </c>
      <c r="F500">
        <v>0</v>
      </c>
      <c r="G500">
        <v>0</v>
      </c>
      <c r="H500">
        <v>1</v>
      </c>
    </row>
    <row r="501" spans="1:8" x14ac:dyDescent="0.3">
      <c r="A501" t="s">
        <v>59</v>
      </c>
      <c r="B501" t="s">
        <v>60</v>
      </c>
      <c r="C501" t="s">
        <v>21</v>
      </c>
      <c r="D501" t="s">
        <v>81</v>
      </c>
      <c r="E501">
        <v>1</v>
      </c>
      <c r="F501">
        <v>1</v>
      </c>
      <c r="G501">
        <v>1</v>
      </c>
      <c r="H501">
        <v>1</v>
      </c>
    </row>
    <row r="502" spans="1:8" x14ac:dyDescent="0.3">
      <c r="A502" t="s">
        <v>59</v>
      </c>
      <c r="B502" t="s">
        <v>60</v>
      </c>
      <c r="C502" t="s">
        <v>21</v>
      </c>
      <c r="D502" t="s">
        <v>83</v>
      </c>
      <c r="E502">
        <v>0</v>
      </c>
      <c r="F502">
        <v>0</v>
      </c>
      <c r="G502">
        <v>0</v>
      </c>
      <c r="H502">
        <v>1</v>
      </c>
    </row>
    <row r="503" spans="1:8" x14ac:dyDescent="0.3">
      <c r="A503" t="s">
        <v>59</v>
      </c>
      <c r="B503" t="s">
        <v>60</v>
      </c>
      <c r="C503" t="s">
        <v>21</v>
      </c>
      <c r="D503" t="s">
        <v>85</v>
      </c>
      <c r="E503">
        <v>0</v>
      </c>
      <c r="F503">
        <v>0</v>
      </c>
      <c r="G503">
        <v>0</v>
      </c>
      <c r="H503">
        <v>1</v>
      </c>
    </row>
    <row r="504" spans="1:8" x14ac:dyDescent="0.3">
      <c r="A504" t="s">
        <v>59</v>
      </c>
      <c r="B504" t="s">
        <v>60</v>
      </c>
      <c r="C504" t="s">
        <v>21</v>
      </c>
      <c r="D504" t="s">
        <v>87</v>
      </c>
      <c r="E504">
        <v>0</v>
      </c>
      <c r="F504">
        <v>0</v>
      </c>
      <c r="G504">
        <v>0</v>
      </c>
      <c r="H504">
        <v>1</v>
      </c>
    </row>
    <row r="505" spans="1:8" x14ac:dyDescent="0.3">
      <c r="A505" t="s">
        <v>59</v>
      </c>
      <c r="B505" t="s">
        <v>60</v>
      </c>
      <c r="C505" t="s">
        <v>21</v>
      </c>
      <c r="D505" t="s">
        <v>89</v>
      </c>
      <c r="E505">
        <v>0</v>
      </c>
      <c r="F505">
        <v>0</v>
      </c>
      <c r="G505">
        <v>0</v>
      </c>
      <c r="H505">
        <v>1</v>
      </c>
    </row>
    <row r="506" spans="1:8" x14ac:dyDescent="0.3">
      <c r="A506" t="s">
        <v>59</v>
      </c>
      <c r="B506" t="s">
        <v>60</v>
      </c>
      <c r="C506" t="s">
        <v>21</v>
      </c>
      <c r="D506" t="s">
        <v>91</v>
      </c>
      <c r="E506">
        <v>0</v>
      </c>
      <c r="F506">
        <v>0</v>
      </c>
      <c r="G506">
        <v>0</v>
      </c>
      <c r="H506">
        <v>1</v>
      </c>
    </row>
    <row r="507" spans="1:8" x14ac:dyDescent="0.3">
      <c r="A507" t="s">
        <v>59</v>
      </c>
      <c r="B507" t="s">
        <v>60</v>
      </c>
      <c r="C507" t="s">
        <v>21</v>
      </c>
      <c r="D507" t="s">
        <v>93</v>
      </c>
      <c r="E507">
        <v>0</v>
      </c>
      <c r="F507">
        <v>0</v>
      </c>
      <c r="G507">
        <v>0</v>
      </c>
      <c r="H507">
        <v>1</v>
      </c>
    </row>
    <row r="508" spans="1:8" x14ac:dyDescent="0.3">
      <c r="A508" t="s">
        <v>59</v>
      </c>
      <c r="B508" t="s">
        <v>60</v>
      </c>
      <c r="C508" t="s">
        <v>21</v>
      </c>
      <c r="D508" t="s">
        <v>95</v>
      </c>
      <c r="E508">
        <v>0</v>
      </c>
      <c r="F508">
        <v>0</v>
      </c>
      <c r="G508">
        <v>0</v>
      </c>
      <c r="H508">
        <v>1</v>
      </c>
    </row>
    <row r="509" spans="1:8" x14ac:dyDescent="0.3">
      <c r="A509" t="s">
        <v>59</v>
      </c>
      <c r="B509" t="s">
        <v>60</v>
      </c>
      <c r="C509" t="s">
        <v>21</v>
      </c>
      <c r="D509" t="s">
        <v>97</v>
      </c>
      <c r="E509">
        <v>0</v>
      </c>
      <c r="F509">
        <v>0</v>
      </c>
      <c r="G509">
        <v>0</v>
      </c>
      <c r="H509">
        <v>1</v>
      </c>
    </row>
    <row r="510" spans="1:8" x14ac:dyDescent="0.3">
      <c r="A510" t="s">
        <v>59</v>
      </c>
      <c r="B510" t="s">
        <v>60</v>
      </c>
      <c r="C510" t="s">
        <v>21</v>
      </c>
      <c r="D510" t="s">
        <v>99</v>
      </c>
      <c r="E510">
        <v>0</v>
      </c>
      <c r="F510">
        <v>0</v>
      </c>
      <c r="G510">
        <v>0</v>
      </c>
      <c r="H510">
        <v>1</v>
      </c>
    </row>
    <row r="511" spans="1:8" x14ac:dyDescent="0.3">
      <c r="A511" t="s">
        <v>59</v>
      </c>
      <c r="B511" t="s">
        <v>60</v>
      </c>
      <c r="C511" t="s">
        <v>21</v>
      </c>
      <c r="D511" t="s">
        <v>101</v>
      </c>
      <c r="E511">
        <v>0</v>
      </c>
      <c r="F511">
        <v>0</v>
      </c>
      <c r="G511">
        <v>0</v>
      </c>
      <c r="H511">
        <v>1</v>
      </c>
    </row>
    <row r="512" spans="1:8" x14ac:dyDescent="0.3">
      <c r="A512" t="s">
        <v>59</v>
      </c>
      <c r="B512" t="s">
        <v>60</v>
      </c>
      <c r="C512" t="s">
        <v>21</v>
      </c>
      <c r="D512" t="s">
        <v>103</v>
      </c>
      <c r="E512">
        <v>0</v>
      </c>
      <c r="F512">
        <v>0</v>
      </c>
      <c r="G512">
        <v>0</v>
      </c>
      <c r="H512">
        <v>1</v>
      </c>
    </row>
    <row r="513" spans="1:8" x14ac:dyDescent="0.3">
      <c r="A513" t="s">
        <v>59</v>
      </c>
      <c r="B513" t="s">
        <v>60</v>
      </c>
      <c r="C513" t="s">
        <v>21</v>
      </c>
      <c r="D513" t="s">
        <v>105</v>
      </c>
      <c r="E513">
        <v>0</v>
      </c>
      <c r="F513">
        <v>0</v>
      </c>
      <c r="G513">
        <v>0</v>
      </c>
      <c r="H513">
        <v>1</v>
      </c>
    </row>
    <row r="514" spans="1:8" x14ac:dyDescent="0.3">
      <c r="A514" t="s">
        <v>59</v>
      </c>
      <c r="B514" t="s">
        <v>60</v>
      </c>
      <c r="C514" t="s">
        <v>21</v>
      </c>
      <c r="D514" t="s">
        <v>107</v>
      </c>
      <c r="E514">
        <v>0</v>
      </c>
      <c r="F514">
        <v>0</v>
      </c>
      <c r="G514">
        <v>0</v>
      </c>
      <c r="H514">
        <v>1</v>
      </c>
    </row>
    <row r="515" spans="1:8" x14ac:dyDescent="0.3">
      <c r="A515" t="s">
        <v>59</v>
      </c>
      <c r="B515" t="s">
        <v>60</v>
      </c>
      <c r="C515" t="s">
        <v>21</v>
      </c>
      <c r="D515" t="s">
        <v>109</v>
      </c>
      <c r="E515">
        <v>1</v>
      </c>
      <c r="F515">
        <v>1</v>
      </c>
      <c r="G515">
        <v>1</v>
      </c>
      <c r="H515">
        <v>1</v>
      </c>
    </row>
    <row r="516" spans="1:8" x14ac:dyDescent="0.3">
      <c r="A516" t="s">
        <v>59</v>
      </c>
      <c r="B516" t="s">
        <v>60</v>
      </c>
      <c r="C516" t="s">
        <v>21</v>
      </c>
      <c r="D516" t="s">
        <v>111</v>
      </c>
      <c r="E516">
        <v>0</v>
      </c>
      <c r="F516">
        <v>0</v>
      </c>
      <c r="G516">
        <v>0</v>
      </c>
      <c r="H516">
        <v>1</v>
      </c>
    </row>
    <row r="517" spans="1:8" x14ac:dyDescent="0.3">
      <c r="A517" t="s">
        <v>59</v>
      </c>
      <c r="B517" t="s">
        <v>60</v>
      </c>
      <c r="C517" t="s">
        <v>23</v>
      </c>
      <c r="D517" t="s">
        <v>77</v>
      </c>
      <c r="E517">
        <v>0</v>
      </c>
      <c r="F517">
        <v>0</v>
      </c>
      <c r="G517">
        <v>0</v>
      </c>
      <c r="H517">
        <v>1</v>
      </c>
    </row>
    <row r="518" spans="1:8" x14ac:dyDescent="0.3">
      <c r="A518" t="s">
        <v>59</v>
      </c>
      <c r="B518" t="s">
        <v>60</v>
      </c>
      <c r="C518" t="s">
        <v>23</v>
      </c>
      <c r="D518" t="s">
        <v>79</v>
      </c>
      <c r="E518">
        <v>0</v>
      </c>
      <c r="F518">
        <v>0</v>
      </c>
      <c r="G518">
        <v>0</v>
      </c>
      <c r="H518">
        <v>1</v>
      </c>
    </row>
    <row r="519" spans="1:8" x14ac:dyDescent="0.3">
      <c r="A519" t="s">
        <v>59</v>
      </c>
      <c r="B519" t="s">
        <v>60</v>
      </c>
      <c r="C519" t="s">
        <v>23</v>
      </c>
      <c r="D519" t="s">
        <v>81</v>
      </c>
      <c r="E519">
        <v>0</v>
      </c>
      <c r="F519">
        <v>0</v>
      </c>
      <c r="G519">
        <v>0</v>
      </c>
      <c r="H519">
        <v>1</v>
      </c>
    </row>
    <row r="520" spans="1:8" x14ac:dyDescent="0.3">
      <c r="A520" t="s">
        <v>59</v>
      </c>
      <c r="B520" t="s">
        <v>60</v>
      </c>
      <c r="C520" t="s">
        <v>23</v>
      </c>
      <c r="D520" t="s">
        <v>83</v>
      </c>
      <c r="E520">
        <v>0</v>
      </c>
      <c r="F520">
        <v>0</v>
      </c>
      <c r="G520">
        <v>0</v>
      </c>
      <c r="H520">
        <v>1</v>
      </c>
    </row>
    <row r="521" spans="1:8" x14ac:dyDescent="0.3">
      <c r="A521" t="s">
        <v>59</v>
      </c>
      <c r="B521" t="s">
        <v>60</v>
      </c>
      <c r="C521" t="s">
        <v>23</v>
      </c>
      <c r="D521" t="s">
        <v>85</v>
      </c>
      <c r="E521">
        <v>0</v>
      </c>
      <c r="F521">
        <v>0</v>
      </c>
      <c r="G521">
        <v>0</v>
      </c>
      <c r="H521">
        <v>1</v>
      </c>
    </row>
    <row r="522" spans="1:8" x14ac:dyDescent="0.3">
      <c r="A522" t="s">
        <v>59</v>
      </c>
      <c r="B522" t="s">
        <v>60</v>
      </c>
      <c r="C522" t="s">
        <v>23</v>
      </c>
      <c r="D522" t="s">
        <v>87</v>
      </c>
      <c r="E522">
        <v>0</v>
      </c>
      <c r="F522">
        <v>0</v>
      </c>
      <c r="G522">
        <v>0</v>
      </c>
      <c r="H522">
        <v>1</v>
      </c>
    </row>
    <row r="523" spans="1:8" x14ac:dyDescent="0.3">
      <c r="A523" t="s">
        <v>59</v>
      </c>
      <c r="B523" t="s">
        <v>60</v>
      </c>
      <c r="C523" t="s">
        <v>23</v>
      </c>
      <c r="D523" t="s">
        <v>89</v>
      </c>
      <c r="E523">
        <v>0</v>
      </c>
      <c r="F523">
        <v>0</v>
      </c>
      <c r="G523">
        <v>0</v>
      </c>
      <c r="H523">
        <v>1</v>
      </c>
    </row>
    <row r="524" spans="1:8" x14ac:dyDescent="0.3">
      <c r="A524" t="s">
        <v>59</v>
      </c>
      <c r="B524" t="s">
        <v>60</v>
      </c>
      <c r="C524" t="s">
        <v>23</v>
      </c>
      <c r="D524" t="s">
        <v>91</v>
      </c>
      <c r="E524">
        <v>0</v>
      </c>
      <c r="F524">
        <v>0</v>
      </c>
      <c r="G524">
        <v>0</v>
      </c>
      <c r="H524">
        <v>1</v>
      </c>
    </row>
    <row r="525" spans="1:8" x14ac:dyDescent="0.3">
      <c r="A525" t="s">
        <v>59</v>
      </c>
      <c r="B525" t="s">
        <v>60</v>
      </c>
      <c r="C525" t="s">
        <v>23</v>
      </c>
      <c r="D525" t="s">
        <v>93</v>
      </c>
      <c r="E525">
        <v>0</v>
      </c>
      <c r="F525">
        <v>0</v>
      </c>
      <c r="G525">
        <v>0</v>
      </c>
      <c r="H525">
        <v>1</v>
      </c>
    </row>
    <row r="526" spans="1:8" x14ac:dyDescent="0.3">
      <c r="A526" t="s">
        <v>59</v>
      </c>
      <c r="B526" t="s">
        <v>60</v>
      </c>
      <c r="C526" t="s">
        <v>23</v>
      </c>
      <c r="D526" t="s">
        <v>95</v>
      </c>
      <c r="E526">
        <v>0</v>
      </c>
      <c r="F526">
        <v>0</v>
      </c>
      <c r="G526">
        <v>0</v>
      </c>
      <c r="H526">
        <v>1</v>
      </c>
    </row>
    <row r="527" spans="1:8" x14ac:dyDescent="0.3">
      <c r="A527" t="s">
        <v>59</v>
      </c>
      <c r="B527" t="s">
        <v>60</v>
      </c>
      <c r="C527" t="s">
        <v>23</v>
      </c>
      <c r="D527" t="s">
        <v>97</v>
      </c>
      <c r="E527">
        <v>0</v>
      </c>
      <c r="F527">
        <v>0</v>
      </c>
      <c r="G527">
        <v>0</v>
      </c>
      <c r="H527">
        <v>1</v>
      </c>
    </row>
    <row r="528" spans="1:8" x14ac:dyDescent="0.3">
      <c r="A528" t="s">
        <v>59</v>
      </c>
      <c r="B528" t="s">
        <v>60</v>
      </c>
      <c r="C528" t="s">
        <v>23</v>
      </c>
      <c r="D528" t="s">
        <v>99</v>
      </c>
      <c r="E528">
        <v>0</v>
      </c>
      <c r="F528">
        <v>0</v>
      </c>
      <c r="G528">
        <v>0</v>
      </c>
      <c r="H528">
        <v>1</v>
      </c>
    </row>
    <row r="529" spans="1:8" x14ac:dyDescent="0.3">
      <c r="A529" t="s">
        <v>59</v>
      </c>
      <c r="B529" t="s">
        <v>60</v>
      </c>
      <c r="C529" t="s">
        <v>23</v>
      </c>
      <c r="D529" t="s">
        <v>101</v>
      </c>
      <c r="E529">
        <v>0</v>
      </c>
      <c r="F529">
        <v>0</v>
      </c>
      <c r="G529">
        <v>0</v>
      </c>
      <c r="H529">
        <v>1</v>
      </c>
    </row>
    <row r="530" spans="1:8" x14ac:dyDescent="0.3">
      <c r="A530" t="s">
        <v>59</v>
      </c>
      <c r="B530" t="s">
        <v>60</v>
      </c>
      <c r="C530" t="s">
        <v>23</v>
      </c>
      <c r="D530" t="s">
        <v>103</v>
      </c>
      <c r="E530">
        <v>0</v>
      </c>
      <c r="F530">
        <v>0</v>
      </c>
      <c r="G530">
        <v>0</v>
      </c>
      <c r="H530">
        <v>1</v>
      </c>
    </row>
    <row r="531" spans="1:8" x14ac:dyDescent="0.3">
      <c r="A531" t="s">
        <v>59</v>
      </c>
      <c r="B531" t="s">
        <v>60</v>
      </c>
      <c r="C531" t="s">
        <v>23</v>
      </c>
      <c r="D531" t="s">
        <v>105</v>
      </c>
      <c r="E531">
        <v>0</v>
      </c>
      <c r="F531">
        <v>0</v>
      </c>
      <c r="G531">
        <v>0</v>
      </c>
      <c r="H531">
        <v>1</v>
      </c>
    </row>
    <row r="532" spans="1:8" x14ac:dyDescent="0.3">
      <c r="A532" t="s">
        <v>59</v>
      </c>
      <c r="B532" t="s">
        <v>60</v>
      </c>
      <c r="C532" t="s">
        <v>23</v>
      </c>
      <c r="D532" t="s">
        <v>107</v>
      </c>
      <c r="E532">
        <v>0</v>
      </c>
      <c r="F532">
        <v>0</v>
      </c>
      <c r="G532">
        <v>0</v>
      </c>
      <c r="H532">
        <v>1</v>
      </c>
    </row>
    <row r="533" spans="1:8" x14ac:dyDescent="0.3">
      <c r="A533" t="s">
        <v>59</v>
      </c>
      <c r="B533" t="s">
        <v>60</v>
      </c>
      <c r="C533" t="s">
        <v>23</v>
      </c>
      <c r="D533" t="s">
        <v>109</v>
      </c>
      <c r="E533">
        <v>1</v>
      </c>
      <c r="F533">
        <v>1</v>
      </c>
      <c r="G533">
        <v>1</v>
      </c>
      <c r="H533">
        <v>1</v>
      </c>
    </row>
    <row r="534" spans="1:8" x14ac:dyDescent="0.3">
      <c r="A534" t="s">
        <v>59</v>
      </c>
      <c r="B534" t="s">
        <v>60</v>
      </c>
      <c r="C534" t="s">
        <v>23</v>
      </c>
      <c r="D534" t="s">
        <v>111</v>
      </c>
      <c r="E534">
        <v>0</v>
      </c>
      <c r="F534">
        <v>0</v>
      </c>
      <c r="G534">
        <v>0</v>
      </c>
      <c r="H534">
        <v>1</v>
      </c>
    </row>
    <row r="535" spans="1:8" x14ac:dyDescent="0.3">
      <c r="A535" t="s">
        <v>59</v>
      </c>
      <c r="B535" t="s">
        <v>60</v>
      </c>
      <c r="C535" t="s">
        <v>24</v>
      </c>
      <c r="D535" t="s">
        <v>77</v>
      </c>
      <c r="E535">
        <v>0</v>
      </c>
      <c r="F535">
        <v>0</v>
      </c>
      <c r="G535">
        <v>0</v>
      </c>
      <c r="H535">
        <v>1</v>
      </c>
    </row>
    <row r="536" spans="1:8" x14ac:dyDescent="0.3">
      <c r="A536" t="s">
        <v>59</v>
      </c>
      <c r="B536" t="s">
        <v>60</v>
      </c>
      <c r="C536" t="s">
        <v>24</v>
      </c>
      <c r="D536" t="s">
        <v>79</v>
      </c>
      <c r="E536">
        <v>0</v>
      </c>
      <c r="F536">
        <v>0</v>
      </c>
      <c r="G536">
        <v>0</v>
      </c>
      <c r="H536">
        <v>1</v>
      </c>
    </row>
    <row r="537" spans="1:8" x14ac:dyDescent="0.3">
      <c r="A537" t="s">
        <v>59</v>
      </c>
      <c r="B537" t="s">
        <v>60</v>
      </c>
      <c r="C537" t="s">
        <v>24</v>
      </c>
      <c r="D537" t="s">
        <v>81</v>
      </c>
      <c r="E537">
        <v>1</v>
      </c>
      <c r="F537">
        <v>1</v>
      </c>
      <c r="G537">
        <v>1</v>
      </c>
      <c r="H537">
        <v>1</v>
      </c>
    </row>
    <row r="538" spans="1:8" x14ac:dyDescent="0.3">
      <c r="A538" t="s">
        <v>59</v>
      </c>
      <c r="B538" t="s">
        <v>60</v>
      </c>
      <c r="C538" t="s">
        <v>24</v>
      </c>
      <c r="D538" t="s">
        <v>83</v>
      </c>
      <c r="E538">
        <v>0</v>
      </c>
      <c r="F538">
        <v>0</v>
      </c>
      <c r="G538">
        <v>0</v>
      </c>
      <c r="H538">
        <v>1</v>
      </c>
    </row>
    <row r="539" spans="1:8" x14ac:dyDescent="0.3">
      <c r="A539" t="s">
        <v>59</v>
      </c>
      <c r="B539" t="s">
        <v>60</v>
      </c>
      <c r="C539" t="s">
        <v>24</v>
      </c>
      <c r="D539" t="s">
        <v>85</v>
      </c>
      <c r="E539">
        <v>0</v>
      </c>
      <c r="F539">
        <v>0</v>
      </c>
      <c r="G539">
        <v>0</v>
      </c>
      <c r="H539">
        <v>1</v>
      </c>
    </row>
    <row r="540" spans="1:8" x14ac:dyDescent="0.3">
      <c r="A540" t="s">
        <v>59</v>
      </c>
      <c r="B540" t="s">
        <v>60</v>
      </c>
      <c r="C540" t="s">
        <v>24</v>
      </c>
      <c r="D540" t="s">
        <v>87</v>
      </c>
      <c r="E540">
        <v>0</v>
      </c>
      <c r="F540">
        <v>0</v>
      </c>
      <c r="G540">
        <v>0</v>
      </c>
      <c r="H540">
        <v>1</v>
      </c>
    </row>
    <row r="541" spans="1:8" x14ac:dyDescent="0.3">
      <c r="A541" t="s">
        <v>59</v>
      </c>
      <c r="B541" t="s">
        <v>60</v>
      </c>
      <c r="C541" t="s">
        <v>24</v>
      </c>
      <c r="D541" t="s">
        <v>89</v>
      </c>
      <c r="E541">
        <v>0</v>
      </c>
      <c r="F541">
        <v>0</v>
      </c>
      <c r="G541">
        <v>0</v>
      </c>
      <c r="H541">
        <v>1</v>
      </c>
    </row>
    <row r="542" spans="1:8" x14ac:dyDescent="0.3">
      <c r="A542" t="s">
        <v>59</v>
      </c>
      <c r="B542" t="s">
        <v>60</v>
      </c>
      <c r="C542" t="s">
        <v>24</v>
      </c>
      <c r="D542" t="s">
        <v>91</v>
      </c>
      <c r="E542">
        <v>0</v>
      </c>
      <c r="F542">
        <v>0</v>
      </c>
      <c r="G542">
        <v>0</v>
      </c>
      <c r="H542">
        <v>1</v>
      </c>
    </row>
    <row r="543" spans="1:8" x14ac:dyDescent="0.3">
      <c r="A543" t="s">
        <v>59</v>
      </c>
      <c r="B543" t="s">
        <v>60</v>
      </c>
      <c r="C543" t="s">
        <v>24</v>
      </c>
      <c r="D543" t="s">
        <v>93</v>
      </c>
      <c r="E543">
        <v>0</v>
      </c>
      <c r="F543">
        <v>0</v>
      </c>
      <c r="G543">
        <v>0</v>
      </c>
      <c r="H543">
        <v>1</v>
      </c>
    </row>
    <row r="544" spans="1:8" x14ac:dyDescent="0.3">
      <c r="A544" t="s">
        <v>59</v>
      </c>
      <c r="B544" t="s">
        <v>60</v>
      </c>
      <c r="C544" t="s">
        <v>24</v>
      </c>
      <c r="D544" t="s">
        <v>95</v>
      </c>
      <c r="E544">
        <v>0</v>
      </c>
      <c r="F544">
        <v>0</v>
      </c>
      <c r="G544">
        <v>0</v>
      </c>
      <c r="H544">
        <v>1</v>
      </c>
    </row>
    <row r="545" spans="1:8" x14ac:dyDescent="0.3">
      <c r="A545" t="s">
        <v>59</v>
      </c>
      <c r="B545" t="s">
        <v>60</v>
      </c>
      <c r="C545" t="s">
        <v>24</v>
      </c>
      <c r="D545" t="s">
        <v>97</v>
      </c>
      <c r="E545">
        <v>0</v>
      </c>
      <c r="F545">
        <v>0</v>
      </c>
      <c r="G545">
        <v>0</v>
      </c>
      <c r="H545">
        <v>1</v>
      </c>
    </row>
    <row r="546" spans="1:8" x14ac:dyDescent="0.3">
      <c r="A546" t="s">
        <v>59</v>
      </c>
      <c r="B546" t="s">
        <v>60</v>
      </c>
      <c r="C546" t="s">
        <v>24</v>
      </c>
      <c r="D546" t="s">
        <v>99</v>
      </c>
      <c r="E546">
        <v>0</v>
      </c>
      <c r="F546">
        <v>0</v>
      </c>
      <c r="G546">
        <v>0</v>
      </c>
      <c r="H546">
        <v>1</v>
      </c>
    </row>
    <row r="547" spans="1:8" x14ac:dyDescent="0.3">
      <c r="A547" t="s">
        <v>59</v>
      </c>
      <c r="B547" t="s">
        <v>60</v>
      </c>
      <c r="C547" t="s">
        <v>24</v>
      </c>
      <c r="D547" t="s">
        <v>101</v>
      </c>
      <c r="E547">
        <v>0</v>
      </c>
      <c r="F547">
        <v>0</v>
      </c>
      <c r="G547">
        <v>0</v>
      </c>
      <c r="H547">
        <v>1</v>
      </c>
    </row>
    <row r="548" spans="1:8" x14ac:dyDescent="0.3">
      <c r="A548" t="s">
        <v>59</v>
      </c>
      <c r="B548" t="s">
        <v>60</v>
      </c>
      <c r="C548" t="s">
        <v>24</v>
      </c>
      <c r="D548" t="s">
        <v>103</v>
      </c>
      <c r="E548">
        <v>0</v>
      </c>
      <c r="F548">
        <v>0</v>
      </c>
      <c r="G548">
        <v>0</v>
      </c>
      <c r="H548">
        <v>1</v>
      </c>
    </row>
    <row r="549" spans="1:8" x14ac:dyDescent="0.3">
      <c r="A549" t="s">
        <v>59</v>
      </c>
      <c r="B549" t="s">
        <v>60</v>
      </c>
      <c r="C549" t="s">
        <v>24</v>
      </c>
      <c r="D549" t="s">
        <v>105</v>
      </c>
      <c r="E549">
        <v>0</v>
      </c>
      <c r="F549">
        <v>0</v>
      </c>
      <c r="G549">
        <v>0</v>
      </c>
      <c r="H549">
        <v>1</v>
      </c>
    </row>
    <row r="550" spans="1:8" x14ac:dyDescent="0.3">
      <c r="A550" t="s">
        <v>59</v>
      </c>
      <c r="B550" t="s">
        <v>60</v>
      </c>
      <c r="C550" t="s">
        <v>24</v>
      </c>
      <c r="D550" t="s">
        <v>107</v>
      </c>
      <c r="E550">
        <v>0</v>
      </c>
      <c r="F550">
        <v>0</v>
      </c>
      <c r="G550">
        <v>0</v>
      </c>
      <c r="H550">
        <v>1</v>
      </c>
    </row>
    <row r="551" spans="1:8" x14ac:dyDescent="0.3">
      <c r="A551" t="s">
        <v>59</v>
      </c>
      <c r="B551" t="s">
        <v>60</v>
      </c>
      <c r="C551" t="s">
        <v>24</v>
      </c>
      <c r="D551" t="s">
        <v>109</v>
      </c>
      <c r="E551">
        <v>0</v>
      </c>
      <c r="F551">
        <v>0</v>
      </c>
      <c r="G551">
        <v>1</v>
      </c>
      <c r="H551">
        <v>0</v>
      </c>
    </row>
    <row r="552" spans="1:8" x14ac:dyDescent="0.3">
      <c r="A552" t="s">
        <v>59</v>
      </c>
      <c r="B552" t="s">
        <v>60</v>
      </c>
      <c r="C552" t="s">
        <v>24</v>
      </c>
      <c r="D552" t="s">
        <v>111</v>
      </c>
      <c r="E552">
        <v>0</v>
      </c>
      <c r="F552">
        <v>0</v>
      </c>
      <c r="G552">
        <v>0</v>
      </c>
      <c r="H552">
        <v>1</v>
      </c>
    </row>
    <row r="553" spans="1:8" x14ac:dyDescent="0.3">
      <c r="A553" t="s">
        <v>59</v>
      </c>
      <c r="B553" t="s">
        <v>60</v>
      </c>
      <c r="C553" t="s">
        <v>25</v>
      </c>
      <c r="D553" t="s">
        <v>77</v>
      </c>
      <c r="E553">
        <v>0</v>
      </c>
      <c r="F553">
        <v>0</v>
      </c>
      <c r="G553">
        <v>0</v>
      </c>
      <c r="H553">
        <v>1</v>
      </c>
    </row>
    <row r="554" spans="1:8" x14ac:dyDescent="0.3">
      <c r="A554" t="s">
        <v>59</v>
      </c>
      <c r="B554" t="s">
        <v>60</v>
      </c>
      <c r="C554" t="s">
        <v>25</v>
      </c>
      <c r="D554" t="s">
        <v>79</v>
      </c>
      <c r="E554">
        <v>0</v>
      </c>
      <c r="F554">
        <v>0</v>
      </c>
      <c r="G554">
        <v>0</v>
      </c>
      <c r="H554">
        <v>1</v>
      </c>
    </row>
    <row r="555" spans="1:8" x14ac:dyDescent="0.3">
      <c r="A555" t="s">
        <v>59</v>
      </c>
      <c r="B555" t="s">
        <v>60</v>
      </c>
      <c r="C555" t="s">
        <v>25</v>
      </c>
      <c r="D555" t="s">
        <v>81</v>
      </c>
      <c r="E555">
        <v>1</v>
      </c>
      <c r="F555">
        <v>1</v>
      </c>
      <c r="G555">
        <v>1</v>
      </c>
      <c r="H555">
        <v>1</v>
      </c>
    </row>
    <row r="556" spans="1:8" x14ac:dyDescent="0.3">
      <c r="A556" t="s">
        <v>59</v>
      </c>
      <c r="B556" t="s">
        <v>60</v>
      </c>
      <c r="C556" t="s">
        <v>25</v>
      </c>
      <c r="D556" t="s">
        <v>83</v>
      </c>
      <c r="E556">
        <v>0</v>
      </c>
      <c r="F556">
        <v>0</v>
      </c>
      <c r="G556">
        <v>0</v>
      </c>
      <c r="H556">
        <v>1</v>
      </c>
    </row>
    <row r="557" spans="1:8" x14ac:dyDescent="0.3">
      <c r="A557" t="s">
        <v>59</v>
      </c>
      <c r="B557" t="s">
        <v>60</v>
      </c>
      <c r="C557" t="s">
        <v>25</v>
      </c>
      <c r="D557" t="s">
        <v>85</v>
      </c>
      <c r="E557">
        <v>0</v>
      </c>
      <c r="F557">
        <v>0</v>
      </c>
      <c r="G557">
        <v>0</v>
      </c>
      <c r="H557">
        <v>1</v>
      </c>
    </row>
    <row r="558" spans="1:8" x14ac:dyDescent="0.3">
      <c r="A558" t="s">
        <v>59</v>
      </c>
      <c r="B558" t="s">
        <v>60</v>
      </c>
      <c r="C558" t="s">
        <v>25</v>
      </c>
      <c r="D558" t="s">
        <v>87</v>
      </c>
      <c r="E558">
        <v>0</v>
      </c>
      <c r="F558">
        <v>0</v>
      </c>
      <c r="G558">
        <v>0</v>
      </c>
      <c r="H558">
        <v>1</v>
      </c>
    </row>
    <row r="559" spans="1:8" x14ac:dyDescent="0.3">
      <c r="A559" t="s">
        <v>59</v>
      </c>
      <c r="B559" t="s">
        <v>60</v>
      </c>
      <c r="C559" t="s">
        <v>25</v>
      </c>
      <c r="D559" t="s">
        <v>89</v>
      </c>
      <c r="E559">
        <v>0</v>
      </c>
      <c r="F559">
        <v>0</v>
      </c>
      <c r="G559">
        <v>0</v>
      </c>
      <c r="H559">
        <v>1</v>
      </c>
    </row>
    <row r="560" spans="1:8" x14ac:dyDescent="0.3">
      <c r="A560" t="s">
        <v>59</v>
      </c>
      <c r="B560" t="s">
        <v>60</v>
      </c>
      <c r="C560" t="s">
        <v>25</v>
      </c>
      <c r="D560" t="s">
        <v>91</v>
      </c>
      <c r="E560">
        <v>0</v>
      </c>
      <c r="F560">
        <v>0</v>
      </c>
      <c r="G560">
        <v>0</v>
      </c>
      <c r="H560">
        <v>1</v>
      </c>
    </row>
    <row r="561" spans="1:8" x14ac:dyDescent="0.3">
      <c r="A561" t="s">
        <v>59</v>
      </c>
      <c r="B561" t="s">
        <v>60</v>
      </c>
      <c r="C561" t="s">
        <v>25</v>
      </c>
      <c r="D561" t="s">
        <v>93</v>
      </c>
      <c r="E561">
        <v>0</v>
      </c>
      <c r="F561">
        <v>0</v>
      </c>
      <c r="G561">
        <v>0</v>
      </c>
      <c r="H561">
        <v>1</v>
      </c>
    </row>
    <row r="562" spans="1:8" x14ac:dyDescent="0.3">
      <c r="A562" t="s">
        <v>59</v>
      </c>
      <c r="B562" t="s">
        <v>60</v>
      </c>
      <c r="C562" t="s">
        <v>25</v>
      </c>
      <c r="D562" t="s">
        <v>95</v>
      </c>
      <c r="E562">
        <v>0</v>
      </c>
      <c r="F562">
        <v>0</v>
      </c>
      <c r="G562">
        <v>0</v>
      </c>
      <c r="H562">
        <v>1</v>
      </c>
    </row>
    <row r="563" spans="1:8" x14ac:dyDescent="0.3">
      <c r="A563" t="s">
        <v>59</v>
      </c>
      <c r="B563" t="s">
        <v>60</v>
      </c>
      <c r="C563" t="s">
        <v>25</v>
      </c>
      <c r="D563" t="s">
        <v>97</v>
      </c>
      <c r="E563">
        <v>0</v>
      </c>
      <c r="F563">
        <v>0</v>
      </c>
      <c r="G563">
        <v>0</v>
      </c>
      <c r="H563">
        <v>1</v>
      </c>
    </row>
    <row r="564" spans="1:8" x14ac:dyDescent="0.3">
      <c r="A564" t="s">
        <v>59</v>
      </c>
      <c r="B564" t="s">
        <v>60</v>
      </c>
      <c r="C564" t="s">
        <v>25</v>
      </c>
      <c r="D564" t="s">
        <v>99</v>
      </c>
      <c r="E564">
        <v>0</v>
      </c>
      <c r="F564">
        <v>0</v>
      </c>
      <c r="G564">
        <v>0</v>
      </c>
      <c r="H564">
        <v>1</v>
      </c>
    </row>
    <row r="565" spans="1:8" x14ac:dyDescent="0.3">
      <c r="A565" t="s">
        <v>59</v>
      </c>
      <c r="B565" t="s">
        <v>60</v>
      </c>
      <c r="C565" t="s">
        <v>25</v>
      </c>
      <c r="D565" t="s">
        <v>101</v>
      </c>
      <c r="E565">
        <v>0</v>
      </c>
      <c r="F565">
        <v>0</v>
      </c>
      <c r="G565">
        <v>0</v>
      </c>
      <c r="H565">
        <v>1</v>
      </c>
    </row>
    <row r="566" spans="1:8" x14ac:dyDescent="0.3">
      <c r="A566" t="s">
        <v>59</v>
      </c>
      <c r="B566" t="s">
        <v>60</v>
      </c>
      <c r="C566" t="s">
        <v>25</v>
      </c>
      <c r="D566" t="s">
        <v>103</v>
      </c>
      <c r="E566">
        <v>0</v>
      </c>
      <c r="F566">
        <v>0</v>
      </c>
      <c r="G566">
        <v>0</v>
      </c>
      <c r="H566">
        <v>1</v>
      </c>
    </row>
    <row r="567" spans="1:8" x14ac:dyDescent="0.3">
      <c r="A567" t="s">
        <v>59</v>
      </c>
      <c r="B567" t="s">
        <v>60</v>
      </c>
      <c r="C567" t="s">
        <v>25</v>
      </c>
      <c r="D567" t="s">
        <v>105</v>
      </c>
      <c r="E567">
        <v>0</v>
      </c>
      <c r="F567">
        <v>0</v>
      </c>
      <c r="G567">
        <v>0</v>
      </c>
      <c r="H567">
        <v>1</v>
      </c>
    </row>
    <row r="568" spans="1:8" x14ac:dyDescent="0.3">
      <c r="A568" t="s">
        <v>59</v>
      </c>
      <c r="B568" t="s">
        <v>60</v>
      </c>
      <c r="C568" t="s">
        <v>25</v>
      </c>
      <c r="D568" t="s">
        <v>107</v>
      </c>
      <c r="E568">
        <v>0</v>
      </c>
      <c r="F568">
        <v>0</v>
      </c>
      <c r="G568">
        <v>0</v>
      </c>
      <c r="H568">
        <v>1</v>
      </c>
    </row>
    <row r="569" spans="1:8" x14ac:dyDescent="0.3">
      <c r="A569" t="s">
        <v>59</v>
      </c>
      <c r="B569" t="s">
        <v>60</v>
      </c>
      <c r="C569" t="s">
        <v>25</v>
      </c>
      <c r="D569" t="s">
        <v>111</v>
      </c>
      <c r="E569">
        <v>0</v>
      </c>
      <c r="F569">
        <v>0</v>
      </c>
      <c r="G569">
        <v>0</v>
      </c>
      <c r="H569">
        <v>1</v>
      </c>
    </row>
    <row r="570" spans="1:8" x14ac:dyDescent="0.3">
      <c r="A570" t="s">
        <v>61</v>
      </c>
      <c r="B570" t="s">
        <v>62</v>
      </c>
      <c r="C570" t="s">
        <v>21</v>
      </c>
      <c r="D570" t="s">
        <v>77</v>
      </c>
      <c r="E570">
        <v>0</v>
      </c>
      <c r="F570">
        <v>0</v>
      </c>
      <c r="G570">
        <v>0</v>
      </c>
      <c r="H570">
        <v>1</v>
      </c>
    </row>
    <row r="571" spans="1:8" x14ac:dyDescent="0.3">
      <c r="A571" t="s">
        <v>61</v>
      </c>
      <c r="B571" t="s">
        <v>62</v>
      </c>
      <c r="C571" t="s">
        <v>21</v>
      </c>
      <c r="D571" t="s">
        <v>79</v>
      </c>
      <c r="E571">
        <v>0</v>
      </c>
      <c r="F571">
        <v>0</v>
      </c>
      <c r="G571">
        <v>0</v>
      </c>
      <c r="H571">
        <v>1</v>
      </c>
    </row>
    <row r="572" spans="1:8" x14ac:dyDescent="0.3">
      <c r="A572" t="s">
        <v>61</v>
      </c>
      <c r="B572" t="s">
        <v>62</v>
      </c>
      <c r="C572" t="s">
        <v>21</v>
      </c>
      <c r="D572" t="s">
        <v>81</v>
      </c>
      <c r="E572">
        <v>0</v>
      </c>
      <c r="F572">
        <v>0</v>
      </c>
      <c r="G572">
        <v>0</v>
      </c>
      <c r="H572">
        <v>1</v>
      </c>
    </row>
    <row r="573" spans="1:8" x14ac:dyDescent="0.3">
      <c r="A573" t="s">
        <v>61</v>
      </c>
      <c r="B573" t="s">
        <v>62</v>
      </c>
      <c r="C573" t="s">
        <v>21</v>
      </c>
      <c r="D573" t="s">
        <v>83</v>
      </c>
      <c r="E573">
        <v>0</v>
      </c>
      <c r="F573">
        <v>0</v>
      </c>
      <c r="G573">
        <v>0</v>
      </c>
      <c r="H573">
        <v>1</v>
      </c>
    </row>
    <row r="574" spans="1:8" x14ac:dyDescent="0.3">
      <c r="A574" t="s">
        <v>61</v>
      </c>
      <c r="B574" t="s">
        <v>62</v>
      </c>
      <c r="C574" t="s">
        <v>21</v>
      </c>
      <c r="D574" t="s">
        <v>85</v>
      </c>
      <c r="E574">
        <v>0</v>
      </c>
      <c r="F574">
        <v>0</v>
      </c>
      <c r="G574">
        <v>0</v>
      </c>
      <c r="H574">
        <v>1</v>
      </c>
    </row>
    <row r="575" spans="1:8" x14ac:dyDescent="0.3">
      <c r="A575" t="s">
        <v>61</v>
      </c>
      <c r="B575" t="s">
        <v>62</v>
      </c>
      <c r="C575" t="s">
        <v>21</v>
      </c>
      <c r="D575" t="s">
        <v>87</v>
      </c>
      <c r="E575">
        <v>0</v>
      </c>
      <c r="F575">
        <v>0</v>
      </c>
      <c r="G575">
        <v>0</v>
      </c>
      <c r="H575">
        <v>1</v>
      </c>
    </row>
    <row r="576" spans="1:8" x14ac:dyDescent="0.3">
      <c r="A576" t="s">
        <v>61</v>
      </c>
      <c r="B576" t="s">
        <v>62</v>
      </c>
      <c r="C576" t="s">
        <v>21</v>
      </c>
      <c r="D576" t="s">
        <v>89</v>
      </c>
      <c r="E576">
        <v>0</v>
      </c>
      <c r="F576">
        <v>0</v>
      </c>
      <c r="G576">
        <v>0</v>
      </c>
      <c r="H576">
        <v>1</v>
      </c>
    </row>
    <row r="577" spans="1:8" x14ac:dyDescent="0.3">
      <c r="A577" t="s">
        <v>61</v>
      </c>
      <c r="B577" t="s">
        <v>62</v>
      </c>
      <c r="C577" t="s">
        <v>21</v>
      </c>
      <c r="D577" t="s">
        <v>91</v>
      </c>
      <c r="E577">
        <v>0</v>
      </c>
      <c r="F577">
        <v>0</v>
      </c>
      <c r="G577">
        <v>0</v>
      </c>
      <c r="H577">
        <v>1</v>
      </c>
    </row>
    <row r="578" spans="1:8" x14ac:dyDescent="0.3">
      <c r="A578" t="s">
        <v>61</v>
      </c>
      <c r="B578" t="s">
        <v>62</v>
      </c>
      <c r="C578" t="s">
        <v>21</v>
      </c>
      <c r="D578" t="s">
        <v>93</v>
      </c>
      <c r="E578">
        <v>0</v>
      </c>
      <c r="F578">
        <v>0</v>
      </c>
      <c r="G578">
        <v>0</v>
      </c>
      <c r="H578">
        <v>1</v>
      </c>
    </row>
    <row r="579" spans="1:8" x14ac:dyDescent="0.3">
      <c r="A579" t="s">
        <v>61</v>
      </c>
      <c r="B579" t="s">
        <v>62</v>
      </c>
      <c r="C579" t="s">
        <v>21</v>
      </c>
      <c r="D579" t="s">
        <v>95</v>
      </c>
      <c r="E579">
        <v>0</v>
      </c>
      <c r="F579">
        <v>0</v>
      </c>
      <c r="G579">
        <v>0</v>
      </c>
      <c r="H579">
        <v>1</v>
      </c>
    </row>
    <row r="580" spans="1:8" x14ac:dyDescent="0.3">
      <c r="A580" t="s">
        <v>61</v>
      </c>
      <c r="B580" t="s">
        <v>62</v>
      </c>
      <c r="C580" t="s">
        <v>21</v>
      </c>
      <c r="D580" t="s">
        <v>97</v>
      </c>
      <c r="E580">
        <v>0</v>
      </c>
      <c r="F580">
        <v>0</v>
      </c>
      <c r="G580">
        <v>0</v>
      </c>
      <c r="H580">
        <v>1</v>
      </c>
    </row>
    <row r="581" spans="1:8" x14ac:dyDescent="0.3">
      <c r="A581" t="s">
        <v>61</v>
      </c>
      <c r="B581" t="s">
        <v>62</v>
      </c>
      <c r="C581" t="s">
        <v>21</v>
      </c>
      <c r="D581" t="s">
        <v>99</v>
      </c>
      <c r="E581">
        <v>0</v>
      </c>
      <c r="F581">
        <v>0</v>
      </c>
      <c r="G581">
        <v>0</v>
      </c>
      <c r="H581">
        <v>1</v>
      </c>
    </row>
    <row r="582" spans="1:8" x14ac:dyDescent="0.3">
      <c r="A582" t="s">
        <v>61</v>
      </c>
      <c r="B582" t="s">
        <v>62</v>
      </c>
      <c r="C582" t="s">
        <v>21</v>
      </c>
      <c r="D582" t="s">
        <v>101</v>
      </c>
      <c r="E582">
        <v>0</v>
      </c>
      <c r="F582">
        <v>0</v>
      </c>
      <c r="G582">
        <v>0</v>
      </c>
      <c r="H582">
        <v>1</v>
      </c>
    </row>
    <row r="583" spans="1:8" x14ac:dyDescent="0.3">
      <c r="A583" t="s">
        <v>61</v>
      </c>
      <c r="B583" t="s">
        <v>62</v>
      </c>
      <c r="C583" t="s">
        <v>21</v>
      </c>
      <c r="D583" t="s">
        <v>103</v>
      </c>
      <c r="E583">
        <v>0</v>
      </c>
      <c r="F583">
        <v>0</v>
      </c>
      <c r="G583">
        <v>0</v>
      </c>
      <c r="H583">
        <v>1</v>
      </c>
    </row>
    <row r="584" spans="1:8" x14ac:dyDescent="0.3">
      <c r="A584" t="s">
        <v>61</v>
      </c>
      <c r="B584" t="s">
        <v>62</v>
      </c>
      <c r="C584" t="s">
        <v>21</v>
      </c>
      <c r="D584" t="s">
        <v>105</v>
      </c>
      <c r="E584">
        <v>0</v>
      </c>
      <c r="F584">
        <v>0</v>
      </c>
      <c r="G584">
        <v>0</v>
      </c>
      <c r="H584">
        <v>1</v>
      </c>
    </row>
    <row r="585" spans="1:8" x14ac:dyDescent="0.3">
      <c r="A585" t="s">
        <v>61</v>
      </c>
      <c r="B585" t="s">
        <v>62</v>
      </c>
      <c r="C585" t="s">
        <v>21</v>
      </c>
      <c r="D585" t="s">
        <v>107</v>
      </c>
      <c r="E585">
        <v>0</v>
      </c>
      <c r="F585">
        <v>0</v>
      </c>
      <c r="G585">
        <v>0</v>
      </c>
      <c r="H585">
        <v>1</v>
      </c>
    </row>
    <row r="586" spans="1:8" x14ac:dyDescent="0.3">
      <c r="A586" t="s">
        <v>61</v>
      </c>
      <c r="B586" t="s">
        <v>62</v>
      </c>
      <c r="C586" t="s">
        <v>21</v>
      </c>
      <c r="D586" t="s">
        <v>109</v>
      </c>
      <c r="E586">
        <v>1</v>
      </c>
      <c r="F586">
        <v>1</v>
      </c>
      <c r="G586">
        <v>1</v>
      </c>
      <c r="H586">
        <v>1</v>
      </c>
    </row>
    <row r="587" spans="1:8" x14ac:dyDescent="0.3">
      <c r="A587" t="s">
        <v>61</v>
      </c>
      <c r="B587" t="s">
        <v>62</v>
      </c>
      <c r="C587" t="s">
        <v>21</v>
      </c>
      <c r="D587" t="s">
        <v>111</v>
      </c>
      <c r="E587">
        <v>0</v>
      </c>
      <c r="F587">
        <v>0</v>
      </c>
      <c r="G587">
        <v>0</v>
      </c>
      <c r="H587">
        <v>1</v>
      </c>
    </row>
    <row r="588" spans="1:8" x14ac:dyDescent="0.3">
      <c r="A588" t="s">
        <v>61</v>
      </c>
      <c r="B588" t="s">
        <v>62</v>
      </c>
      <c r="C588" t="s">
        <v>23</v>
      </c>
      <c r="D588" t="s">
        <v>77</v>
      </c>
      <c r="E588">
        <v>0</v>
      </c>
      <c r="F588">
        <v>0</v>
      </c>
      <c r="G588">
        <v>0</v>
      </c>
      <c r="H588">
        <v>1</v>
      </c>
    </row>
    <row r="589" spans="1:8" x14ac:dyDescent="0.3">
      <c r="A589" t="s">
        <v>61</v>
      </c>
      <c r="B589" t="s">
        <v>62</v>
      </c>
      <c r="C589" t="s">
        <v>23</v>
      </c>
      <c r="D589" t="s">
        <v>79</v>
      </c>
      <c r="E589">
        <v>0</v>
      </c>
      <c r="F589">
        <v>0</v>
      </c>
      <c r="G589">
        <v>0</v>
      </c>
      <c r="H589">
        <v>1</v>
      </c>
    </row>
    <row r="590" spans="1:8" x14ac:dyDescent="0.3">
      <c r="A590" t="s">
        <v>61</v>
      </c>
      <c r="B590" t="s">
        <v>62</v>
      </c>
      <c r="C590" t="s">
        <v>23</v>
      </c>
      <c r="D590" t="s">
        <v>81</v>
      </c>
      <c r="E590">
        <v>1</v>
      </c>
      <c r="F590">
        <v>1</v>
      </c>
      <c r="G590">
        <v>1</v>
      </c>
      <c r="H590">
        <v>1</v>
      </c>
    </row>
    <row r="591" spans="1:8" x14ac:dyDescent="0.3">
      <c r="A591" t="s">
        <v>61</v>
      </c>
      <c r="B591" t="s">
        <v>62</v>
      </c>
      <c r="C591" t="s">
        <v>23</v>
      </c>
      <c r="D591" t="s">
        <v>83</v>
      </c>
      <c r="E591">
        <v>0</v>
      </c>
      <c r="F591">
        <v>0</v>
      </c>
      <c r="G591">
        <v>0</v>
      </c>
      <c r="H591">
        <v>1</v>
      </c>
    </row>
    <row r="592" spans="1:8" x14ac:dyDescent="0.3">
      <c r="A592" t="s">
        <v>61</v>
      </c>
      <c r="B592" t="s">
        <v>62</v>
      </c>
      <c r="C592" t="s">
        <v>23</v>
      </c>
      <c r="D592" t="s">
        <v>85</v>
      </c>
      <c r="E592">
        <v>0</v>
      </c>
      <c r="F592">
        <v>0</v>
      </c>
      <c r="G592">
        <v>0</v>
      </c>
      <c r="H592">
        <v>1</v>
      </c>
    </row>
    <row r="593" spans="1:8" x14ac:dyDescent="0.3">
      <c r="A593" t="s">
        <v>61</v>
      </c>
      <c r="B593" t="s">
        <v>62</v>
      </c>
      <c r="C593" t="s">
        <v>23</v>
      </c>
      <c r="D593" t="s">
        <v>87</v>
      </c>
      <c r="E593">
        <v>0</v>
      </c>
      <c r="F593">
        <v>0</v>
      </c>
      <c r="G593">
        <v>0</v>
      </c>
      <c r="H593">
        <v>1</v>
      </c>
    </row>
    <row r="594" spans="1:8" x14ac:dyDescent="0.3">
      <c r="A594" t="s">
        <v>61</v>
      </c>
      <c r="B594" t="s">
        <v>62</v>
      </c>
      <c r="C594" t="s">
        <v>23</v>
      </c>
      <c r="D594" t="s">
        <v>89</v>
      </c>
      <c r="E594">
        <v>0</v>
      </c>
      <c r="F594">
        <v>0</v>
      </c>
      <c r="G594">
        <v>0</v>
      </c>
      <c r="H594">
        <v>1</v>
      </c>
    </row>
    <row r="595" spans="1:8" x14ac:dyDescent="0.3">
      <c r="A595" t="s">
        <v>61</v>
      </c>
      <c r="B595" t="s">
        <v>62</v>
      </c>
      <c r="C595" t="s">
        <v>23</v>
      </c>
      <c r="D595" t="s">
        <v>91</v>
      </c>
      <c r="E595">
        <v>0</v>
      </c>
      <c r="F595">
        <v>0</v>
      </c>
      <c r="G595">
        <v>0</v>
      </c>
      <c r="H595">
        <v>1</v>
      </c>
    </row>
    <row r="596" spans="1:8" x14ac:dyDescent="0.3">
      <c r="A596" t="s">
        <v>61</v>
      </c>
      <c r="B596" t="s">
        <v>62</v>
      </c>
      <c r="C596" t="s">
        <v>23</v>
      </c>
      <c r="D596" t="s">
        <v>93</v>
      </c>
      <c r="E596">
        <v>0</v>
      </c>
      <c r="F596">
        <v>0</v>
      </c>
      <c r="G596">
        <v>0</v>
      </c>
      <c r="H596">
        <v>1</v>
      </c>
    </row>
    <row r="597" spans="1:8" x14ac:dyDescent="0.3">
      <c r="A597" t="s">
        <v>61</v>
      </c>
      <c r="B597" t="s">
        <v>62</v>
      </c>
      <c r="C597" t="s">
        <v>23</v>
      </c>
      <c r="D597" t="s">
        <v>95</v>
      </c>
      <c r="E597">
        <v>0</v>
      </c>
      <c r="F597">
        <v>0</v>
      </c>
      <c r="G597">
        <v>0</v>
      </c>
      <c r="H597">
        <v>1</v>
      </c>
    </row>
    <row r="598" spans="1:8" x14ac:dyDescent="0.3">
      <c r="A598" t="s">
        <v>61</v>
      </c>
      <c r="B598" t="s">
        <v>62</v>
      </c>
      <c r="C598" t="s">
        <v>23</v>
      </c>
      <c r="D598" t="s">
        <v>97</v>
      </c>
      <c r="E598">
        <v>0</v>
      </c>
      <c r="F598">
        <v>0</v>
      </c>
      <c r="G598">
        <v>0</v>
      </c>
      <c r="H598">
        <v>1</v>
      </c>
    </row>
    <row r="599" spans="1:8" x14ac:dyDescent="0.3">
      <c r="A599" t="s">
        <v>61</v>
      </c>
      <c r="B599" t="s">
        <v>62</v>
      </c>
      <c r="C599" t="s">
        <v>23</v>
      </c>
      <c r="D599" t="s">
        <v>99</v>
      </c>
      <c r="E599">
        <v>0</v>
      </c>
      <c r="F599">
        <v>0</v>
      </c>
      <c r="G599">
        <v>0</v>
      </c>
      <c r="H599">
        <v>1</v>
      </c>
    </row>
    <row r="600" spans="1:8" x14ac:dyDescent="0.3">
      <c r="A600" t="s">
        <v>61</v>
      </c>
      <c r="B600" t="s">
        <v>62</v>
      </c>
      <c r="C600" t="s">
        <v>23</v>
      </c>
      <c r="D600" t="s">
        <v>101</v>
      </c>
      <c r="E600">
        <v>0</v>
      </c>
      <c r="F600">
        <v>0</v>
      </c>
      <c r="G600">
        <v>0</v>
      </c>
      <c r="H600">
        <v>1</v>
      </c>
    </row>
    <row r="601" spans="1:8" x14ac:dyDescent="0.3">
      <c r="A601" t="s">
        <v>61</v>
      </c>
      <c r="B601" t="s">
        <v>62</v>
      </c>
      <c r="C601" t="s">
        <v>23</v>
      </c>
      <c r="D601" t="s">
        <v>103</v>
      </c>
      <c r="E601">
        <v>0</v>
      </c>
      <c r="F601">
        <v>0</v>
      </c>
      <c r="G601">
        <v>0</v>
      </c>
      <c r="H601">
        <v>1</v>
      </c>
    </row>
    <row r="602" spans="1:8" x14ac:dyDescent="0.3">
      <c r="A602" t="s">
        <v>61</v>
      </c>
      <c r="B602" t="s">
        <v>62</v>
      </c>
      <c r="C602" t="s">
        <v>23</v>
      </c>
      <c r="D602" t="s">
        <v>105</v>
      </c>
      <c r="E602">
        <v>0</v>
      </c>
      <c r="F602">
        <v>0</v>
      </c>
      <c r="G602">
        <v>0</v>
      </c>
      <c r="H602">
        <v>1</v>
      </c>
    </row>
    <row r="603" spans="1:8" x14ac:dyDescent="0.3">
      <c r="A603" t="s">
        <v>61</v>
      </c>
      <c r="B603" t="s">
        <v>62</v>
      </c>
      <c r="C603" t="s">
        <v>23</v>
      </c>
      <c r="D603" t="s">
        <v>107</v>
      </c>
      <c r="E603">
        <v>0</v>
      </c>
      <c r="F603">
        <v>0</v>
      </c>
      <c r="G603">
        <v>0</v>
      </c>
      <c r="H603">
        <v>1</v>
      </c>
    </row>
    <row r="604" spans="1:8" x14ac:dyDescent="0.3">
      <c r="A604" t="s">
        <v>61</v>
      </c>
      <c r="B604" t="s">
        <v>62</v>
      </c>
      <c r="C604" t="s">
        <v>23</v>
      </c>
      <c r="D604" t="s">
        <v>109</v>
      </c>
      <c r="E604">
        <v>1</v>
      </c>
      <c r="F604">
        <v>1</v>
      </c>
      <c r="G604">
        <v>1</v>
      </c>
      <c r="H604">
        <v>1</v>
      </c>
    </row>
    <row r="605" spans="1:8" x14ac:dyDescent="0.3">
      <c r="A605" t="s">
        <v>61</v>
      </c>
      <c r="B605" t="s">
        <v>62</v>
      </c>
      <c r="C605" t="s">
        <v>23</v>
      </c>
      <c r="D605" t="s">
        <v>111</v>
      </c>
      <c r="E605">
        <v>0</v>
      </c>
      <c r="F605">
        <v>0</v>
      </c>
      <c r="G605">
        <v>0</v>
      </c>
      <c r="H605">
        <v>1</v>
      </c>
    </row>
    <row r="606" spans="1:8" x14ac:dyDescent="0.3">
      <c r="A606" t="s">
        <v>61</v>
      </c>
      <c r="B606" t="s">
        <v>62</v>
      </c>
      <c r="C606" t="s">
        <v>24</v>
      </c>
      <c r="D606" t="s">
        <v>77</v>
      </c>
      <c r="E606">
        <v>0</v>
      </c>
      <c r="F606">
        <v>0</v>
      </c>
      <c r="G606">
        <v>0</v>
      </c>
      <c r="H606">
        <v>1</v>
      </c>
    </row>
    <row r="607" spans="1:8" x14ac:dyDescent="0.3">
      <c r="A607" t="s">
        <v>61</v>
      </c>
      <c r="B607" t="s">
        <v>62</v>
      </c>
      <c r="C607" t="s">
        <v>24</v>
      </c>
      <c r="D607" t="s">
        <v>79</v>
      </c>
      <c r="E607">
        <v>0</v>
      </c>
      <c r="F607">
        <v>0</v>
      </c>
      <c r="G607">
        <v>0</v>
      </c>
      <c r="H607">
        <v>1</v>
      </c>
    </row>
    <row r="608" spans="1:8" x14ac:dyDescent="0.3">
      <c r="A608" t="s">
        <v>61</v>
      </c>
      <c r="B608" t="s">
        <v>62</v>
      </c>
      <c r="C608" t="s">
        <v>24</v>
      </c>
      <c r="D608" t="s">
        <v>81</v>
      </c>
      <c r="E608">
        <v>1</v>
      </c>
      <c r="F608">
        <v>1</v>
      </c>
      <c r="G608">
        <v>1</v>
      </c>
      <c r="H608">
        <v>1</v>
      </c>
    </row>
    <row r="609" spans="1:8" x14ac:dyDescent="0.3">
      <c r="A609" t="s">
        <v>61</v>
      </c>
      <c r="B609" t="s">
        <v>62</v>
      </c>
      <c r="C609" t="s">
        <v>24</v>
      </c>
      <c r="D609" t="s">
        <v>83</v>
      </c>
      <c r="E609">
        <v>0</v>
      </c>
      <c r="F609">
        <v>0</v>
      </c>
      <c r="G609">
        <v>0</v>
      </c>
      <c r="H609">
        <v>1</v>
      </c>
    </row>
    <row r="610" spans="1:8" x14ac:dyDescent="0.3">
      <c r="A610" t="s">
        <v>61</v>
      </c>
      <c r="B610" t="s">
        <v>62</v>
      </c>
      <c r="C610" t="s">
        <v>24</v>
      </c>
      <c r="D610" t="s">
        <v>85</v>
      </c>
      <c r="E610">
        <v>0</v>
      </c>
      <c r="F610">
        <v>0</v>
      </c>
      <c r="G610">
        <v>0</v>
      </c>
      <c r="H610">
        <v>1</v>
      </c>
    </row>
    <row r="611" spans="1:8" x14ac:dyDescent="0.3">
      <c r="A611" t="s">
        <v>61</v>
      </c>
      <c r="B611" t="s">
        <v>62</v>
      </c>
      <c r="C611" t="s">
        <v>24</v>
      </c>
      <c r="D611" t="s">
        <v>87</v>
      </c>
      <c r="E611">
        <v>0</v>
      </c>
      <c r="F611">
        <v>0</v>
      </c>
      <c r="G611">
        <v>0</v>
      </c>
      <c r="H611">
        <v>1</v>
      </c>
    </row>
    <row r="612" spans="1:8" x14ac:dyDescent="0.3">
      <c r="A612" t="s">
        <v>61</v>
      </c>
      <c r="B612" t="s">
        <v>62</v>
      </c>
      <c r="C612" t="s">
        <v>24</v>
      </c>
      <c r="D612" t="s">
        <v>89</v>
      </c>
      <c r="E612">
        <v>0</v>
      </c>
      <c r="F612">
        <v>0</v>
      </c>
      <c r="G612">
        <v>0</v>
      </c>
      <c r="H612">
        <v>1</v>
      </c>
    </row>
    <row r="613" spans="1:8" x14ac:dyDescent="0.3">
      <c r="A613" t="s">
        <v>61</v>
      </c>
      <c r="B613" t="s">
        <v>62</v>
      </c>
      <c r="C613" t="s">
        <v>24</v>
      </c>
      <c r="D613" t="s">
        <v>91</v>
      </c>
      <c r="E613">
        <v>0</v>
      </c>
      <c r="F613">
        <v>0</v>
      </c>
      <c r="G613">
        <v>0</v>
      </c>
      <c r="H613">
        <v>1</v>
      </c>
    </row>
    <row r="614" spans="1:8" x14ac:dyDescent="0.3">
      <c r="A614" t="s">
        <v>61</v>
      </c>
      <c r="B614" t="s">
        <v>62</v>
      </c>
      <c r="C614" t="s">
        <v>24</v>
      </c>
      <c r="D614" t="s">
        <v>93</v>
      </c>
      <c r="E614">
        <v>0</v>
      </c>
      <c r="F614">
        <v>0</v>
      </c>
      <c r="G614">
        <v>0</v>
      </c>
      <c r="H614">
        <v>1</v>
      </c>
    </row>
    <row r="615" spans="1:8" x14ac:dyDescent="0.3">
      <c r="A615" t="s">
        <v>61</v>
      </c>
      <c r="B615" t="s">
        <v>62</v>
      </c>
      <c r="C615" t="s">
        <v>24</v>
      </c>
      <c r="D615" t="s">
        <v>95</v>
      </c>
      <c r="E615">
        <v>0</v>
      </c>
      <c r="F615">
        <v>0</v>
      </c>
      <c r="G615">
        <v>0</v>
      </c>
      <c r="H615">
        <v>1</v>
      </c>
    </row>
    <row r="616" spans="1:8" x14ac:dyDescent="0.3">
      <c r="A616" t="s">
        <v>61</v>
      </c>
      <c r="B616" t="s">
        <v>62</v>
      </c>
      <c r="C616" t="s">
        <v>24</v>
      </c>
      <c r="D616" t="s">
        <v>97</v>
      </c>
      <c r="E616">
        <v>1</v>
      </c>
      <c r="F616">
        <v>0</v>
      </c>
      <c r="G616">
        <v>0</v>
      </c>
      <c r="H616">
        <v>0</v>
      </c>
    </row>
    <row r="617" spans="1:8" x14ac:dyDescent="0.3">
      <c r="A617" t="s">
        <v>61</v>
      </c>
      <c r="B617" t="s">
        <v>62</v>
      </c>
      <c r="C617" t="s">
        <v>24</v>
      </c>
      <c r="D617" t="s">
        <v>99</v>
      </c>
      <c r="E617">
        <v>0</v>
      </c>
      <c r="F617">
        <v>0</v>
      </c>
      <c r="G617">
        <v>0</v>
      </c>
      <c r="H617">
        <v>1</v>
      </c>
    </row>
    <row r="618" spans="1:8" x14ac:dyDescent="0.3">
      <c r="A618" t="s">
        <v>61</v>
      </c>
      <c r="B618" t="s">
        <v>62</v>
      </c>
      <c r="C618" t="s">
        <v>24</v>
      </c>
      <c r="D618" t="s">
        <v>101</v>
      </c>
      <c r="E618">
        <v>1</v>
      </c>
      <c r="F618">
        <v>1</v>
      </c>
      <c r="G618">
        <v>1</v>
      </c>
      <c r="H618">
        <v>1</v>
      </c>
    </row>
    <row r="619" spans="1:8" x14ac:dyDescent="0.3">
      <c r="A619" t="s">
        <v>61</v>
      </c>
      <c r="B619" t="s">
        <v>62</v>
      </c>
      <c r="C619" t="s">
        <v>24</v>
      </c>
      <c r="D619" t="s">
        <v>103</v>
      </c>
      <c r="E619">
        <v>0</v>
      </c>
      <c r="F619">
        <v>0</v>
      </c>
      <c r="G619">
        <v>0</v>
      </c>
      <c r="H619">
        <v>1</v>
      </c>
    </row>
    <row r="620" spans="1:8" x14ac:dyDescent="0.3">
      <c r="A620" t="s">
        <v>61</v>
      </c>
      <c r="B620" t="s">
        <v>62</v>
      </c>
      <c r="C620" t="s">
        <v>24</v>
      </c>
      <c r="D620" t="s">
        <v>105</v>
      </c>
      <c r="E620">
        <v>0</v>
      </c>
      <c r="F620">
        <v>0</v>
      </c>
      <c r="G620">
        <v>0</v>
      </c>
      <c r="H620">
        <v>1</v>
      </c>
    </row>
    <row r="621" spans="1:8" x14ac:dyDescent="0.3">
      <c r="A621" t="s">
        <v>61</v>
      </c>
      <c r="B621" t="s">
        <v>62</v>
      </c>
      <c r="C621" t="s">
        <v>24</v>
      </c>
      <c r="D621" t="s">
        <v>107</v>
      </c>
      <c r="E621">
        <v>0</v>
      </c>
      <c r="F621">
        <v>0</v>
      </c>
      <c r="G621">
        <v>0</v>
      </c>
      <c r="H621">
        <v>1</v>
      </c>
    </row>
    <row r="622" spans="1:8" x14ac:dyDescent="0.3">
      <c r="A622" t="s">
        <v>61</v>
      </c>
      <c r="B622" t="s">
        <v>62</v>
      </c>
      <c r="C622" t="s">
        <v>24</v>
      </c>
      <c r="D622" t="s">
        <v>109</v>
      </c>
      <c r="E622">
        <v>1</v>
      </c>
      <c r="F622">
        <v>1</v>
      </c>
      <c r="G622">
        <v>1</v>
      </c>
      <c r="H622">
        <v>1</v>
      </c>
    </row>
    <row r="623" spans="1:8" x14ac:dyDescent="0.3">
      <c r="A623" t="s">
        <v>61</v>
      </c>
      <c r="B623" t="s">
        <v>62</v>
      </c>
      <c r="C623" t="s">
        <v>24</v>
      </c>
      <c r="D623" t="s">
        <v>111</v>
      </c>
      <c r="E623">
        <v>0</v>
      </c>
      <c r="F623">
        <v>0</v>
      </c>
      <c r="G623">
        <v>0</v>
      </c>
      <c r="H623">
        <v>1</v>
      </c>
    </row>
    <row r="624" spans="1:8" x14ac:dyDescent="0.3">
      <c r="A624" t="s">
        <v>61</v>
      </c>
      <c r="B624" t="s">
        <v>62</v>
      </c>
      <c r="C624" t="s">
        <v>25</v>
      </c>
      <c r="D624" t="s">
        <v>77</v>
      </c>
      <c r="E624">
        <v>0</v>
      </c>
      <c r="F624">
        <v>0</v>
      </c>
      <c r="G624">
        <v>0</v>
      </c>
      <c r="H624">
        <v>1</v>
      </c>
    </row>
    <row r="625" spans="1:8" x14ac:dyDescent="0.3">
      <c r="A625" t="s">
        <v>61</v>
      </c>
      <c r="B625" t="s">
        <v>62</v>
      </c>
      <c r="C625" t="s">
        <v>25</v>
      </c>
      <c r="D625" t="s">
        <v>79</v>
      </c>
      <c r="E625">
        <v>0</v>
      </c>
      <c r="F625">
        <v>0</v>
      </c>
      <c r="G625">
        <v>0</v>
      </c>
      <c r="H625">
        <v>1</v>
      </c>
    </row>
    <row r="626" spans="1:8" x14ac:dyDescent="0.3">
      <c r="A626" t="s">
        <v>61</v>
      </c>
      <c r="B626" t="s">
        <v>62</v>
      </c>
      <c r="C626" t="s">
        <v>25</v>
      </c>
      <c r="D626" t="s">
        <v>81</v>
      </c>
      <c r="E626">
        <v>1</v>
      </c>
      <c r="F626">
        <v>1</v>
      </c>
      <c r="G626">
        <v>1</v>
      </c>
      <c r="H626">
        <v>1</v>
      </c>
    </row>
    <row r="627" spans="1:8" x14ac:dyDescent="0.3">
      <c r="A627" t="s">
        <v>61</v>
      </c>
      <c r="B627" t="s">
        <v>62</v>
      </c>
      <c r="C627" t="s">
        <v>25</v>
      </c>
      <c r="D627" t="s">
        <v>83</v>
      </c>
      <c r="E627">
        <v>0</v>
      </c>
      <c r="F627">
        <v>0</v>
      </c>
      <c r="G627">
        <v>0</v>
      </c>
      <c r="H627">
        <v>1</v>
      </c>
    </row>
    <row r="628" spans="1:8" x14ac:dyDescent="0.3">
      <c r="A628" t="s">
        <v>61</v>
      </c>
      <c r="B628" t="s">
        <v>62</v>
      </c>
      <c r="C628" t="s">
        <v>25</v>
      </c>
      <c r="D628" t="s">
        <v>85</v>
      </c>
      <c r="E628">
        <v>0</v>
      </c>
      <c r="F628">
        <v>0</v>
      </c>
      <c r="G628">
        <v>0</v>
      </c>
      <c r="H628">
        <v>1</v>
      </c>
    </row>
    <row r="629" spans="1:8" x14ac:dyDescent="0.3">
      <c r="A629" t="s">
        <v>61</v>
      </c>
      <c r="B629" t="s">
        <v>62</v>
      </c>
      <c r="C629" t="s">
        <v>25</v>
      </c>
      <c r="D629" t="s">
        <v>87</v>
      </c>
      <c r="E629">
        <v>0</v>
      </c>
      <c r="F629">
        <v>0</v>
      </c>
      <c r="G629">
        <v>0</v>
      </c>
      <c r="H629">
        <v>1</v>
      </c>
    </row>
    <row r="630" spans="1:8" x14ac:dyDescent="0.3">
      <c r="A630" t="s">
        <v>61</v>
      </c>
      <c r="B630" t="s">
        <v>62</v>
      </c>
      <c r="C630" t="s">
        <v>25</v>
      </c>
      <c r="D630" t="s">
        <v>89</v>
      </c>
      <c r="E630">
        <v>0</v>
      </c>
      <c r="F630">
        <v>0</v>
      </c>
      <c r="G630">
        <v>0</v>
      </c>
      <c r="H630">
        <v>1</v>
      </c>
    </row>
    <row r="631" spans="1:8" x14ac:dyDescent="0.3">
      <c r="A631" t="s">
        <v>61</v>
      </c>
      <c r="B631" t="s">
        <v>62</v>
      </c>
      <c r="C631" t="s">
        <v>25</v>
      </c>
      <c r="D631" t="s">
        <v>91</v>
      </c>
      <c r="E631">
        <v>0</v>
      </c>
      <c r="F631">
        <v>0</v>
      </c>
      <c r="G631">
        <v>0</v>
      </c>
      <c r="H631">
        <v>1</v>
      </c>
    </row>
    <row r="632" spans="1:8" x14ac:dyDescent="0.3">
      <c r="A632" t="s">
        <v>61</v>
      </c>
      <c r="B632" t="s">
        <v>62</v>
      </c>
      <c r="C632" t="s">
        <v>25</v>
      </c>
      <c r="D632" t="s">
        <v>93</v>
      </c>
      <c r="E632">
        <v>0</v>
      </c>
      <c r="F632">
        <v>0</v>
      </c>
      <c r="G632">
        <v>0</v>
      </c>
      <c r="H632">
        <v>1</v>
      </c>
    </row>
    <row r="633" spans="1:8" x14ac:dyDescent="0.3">
      <c r="A633" t="s">
        <v>61</v>
      </c>
      <c r="B633" t="s">
        <v>62</v>
      </c>
      <c r="C633" t="s">
        <v>25</v>
      </c>
      <c r="D633" t="s">
        <v>95</v>
      </c>
      <c r="E633">
        <v>0</v>
      </c>
      <c r="F633">
        <v>0</v>
      </c>
      <c r="G633">
        <v>0</v>
      </c>
      <c r="H633">
        <v>1</v>
      </c>
    </row>
    <row r="634" spans="1:8" x14ac:dyDescent="0.3">
      <c r="A634" t="s">
        <v>61</v>
      </c>
      <c r="B634" t="s">
        <v>62</v>
      </c>
      <c r="C634" t="s">
        <v>25</v>
      </c>
      <c r="D634" t="s">
        <v>97</v>
      </c>
      <c r="E634">
        <v>0</v>
      </c>
      <c r="F634">
        <v>0</v>
      </c>
      <c r="G634">
        <v>0</v>
      </c>
      <c r="H634">
        <v>1</v>
      </c>
    </row>
    <row r="635" spans="1:8" x14ac:dyDescent="0.3">
      <c r="A635" t="s">
        <v>61</v>
      </c>
      <c r="B635" t="s">
        <v>62</v>
      </c>
      <c r="C635" t="s">
        <v>25</v>
      </c>
      <c r="D635" t="s">
        <v>99</v>
      </c>
      <c r="E635">
        <v>0</v>
      </c>
      <c r="F635">
        <v>0</v>
      </c>
      <c r="G635">
        <v>0</v>
      </c>
      <c r="H635">
        <v>1</v>
      </c>
    </row>
    <row r="636" spans="1:8" x14ac:dyDescent="0.3">
      <c r="A636" t="s">
        <v>61</v>
      </c>
      <c r="B636" t="s">
        <v>62</v>
      </c>
      <c r="C636" t="s">
        <v>25</v>
      </c>
      <c r="D636" t="s">
        <v>101</v>
      </c>
      <c r="E636">
        <v>0</v>
      </c>
      <c r="F636">
        <v>0</v>
      </c>
      <c r="G636">
        <v>0</v>
      </c>
      <c r="H636">
        <v>1</v>
      </c>
    </row>
    <row r="637" spans="1:8" x14ac:dyDescent="0.3">
      <c r="A637" t="s">
        <v>61</v>
      </c>
      <c r="B637" t="s">
        <v>62</v>
      </c>
      <c r="C637" t="s">
        <v>25</v>
      </c>
      <c r="D637" t="s">
        <v>103</v>
      </c>
      <c r="E637">
        <v>0</v>
      </c>
      <c r="F637">
        <v>0</v>
      </c>
      <c r="G637">
        <v>0</v>
      </c>
      <c r="H637">
        <v>1</v>
      </c>
    </row>
    <row r="638" spans="1:8" x14ac:dyDescent="0.3">
      <c r="A638" t="s">
        <v>61</v>
      </c>
      <c r="B638" t="s">
        <v>62</v>
      </c>
      <c r="C638" t="s">
        <v>25</v>
      </c>
      <c r="D638" t="s">
        <v>105</v>
      </c>
      <c r="E638">
        <v>0</v>
      </c>
      <c r="F638">
        <v>0</v>
      </c>
      <c r="G638">
        <v>0</v>
      </c>
      <c r="H638">
        <v>1</v>
      </c>
    </row>
    <row r="639" spans="1:8" x14ac:dyDescent="0.3">
      <c r="A639" t="s">
        <v>61</v>
      </c>
      <c r="B639" t="s">
        <v>62</v>
      </c>
      <c r="C639" t="s">
        <v>25</v>
      </c>
      <c r="D639" t="s">
        <v>107</v>
      </c>
      <c r="E639">
        <v>0</v>
      </c>
      <c r="F639">
        <v>0</v>
      </c>
      <c r="G639">
        <v>0</v>
      </c>
      <c r="H639">
        <v>1</v>
      </c>
    </row>
    <row r="640" spans="1:8" x14ac:dyDescent="0.3">
      <c r="A640" t="s">
        <v>61</v>
      </c>
      <c r="B640" t="s">
        <v>62</v>
      </c>
      <c r="C640" t="s">
        <v>25</v>
      </c>
      <c r="D640" t="s">
        <v>111</v>
      </c>
      <c r="E640">
        <v>0</v>
      </c>
      <c r="F640">
        <v>0</v>
      </c>
      <c r="G640">
        <v>0</v>
      </c>
      <c r="H640">
        <v>1</v>
      </c>
    </row>
    <row r="641" spans="1:8" x14ac:dyDescent="0.3">
      <c r="A641" t="s">
        <v>63</v>
      </c>
      <c r="B641" t="s">
        <v>64</v>
      </c>
      <c r="C641" t="s">
        <v>21</v>
      </c>
      <c r="D641" t="s">
        <v>77</v>
      </c>
      <c r="E641">
        <v>0</v>
      </c>
      <c r="F641">
        <v>0</v>
      </c>
      <c r="G641">
        <v>0</v>
      </c>
      <c r="H641">
        <v>1</v>
      </c>
    </row>
    <row r="642" spans="1:8" x14ac:dyDescent="0.3">
      <c r="A642" t="s">
        <v>63</v>
      </c>
      <c r="B642" t="s">
        <v>64</v>
      </c>
      <c r="C642" t="s">
        <v>21</v>
      </c>
      <c r="D642" t="s">
        <v>79</v>
      </c>
      <c r="E642">
        <v>0</v>
      </c>
      <c r="F642">
        <v>0</v>
      </c>
      <c r="G642">
        <v>0</v>
      </c>
      <c r="H642">
        <v>1</v>
      </c>
    </row>
    <row r="643" spans="1:8" x14ac:dyDescent="0.3">
      <c r="A643" t="s">
        <v>63</v>
      </c>
      <c r="B643" t="s">
        <v>64</v>
      </c>
      <c r="C643" t="s">
        <v>21</v>
      </c>
      <c r="D643" t="s">
        <v>81</v>
      </c>
      <c r="E643">
        <v>1</v>
      </c>
      <c r="F643">
        <v>1</v>
      </c>
      <c r="G643">
        <v>1</v>
      </c>
      <c r="H643">
        <v>1</v>
      </c>
    </row>
    <row r="644" spans="1:8" x14ac:dyDescent="0.3">
      <c r="A644" t="s">
        <v>63</v>
      </c>
      <c r="B644" t="s">
        <v>64</v>
      </c>
      <c r="C644" t="s">
        <v>21</v>
      </c>
      <c r="D644" t="s">
        <v>83</v>
      </c>
      <c r="E644">
        <v>0</v>
      </c>
      <c r="F644">
        <v>0</v>
      </c>
      <c r="G644">
        <v>0</v>
      </c>
      <c r="H644">
        <v>1</v>
      </c>
    </row>
    <row r="645" spans="1:8" x14ac:dyDescent="0.3">
      <c r="A645" t="s">
        <v>63</v>
      </c>
      <c r="B645" t="s">
        <v>64</v>
      </c>
      <c r="C645" t="s">
        <v>21</v>
      </c>
      <c r="D645" t="s">
        <v>85</v>
      </c>
      <c r="E645">
        <v>0</v>
      </c>
      <c r="F645">
        <v>0</v>
      </c>
      <c r="G645">
        <v>0</v>
      </c>
      <c r="H645">
        <v>1</v>
      </c>
    </row>
    <row r="646" spans="1:8" x14ac:dyDescent="0.3">
      <c r="A646" t="s">
        <v>63</v>
      </c>
      <c r="B646" t="s">
        <v>64</v>
      </c>
      <c r="C646" t="s">
        <v>21</v>
      </c>
      <c r="D646" t="s">
        <v>87</v>
      </c>
      <c r="E646">
        <v>0</v>
      </c>
      <c r="F646">
        <v>0</v>
      </c>
      <c r="G646">
        <v>0</v>
      </c>
      <c r="H646">
        <v>1</v>
      </c>
    </row>
    <row r="647" spans="1:8" x14ac:dyDescent="0.3">
      <c r="A647" t="s">
        <v>63</v>
      </c>
      <c r="B647" t="s">
        <v>64</v>
      </c>
      <c r="C647" t="s">
        <v>21</v>
      </c>
      <c r="D647" t="s">
        <v>89</v>
      </c>
      <c r="E647">
        <v>0</v>
      </c>
      <c r="F647">
        <v>0</v>
      </c>
      <c r="G647">
        <v>0</v>
      </c>
      <c r="H647">
        <v>1</v>
      </c>
    </row>
    <row r="648" spans="1:8" x14ac:dyDescent="0.3">
      <c r="A648" t="s">
        <v>63</v>
      </c>
      <c r="B648" t="s">
        <v>64</v>
      </c>
      <c r="C648" t="s">
        <v>21</v>
      </c>
      <c r="D648" t="s">
        <v>91</v>
      </c>
      <c r="E648">
        <v>0</v>
      </c>
      <c r="F648">
        <v>0</v>
      </c>
      <c r="G648">
        <v>0</v>
      </c>
      <c r="H648">
        <v>1</v>
      </c>
    </row>
    <row r="649" spans="1:8" x14ac:dyDescent="0.3">
      <c r="A649" t="s">
        <v>63</v>
      </c>
      <c r="B649" t="s">
        <v>64</v>
      </c>
      <c r="C649" t="s">
        <v>21</v>
      </c>
      <c r="D649" t="s">
        <v>93</v>
      </c>
      <c r="E649">
        <v>0</v>
      </c>
      <c r="F649">
        <v>0</v>
      </c>
      <c r="G649">
        <v>0</v>
      </c>
      <c r="H649">
        <v>1</v>
      </c>
    </row>
    <row r="650" spans="1:8" x14ac:dyDescent="0.3">
      <c r="A650" t="s">
        <v>63</v>
      </c>
      <c r="B650" t="s">
        <v>64</v>
      </c>
      <c r="C650" t="s">
        <v>21</v>
      </c>
      <c r="D650" t="s">
        <v>95</v>
      </c>
      <c r="E650">
        <v>0</v>
      </c>
      <c r="F650">
        <v>0</v>
      </c>
      <c r="G650">
        <v>0</v>
      </c>
      <c r="H650">
        <v>1</v>
      </c>
    </row>
    <row r="651" spans="1:8" x14ac:dyDescent="0.3">
      <c r="A651" t="s">
        <v>63</v>
      </c>
      <c r="B651" t="s">
        <v>64</v>
      </c>
      <c r="C651" t="s">
        <v>21</v>
      </c>
      <c r="D651" t="s">
        <v>97</v>
      </c>
      <c r="E651">
        <v>0</v>
      </c>
      <c r="F651">
        <v>0</v>
      </c>
      <c r="G651">
        <v>0</v>
      </c>
      <c r="H651">
        <v>1</v>
      </c>
    </row>
    <row r="652" spans="1:8" x14ac:dyDescent="0.3">
      <c r="A652" t="s">
        <v>63</v>
      </c>
      <c r="B652" t="s">
        <v>64</v>
      </c>
      <c r="C652" t="s">
        <v>21</v>
      </c>
      <c r="D652" t="s">
        <v>99</v>
      </c>
      <c r="E652">
        <v>0</v>
      </c>
      <c r="F652">
        <v>0</v>
      </c>
      <c r="G652">
        <v>0</v>
      </c>
      <c r="H652">
        <v>1</v>
      </c>
    </row>
    <row r="653" spans="1:8" x14ac:dyDescent="0.3">
      <c r="A653" t="s">
        <v>63</v>
      </c>
      <c r="B653" t="s">
        <v>64</v>
      </c>
      <c r="C653" t="s">
        <v>21</v>
      </c>
      <c r="D653" t="s">
        <v>101</v>
      </c>
      <c r="E653">
        <v>1</v>
      </c>
      <c r="F653">
        <v>1</v>
      </c>
      <c r="G653">
        <v>1</v>
      </c>
      <c r="H653">
        <v>1</v>
      </c>
    </row>
    <row r="654" spans="1:8" x14ac:dyDescent="0.3">
      <c r="A654" t="s">
        <v>63</v>
      </c>
      <c r="B654" t="s">
        <v>64</v>
      </c>
      <c r="C654" t="s">
        <v>21</v>
      </c>
      <c r="D654" t="s">
        <v>103</v>
      </c>
      <c r="E654">
        <v>0</v>
      </c>
      <c r="F654">
        <v>0</v>
      </c>
      <c r="G654">
        <v>0</v>
      </c>
      <c r="H654">
        <v>1</v>
      </c>
    </row>
    <row r="655" spans="1:8" x14ac:dyDescent="0.3">
      <c r="A655" t="s">
        <v>63</v>
      </c>
      <c r="B655" t="s">
        <v>64</v>
      </c>
      <c r="C655" t="s">
        <v>21</v>
      </c>
      <c r="D655" t="s">
        <v>105</v>
      </c>
      <c r="E655">
        <v>0</v>
      </c>
      <c r="F655">
        <v>0</v>
      </c>
      <c r="G655">
        <v>0</v>
      </c>
      <c r="H655">
        <v>1</v>
      </c>
    </row>
    <row r="656" spans="1:8" x14ac:dyDescent="0.3">
      <c r="A656" t="s">
        <v>63</v>
      </c>
      <c r="B656" t="s">
        <v>64</v>
      </c>
      <c r="C656" t="s">
        <v>21</v>
      </c>
      <c r="D656" t="s">
        <v>107</v>
      </c>
      <c r="E656">
        <v>0</v>
      </c>
      <c r="F656">
        <v>0</v>
      </c>
      <c r="G656">
        <v>0</v>
      </c>
      <c r="H656">
        <v>1</v>
      </c>
    </row>
    <row r="657" spans="1:8" x14ac:dyDescent="0.3">
      <c r="A657" t="s">
        <v>63</v>
      </c>
      <c r="B657" t="s">
        <v>64</v>
      </c>
      <c r="C657" t="s">
        <v>21</v>
      </c>
      <c r="D657" t="s">
        <v>109</v>
      </c>
      <c r="E657">
        <v>0</v>
      </c>
      <c r="F657">
        <v>0</v>
      </c>
      <c r="G657">
        <v>0</v>
      </c>
      <c r="H657">
        <v>1</v>
      </c>
    </row>
    <row r="658" spans="1:8" x14ac:dyDescent="0.3">
      <c r="A658" t="s">
        <v>63</v>
      </c>
      <c r="B658" t="s">
        <v>64</v>
      </c>
      <c r="C658" t="s">
        <v>21</v>
      </c>
      <c r="D658" t="s">
        <v>111</v>
      </c>
      <c r="E658">
        <v>0</v>
      </c>
      <c r="F658">
        <v>0</v>
      </c>
      <c r="G658">
        <v>0</v>
      </c>
      <c r="H658">
        <v>1</v>
      </c>
    </row>
    <row r="659" spans="1:8" x14ac:dyDescent="0.3">
      <c r="A659" t="s">
        <v>63</v>
      </c>
      <c r="B659" t="s">
        <v>64</v>
      </c>
      <c r="C659" t="s">
        <v>23</v>
      </c>
      <c r="D659" t="s">
        <v>77</v>
      </c>
      <c r="E659">
        <v>0</v>
      </c>
      <c r="F659">
        <v>0</v>
      </c>
      <c r="G659">
        <v>0</v>
      </c>
      <c r="H659">
        <v>1</v>
      </c>
    </row>
    <row r="660" spans="1:8" x14ac:dyDescent="0.3">
      <c r="A660" t="s">
        <v>63</v>
      </c>
      <c r="B660" t="s">
        <v>64</v>
      </c>
      <c r="C660" t="s">
        <v>23</v>
      </c>
      <c r="D660" t="s">
        <v>79</v>
      </c>
      <c r="E660">
        <v>0</v>
      </c>
      <c r="F660">
        <v>0</v>
      </c>
      <c r="G660">
        <v>0</v>
      </c>
      <c r="H660">
        <v>1</v>
      </c>
    </row>
    <row r="661" spans="1:8" x14ac:dyDescent="0.3">
      <c r="A661" t="s">
        <v>63</v>
      </c>
      <c r="B661" t="s">
        <v>64</v>
      </c>
      <c r="C661" t="s">
        <v>23</v>
      </c>
      <c r="D661" t="s">
        <v>81</v>
      </c>
      <c r="E661">
        <v>1</v>
      </c>
      <c r="F661">
        <v>1</v>
      </c>
      <c r="G661">
        <v>1</v>
      </c>
      <c r="H661">
        <v>1</v>
      </c>
    </row>
    <row r="662" spans="1:8" x14ac:dyDescent="0.3">
      <c r="A662" t="s">
        <v>63</v>
      </c>
      <c r="B662" t="s">
        <v>64</v>
      </c>
      <c r="C662" t="s">
        <v>23</v>
      </c>
      <c r="D662" t="s">
        <v>83</v>
      </c>
      <c r="E662">
        <v>0</v>
      </c>
      <c r="F662">
        <v>0</v>
      </c>
      <c r="G662">
        <v>0</v>
      </c>
      <c r="H662">
        <v>1</v>
      </c>
    </row>
    <row r="663" spans="1:8" x14ac:dyDescent="0.3">
      <c r="A663" t="s">
        <v>63</v>
      </c>
      <c r="B663" t="s">
        <v>64</v>
      </c>
      <c r="C663" t="s">
        <v>23</v>
      </c>
      <c r="D663" t="s">
        <v>85</v>
      </c>
      <c r="E663">
        <v>0</v>
      </c>
      <c r="F663">
        <v>0</v>
      </c>
      <c r="G663">
        <v>0</v>
      </c>
      <c r="H663">
        <v>1</v>
      </c>
    </row>
    <row r="664" spans="1:8" x14ac:dyDescent="0.3">
      <c r="A664" t="s">
        <v>63</v>
      </c>
      <c r="B664" t="s">
        <v>64</v>
      </c>
      <c r="C664" t="s">
        <v>23</v>
      </c>
      <c r="D664" t="s">
        <v>87</v>
      </c>
      <c r="E664">
        <v>0</v>
      </c>
      <c r="F664">
        <v>0</v>
      </c>
      <c r="G664">
        <v>0</v>
      </c>
      <c r="H664">
        <v>1</v>
      </c>
    </row>
    <row r="665" spans="1:8" x14ac:dyDescent="0.3">
      <c r="A665" t="s">
        <v>63</v>
      </c>
      <c r="B665" t="s">
        <v>64</v>
      </c>
      <c r="C665" t="s">
        <v>23</v>
      </c>
      <c r="D665" t="s">
        <v>89</v>
      </c>
      <c r="E665">
        <v>0</v>
      </c>
      <c r="F665">
        <v>0</v>
      </c>
      <c r="G665">
        <v>0</v>
      </c>
      <c r="H665">
        <v>1</v>
      </c>
    </row>
    <row r="666" spans="1:8" x14ac:dyDescent="0.3">
      <c r="A666" t="s">
        <v>63</v>
      </c>
      <c r="B666" t="s">
        <v>64</v>
      </c>
      <c r="C666" t="s">
        <v>23</v>
      </c>
      <c r="D666" t="s">
        <v>91</v>
      </c>
      <c r="E666">
        <v>0</v>
      </c>
      <c r="F666">
        <v>0</v>
      </c>
      <c r="G666">
        <v>0</v>
      </c>
      <c r="H666">
        <v>1</v>
      </c>
    </row>
    <row r="667" spans="1:8" x14ac:dyDescent="0.3">
      <c r="A667" t="s">
        <v>63</v>
      </c>
      <c r="B667" t="s">
        <v>64</v>
      </c>
      <c r="C667" t="s">
        <v>23</v>
      </c>
      <c r="D667" t="s">
        <v>93</v>
      </c>
      <c r="E667">
        <v>0</v>
      </c>
      <c r="F667">
        <v>0</v>
      </c>
      <c r="G667">
        <v>0</v>
      </c>
      <c r="H667">
        <v>1</v>
      </c>
    </row>
    <row r="668" spans="1:8" x14ac:dyDescent="0.3">
      <c r="A668" t="s">
        <v>63</v>
      </c>
      <c r="B668" t="s">
        <v>64</v>
      </c>
      <c r="C668" t="s">
        <v>23</v>
      </c>
      <c r="D668" t="s">
        <v>95</v>
      </c>
      <c r="E668">
        <v>0</v>
      </c>
      <c r="F668">
        <v>0</v>
      </c>
      <c r="G668">
        <v>0</v>
      </c>
      <c r="H668">
        <v>1</v>
      </c>
    </row>
    <row r="669" spans="1:8" x14ac:dyDescent="0.3">
      <c r="A669" t="s">
        <v>63</v>
      </c>
      <c r="B669" t="s">
        <v>64</v>
      </c>
      <c r="C669" t="s">
        <v>23</v>
      </c>
      <c r="D669" t="s">
        <v>97</v>
      </c>
      <c r="E669">
        <v>0</v>
      </c>
      <c r="F669">
        <v>0</v>
      </c>
      <c r="G669">
        <v>0</v>
      </c>
      <c r="H669">
        <v>1</v>
      </c>
    </row>
    <row r="670" spans="1:8" x14ac:dyDescent="0.3">
      <c r="A670" t="s">
        <v>63</v>
      </c>
      <c r="B670" t="s">
        <v>64</v>
      </c>
      <c r="C670" t="s">
        <v>23</v>
      </c>
      <c r="D670" t="s">
        <v>99</v>
      </c>
      <c r="E670">
        <v>0</v>
      </c>
      <c r="F670">
        <v>0</v>
      </c>
      <c r="G670">
        <v>0</v>
      </c>
      <c r="H670">
        <v>1</v>
      </c>
    </row>
    <row r="671" spans="1:8" x14ac:dyDescent="0.3">
      <c r="A671" t="s">
        <v>63</v>
      </c>
      <c r="B671" t="s">
        <v>64</v>
      </c>
      <c r="C671" t="s">
        <v>23</v>
      </c>
      <c r="D671" t="s">
        <v>101</v>
      </c>
      <c r="E671">
        <v>0</v>
      </c>
      <c r="F671">
        <v>0</v>
      </c>
      <c r="G671">
        <v>0</v>
      </c>
      <c r="H671">
        <v>1</v>
      </c>
    </row>
    <row r="672" spans="1:8" x14ac:dyDescent="0.3">
      <c r="A672" t="s">
        <v>63</v>
      </c>
      <c r="B672" t="s">
        <v>64</v>
      </c>
      <c r="C672" t="s">
        <v>23</v>
      </c>
      <c r="D672" t="s">
        <v>103</v>
      </c>
      <c r="E672">
        <v>0</v>
      </c>
      <c r="F672">
        <v>0</v>
      </c>
      <c r="G672">
        <v>0</v>
      </c>
      <c r="H672">
        <v>1</v>
      </c>
    </row>
    <row r="673" spans="1:8" x14ac:dyDescent="0.3">
      <c r="A673" t="s">
        <v>63</v>
      </c>
      <c r="B673" t="s">
        <v>64</v>
      </c>
      <c r="C673" t="s">
        <v>23</v>
      </c>
      <c r="D673" t="s">
        <v>105</v>
      </c>
      <c r="E673">
        <v>0</v>
      </c>
      <c r="F673">
        <v>0</v>
      </c>
      <c r="G673">
        <v>0</v>
      </c>
      <c r="H673">
        <v>1</v>
      </c>
    </row>
    <row r="674" spans="1:8" x14ac:dyDescent="0.3">
      <c r="A674" t="s">
        <v>63</v>
      </c>
      <c r="B674" t="s">
        <v>64</v>
      </c>
      <c r="C674" t="s">
        <v>23</v>
      </c>
      <c r="D674" t="s">
        <v>107</v>
      </c>
      <c r="E674">
        <v>0</v>
      </c>
      <c r="F674">
        <v>0</v>
      </c>
      <c r="G674">
        <v>0</v>
      </c>
      <c r="H674">
        <v>1</v>
      </c>
    </row>
    <row r="675" spans="1:8" x14ac:dyDescent="0.3">
      <c r="A675" t="s">
        <v>63</v>
      </c>
      <c r="B675" t="s">
        <v>64</v>
      </c>
      <c r="C675" t="s">
        <v>23</v>
      </c>
      <c r="D675" t="s">
        <v>109</v>
      </c>
      <c r="E675">
        <v>0</v>
      </c>
      <c r="F675">
        <v>0</v>
      </c>
      <c r="G675">
        <v>0</v>
      </c>
      <c r="H675">
        <v>1</v>
      </c>
    </row>
    <row r="676" spans="1:8" x14ac:dyDescent="0.3">
      <c r="A676" t="s">
        <v>63</v>
      </c>
      <c r="B676" t="s">
        <v>64</v>
      </c>
      <c r="C676" t="s">
        <v>23</v>
      </c>
      <c r="D676" t="s">
        <v>111</v>
      </c>
      <c r="E676">
        <v>0</v>
      </c>
      <c r="F676">
        <v>0</v>
      </c>
      <c r="G676">
        <v>0</v>
      </c>
      <c r="H676">
        <v>1</v>
      </c>
    </row>
    <row r="677" spans="1:8" x14ac:dyDescent="0.3">
      <c r="A677" t="s">
        <v>63</v>
      </c>
      <c r="B677" t="s">
        <v>64</v>
      </c>
      <c r="C677" t="s">
        <v>24</v>
      </c>
      <c r="D677" t="s">
        <v>77</v>
      </c>
      <c r="E677">
        <v>0</v>
      </c>
      <c r="F677">
        <v>0</v>
      </c>
      <c r="G677">
        <v>0</v>
      </c>
      <c r="H677">
        <v>1</v>
      </c>
    </row>
    <row r="678" spans="1:8" x14ac:dyDescent="0.3">
      <c r="A678" t="s">
        <v>63</v>
      </c>
      <c r="B678" t="s">
        <v>64</v>
      </c>
      <c r="C678" t="s">
        <v>24</v>
      </c>
      <c r="D678" t="s">
        <v>79</v>
      </c>
      <c r="E678">
        <v>0</v>
      </c>
      <c r="F678">
        <v>0</v>
      </c>
      <c r="G678">
        <v>0</v>
      </c>
      <c r="H678">
        <v>1</v>
      </c>
    </row>
    <row r="679" spans="1:8" x14ac:dyDescent="0.3">
      <c r="A679" t="s">
        <v>63</v>
      </c>
      <c r="B679" t="s">
        <v>64</v>
      </c>
      <c r="C679" t="s">
        <v>24</v>
      </c>
      <c r="D679" t="s">
        <v>81</v>
      </c>
      <c r="E679">
        <v>1</v>
      </c>
      <c r="F679">
        <v>1</v>
      </c>
      <c r="G679">
        <v>1</v>
      </c>
      <c r="H679">
        <v>1</v>
      </c>
    </row>
    <row r="680" spans="1:8" x14ac:dyDescent="0.3">
      <c r="A680" t="s">
        <v>63</v>
      </c>
      <c r="B680" t="s">
        <v>64</v>
      </c>
      <c r="C680" t="s">
        <v>24</v>
      </c>
      <c r="D680" t="s">
        <v>83</v>
      </c>
      <c r="E680">
        <v>1</v>
      </c>
      <c r="F680">
        <v>1</v>
      </c>
      <c r="G680">
        <v>1</v>
      </c>
      <c r="H680">
        <v>1</v>
      </c>
    </row>
    <row r="681" spans="1:8" x14ac:dyDescent="0.3">
      <c r="A681" t="s">
        <v>63</v>
      </c>
      <c r="B681" t="s">
        <v>64</v>
      </c>
      <c r="C681" t="s">
        <v>24</v>
      </c>
      <c r="D681" t="s">
        <v>85</v>
      </c>
      <c r="E681">
        <v>0</v>
      </c>
      <c r="F681">
        <v>0</v>
      </c>
      <c r="G681">
        <v>0</v>
      </c>
      <c r="H681">
        <v>1</v>
      </c>
    </row>
    <row r="682" spans="1:8" x14ac:dyDescent="0.3">
      <c r="A682" t="s">
        <v>63</v>
      </c>
      <c r="B682" t="s">
        <v>64</v>
      </c>
      <c r="C682" t="s">
        <v>24</v>
      </c>
      <c r="D682" t="s">
        <v>87</v>
      </c>
      <c r="E682">
        <v>0</v>
      </c>
      <c r="F682">
        <v>0</v>
      </c>
      <c r="G682">
        <v>0</v>
      </c>
      <c r="H682">
        <v>1</v>
      </c>
    </row>
    <row r="683" spans="1:8" x14ac:dyDescent="0.3">
      <c r="A683" t="s">
        <v>63</v>
      </c>
      <c r="B683" t="s">
        <v>64</v>
      </c>
      <c r="C683" t="s">
        <v>24</v>
      </c>
      <c r="D683" t="s">
        <v>89</v>
      </c>
      <c r="E683">
        <v>0</v>
      </c>
      <c r="F683">
        <v>0</v>
      </c>
      <c r="G683">
        <v>0</v>
      </c>
      <c r="H683">
        <v>1</v>
      </c>
    </row>
    <row r="684" spans="1:8" x14ac:dyDescent="0.3">
      <c r="A684" t="s">
        <v>63</v>
      </c>
      <c r="B684" t="s">
        <v>64</v>
      </c>
      <c r="C684" t="s">
        <v>24</v>
      </c>
      <c r="D684" t="s">
        <v>91</v>
      </c>
      <c r="E684">
        <v>0</v>
      </c>
      <c r="F684">
        <v>0</v>
      </c>
      <c r="G684">
        <v>0</v>
      </c>
      <c r="H684">
        <v>1</v>
      </c>
    </row>
    <row r="685" spans="1:8" x14ac:dyDescent="0.3">
      <c r="A685" t="s">
        <v>63</v>
      </c>
      <c r="B685" t="s">
        <v>64</v>
      </c>
      <c r="C685" t="s">
        <v>24</v>
      </c>
      <c r="D685" t="s">
        <v>93</v>
      </c>
      <c r="E685">
        <v>1</v>
      </c>
      <c r="F685">
        <v>1</v>
      </c>
      <c r="G685">
        <v>1</v>
      </c>
      <c r="H685">
        <v>1</v>
      </c>
    </row>
    <row r="686" spans="1:8" x14ac:dyDescent="0.3">
      <c r="A686" t="s">
        <v>63</v>
      </c>
      <c r="B686" t="s">
        <v>64</v>
      </c>
      <c r="C686" t="s">
        <v>24</v>
      </c>
      <c r="D686" t="s">
        <v>95</v>
      </c>
      <c r="E686">
        <v>1</v>
      </c>
      <c r="F686">
        <v>1</v>
      </c>
      <c r="G686">
        <v>1</v>
      </c>
      <c r="H686">
        <v>1</v>
      </c>
    </row>
    <row r="687" spans="1:8" x14ac:dyDescent="0.3">
      <c r="A687" t="s">
        <v>63</v>
      </c>
      <c r="B687" t="s">
        <v>64</v>
      </c>
      <c r="C687" t="s">
        <v>24</v>
      </c>
      <c r="D687" t="s">
        <v>97</v>
      </c>
      <c r="E687">
        <v>1</v>
      </c>
      <c r="F687">
        <v>1</v>
      </c>
      <c r="G687">
        <v>1</v>
      </c>
      <c r="H687">
        <v>1</v>
      </c>
    </row>
    <row r="688" spans="1:8" x14ac:dyDescent="0.3">
      <c r="A688" t="s">
        <v>63</v>
      </c>
      <c r="B688" t="s">
        <v>64</v>
      </c>
      <c r="C688" t="s">
        <v>24</v>
      </c>
      <c r="D688" t="s">
        <v>99</v>
      </c>
      <c r="E688">
        <v>1</v>
      </c>
      <c r="F688">
        <v>1</v>
      </c>
      <c r="G688">
        <v>1</v>
      </c>
      <c r="H688">
        <v>1</v>
      </c>
    </row>
    <row r="689" spans="1:8" x14ac:dyDescent="0.3">
      <c r="A689" t="s">
        <v>63</v>
      </c>
      <c r="B689" t="s">
        <v>64</v>
      </c>
      <c r="C689" t="s">
        <v>24</v>
      </c>
      <c r="D689" t="s">
        <v>101</v>
      </c>
      <c r="E689">
        <v>1</v>
      </c>
      <c r="F689">
        <v>1</v>
      </c>
      <c r="G689">
        <v>1</v>
      </c>
      <c r="H689">
        <v>1</v>
      </c>
    </row>
    <row r="690" spans="1:8" x14ac:dyDescent="0.3">
      <c r="A690" t="s">
        <v>63</v>
      </c>
      <c r="B690" t="s">
        <v>64</v>
      </c>
      <c r="C690" t="s">
        <v>24</v>
      </c>
      <c r="D690" t="s">
        <v>103</v>
      </c>
      <c r="E690">
        <v>0</v>
      </c>
      <c r="F690">
        <v>0</v>
      </c>
      <c r="G690">
        <v>0</v>
      </c>
      <c r="H690">
        <v>1</v>
      </c>
    </row>
    <row r="691" spans="1:8" x14ac:dyDescent="0.3">
      <c r="A691" t="s">
        <v>63</v>
      </c>
      <c r="B691" t="s">
        <v>64</v>
      </c>
      <c r="C691" t="s">
        <v>24</v>
      </c>
      <c r="D691" t="s">
        <v>105</v>
      </c>
      <c r="E691">
        <v>0</v>
      </c>
      <c r="F691">
        <v>0</v>
      </c>
      <c r="G691">
        <v>0</v>
      </c>
      <c r="H691">
        <v>1</v>
      </c>
    </row>
    <row r="692" spans="1:8" x14ac:dyDescent="0.3">
      <c r="A692" t="s">
        <v>63</v>
      </c>
      <c r="B692" t="s">
        <v>64</v>
      </c>
      <c r="C692" t="s">
        <v>24</v>
      </c>
      <c r="D692" t="s">
        <v>107</v>
      </c>
      <c r="E692">
        <v>0</v>
      </c>
      <c r="F692">
        <v>0</v>
      </c>
      <c r="G692">
        <v>0</v>
      </c>
      <c r="H692">
        <v>1</v>
      </c>
    </row>
    <row r="693" spans="1:8" x14ac:dyDescent="0.3">
      <c r="A693" t="s">
        <v>63</v>
      </c>
      <c r="B693" t="s">
        <v>64</v>
      </c>
      <c r="C693" t="s">
        <v>24</v>
      </c>
      <c r="D693" t="s">
        <v>109</v>
      </c>
      <c r="E693">
        <v>0</v>
      </c>
      <c r="F693">
        <v>0</v>
      </c>
      <c r="G693">
        <v>0</v>
      </c>
      <c r="H693">
        <v>1</v>
      </c>
    </row>
    <row r="694" spans="1:8" x14ac:dyDescent="0.3">
      <c r="A694" t="s">
        <v>63</v>
      </c>
      <c r="B694" t="s">
        <v>64</v>
      </c>
      <c r="C694" t="s">
        <v>24</v>
      </c>
      <c r="D694" t="s">
        <v>111</v>
      </c>
      <c r="E694">
        <v>0</v>
      </c>
      <c r="F694">
        <v>0</v>
      </c>
      <c r="G694">
        <v>0</v>
      </c>
      <c r="H694">
        <v>1</v>
      </c>
    </row>
    <row r="695" spans="1:8" x14ac:dyDescent="0.3">
      <c r="A695" t="s">
        <v>63</v>
      </c>
      <c r="B695" t="s">
        <v>64</v>
      </c>
      <c r="C695" t="s">
        <v>25</v>
      </c>
      <c r="D695" t="s">
        <v>77</v>
      </c>
      <c r="E695">
        <v>0</v>
      </c>
      <c r="F695">
        <v>0</v>
      </c>
      <c r="G695">
        <v>0</v>
      </c>
      <c r="H695">
        <v>1</v>
      </c>
    </row>
    <row r="696" spans="1:8" x14ac:dyDescent="0.3">
      <c r="A696" t="s">
        <v>63</v>
      </c>
      <c r="B696" t="s">
        <v>64</v>
      </c>
      <c r="C696" t="s">
        <v>25</v>
      </c>
      <c r="D696" t="s">
        <v>79</v>
      </c>
      <c r="E696">
        <v>0</v>
      </c>
      <c r="F696">
        <v>0</v>
      </c>
      <c r="G696">
        <v>0</v>
      </c>
      <c r="H696">
        <v>1</v>
      </c>
    </row>
    <row r="697" spans="1:8" x14ac:dyDescent="0.3">
      <c r="A697" t="s">
        <v>63</v>
      </c>
      <c r="B697" t="s">
        <v>64</v>
      </c>
      <c r="C697" t="s">
        <v>25</v>
      </c>
      <c r="D697" t="s">
        <v>81</v>
      </c>
      <c r="E697">
        <v>1</v>
      </c>
      <c r="F697">
        <v>1</v>
      </c>
      <c r="G697">
        <v>1</v>
      </c>
      <c r="H697">
        <v>1</v>
      </c>
    </row>
    <row r="698" spans="1:8" x14ac:dyDescent="0.3">
      <c r="A698" t="s">
        <v>63</v>
      </c>
      <c r="B698" t="s">
        <v>64</v>
      </c>
      <c r="C698" t="s">
        <v>25</v>
      </c>
      <c r="D698" t="s">
        <v>83</v>
      </c>
      <c r="E698">
        <v>0</v>
      </c>
      <c r="F698">
        <v>0</v>
      </c>
      <c r="G698">
        <v>0</v>
      </c>
      <c r="H698">
        <v>1</v>
      </c>
    </row>
    <row r="699" spans="1:8" x14ac:dyDescent="0.3">
      <c r="A699" t="s">
        <v>63</v>
      </c>
      <c r="B699" t="s">
        <v>64</v>
      </c>
      <c r="C699" t="s">
        <v>25</v>
      </c>
      <c r="D699" t="s">
        <v>85</v>
      </c>
      <c r="E699">
        <v>0</v>
      </c>
      <c r="F699">
        <v>0</v>
      </c>
      <c r="G699">
        <v>0</v>
      </c>
      <c r="H699">
        <v>1</v>
      </c>
    </row>
    <row r="700" spans="1:8" x14ac:dyDescent="0.3">
      <c r="A700" t="s">
        <v>63</v>
      </c>
      <c r="B700" t="s">
        <v>64</v>
      </c>
      <c r="C700" t="s">
        <v>25</v>
      </c>
      <c r="D700" t="s">
        <v>87</v>
      </c>
      <c r="E700">
        <v>0</v>
      </c>
      <c r="F700">
        <v>0</v>
      </c>
      <c r="G700">
        <v>0</v>
      </c>
      <c r="H700">
        <v>1</v>
      </c>
    </row>
    <row r="701" spans="1:8" x14ac:dyDescent="0.3">
      <c r="A701" t="s">
        <v>63</v>
      </c>
      <c r="B701" t="s">
        <v>64</v>
      </c>
      <c r="C701" t="s">
        <v>25</v>
      </c>
      <c r="D701" t="s">
        <v>89</v>
      </c>
      <c r="E701">
        <v>0</v>
      </c>
      <c r="F701">
        <v>0</v>
      </c>
      <c r="G701">
        <v>0</v>
      </c>
      <c r="H701">
        <v>1</v>
      </c>
    </row>
    <row r="702" spans="1:8" x14ac:dyDescent="0.3">
      <c r="A702" t="s">
        <v>63</v>
      </c>
      <c r="B702" t="s">
        <v>64</v>
      </c>
      <c r="C702" t="s">
        <v>25</v>
      </c>
      <c r="D702" t="s">
        <v>91</v>
      </c>
      <c r="E702">
        <v>0</v>
      </c>
      <c r="F702">
        <v>0</v>
      </c>
      <c r="G702">
        <v>0</v>
      </c>
      <c r="H702">
        <v>1</v>
      </c>
    </row>
    <row r="703" spans="1:8" x14ac:dyDescent="0.3">
      <c r="A703" t="s">
        <v>63</v>
      </c>
      <c r="B703" t="s">
        <v>64</v>
      </c>
      <c r="C703" t="s">
        <v>25</v>
      </c>
      <c r="D703" t="s">
        <v>93</v>
      </c>
      <c r="E703">
        <v>0</v>
      </c>
      <c r="F703">
        <v>0</v>
      </c>
      <c r="G703">
        <v>0</v>
      </c>
      <c r="H703">
        <v>1</v>
      </c>
    </row>
    <row r="704" spans="1:8" x14ac:dyDescent="0.3">
      <c r="A704" t="s">
        <v>63</v>
      </c>
      <c r="B704" t="s">
        <v>64</v>
      </c>
      <c r="C704" t="s">
        <v>25</v>
      </c>
      <c r="D704" t="s">
        <v>95</v>
      </c>
      <c r="E704">
        <v>0</v>
      </c>
      <c r="F704">
        <v>0</v>
      </c>
      <c r="G704">
        <v>0</v>
      </c>
      <c r="H704">
        <v>1</v>
      </c>
    </row>
    <row r="705" spans="1:8" x14ac:dyDescent="0.3">
      <c r="A705" t="s">
        <v>63</v>
      </c>
      <c r="B705" t="s">
        <v>64</v>
      </c>
      <c r="C705" t="s">
        <v>25</v>
      </c>
      <c r="D705" t="s">
        <v>97</v>
      </c>
      <c r="E705">
        <v>0</v>
      </c>
      <c r="F705">
        <v>0</v>
      </c>
      <c r="G705">
        <v>0</v>
      </c>
      <c r="H705">
        <v>1</v>
      </c>
    </row>
    <row r="706" spans="1:8" x14ac:dyDescent="0.3">
      <c r="A706" t="s">
        <v>63</v>
      </c>
      <c r="B706" t="s">
        <v>64</v>
      </c>
      <c r="C706" t="s">
        <v>25</v>
      </c>
      <c r="D706" t="s">
        <v>99</v>
      </c>
      <c r="E706">
        <v>0</v>
      </c>
      <c r="F706">
        <v>0</v>
      </c>
      <c r="G706">
        <v>0</v>
      </c>
      <c r="H706">
        <v>1</v>
      </c>
    </row>
    <row r="707" spans="1:8" x14ac:dyDescent="0.3">
      <c r="A707" t="s">
        <v>63</v>
      </c>
      <c r="B707" t="s">
        <v>64</v>
      </c>
      <c r="C707" t="s">
        <v>25</v>
      </c>
      <c r="D707" t="s">
        <v>101</v>
      </c>
      <c r="E707">
        <v>0</v>
      </c>
      <c r="F707">
        <v>0</v>
      </c>
      <c r="G707">
        <v>0</v>
      </c>
      <c r="H707">
        <v>1</v>
      </c>
    </row>
    <row r="708" spans="1:8" x14ac:dyDescent="0.3">
      <c r="A708" t="s">
        <v>63</v>
      </c>
      <c r="B708" t="s">
        <v>64</v>
      </c>
      <c r="C708" t="s">
        <v>25</v>
      </c>
      <c r="D708" t="s">
        <v>103</v>
      </c>
      <c r="E708">
        <v>0</v>
      </c>
      <c r="F708">
        <v>0</v>
      </c>
      <c r="G708">
        <v>0</v>
      </c>
      <c r="H708">
        <v>1</v>
      </c>
    </row>
    <row r="709" spans="1:8" x14ac:dyDescent="0.3">
      <c r="A709" t="s">
        <v>63</v>
      </c>
      <c r="B709" t="s">
        <v>64</v>
      </c>
      <c r="C709" t="s">
        <v>25</v>
      </c>
      <c r="D709" t="s">
        <v>105</v>
      </c>
      <c r="E709">
        <v>0</v>
      </c>
      <c r="F709">
        <v>0</v>
      </c>
      <c r="G709">
        <v>0</v>
      </c>
      <c r="H709">
        <v>1</v>
      </c>
    </row>
    <row r="710" spans="1:8" x14ac:dyDescent="0.3">
      <c r="A710" t="s">
        <v>63</v>
      </c>
      <c r="B710" t="s">
        <v>64</v>
      </c>
      <c r="C710" t="s">
        <v>25</v>
      </c>
      <c r="D710" t="s">
        <v>107</v>
      </c>
      <c r="E710">
        <v>0</v>
      </c>
      <c r="F710">
        <v>0</v>
      </c>
      <c r="G710">
        <v>0</v>
      </c>
      <c r="H710">
        <v>1</v>
      </c>
    </row>
    <row r="711" spans="1:8" x14ac:dyDescent="0.3">
      <c r="A711" t="s">
        <v>63</v>
      </c>
      <c r="B711" t="s">
        <v>64</v>
      </c>
      <c r="C711" t="s">
        <v>25</v>
      </c>
      <c r="D711" t="s">
        <v>111</v>
      </c>
      <c r="E711">
        <v>0</v>
      </c>
      <c r="F711">
        <v>0</v>
      </c>
      <c r="G711">
        <v>0</v>
      </c>
      <c r="H711">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B6AAC-18ED-4409-AC6C-5C8C6DDBDAE6}">
  <dimension ref="A1:D5"/>
  <sheetViews>
    <sheetView workbookViewId="0">
      <selection activeCell="D1" sqref="D1"/>
    </sheetView>
  </sheetViews>
  <sheetFormatPr defaultRowHeight="14.4" x14ac:dyDescent="0.3"/>
  <cols>
    <col min="1" max="1" width="7.6640625" bestFit="1" customWidth="1"/>
    <col min="2" max="2" width="11.44140625" bestFit="1" customWidth="1"/>
    <col min="3" max="3" width="10.33203125" bestFit="1" customWidth="1"/>
    <col min="4" max="4" width="12" bestFit="1" customWidth="1"/>
  </cols>
  <sheetData>
    <row r="1" spans="1:4" x14ac:dyDescent="0.3">
      <c r="A1" s="4" t="s">
        <v>4</v>
      </c>
      <c r="B1" s="4" t="s">
        <v>474</v>
      </c>
      <c r="C1" s="4" t="s">
        <v>118</v>
      </c>
      <c r="D1" s="4" t="s">
        <v>475</v>
      </c>
    </row>
    <row r="2" spans="1:4" x14ac:dyDescent="0.3">
      <c r="A2" t="s">
        <v>21</v>
      </c>
      <c r="B2">
        <v>180</v>
      </c>
      <c r="C2">
        <v>180</v>
      </c>
      <c r="D2">
        <v>1</v>
      </c>
    </row>
    <row r="3" spans="1:4" x14ac:dyDescent="0.3">
      <c r="A3" t="s">
        <v>23</v>
      </c>
      <c r="B3">
        <v>171</v>
      </c>
      <c r="C3">
        <v>180</v>
      </c>
      <c r="D3">
        <v>0.95</v>
      </c>
    </row>
    <row r="4" spans="1:4" x14ac:dyDescent="0.3">
      <c r="A4" t="s">
        <v>24</v>
      </c>
      <c r="B4">
        <v>173</v>
      </c>
      <c r="C4">
        <v>180</v>
      </c>
      <c r="D4">
        <v>0.96111111111111114</v>
      </c>
    </row>
    <row r="5" spans="1:4" x14ac:dyDescent="0.3">
      <c r="A5" t="s">
        <v>25</v>
      </c>
      <c r="B5">
        <v>166</v>
      </c>
      <c r="C5">
        <v>170</v>
      </c>
      <c r="D5">
        <v>0.97647058823529409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9A195-957F-4A51-BF95-C938702FE2C6}">
  <dimension ref="A1:E72"/>
  <sheetViews>
    <sheetView topLeftCell="A19" workbookViewId="0">
      <selection activeCell="N39" sqref="N39"/>
    </sheetView>
  </sheetViews>
  <sheetFormatPr defaultRowHeight="14.4" x14ac:dyDescent="0.3"/>
  <cols>
    <col min="1" max="1" width="7.6640625" bestFit="1" customWidth="1"/>
    <col min="2" max="2" width="11" bestFit="1" customWidth="1"/>
    <col min="3" max="3" width="11.44140625" bestFit="1" customWidth="1"/>
    <col min="4" max="4" width="10.33203125" bestFit="1" customWidth="1"/>
    <col min="5" max="5" width="11.88671875" bestFit="1" customWidth="1"/>
  </cols>
  <sheetData>
    <row r="1" spans="1:5" x14ac:dyDescent="0.3">
      <c r="A1" s="4" t="s">
        <v>4</v>
      </c>
      <c r="B1" s="4" t="s">
        <v>73</v>
      </c>
      <c r="C1" s="4" t="s">
        <v>474</v>
      </c>
      <c r="D1" s="4" t="s">
        <v>118</v>
      </c>
      <c r="E1" s="4" t="s">
        <v>475</v>
      </c>
    </row>
    <row r="2" spans="1:5" x14ac:dyDescent="0.3">
      <c r="A2" t="s">
        <v>21</v>
      </c>
      <c r="B2" t="s">
        <v>77</v>
      </c>
      <c r="C2">
        <v>10</v>
      </c>
      <c r="D2">
        <v>10</v>
      </c>
      <c r="E2">
        <v>1</v>
      </c>
    </row>
    <row r="3" spans="1:5" x14ac:dyDescent="0.3">
      <c r="A3" t="s">
        <v>21</v>
      </c>
      <c r="B3" t="s">
        <v>79</v>
      </c>
      <c r="C3">
        <v>10</v>
      </c>
      <c r="D3">
        <v>10</v>
      </c>
      <c r="E3">
        <v>1</v>
      </c>
    </row>
    <row r="4" spans="1:5" x14ac:dyDescent="0.3">
      <c r="A4" t="s">
        <v>21</v>
      </c>
      <c r="B4" t="s">
        <v>81</v>
      </c>
      <c r="C4">
        <v>10</v>
      </c>
      <c r="D4">
        <v>10</v>
      </c>
      <c r="E4">
        <v>1</v>
      </c>
    </row>
    <row r="5" spans="1:5" x14ac:dyDescent="0.3">
      <c r="A5" t="s">
        <v>21</v>
      </c>
      <c r="B5" t="s">
        <v>83</v>
      </c>
      <c r="C5">
        <v>10</v>
      </c>
      <c r="D5">
        <v>10</v>
      </c>
      <c r="E5">
        <v>1</v>
      </c>
    </row>
    <row r="6" spans="1:5" x14ac:dyDescent="0.3">
      <c r="A6" t="s">
        <v>21</v>
      </c>
      <c r="B6" t="s">
        <v>85</v>
      </c>
      <c r="C6">
        <v>10</v>
      </c>
      <c r="D6">
        <v>10</v>
      </c>
      <c r="E6">
        <v>1</v>
      </c>
    </row>
    <row r="7" spans="1:5" x14ac:dyDescent="0.3">
      <c r="A7" t="s">
        <v>21</v>
      </c>
      <c r="B7" t="s">
        <v>87</v>
      </c>
      <c r="C7">
        <v>10</v>
      </c>
      <c r="D7">
        <v>10</v>
      </c>
      <c r="E7">
        <v>1</v>
      </c>
    </row>
    <row r="8" spans="1:5" x14ac:dyDescent="0.3">
      <c r="A8" t="s">
        <v>21</v>
      </c>
      <c r="B8" t="s">
        <v>89</v>
      </c>
      <c r="C8">
        <v>10</v>
      </c>
      <c r="D8">
        <v>10</v>
      </c>
      <c r="E8">
        <v>1</v>
      </c>
    </row>
    <row r="9" spans="1:5" x14ac:dyDescent="0.3">
      <c r="A9" t="s">
        <v>21</v>
      </c>
      <c r="B9" t="s">
        <v>91</v>
      </c>
      <c r="C9">
        <v>10</v>
      </c>
      <c r="D9">
        <v>10</v>
      </c>
      <c r="E9">
        <v>1</v>
      </c>
    </row>
    <row r="10" spans="1:5" x14ac:dyDescent="0.3">
      <c r="A10" t="s">
        <v>21</v>
      </c>
      <c r="B10" t="s">
        <v>93</v>
      </c>
      <c r="C10">
        <v>10</v>
      </c>
      <c r="D10">
        <v>10</v>
      </c>
      <c r="E10">
        <v>1</v>
      </c>
    </row>
    <row r="11" spans="1:5" x14ac:dyDescent="0.3">
      <c r="A11" t="s">
        <v>21</v>
      </c>
      <c r="B11" t="s">
        <v>95</v>
      </c>
      <c r="C11">
        <v>10</v>
      </c>
      <c r="D11">
        <v>10</v>
      </c>
      <c r="E11">
        <v>1</v>
      </c>
    </row>
    <row r="12" spans="1:5" x14ac:dyDescent="0.3">
      <c r="A12" t="s">
        <v>21</v>
      </c>
      <c r="B12" t="s">
        <v>97</v>
      </c>
      <c r="C12">
        <v>10</v>
      </c>
      <c r="D12">
        <v>10</v>
      </c>
      <c r="E12">
        <v>1</v>
      </c>
    </row>
    <row r="13" spans="1:5" x14ac:dyDescent="0.3">
      <c r="A13" t="s">
        <v>21</v>
      </c>
      <c r="B13" t="s">
        <v>99</v>
      </c>
      <c r="C13">
        <v>10</v>
      </c>
      <c r="D13">
        <v>10</v>
      </c>
      <c r="E13">
        <v>1</v>
      </c>
    </row>
    <row r="14" spans="1:5" x14ac:dyDescent="0.3">
      <c r="A14" t="s">
        <v>21</v>
      </c>
      <c r="B14" t="s">
        <v>101</v>
      </c>
      <c r="C14">
        <v>10</v>
      </c>
      <c r="D14">
        <v>10</v>
      </c>
      <c r="E14">
        <v>1</v>
      </c>
    </row>
    <row r="15" spans="1:5" x14ac:dyDescent="0.3">
      <c r="A15" t="s">
        <v>21</v>
      </c>
      <c r="B15" t="s">
        <v>103</v>
      </c>
      <c r="C15">
        <v>10</v>
      </c>
      <c r="D15">
        <v>10</v>
      </c>
      <c r="E15">
        <v>1</v>
      </c>
    </row>
    <row r="16" spans="1:5" x14ac:dyDescent="0.3">
      <c r="A16" t="s">
        <v>21</v>
      </c>
      <c r="B16" t="s">
        <v>105</v>
      </c>
      <c r="C16">
        <v>10</v>
      </c>
      <c r="D16">
        <v>10</v>
      </c>
      <c r="E16">
        <v>1</v>
      </c>
    </row>
    <row r="17" spans="1:5" x14ac:dyDescent="0.3">
      <c r="A17" t="s">
        <v>21</v>
      </c>
      <c r="B17" t="s">
        <v>107</v>
      </c>
      <c r="C17">
        <v>10</v>
      </c>
      <c r="D17">
        <v>10</v>
      </c>
      <c r="E17">
        <v>1</v>
      </c>
    </row>
    <row r="18" spans="1:5" x14ac:dyDescent="0.3">
      <c r="A18" t="s">
        <v>21</v>
      </c>
      <c r="B18" t="s">
        <v>109</v>
      </c>
      <c r="C18">
        <v>10</v>
      </c>
      <c r="D18">
        <v>10</v>
      </c>
      <c r="E18">
        <v>1</v>
      </c>
    </row>
    <row r="19" spans="1:5" x14ac:dyDescent="0.3">
      <c r="A19" t="s">
        <v>21</v>
      </c>
      <c r="B19" t="s">
        <v>111</v>
      </c>
      <c r="C19">
        <v>10</v>
      </c>
      <c r="D19">
        <v>10</v>
      </c>
      <c r="E19">
        <v>1</v>
      </c>
    </row>
    <row r="20" spans="1:5" x14ac:dyDescent="0.3">
      <c r="A20" t="s">
        <v>23</v>
      </c>
      <c r="B20" t="s">
        <v>77</v>
      </c>
      <c r="C20">
        <v>9</v>
      </c>
      <c r="D20">
        <v>10</v>
      </c>
      <c r="E20">
        <v>0.9</v>
      </c>
    </row>
    <row r="21" spans="1:5" x14ac:dyDescent="0.3">
      <c r="A21" t="s">
        <v>23</v>
      </c>
      <c r="B21" t="s">
        <v>79</v>
      </c>
      <c r="C21">
        <v>10</v>
      </c>
      <c r="D21">
        <v>10</v>
      </c>
      <c r="E21">
        <v>1</v>
      </c>
    </row>
    <row r="22" spans="1:5" x14ac:dyDescent="0.3">
      <c r="A22" t="s">
        <v>23</v>
      </c>
      <c r="B22" t="s">
        <v>81</v>
      </c>
      <c r="C22">
        <v>9</v>
      </c>
      <c r="D22">
        <v>10</v>
      </c>
      <c r="E22">
        <v>0.9</v>
      </c>
    </row>
    <row r="23" spans="1:5" x14ac:dyDescent="0.3">
      <c r="A23" t="s">
        <v>23</v>
      </c>
      <c r="B23" t="s">
        <v>83</v>
      </c>
      <c r="C23">
        <v>8</v>
      </c>
      <c r="D23">
        <v>10</v>
      </c>
      <c r="E23">
        <v>0.8</v>
      </c>
    </row>
    <row r="24" spans="1:5" x14ac:dyDescent="0.3">
      <c r="A24" t="s">
        <v>23</v>
      </c>
      <c r="B24" t="s">
        <v>85</v>
      </c>
      <c r="C24">
        <v>10</v>
      </c>
      <c r="D24">
        <v>10</v>
      </c>
      <c r="E24">
        <v>1</v>
      </c>
    </row>
    <row r="25" spans="1:5" x14ac:dyDescent="0.3">
      <c r="A25" t="s">
        <v>23</v>
      </c>
      <c r="B25" t="s">
        <v>87</v>
      </c>
      <c r="C25">
        <v>10</v>
      </c>
      <c r="D25">
        <v>10</v>
      </c>
      <c r="E25">
        <v>1</v>
      </c>
    </row>
    <row r="26" spans="1:5" x14ac:dyDescent="0.3">
      <c r="A26" t="s">
        <v>23</v>
      </c>
      <c r="B26" t="s">
        <v>89</v>
      </c>
      <c r="C26">
        <v>10</v>
      </c>
      <c r="D26">
        <v>10</v>
      </c>
      <c r="E26">
        <v>1</v>
      </c>
    </row>
    <row r="27" spans="1:5" x14ac:dyDescent="0.3">
      <c r="A27" t="s">
        <v>23</v>
      </c>
      <c r="B27" t="s">
        <v>91</v>
      </c>
      <c r="C27">
        <v>10</v>
      </c>
      <c r="D27">
        <v>10</v>
      </c>
      <c r="E27">
        <v>1</v>
      </c>
    </row>
    <row r="28" spans="1:5" x14ac:dyDescent="0.3">
      <c r="A28" t="s">
        <v>23</v>
      </c>
      <c r="B28" t="s">
        <v>93</v>
      </c>
      <c r="C28">
        <v>10</v>
      </c>
      <c r="D28">
        <v>10</v>
      </c>
      <c r="E28">
        <v>1</v>
      </c>
    </row>
    <row r="29" spans="1:5" x14ac:dyDescent="0.3">
      <c r="A29" t="s">
        <v>23</v>
      </c>
      <c r="B29" t="s">
        <v>95</v>
      </c>
      <c r="C29">
        <v>9</v>
      </c>
      <c r="D29">
        <v>10</v>
      </c>
      <c r="E29">
        <v>0.9</v>
      </c>
    </row>
    <row r="30" spans="1:5" x14ac:dyDescent="0.3">
      <c r="A30" t="s">
        <v>23</v>
      </c>
      <c r="B30" t="s">
        <v>97</v>
      </c>
      <c r="C30">
        <v>10</v>
      </c>
      <c r="D30">
        <v>10</v>
      </c>
      <c r="E30">
        <v>1</v>
      </c>
    </row>
    <row r="31" spans="1:5" x14ac:dyDescent="0.3">
      <c r="A31" t="s">
        <v>23</v>
      </c>
      <c r="B31" t="s">
        <v>99</v>
      </c>
      <c r="C31">
        <v>9</v>
      </c>
      <c r="D31">
        <v>10</v>
      </c>
      <c r="E31">
        <v>0.9</v>
      </c>
    </row>
    <row r="32" spans="1:5" x14ac:dyDescent="0.3">
      <c r="A32" t="s">
        <v>23</v>
      </c>
      <c r="B32" t="s">
        <v>101</v>
      </c>
      <c r="C32">
        <v>9</v>
      </c>
      <c r="D32">
        <v>10</v>
      </c>
      <c r="E32">
        <v>0.9</v>
      </c>
    </row>
    <row r="33" spans="1:5" x14ac:dyDescent="0.3">
      <c r="A33" t="s">
        <v>23</v>
      </c>
      <c r="B33" t="s">
        <v>103</v>
      </c>
      <c r="C33">
        <v>10</v>
      </c>
      <c r="D33">
        <v>10</v>
      </c>
      <c r="E33">
        <v>1</v>
      </c>
    </row>
    <row r="34" spans="1:5" x14ac:dyDescent="0.3">
      <c r="A34" t="s">
        <v>23</v>
      </c>
      <c r="B34" t="s">
        <v>105</v>
      </c>
      <c r="C34">
        <v>10</v>
      </c>
      <c r="D34">
        <v>10</v>
      </c>
      <c r="E34">
        <v>1</v>
      </c>
    </row>
    <row r="35" spans="1:5" x14ac:dyDescent="0.3">
      <c r="A35" t="s">
        <v>23</v>
      </c>
      <c r="B35" t="s">
        <v>107</v>
      </c>
      <c r="C35">
        <v>8</v>
      </c>
      <c r="D35">
        <v>10</v>
      </c>
      <c r="E35">
        <v>0.8</v>
      </c>
    </row>
    <row r="36" spans="1:5" x14ac:dyDescent="0.3">
      <c r="A36" t="s">
        <v>23</v>
      </c>
      <c r="B36" t="s">
        <v>109</v>
      </c>
      <c r="C36">
        <v>10</v>
      </c>
      <c r="D36">
        <v>10</v>
      </c>
      <c r="E36">
        <v>1</v>
      </c>
    </row>
    <row r="37" spans="1:5" x14ac:dyDescent="0.3">
      <c r="A37" t="s">
        <v>23</v>
      </c>
      <c r="B37" t="s">
        <v>111</v>
      </c>
      <c r="C37">
        <v>10</v>
      </c>
      <c r="D37">
        <v>10</v>
      </c>
      <c r="E37">
        <v>1</v>
      </c>
    </row>
    <row r="38" spans="1:5" x14ac:dyDescent="0.3">
      <c r="A38" t="s">
        <v>24</v>
      </c>
      <c r="B38" t="s">
        <v>77</v>
      </c>
      <c r="C38">
        <v>9</v>
      </c>
      <c r="D38">
        <v>10</v>
      </c>
      <c r="E38">
        <v>0.9</v>
      </c>
    </row>
    <row r="39" spans="1:5" x14ac:dyDescent="0.3">
      <c r="A39" t="s">
        <v>24</v>
      </c>
      <c r="B39" t="s">
        <v>79</v>
      </c>
      <c r="C39">
        <v>10</v>
      </c>
      <c r="D39">
        <v>10</v>
      </c>
      <c r="E39">
        <v>1</v>
      </c>
    </row>
    <row r="40" spans="1:5" x14ac:dyDescent="0.3">
      <c r="A40" t="s">
        <v>24</v>
      </c>
      <c r="B40" t="s">
        <v>81</v>
      </c>
      <c r="C40">
        <v>10</v>
      </c>
      <c r="D40">
        <v>10</v>
      </c>
      <c r="E40">
        <v>1</v>
      </c>
    </row>
    <row r="41" spans="1:5" x14ac:dyDescent="0.3">
      <c r="A41" t="s">
        <v>24</v>
      </c>
      <c r="B41" t="s">
        <v>83</v>
      </c>
      <c r="C41">
        <v>10</v>
      </c>
      <c r="D41">
        <v>10</v>
      </c>
      <c r="E41">
        <v>1</v>
      </c>
    </row>
    <row r="42" spans="1:5" x14ac:dyDescent="0.3">
      <c r="A42" t="s">
        <v>24</v>
      </c>
      <c r="B42" t="s">
        <v>85</v>
      </c>
      <c r="C42">
        <v>9</v>
      </c>
      <c r="D42">
        <v>10</v>
      </c>
      <c r="E42">
        <v>0.9</v>
      </c>
    </row>
    <row r="43" spans="1:5" x14ac:dyDescent="0.3">
      <c r="A43" t="s">
        <v>24</v>
      </c>
      <c r="B43" t="s">
        <v>87</v>
      </c>
      <c r="C43">
        <v>10</v>
      </c>
      <c r="D43">
        <v>10</v>
      </c>
      <c r="E43">
        <v>1</v>
      </c>
    </row>
    <row r="44" spans="1:5" x14ac:dyDescent="0.3">
      <c r="A44" t="s">
        <v>24</v>
      </c>
      <c r="B44" t="s">
        <v>89</v>
      </c>
      <c r="C44">
        <v>10</v>
      </c>
      <c r="D44">
        <v>10</v>
      </c>
      <c r="E44">
        <v>1</v>
      </c>
    </row>
    <row r="45" spans="1:5" x14ac:dyDescent="0.3">
      <c r="A45" t="s">
        <v>24</v>
      </c>
      <c r="B45" t="s">
        <v>91</v>
      </c>
      <c r="C45">
        <v>10</v>
      </c>
      <c r="D45">
        <v>10</v>
      </c>
      <c r="E45">
        <v>1</v>
      </c>
    </row>
    <row r="46" spans="1:5" x14ac:dyDescent="0.3">
      <c r="A46" t="s">
        <v>24</v>
      </c>
      <c r="B46" t="s">
        <v>93</v>
      </c>
      <c r="C46">
        <v>10</v>
      </c>
      <c r="D46">
        <v>10</v>
      </c>
      <c r="E46">
        <v>1</v>
      </c>
    </row>
    <row r="47" spans="1:5" x14ac:dyDescent="0.3">
      <c r="A47" t="s">
        <v>24</v>
      </c>
      <c r="B47" t="s">
        <v>95</v>
      </c>
      <c r="C47">
        <v>10</v>
      </c>
      <c r="D47">
        <v>10</v>
      </c>
      <c r="E47">
        <v>1</v>
      </c>
    </row>
    <row r="48" spans="1:5" x14ac:dyDescent="0.3">
      <c r="A48" t="s">
        <v>24</v>
      </c>
      <c r="B48" t="s">
        <v>97</v>
      </c>
      <c r="C48">
        <v>9</v>
      </c>
      <c r="D48">
        <v>10</v>
      </c>
      <c r="E48">
        <v>0.9</v>
      </c>
    </row>
    <row r="49" spans="1:5" x14ac:dyDescent="0.3">
      <c r="A49" t="s">
        <v>24</v>
      </c>
      <c r="B49" t="s">
        <v>99</v>
      </c>
      <c r="C49">
        <v>8</v>
      </c>
      <c r="D49">
        <v>10</v>
      </c>
      <c r="E49">
        <v>0.8</v>
      </c>
    </row>
    <row r="50" spans="1:5" x14ac:dyDescent="0.3">
      <c r="A50" t="s">
        <v>24</v>
      </c>
      <c r="B50" t="s">
        <v>101</v>
      </c>
      <c r="C50">
        <v>10</v>
      </c>
      <c r="D50">
        <v>10</v>
      </c>
      <c r="E50">
        <v>1</v>
      </c>
    </row>
    <row r="51" spans="1:5" x14ac:dyDescent="0.3">
      <c r="A51" t="s">
        <v>24</v>
      </c>
      <c r="B51" t="s">
        <v>103</v>
      </c>
      <c r="C51">
        <v>10</v>
      </c>
      <c r="D51">
        <v>10</v>
      </c>
      <c r="E51">
        <v>1</v>
      </c>
    </row>
    <row r="52" spans="1:5" x14ac:dyDescent="0.3">
      <c r="A52" t="s">
        <v>24</v>
      </c>
      <c r="B52" t="s">
        <v>105</v>
      </c>
      <c r="C52">
        <v>10</v>
      </c>
      <c r="D52">
        <v>10</v>
      </c>
      <c r="E52">
        <v>1</v>
      </c>
    </row>
    <row r="53" spans="1:5" x14ac:dyDescent="0.3">
      <c r="A53" t="s">
        <v>24</v>
      </c>
      <c r="B53" t="s">
        <v>107</v>
      </c>
      <c r="C53">
        <v>10</v>
      </c>
      <c r="D53">
        <v>10</v>
      </c>
      <c r="E53">
        <v>1</v>
      </c>
    </row>
    <row r="54" spans="1:5" x14ac:dyDescent="0.3">
      <c r="A54" t="s">
        <v>24</v>
      </c>
      <c r="B54" t="s">
        <v>109</v>
      </c>
      <c r="C54">
        <v>8</v>
      </c>
      <c r="D54">
        <v>10</v>
      </c>
      <c r="E54">
        <v>0.8</v>
      </c>
    </row>
    <row r="55" spans="1:5" x14ac:dyDescent="0.3">
      <c r="A55" t="s">
        <v>24</v>
      </c>
      <c r="B55" t="s">
        <v>111</v>
      </c>
      <c r="C55">
        <v>10</v>
      </c>
      <c r="D55">
        <v>10</v>
      </c>
      <c r="E55">
        <v>1</v>
      </c>
    </row>
    <row r="56" spans="1:5" x14ac:dyDescent="0.3">
      <c r="A56" t="s">
        <v>25</v>
      </c>
      <c r="B56" t="s">
        <v>77</v>
      </c>
      <c r="C56">
        <v>10</v>
      </c>
      <c r="D56">
        <v>10</v>
      </c>
      <c r="E56">
        <v>1</v>
      </c>
    </row>
    <row r="57" spans="1:5" x14ac:dyDescent="0.3">
      <c r="A57" t="s">
        <v>25</v>
      </c>
      <c r="B57" t="s">
        <v>79</v>
      </c>
      <c r="C57">
        <v>10</v>
      </c>
      <c r="D57">
        <v>10</v>
      </c>
      <c r="E57">
        <v>1</v>
      </c>
    </row>
    <row r="58" spans="1:5" x14ac:dyDescent="0.3">
      <c r="A58" t="s">
        <v>25</v>
      </c>
      <c r="B58" t="s">
        <v>81</v>
      </c>
      <c r="C58">
        <v>7</v>
      </c>
      <c r="D58">
        <v>10</v>
      </c>
      <c r="E58">
        <v>0.7</v>
      </c>
    </row>
    <row r="59" spans="1:5" x14ac:dyDescent="0.3">
      <c r="A59" t="s">
        <v>25</v>
      </c>
      <c r="B59" t="s">
        <v>83</v>
      </c>
      <c r="C59">
        <v>10</v>
      </c>
      <c r="D59">
        <v>10</v>
      </c>
      <c r="E59">
        <v>1</v>
      </c>
    </row>
    <row r="60" spans="1:5" x14ac:dyDescent="0.3">
      <c r="A60" t="s">
        <v>25</v>
      </c>
      <c r="B60" t="s">
        <v>85</v>
      </c>
      <c r="C60">
        <v>10</v>
      </c>
      <c r="D60">
        <v>10</v>
      </c>
      <c r="E60">
        <v>1</v>
      </c>
    </row>
    <row r="61" spans="1:5" x14ac:dyDescent="0.3">
      <c r="A61" t="s">
        <v>25</v>
      </c>
      <c r="B61" t="s">
        <v>87</v>
      </c>
      <c r="C61">
        <v>10</v>
      </c>
      <c r="D61">
        <v>10</v>
      </c>
      <c r="E61">
        <v>1</v>
      </c>
    </row>
    <row r="62" spans="1:5" x14ac:dyDescent="0.3">
      <c r="A62" t="s">
        <v>25</v>
      </c>
      <c r="B62" t="s">
        <v>89</v>
      </c>
      <c r="C62">
        <v>10</v>
      </c>
      <c r="D62">
        <v>10</v>
      </c>
      <c r="E62">
        <v>1</v>
      </c>
    </row>
    <row r="63" spans="1:5" x14ac:dyDescent="0.3">
      <c r="A63" t="s">
        <v>25</v>
      </c>
      <c r="B63" t="s">
        <v>91</v>
      </c>
      <c r="C63">
        <v>10</v>
      </c>
      <c r="D63">
        <v>10</v>
      </c>
      <c r="E63">
        <v>1</v>
      </c>
    </row>
    <row r="64" spans="1:5" x14ac:dyDescent="0.3">
      <c r="A64" t="s">
        <v>25</v>
      </c>
      <c r="B64" t="s">
        <v>93</v>
      </c>
      <c r="C64">
        <v>10</v>
      </c>
      <c r="D64">
        <v>10</v>
      </c>
      <c r="E64">
        <v>1</v>
      </c>
    </row>
    <row r="65" spans="1:5" x14ac:dyDescent="0.3">
      <c r="A65" t="s">
        <v>25</v>
      </c>
      <c r="B65" t="s">
        <v>95</v>
      </c>
      <c r="C65">
        <v>10</v>
      </c>
      <c r="D65">
        <v>10</v>
      </c>
      <c r="E65">
        <v>1</v>
      </c>
    </row>
    <row r="66" spans="1:5" x14ac:dyDescent="0.3">
      <c r="A66" t="s">
        <v>25</v>
      </c>
      <c r="B66" t="s">
        <v>97</v>
      </c>
      <c r="C66">
        <v>10</v>
      </c>
      <c r="D66">
        <v>10</v>
      </c>
      <c r="E66">
        <v>1</v>
      </c>
    </row>
    <row r="67" spans="1:5" x14ac:dyDescent="0.3">
      <c r="A67" t="s">
        <v>25</v>
      </c>
      <c r="B67" t="s">
        <v>99</v>
      </c>
      <c r="C67">
        <v>9</v>
      </c>
      <c r="D67">
        <v>10</v>
      </c>
      <c r="E67">
        <v>0.9</v>
      </c>
    </row>
    <row r="68" spans="1:5" x14ac:dyDescent="0.3">
      <c r="A68" t="s">
        <v>25</v>
      </c>
      <c r="B68" t="s">
        <v>101</v>
      </c>
      <c r="C68">
        <v>10</v>
      </c>
      <c r="D68">
        <v>10</v>
      </c>
      <c r="E68">
        <v>1</v>
      </c>
    </row>
    <row r="69" spans="1:5" x14ac:dyDescent="0.3">
      <c r="A69" t="s">
        <v>25</v>
      </c>
      <c r="B69" t="s">
        <v>103</v>
      </c>
      <c r="C69">
        <v>10</v>
      </c>
      <c r="D69">
        <v>10</v>
      </c>
      <c r="E69">
        <v>1</v>
      </c>
    </row>
    <row r="70" spans="1:5" x14ac:dyDescent="0.3">
      <c r="A70" t="s">
        <v>25</v>
      </c>
      <c r="B70" t="s">
        <v>105</v>
      </c>
      <c r="C70">
        <v>10</v>
      </c>
      <c r="D70">
        <v>10</v>
      </c>
      <c r="E70">
        <v>1</v>
      </c>
    </row>
    <row r="71" spans="1:5" x14ac:dyDescent="0.3">
      <c r="A71" t="s">
        <v>25</v>
      </c>
      <c r="B71" t="s">
        <v>107</v>
      </c>
      <c r="C71">
        <v>10</v>
      </c>
      <c r="D71">
        <v>10</v>
      </c>
      <c r="E71">
        <v>1</v>
      </c>
    </row>
    <row r="72" spans="1:5" x14ac:dyDescent="0.3">
      <c r="A72" t="s">
        <v>25</v>
      </c>
      <c r="B72" t="s">
        <v>111</v>
      </c>
      <c r="C72">
        <v>10</v>
      </c>
      <c r="D72">
        <v>10</v>
      </c>
      <c r="E7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5</vt:i4>
      </vt:variant>
    </vt:vector>
  </HeadingPairs>
  <TitlesOfParts>
    <vt:vector size="31" baseType="lpstr">
      <vt:lpstr>site_model_risk</vt:lpstr>
      <vt:lpstr>Table 21</vt:lpstr>
      <vt:lpstr>Table 22</vt:lpstr>
      <vt:lpstr>Table 23</vt:lpstr>
      <vt:lpstr>Table 24</vt:lpstr>
      <vt:lpstr>Table 25</vt:lpstr>
      <vt:lpstr>Table 26</vt:lpstr>
      <vt:lpstr>risk_score_divergence</vt:lpstr>
      <vt:lpstr>pairwise_agreement</vt:lpstr>
      <vt:lpstr>indicator_model</vt:lpstr>
      <vt:lpstr>processing_stats</vt:lpstr>
      <vt:lpstr>disagreement</vt:lpstr>
      <vt:lpstr>fleiss_kappa</vt:lpstr>
      <vt:lpstr>hallucination_by_model</vt:lpstr>
      <vt:lpstr>Table 27</vt:lpstr>
      <vt:lpstr>Table 28</vt:lpstr>
      <vt:lpstr>Table 29</vt:lpstr>
      <vt:lpstr>hallucination_by_indicator</vt:lpstr>
      <vt:lpstr>human_alignment_by_model</vt:lpstr>
      <vt:lpstr>Table 30</vt:lpstr>
      <vt:lpstr>human_alignment_by_indicator</vt:lpstr>
      <vt:lpstr>trustworthiness</vt:lpstr>
      <vt:lpstr>validation_notes</vt:lpstr>
      <vt:lpstr>stability_detail</vt:lpstr>
      <vt:lpstr>stability_by_model</vt:lpstr>
      <vt:lpstr>stability_by_indicator</vt:lpstr>
      <vt:lpstr>'Table 21'!_Toc231161166</vt:lpstr>
      <vt:lpstr>'Table 24'!_Toc231161169</vt:lpstr>
      <vt:lpstr>'Table 25'!_Toc231161170</vt:lpstr>
      <vt:lpstr>'Table 27'!_Toc231161172</vt:lpstr>
      <vt:lpstr>'Table 30'!_Toc231161175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Aigerim Kairatova</cp:lastModifiedBy>
  <dcterms:created xsi:type="dcterms:W3CDTF">2026-05-30T19:50:45Z</dcterms:created>
  <dcterms:modified xsi:type="dcterms:W3CDTF">2026-06-07T17:01:39Z</dcterms:modified>
</cp:coreProperties>
</file>