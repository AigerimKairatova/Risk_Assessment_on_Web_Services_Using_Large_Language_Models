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aiger\Desktop\Thesis\"/>
    </mc:Choice>
  </mc:AlternateContent>
  <xr:revisionPtr revIDLastSave="0" documentId="13_ncr:1_{E6661248-AB1D-46DD-A7FA-5D43EC19C60D}" xr6:coauthVersionLast="47" xr6:coauthVersionMax="47" xr10:uidLastSave="{00000000-0000-0000-0000-000000000000}"/>
  <bookViews>
    <workbookView xWindow="-108" yWindow="-108" windowWidth="23256" windowHeight="12456" firstSheet="1" activeTab="1" xr2:uid="{00000000-000D-0000-FFFF-FFFF00000000}"/>
  </bookViews>
  <sheets>
    <sheet name="site_model_risk" sheetId="1" state="hidden" r:id="rId1"/>
    <sheet name="Table 22" sheetId="29" r:id="rId2"/>
    <sheet name="Table 23" sheetId="16" r:id="rId3"/>
    <sheet name="Table 24" sheetId="17" r:id="rId4"/>
    <sheet name="Table 25" sheetId="19" r:id="rId5"/>
    <sheet name="Table 2546" sheetId="20" state="hidden" r:id="rId6"/>
    <sheet name="risk_score_divergence" sheetId="2" state="hidden" r:id="rId7"/>
    <sheet name="pairwise_agreement" sheetId="6" state="hidden" r:id="rId8"/>
    <sheet name="indicator_model" sheetId="3" state="hidden" r:id="rId9"/>
    <sheet name="processing_stats" sheetId="4" state="hidden" r:id="rId10"/>
    <sheet name="disagreement" sheetId="5" state="hidden" r:id="rId11"/>
    <sheet name="fleiss_kappa" sheetId="7" state="hidden" r:id="rId12"/>
    <sheet name="hallucination_by_model" sheetId="8" state="hidden" r:id="rId13"/>
    <sheet name="Table 26" sheetId="33" r:id="rId14"/>
    <sheet name="Table 27" sheetId="15" r:id="rId15"/>
    <sheet name="Table 29" sheetId="31" r:id="rId16"/>
    <sheet name="Table 28l30" sheetId="32" r:id="rId17"/>
    <sheet name="Table 31" sheetId="24" r:id="rId18"/>
    <sheet name="Table 32" sheetId="26" r:id="rId19"/>
    <sheet name="Table 33" sheetId="27" r:id="rId20"/>
    <sheet name="hallucination_by_indicator" sheetId="9" state="hidden" r:id="rId21"/>
    <sheet name="human_alignment_by_model" sheetId="10" state="hidden" r:id="rId22"/>
    <sheet name="Table 34" sheetId="28" r:id="rId23"/>
    <sheet name="Data" sheetId="30" state="hidden" r:id="rId24"/>
    <sheet name="helper_counts" sheetId="34" state="hidden" r:id="rId25"/>
    <sheet name="human_alignment_by_indicator" sheetId="11" state="hidden" r:id="rId26"/>
    <sheet name="trustworthiness" sheetId="12" state="hidden" r:id="rId27"/>
    <sheet name="validation_notes" sheetId="13" state="hidden" r:id="rId28"/>
    <sheet name="stability_detail" sheetId="21" state="hidden" r:id="rId29"/>
    <sheet name="stability_by_model" sheetId="22" state="hidden" r:id="rId30"/>
    <sheet name="stability_by_indicator" sheetId="23" state="hidden" r:id="rId31"/>
  </sheets>
  <definedNames>
    <definedName name="_xlnm._FilterDatabase" localSheetId="8" hidden="1">indicator_model!$A$1:$J$72</definedName>
    <definedName name="_xlnm._FilterDatabase" localSheetId="0" hidden="1">site_model_risk!$A$1:$R$81</definedName>
    <definedName name="_xlnm._FilterDatabase" localSheetId="17" hidden="1">'Table 31'!$E$2:$E$17</definedName>
    <definedName name="_Toc231161166" localSheetId="1">'Table 22'!$A$1</definedName>
    <definedName name="_Toc231161169" localSheetId="3">'Table 24'!$A$1</definedName>
    <definedName name="_Toc231161170" localSheetId="4">'Table 25'!$A$1</definedName>
    <definedName name="_Toc231161172" localSheetId="17">'Table 31'!$A$1</definedName>
    <definedName name="_Toc231161175" localSheetId="22">'Table 34'!$A$1</definedName>
  </definedNames>
  <calcPr calcId="191029" iterateDelta="1E-4"/>
  <pivotCaches>
    <pivotCache cacheId="0" r:id="rId32"/>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15" l="1"/>
  <c r="G5" i="15"/>
  <c r="G6" i="15"/>
  <c r="G7" i="15"/>
  <c r="G8" i="15"/>
  <c r="G9" i="15"/>
  <c r="G10" i="15"/>
  <c r="G11" i="15"/>
  <c r="G12" i="15"/>
  <c r="G13" i="15"/>
  <c r="G14" i="15"/>
  <c r="G15" i="15"/>
  <c r="G16" i="15"/>
  <c r="G17" i="15"/>
  <c r="G18" i="15"/>
  <c r="G19" i="15"/>
  <c r="G20" i="15"/>
  <c r="G21" i="15"/>
  <c r="G22" i="15"/>
  <c r="G3" i="15"/>
  <c r="G101" i="32"/>
  <c r="H101" i="32"/>
  <c r="I101" i="32"/>
  <c r="G102" i="32"/>
  <c r="H102" i="32"/>
  <c r="I102" i="32"/>
  <c r="G103" i="32"/>
  <c r="H103" i="32"/>
  <c r="I103" i="32"/>
  <c r="G104" i="32"/>
  <c r="H104" i="32"/>
  <c r="I104" i="32"/>
  <c r="G105" i="32"/>
  <c r="H105" i="32"/>
  <c r="I105" i="32"/>
  <c r="G106" i="32"/>
  <c r="H106" i="32"/>
  <c r="I106" i="32"/>
  <c r="G107" i="32"/>
  <c r="H107" i="32"/>
  <c r="I107" i="32"/>
  <c r="G108" i="32"/>
  <c r="H108" i="32"/>
  <c r="I108" i="32"/>
  <c r="G109" i="32"/>
  <c r="H109" i="32"/>
  <c r="I109" i="32"/>
  <c r="G110" i="32"/>
  <c r="H110" i="32"/>
  <c r="I110" i="32"/>
  <c r="G111" i="32"/>
  <c r="H111" i="32"/>
  <c r="I111" i="32"/>
  <c r="G112" i="32"/>
  <c r="H112" i="32"/>
  <c r="I112" i="32"/>
  <c r="G113" i="32"/>
  <c r="H113" i="32"/>
  <c r="I113" i="32"/>
  <c r="G114" i="32"/>
  <c r="H114" i="32"/>
  <c r="I114" i="32"/>
  <c r="G115" i="32"/>
  <c r="H115" i="32"/>
  <c r="I115" i="32"/>
  <c r="G116" i="32"/>
  <c r="H116" i="32"/>
  <c r="I116" i="32"/>
  <c r="G117" i="32"/>
  <c r="H117" i="32"/>
  <c r="I117" i="32"/>
  <c r="G118" i="32"/>
  <c r="H118" i="32"/>
  <c r="I118" i="32"/>
  <c r="G119" i="32"/>
  <c r="H119" i="32"/>
  <c r="I119" i="32"/>
  <c r="G120" i="32"/>
  <c r="H120" i="32"/>
  <c r="I120" i="32"/>
  <c r="F102" i="32"/>
  <c r="F103" i="32"/>
  <c r="F104" i="32"/>
  <c r="F105" i="32"/>
  <c r="F106" i="32"/>
  <c r="F107" i="32"/>
  <c r="F108" i="32"/>
  <c r="F109" i="32"/>
  <c r="F110" i="32"/>
  <c r="F111" i="32"/>
  <c r="F112" i="32"/>
  <c r="F113" i="32"/>
  <c r="F114" i="32"/>
  <c r="F115" i="32"/>
  <c r="F116" i="32"/>
  <c r="F117" i="32"/>
  <c r="F118" i="32"/>
  <c r="F119" i="32"/>
  <c r="F120" i="32"/>
  <c r="F101" i="32"/>
  <c r="F96" i="32"/>
  <c r="F95" i="32"/>
  <c r="F94" i="32"/>
  <c r="G71" i="32"/>
  <c r="H71" i="32"/>
  <c r="I71" i="32"/>
  <c r="G72" i="32"/>
  <c r="H72" i="32"/>
  <c r="I72" i="32"/>
  <c r="G73" i="32"/>
  <c r="H73" i="32"/>
  <c r="I73" i="32"/>
  <c r="G74" i="32"/>
  <c r="H74" i="32"/>
  <c r="I74" i="32"/>
  <c r="G75" i="32"/>
  <c r="H75" i="32"/>
  <c r="I75" i="32"/>
  <c r="G76" i="32"/>
  <c r="H76" i="32"/>
  <c r="I76" i="32"/>
  <c r="G77" i="32"/>
  <c r="H77" i="32"/>
  <c r="I77" i="32"/>
  <c r="G78" i="32"/>
  <c r="H78" i="32"/>
  <c r="I78" i="32"/>
  <c r="G79" i="32"/>
  <c r="H79" i="32"/>
  <c r="I79" i="32"/>
  <c r="G80" i="32"/>
  <c r="H80" i="32"/>
  <c r="I80" i="32"/>
  <c r="G81" i="32"/>
  <c r="H81" i="32"/>
  <c r="I81" i="32"/>
  <c r="G82" i="32"/>
  <c r="H82" i="32"/>
  <c r="I82" i="32"/>
  <c r="G83" i="32"/>
  <c r="H83" i="32"/>
  <c r="I83" i="32"/>
  <c r="G84" i="32"/>
  <c r="H84" i="32"/>
  <c r="I84" i="32"/>
  <c r="G85" i="32"/>
  <c r="H85" i="32"/>
  <c r="I85" i="32"/>
  <c r="G86" i="32"/>
  <c r="H86" i="32"/>
  <c r="I86" i="32"/>
  <c r="G87" i="32"/>
  <c r="H87" i="32"/>
  <c r="I87" i="32"/>
  <c r="G88" i="32"/>
  <c r="H88" i="32"/>
  <c r="I88" i="32"/>
  <c r="G89" i="32"/>
  <c r="H89" i="32"/>
  <c r="I89" i="32"/>
  <c r="G90" i="32"/>
  <c r="H90" i="32"/>
  <c r="I90" i="32"/>
  <c r="F72" i="32"/>
  <c r="F73" i="32"/>
  <c r="F74" i="32"/>
  <c r="F75" i="32"/>
  <c r="F76" i="32"/>
  <c r="F77" i="32"/>
  <c r="F78" i="32"/>
  <c r="F79" i="32"/>
  <c r="F80" i="32"/>
  <c r="F81" i="32"/>
  <c r="F82" i="32"/>
  <c r="F83" i="32"/>
  <c r="F84" i="32"/>
  <c r="F85" i="32"/>
  <c r="F86" i="32"/>
  <c r="F87" i="32"/>
  <c r="F88" i="32"/>
  <c r="F89" i="32"/>
  <c r="F90" i="32"/>
  <c r="F71" i="32"/>
  <c r="F66" i="32"/>
  <c r="F65" i="32"/>
  <c r="F64" i="32"/>
  <c r="F41" i="32"/>
  <c r="G41" i="32"/>
  <c r="H41" i="32"/>
  <c r="I41" i="32"/>
  <c r="G42" i="32"/>
  <c r="H42" i="32"/>
  <c r="I42" i="32"/>
  <c r="G43" i="32"/>
  <c r="H43" i="32"/>
  <c r="I43" i="32"/>
  <c r="G44" i="32"/>
  <c r="H44" i="32"/>
  <c r="I44" i="32"/>
  <c r="G45" i="32"/>
  <c r="H45" i="32"/>
  <c r="I45" i="32"/>
  <c r="G46" i="32"/>
  <c r="H46" i="32"/>
  <c r="I46" i="32"/>
  <c r="G47" i="32"/>
  <c r="H47" i="32"/>
  <c r="I47" i="32"/>
  <c r="G48" i="32"/>
  <c r="H48" i="32"/>
  <c r="I48" i="32"/>
  <c r="G49" i="32"/>
  <c r="H49" i="32"/>
  <c r="I49" i="32"/>
  <c r="G50" i="32"/>
  <c r="H50" i="32"/>
  <c r="I50" i="32"/>
  <c r="G51" i="32"/>
  <c r="H51" i="32"/>
  <c r="I51" i="32"/>
  <c r="G52" i="32"/>
  <c r="H52" i="32"/>
  <c r="I52" i="32"/>
  <c r="G53" i="32"/>
  <c r="H53" i="32"/>
  <c r="I53" i="32"/>
  <c r="G54" i="32"/>
  <c r="H54" i="32"/>
  <c r="I54" i="32"/>
  <c r="G55" i="32"/>
  <c r="H55" i="32"/>
  <c r="I55" i="32"/>
  <c r="G56" i="32"/>
  <c r="H56" i="32"/>
  <c r="I56" i="32"/>
  <c r="G57" i="32"/>
  <c r="H57" i="32"/>
  <c r="I57" i="32"/>
  <c r="G58" i="32"/>
  <c r="H58" i="32"/>
  <c r="I58" i="32"/>
  <c r="G59" i="32"/>
  <c r="H59" i="32"/>
  <c r="I59" i="32"/>
  <c r="G60" i="32"/>
  <c r="H60" i="32"/>
  <c r="I60" i="32"/>
  <c r="F42" i="32"/>
  <c r="F43" i="32"/>
  <c r="F44" i="32"/>
  <c r="F45" i="32"/>
  <c r="F46" i="32"/>
  <c r="F47" i="32"/>
  <c r="F48" i="32"/>
  <c r="F49" i="32"/>
  <c r="F50" i="32"/>
  <c r="F51" i="32"/>
  <c r="F52" i="32"/>
  <c r="F53" i="32"/>
  <c r="F54" i="32"/>
  <c r="F55" i="32"/>
  <c r="F56" i="32"/>
  <c r="F57" i="32"/>
  <c r="F58" i="32"/>
  <c r="F59" i="32"/>
  <c r="F60" i="32"/>
  <c r="F37" i="32"/>
  <c r="F36" i="32"/>
  <c r="F35" i="32"/>
  <c r="F34" i="32"/>
  <c r="F3" i="32"/>
  <c r="F4" i="32"/>
  <c r="F5" i="32"/>
  <c r="B102" i="32" a="1"/>
  <c r="B102" i="32" s="1"/>
  <c r="C102" i="32" a="1"/>
  <c r="C102" i="32" s="1"/>
  <c r="D102" i="32" a="1"/>
  <c r="D102" i="32" s="1"/>
  <c r="E102" i="32" a="1"/>
  <c r="E102" i="32" s="1"/>
  <c r="B103" i="32" a="1"/>
  <c r="B103" i="32" s="1"/>
  <c r="C103" i="32" a="1"/>
  <c r="C103" i="32" s="1"/>
  <c r="D103" i="32" a="1"/>
  <c r="D103" i="32" s="1"/>
  <c r="E103" i="32" a="1"/>
  <c r="E103" i="32" s="1"/>
  <c r="B104" i="32" a="1"/>
  <c r="B104" i="32" s="1"/>
  <c r="C104" i="32" a="1"/>
  <c r="C104" i="32" s="1"/>
  <c r="D104" i="32" a="1"/>
  <c r="D104" i="32" s="1"/>
  <c r="E104" i="32" a="1"/>
  <c r="E104" i="32" s="1"/>
  <c r="B105" i="32" a="1"/>
  <c r="B105" i="32" s="1"/>
  <c r="C105" i="32" a="1"/>
  <c r="C105" i="32" s="1"/>
  <c r="D105" i="32" a="1"/>
  <c r="D105" i="32" s="1"/>
  <c r="E105" i="32" a="1"/>
  <c r="E105" i="32" s="1"/>
  <c r="B106" i="32" a="1"/>
  <c r="B106" i="32" s="1"/>
  <c r="C106" i="32" a="1"/>
  <c r="C106" i="32" s="1"/>
  <c r="D106" i="32" a="1"/>
  <c r="D106" i="32" s="1"/>
  <c r="E106" i="32" a="1"/>
  <c r="E106" i="32" s="1"/>
  <c r="B107" i="32" a="1"/>
  <c r="B107" i="32" s="1"/>
  <c r="C107" i="32" a="1"/>
  <c r="C107" i="32" s="1"/>
  <c r="D107" i="32" a="1"/>
  <c r="D107" i="32" s="1"/>
  <c r="E107" i="32" a="1"/>
  <c r="E107" i="32" s="1"/>
  <c r="B108" i="32" a="1"/>
  <c r="B108" i="32" s="1"/>
  <c r="C108" i="32" a="1"/>
  <c r="C108" i="32" s="1"/>
  <c r="D108" i="32" a="1"/>
  <c r="D108" i="32" s="1"/>
  <c r="E108" i="32" a="1"/>
  <c r="E108" i="32" s="1"/>
  <c r="B109" i="32" a="1"/>
  <c r="B109" i="32" s="1"/>
  <c r="C109" i="32" a="1"/>
  <c r="C109" i="32" s="1"/>
  <c r="D109" i="32" a="1"/>
  <c r="D109" i="32" s="1"/>
  <c r="E109" i="32" a="1"/>
  <c r="E109" i="32" s="1"/>
  <c r="B110" i="32" a="1"/>
  <c r="B110" i="32" s="1"/>
  <c r="C110" i="32" a="1"/>
  <c r="C110" i="32" s="1"/>
  <c r="D110" i="32" a="1"/>
  <c r="D110" i="32" s="1"/>
  <c r="E110" i="32" a="1"/>
  <c r="E110" i="32" s="1"/>
  <c r="B111" i="32" a="1"/>
  <c r="B111" i="32" s="1"/>
  <c r="C111" i="32" a="1"/>
  <c r="C111" i="32" s="1"/>
  <c r="D111" i="32" a="1"/>
  <c r="D111" i="32" s="1"/>
  <c r="E111" i="32" a="1"/>
  <c r="E111" i="32" s="1"/>
  <c r="B112" i="32" a="1"/>
  <c r="B112" i="32" s="1"/>
  <c r="C112" i="32" a="1"/>
  <c r="C112" i="32" s="1"/>
  <c r="D112" i="32" a="1"/>
  <c r="D112" i="32" s="1"/>
  <c r="E112" i="32" a="1"/>
  <c r="E112" i="32" s="1"/>
  <c r="B113" i="32" a="1"/>
  <c r="B113" i="32" s="1"/>
  <c r="C113" i="32" a="1"/>
  <c r="C113" i="32" s="1"/>
  <c r="D113" i="32" a="1"/>
  <c r="D113" i="32" s="1"/>
  <c r="E113" i="32" a="1"/>
  <c r="E113" i="32" s="1"/>
  <c r="B114" i="32" a="1"/>
  <c r="B114" i="32" s="1"/>
  <c r="C114" i="32" a="1"/>
  <c r="C114" i="32" s="1"/>
  <c r="D114" i="32" a="1"/>
  <c r="D114" i="32" s="1"/>
  <c r="E114" i="32" a="1"/>
  <c r="E114" i="32" s="1"/>
  <c r="B115" i="32" a="1"/>
  <c r="B115" i="32" s="1"/>
  <c r="C115" i="32" a="1"/>
  <c r="C115" i="32" s="1"/>
  <c r="D115" i="32" a="1"/>
  <c r="D115" i="32" s="1"/>
  <c r="E115" i="32" a="1"/>
  <c r="E115" i="32" s="1"/>
  <c r="B116" i="32" a="1"/>
  <c r="B116" i="32" s="1"/>
  <c r="C116" i="32" a="1"/>
  <c r="C116" i="32" s="1"/>
  <c r="D116" i="32" a="1"/>
  <c r="D116" i="32" s="1"/>
  <c r="E116" i="32" a="1"/>
  <c r="E116" i="32" s="1"/>
  <c r="B117" i="32" a="1"/>
  <c r="B117" i="32" s="1"/>
  <c r="C117" i="32" a="1"/>
  <c r="C117" i="32" s="1"/>
  <c r="D117" i="32" a="1"/>
  <c r="D117" i="32" s="1"/>
  <c r="E117" i="32" a="1"/>
  <c r="E117" i="32" s="1"/>
  <c r="B118" i="32" a="1"/>
  <c r="B118" i="32" s="1"/>
  <c r="C118" i="32" a="1"/>
  <c r="C118" i="32" s="1"/>
  <c r="D118" i="32" a="1"/>
  <c r="D118" i="32" s="1"/>
  <c r="E118" i="32" a="1"/>
  <c r="E118" i="32" s="1"/>
  <c r="B119" i="32" a="1"/>
  <c r="B119" i="32" s="1"/>
  <c r="C119" i="32" a="1"/>
  <c r="C119" i="32" s="1"/>
  <c r="D119" i="32" a="1"/>
  <c r="D119" i="32" s="1"/>
  <c r="E119" i="32" a="1"/>
  <c r="E119" i="32" s="1"/>
  <c r="B120" i="32" a="1"/>
  <c r="B120" i="32" s="1"/>
  <c r="C120" i="32" a="1"/>
  <c r="C120" i="32" s="1"/>
  <c r="D120" i="32" a="1"/>
  <c r="D120" i="32" s="1"/>
  <c r="E120" i="32" a="1"/>
  <c r="E120" i="32" s="1"/>
  <c r="C101" i="32" a="1"/>
  <c r="C101" i="32" s="1"/>
  <c r="D101" i="32" a="1"/>
  <c r="D101" i="32" s="1"/>
  <c r="E101" i="32" a="1"/>
  <c r="E101" i="32" s="1"/>
  <c r="B101" i="32" a="1"/>
  <c r="B101" i="32" s="1"/>
  <c r="B72" i="32" a="1"/>
  <c r="B72" i="32" s="1"/>
  <c r="C72" i="32" a="1"/>
  <c r="C72" i="32" s="1"/>
  <c r="D72" i="32" a="1"/>
  <c r="D72" i="32" s="1"/>
  <c r="E72" i="32" a="1"/>
  <c r="E72" i="32" s="1"/>
  <c r="B73" i="32" a="1"/>
  <c r="B73" i="32" s="1"/>
  <c r="C73" i="32" a="1"/>
  <c r="C73" i="32"/>
  <c r="D73" i="32" a="1"/>
  <c r="D73" i="32" s="1"/>
  <c r="E73" i="32" a="1"/>
  <c r="E73" i="32" s="1"/>
  <c r="B74" i="32" a="1"/>
  <c r="B74" i="32" s="1"/>
  <c r="C74" i="32" a="1"/>
  <c r="C74" i="32" s="1"/>
  <c r="D74" i="32" a="1"/>
  <c r="D74" i="32" s="1"/>
  <c r="E74" i="32" a="1"/>
  <c r="E74" i="32"/>
  <c r="B75" i="32" a="1"/>
  <c r="B75" i="32" s="1"/>
  <c r="C75" i="32" a="1"/>
  <c r="C75" i="32" s="1"/>
  <c r="D75" i="32" a="1"/>
  <c r="D75" i="32" s="1"/>
  <c r="E75" i="32" a="1"/>
  <c r="E75" i="32" s="1"/>
  <c r="B76" i="32" a="1"/>
  <c r="B76" i="32" s="1"/>
  <c r="C76" i="32" a="1"/>
  <c r="C76" i="32"/>
  <c r="D76" i="32" a="1"/>
  <c r="D76" i="32" s="1"/>
  <c r="E76" i="32" a="1"/>
  <c r="E76" i="32" s="1"/>
  <c r="B77" i="32" a="1"/>
  <c r="B77" i="32" s="1"/>
  <c r="C77" i="32" a="1"/>
  <c r="C77" i="32" s="1"/>
  <c r="D77" i="32" a="1"/>
  <c r="D77" i="32" s="1"/>
  <c r="E77" i="32" a="1"/>
  <c r="E77" i="32"/>
  <c r="B78" i="32" a="1"/>
  <c r="B78" i="32" s="1"/>
  <c r="C78" i="32" a="1"/>
  <c r="C78" i="32" s="1"/>
  <c r="D78" i="32" a="1"/>
  <c r="D78" i="32" s="1"/>
  <c r="E78" i="32" a="1"/>
  <c r="E78" i="32" s="1"/>
  <c r="B79" i="32" a="1"/>
  <c r="B79" i="32" s="1"/>
  <c r="C79" i="32" a="1"/>
  <c r="C79" i="32"/>
  <c r="D79" i="32" a="1"/>
  <c r="D79" i="32" s="1"/>
  <c r="E79" i="32" a="1"/>
  <c r="E79" i="32" s="1"/>
  <c r="B80" i="32" a="1"/>
  <c r="B80" i="32" s="1"/>
  <c r="C80" i="32" a="1"/>
  <c r="C80" i="32" s="1"/>
  <c r="D80" i="32" a="1"/>
  <c r="D80" i="32" s="1"/>
  <c r="E80" i="32" a="1"/>
  <c r="E80" i="32"/>
  <c r="B81" i="32" a="1"/>
  <c r="B81" i="32" s="1"/>
  <c r="C81" i="32" a="1"/>
  <c r="C81" i="32" s="1"/>
  <c r="D81" i="32" a="1"/>
  <c r="D81" i="32" s="1"/>
  <c r="E81" i="32" a="1"/>
  <c r="E81" i="32" s="1"/>
  <c r="B82" i="32" a="1"/>
  <c r="B82" i="32" s="1"/>
  <c r="C82" i="32" a="1"/>
  <c r="C82" i="32"/>
  <c r="D82" i="32" a="1"/>
  <c r="D82" i="32" s="1"/>
  <c r="E82" i="32" a="1"/>
  <c r="E82" i="32" s="1"/>
  <c r="B83" i="32" a="1"/>
  <c r="B83" i="32" s="1"/>
  <c r="C83" i="32" a="1"/>
  <c r="C83" i="32" s="1"/>
  <c r="D83" i="32" a="1"/>
  <c r="D83" i="32" s="1"/>
  <c r="E83" i="32" a="1"/>
  <c r="E83" i="32"/>
  <c r="B84" i="32" a="1"/>
  <c r="B84" i="32" s="1"/>
  <c r="C84" i="32" a="1"/>
  <c r="C84" i="32" s="1"/>
  <c r="D84" i="32" a="1"/>
  <c r="D84" i="32" s="1"/>
  <c r="E84" i="32" a="1"/>
  <c r="E84" i="32" s="1"/>
  <c r="B85" i="32" a="1"/>
  <c r="B85" i="32" s="1"/>
  <c r="C85" i="32" a="1"/>
  <c r="C85" i="32"/>
  <c r="D85" i="32" a="1"/>
  <c r="D85" i="32" s="1"/>
  <c r="E85" i="32" a="1"/>
  <c r="E85" i="32" s="1"/>
  <c r="B86" i="32" a="1"/>
  <c r="B86" i="32" s="1"/>
  <c r="C86" i="32" a="1"/>
  <c r="C86" i="32" s="1"/>
  <c r="D86" i="32" a="1"/>
  <c r="D86" i="32" s="1"/>
  <c r="E86" i="32" a="1"/>
  <c r="E86" i="32"/>
  <c r="B87" i="32" a="1"/>
  <c r="B87" i="32" s="1"/>
  <c r="C87" i="32" a="1"/>
  <c r="C87" i="32" s="1"/>
  <c r="D87" i="32" a="1"/>
  <c r="D87" i="32" s="1"/>
  <c r="E87" i="32" a="1"/>
  <c r="E87" i="32" s="1"/>
  <c r="B88" i="32" a="1"/>
  <c r="B88" i="32" s="1"/>
  <c r="C88" i="32" a="1"/>
  <c r="C88" i="32" s="1"/>
  <c r="D88" i="32" a="1"/>
  <c r="D88" i="32" s="1"/>
  <c r="E88" i="32" a="1"/>
  <c r="E88" i="32" s="1"/>
  <c r="B89" i="32" a="1"/>
  <c r="B89" i="32" s="1"/>
  <c r="C89" i="32" a="1"/>
  <c r="C89" i="32" s="1"/>
  <c r="D89" i="32" a="1"/>
  <c r="D89" i="32" s="1"/>
  <c r="E89" i="32" a="1"/>
  <c r="E89" i="32" s="1"/>
  <c r="B90" i="32" a="1"/>
  <c r="B90" i="32" s="1"/>
  <c r="C90" i="32" a="1"/>
  <c r="C90" i="32" s="1"/>
  <c r="D90" i="32" a="1"/>
  <c r="D90" i="32" s="1"/>
  <c r="E90" i="32" a="1"/>
  <c r="E90" i="32" s="1"/>
  <c r="C71" i="32" a="1"/>
  <c r="C71" i="32" s="1"/>
  <c r="D71" i="32" a="1"/>
  <c r="D71" i="32" s="1"/>
  <c r="E71" i="32" a="1"/>
  <c r="E71" i="32" s="1"/>
  <c r="B71" i="32" a="1"/>
  <c r="B71" i="32" s="1"/>
  <c r="B42" i="32" a="1"/>
  <c r="B42" i="32" s="1"/>
  <c r="C42" i="32" a="1"/>
  <c r="C42" i="32" s="1"/>
  <c r="D42" i="32" a="1"/>
  <c r="D42" i="32" s="1"/>
  <c r="E42" i="32" a="1"/>
  <c r="E42" i="32" s="1"/>
  <c r="B43" i="32" a="1"/>
  <c r="B43" i="32" s="1"/>
  <c r="C43" i="32" a="1"/>
  <c r="C43" i="32"/>
  <c r="D43" i="32" a="1"/>
  <c r="D43" i="32" s="1"/>
  <c r="E43" i="32" a="1"/>
  <c r="E43" i="32" s="1"/>
  <c r="B44" i="32" a="1"/>
  <c r="B44" i="32" s="1"/>
  <c r="C44" i="32" a="1"/>
  <c r="C44" i="32" s="1"/>
  <c r="D44" i="32" a="1"/>
  <c r="D44" i="32" s="1"/>
  <c r="E44" i="32" a="1"/>
  <c r="E44" i="32" s="1"/>
  <c r="B45" i="32" a="1"/>
  <c r="B45" i="32" s="1"/>
  <c r="C45" i="32" a="1"/>
  <c r="C45" i="32" s="1"/>
  <c r="D45" i="32" a="1"/>
  <c r="D45" i="32" s="1"/>
  <c r="E45" i="32" a="1"/>
  <c r="E45" i="32" s="1"/>
  <c r="B46" i="32" a="1"/>
  <c r="B46" i="32" s="1"/>
  <c r="C46" i="32" a="1"/>
  <c r="C46" i="32" s="1"/>
  <c r="D46" i="32" a="1"/>
  <c r="D46" i="32" s="1"/>
  <c r="E46" i="32" a="1"/>
  <c r="E46" i="32" s="1"/>
  <c r="B47" i="32" a="1"/>
  <c r="B47" i="32" s="1"/>
  <c r="C47" i="32" a="1"/>
  <c r="C47" i="32" s="1"/>
  <c r="D47" i="32" a="1"/>
  <c r="D47" i="32" s="1"/>
  <c r="E47" i="32" a="1"/>
  <c r="E47" i="32" s="1"/>
  <c r="B48" i="32" a="1"/>
  <c r="B48" i="32" s="1"/>
  <c r="C48" i="32" a="1"/>
  <c r="C48" i="32" s="1"/>
  <c r="D48" i="32" a="1"/>
  <c r="D48" i="32" s="1"/>
  <c r="E48" i="32" a="1"/>
  <c r="E48" i="32" s="1"/>
  <c r="B49" i="32" a="1"/>
  <c r="B49" i="32" s="1"/>
  <c r="C49" i="32" a="1"/>
  <c r="C49" i="32" s="1"/>
  <c r="D49" i="32" a="1"/>
  <c r="D49" i="32" s="1"/>
  <c r="E49" i="32" a="1"/>
  <c r="E49" i="32" s="1"/>
  <c r="B50" i="32" a="1"/>
  <c r="B50" i="32" s="1"/>
  <c r="C50" i="32" a="1"/>
  <c r="C50" i="32" s="1"/>
  <c r="D50" i="32" a="1"/>
  <c r="D50" i="32" s="1"/>
  <c r="E50" i="32" a="1"/>
  <c r="E50" i="32" s="1"/>
  <c r="B51" i="32" a="1"/>
  <c r="B51" i="32" s="1"/>
  <c r="C51" i="32" a="1"/>
  <c r="C51" i="32" s="1"/>
  <c r="D51" i="32" a="1"/>
  <c r="D51" i="32" s="1"/>
  <c r="E51" i="32" a="1"/>
  <c r="E51" i="32" s="1"/>
  <c r="B52" i="32" a="1"/>
  <c r="B52" i="32" s="1"/>
  <c r="C52" i="32" a="1"/>
  <c r="C52" i="32"/>
  <c r="D52" i="32" a="1"/>
  <c r="D52" i="32" s="1"/>
  <c r="E52" i="32" a="1"/>
  <c r="E52" i="32" s="1"/>
  <c r="B53" i="32" a="1"/>
  <c r="B53" i="32" s="1"/>
  <c r="C53" i="32" a="1"/>
  <c r="C53" i="32" s="1"/>
  <c r="D53" i="32" a="1"/>
  <c r="D53" i="32" s="1"/>
  <c r="E53" i="32" a="1"/>
  <c r="E53" i="32"/>
  <c r="B54" i="32" a="1"/>
  <c r="B54" i="32" s="1"/>
  <c r="C54" i="32" a="1"/>
  <c r="C54" i="32" s="1"/>
  <c r="D54" i="32" a="1"/>
  <c r="D54" i="32" s="1"/>
  <c r="E54" i="32" a="1"/>
  <c r="E54" i="32" s="1"/>
  <c r="B55" i="32" a="1"/>
  <c r="B55" i="32" s="1"/>
  <c r="C55" i="32" a="1"/>
  <c r="C55" i="32"/>
  <c r="D55" i="32" a="1"/>
  <c r="D55" i="32" s="1"/>
  <c r="E55" i="32" a="1"/>
  <c r="E55" i="32" s="1"/>
  <c r="B56" i="32" a="1"/>
  <c r="B56" i="32" s="1"/>
  <c r="C56" i="32" a="1"/>
  <c r="C56" i="32" s="1"/>
  <c r="D56" i="32" a="1"/>
  <c r="D56" i="32" s="1"/>
  <c r="E56" i="32" a="1"/>
  <c r="E56" i="32" s="1"/>
  <c r="B57" i="32" a="1"/>
  <c r="B57" i="32" s="1"/>
  <c r="C57" i="32" a="1"/>
  <c r="C57" i="32" s="1"/>
  <c r="D57" i="32" a="1"/>
  <c r="D57" i="32" s="1"/>
  <c r="E57" i="32" a="1"/>
  <c r="E57" i="32" s="1"/>
  <c r="B58" i="32" a="1"/>
  <c r="B58" i="32" s="1"/>
  <c r="C58" i="32" a="1"/>
  <c r="C58" i="32" s="1"/>
  <c r="D58" i="32" a="1"/>
  <c r="D58" i="32" s="1"/>
  <c r="E58" i="32" a="1"/>
  <c r="E58" i="32" s="1"/>
  <c r="B59" i="32" a="1"/>
  <c r="B59" i="32" s="1"/>
  <c r="C59" i="32" a="1"/>
  <c r="C59" i="32" s="1"/>
  <c r="D59" i="32" a="1"/>
  <c r="D59" i="32" s="1"/>
  <c r="E59" i="32" a="1"/>
  <c r="E59" i="32" s="1"/>
  <c r="B60" i="32" a="1"/>
  <c r="B60" i="32" s="1"/>
  <c r="C60" i="32" a="1"/>
  <c r="C60" i="32" s="1"/>
  <c r="D60" i="32" a="1"/>
  <c r="D60" i="32" s="1"/>
  <c r="E60" i="32" a="1"/>
  <c r="E60" i="32" s="1"/>
  <c r="C41" i="32" a="1"/>
  <c r="C41" i="32" s="1"/>
  <c r="D41" i="32" a="1"/>
  <c r="D41" i="32" s="1"/>
  <c r="E41" i="32" a="1"/>
  <c r="E41" i="32" s="1"/>
  <c r="B41" i="32" a="1"/>
  <c r="B41" i="32" s="1"/>
  <c r="C30" i="33"/>
  <c r="C29" i="33"/>
  <c r="C27" i="33"/>
  <c r="C28" i="33"/>
  <c r="E5" i="33"/>
  <c r="E6" i="33"/>
  <c r="E7" i="33"/>
  <c r="E8" i="33"/>
  <c r="E9" i="33"/>
  <c r="E10" i="33"/>
  <c r="E11" i="33"/>
  <c r="E12" i="33"/>
  <c r="E13" i="33"/>
  <c r="E14" i="33"/>
  <c r="E15" i="33"/>
  <c r="E16" i="33"/>
  <c r="E17" i="33"/>
  <c r="E18" i="33"/>
  <c r="E19" i="33"/>
  <c r="E20" i="33"/>
  <c r="E21" i="33"/>
  <c r="D5" i="33"/>
  <c r="G5" i="33" s="1"/>
  <c r="D6" i="33"/>
  <c r="G6" i="33" s="1"/>
  <c r="D7" i="33"/>
  <c r="G7" i="33" s="1"/>
  <c r="D8" i="33"/>
  <c r="D9" i="33"/>
  <c r="G9" i="33" s="1"/>
  <c r="D10" i="33"/>
  <c r="G10" i="33" s="1"/>
  <c r="D11" i="33"/>
  <c r="G11" i="33" s="1"/>
  <c r="D12" i="33"/>
  <c r="G12" i="33" s="1"/>
  <c r="D13" i="33"/>
  <c r="G13" i="33" s="1"/>
  <c r="D14" i="33"/>
  <c r="G14" i="33" s="1"/>
  <c r="D15" i="33"/>
  <c r="G15" i="33" s="1"/>
  <c r="D16" i="33"/>
  <c r="G16" i="33" s="1"/>
  <c r="D17" i="33"/>
  <c r="G17" i="33" s="1"/>
  <c r="D18" i="33"/>
  <c r="G18" i="33" s="1"/>
  <c r="D19" i="33"/>
  <c r="G19" i="33" s="1"/>
  <c r="D20" i="33"/>
  <c r="D21" i="33"/>
  <c r="G21" i="33" s="1"/>
  <c r="C20" i="33"/>
  <c r="F20" i="33" s="1"/>
  <c r="E4" i="33"/>
  <c r="D4" i="33"/>
  <c r="G4" i="33" s="1"/>
  <c r="C21" i="33"/>
  <c r="F21" i="33" s="1"/>
  <c r="C19" i="33"/>
  <c r="F19" i="33" s="1"/>
  <c r="C18" i="33"/>
  <c r="F18" i="33" s="1"/>
  <c r="C17" i="33"/>
  <c r="F17" i="33" s="1"/>
  <c r="C16" i="33"/>
  <c r="F16" i="33" s="1"/>
  <c r="C15" i="33"/>
  <c r="F15" i="33" s="1"/>
  <c r="C14" i="33"/>
  <c r="C13" i="33"/>
  <c r="F13" i="33" s="1"/>
  <c r="C12" i="33"/>
  <c r="C11" i="33"/>
  <c r="F11" i="33" s="1"/>
  <c r="C10" i="33"/>
  <c r="F10" i="33" s="1"/>
  <c r="C9" i="33"/>
  <c r="F9" i="33" s="1"/>
  <c r="C8" i="33"/>
  <c r="F8" i="33" s="1"/>
  <c r="C7" i="33"/>
  <c r="F7" i="33" s="1"/>
  <c r="C6" i="33"/>
  <c r="F6" i="33" s="1"/>
  <c r="C5" i="33"/>
  <c r="F5" i="33" s="1"/>
  <c r="C4" i="33"/>
  <c r="F4" i="33" s="1"/>
  <c r="C10" i="32" a="1"/>
  <c r="C10" i="32" s="1"/>
  <c r="G10" i="32" s="1"/>
  <c r="D10" i="32" a="1"/>
  <c r="D10" i="32" s="1"/>
  <c r="H10" i="32" s="1"/>
  <c r="E10" i="32" a="1"/>
  <c r="E10" i="32" s="1"/>
  <c r="I10" i="32" s="1"/>
  <c r="C11" i="32" a="1"/>
  <c r="C11" i="32" s="1"/>
  <c r="G11" i="32" s="1"/>
  <c r="D11" i="32" a="1"/>
  <c r="D11" i="32" s="1"/>
  <c r="H11" i="32" s="1"/>
  <c r="E11" i="32" a="1"/>
  <c r="E11" i="32" s="1"/>
  <c r="C12" i="32" a="1"/>
  <c r="C12" i="32" s="1"/>
  <c r="G12" i="32" s="1"/>
  <c r="D12" i="32" a="1"/>
  <c r="D12" i="32" s="1"/>
  <c r="H12" i="32" s="1"/>
  <c r="E12" i="32" a="1"/>
  <c r="E12" i="32" s="1"/>
  <c r="C13" i="32" a="1"/>
  <c r="C13" i="32" s="1"/>
  <c r="G13" i="32" s="1"/>
  <c r="D13" i="32" a="1"/>
  <c r="D13" i="32" s="1"/>
  <c r="H13" i="32" s="1"/>
  <c r="E13" i="32" a="1"/>
  <c r="E13" i="32" s="1"/>
  <c r="I13" i="32" s="1"/>
  <c r="C14" i="32" a="1"/>
  <c r="C14" i="32" s="1"/>
  <c r="G14" i="32" s="1"/>
  <c r="D14" i="32" a="1"/>
  <c r="D14" i="32" s="1"/>
  <c r="H14" i="32" s="1"/>
  <c r="E14" i="32" a="1"/>
  <c r="E14" i="32" s="1"/>
  <c r="I14" i="32" s="1"/>
  <c r="C15" i="32" a="1"/>
  <c r="C15" i="32" s="1"/>
  <c r="G15" i="32" s="1"/>
  <c r="D15" i="32" a="1"/>
  <c r="D15" i="32" s="1"/>
  <c r="H15" i="32" s="1"/>
  <c r="E15" i="32" a="1"/>
  <c r="E15" i="32" s="1"/>
  <c r="C16" i="32" a="1"/>
  <c r="C16" i="32" s="1"/>
  <c r="G16" i="32" s="1"/>
  <c r="D16" i="32" a="1"/>
  <c r="D16" i="32" s="1"/>
  <c r="H16" i="32" s="1"/>
  <c r="E16" i="32" a="1"/>
  <c r="E16" i="32" s="1"/>
  <c r="C17" i="32" a="1"/>
  <c r="C17" i="32" s="1"/>
  <c r="G17" i="32" s="1"/>
  <c r="D17" i="32" a="1"/>
  <c r="D17" i="32" s="1"/>
  <c r="H17" i="32" s="1"/>
  <c r="E17" i="32" a="1"/>
  <c r="E17" i="32" s="1"/>
  <c r="I17" i="32" s="1"/>
  <c r="C18" i="32" a="1"/>
  <c r="C18" i="32" s="1"/>
  <c r="G18" i="32" s="1"/>
  <c r="D18" i="32" a="1"/>
  <c r="D18" i="32" s="1"/>
  <c r="H18" i="32" s="1"/>
  <c r="E18" i="32" a="1"/>
  <c r="E18" i="32" s="1"/>
  <c r="I18" i="32" s="1"/>
  <c r="C19" i="32" a="1"/>
  <c r="C19" i="32" s="1"/>
  <c r="G19" i="32" s="1"/>
  <c r="D19" i="32" a="1"/>
  <c r="D19" i="32" s="1"/>
  <c r="H19" i="32" s="1"/>
  <c r="E19" i="32" a="1"/>
  <c r="E19" i="32" s="1"/>
  <c r="C20" i="32" a="1"/>
  <c r="C20" i="32" s="1"/>
  <c r="G20" i="32" s="1"/>
  <c r="D20" i="32" a="1"/>
  <c r="D20" i="32" s="1"/>
  <c r="H20" i="32" s="1"/>
  <c r="E20" i="32" a="1"/>
  <c r="E20" i="32" s="1"/>
  <c r="C21" i="32" a="1"/>
  <c r="C21" i="32" s="1"/>
  <c r="G21" i="32" s="1"/>
  <c r="D21" i="32" a="1"/>
  <c r="D21" i="32" s="1"/>
  <c r="H21" i="32" s="1"/>
  <c r="E21" i="32" a="1"/>
  <c r="E21" i="32" s="1"/>
  <c r="I21" i="32" s="1"/>
  <c r="C22" i="32" a="1"/>
  <c r="C22" i="32" s="1"/>
  <c r="G22" i="32" s="1"/>
  <c r="D22" i="32" a="1"/>
  <c r="D22" i="32" s="1"/>
  <c r="H22" i="32" s="1"/>
  <c r="E22" i="32" a="1"/>
  <c r="E22" i="32" s="1"/>
  <c r="I22" i="32" s="1"/>
  <c r="C23" i="32" a="1"/>
  <c r="C23" i="32" s="1"/>
  <c r="G23" i="32" s="1"/>
  <c r="D23" i="32" a="1"/>
  <c r="D23" i="32" s="1"/>
  <c r="H23" i="32" s="1"/>
  <c r="E23" i="32" a="1"/>
  <c r="E23" i="32" s="1"/>
  <c r="C24" i="32" a="1"/>
  <c r="C24" i="32" s="1"/>
  <c r="G24" i="32" s="1"/>
  <c r="D24" i="32" a="1"/>
  <c r="D24" i="32" s="1"/>
  <c r="H24" i="32" s="1"/>
  <c r="E24" i="32" a="1"/>
  <c r="E24" i="32" s="1"/>
  <c r="C25" i="32" a="1"/>
  <c r="C25" i="32" s="1"/>
  <c r="G25" i="32" s="1"/>
  <c r="D25" i="32" a="1"/>
  <c r="D25" i="32" s="1"/>
  <c r="H25" i="32" s="1"/>
  <c r="E25" i="32" a="1"/>
  <c r="E25" i="32" s="1"/>
  <c r="I25" i="32" s="1"/>
  <c r="C26" i="32" a="1"/>
  <c r="C26" i="32" s="1"/>
  <c r="G26" i="32" s="1"/>
  <c r="D26" i="32" a="1"/>
  <c r="D26" i="32" s="1"/>
  <c r="H26" i="32" s="1"/>
  <c r="E26" i="32" a="1"/>
  <c r="E26" i="32" s="1"/>
  <c r="I26" i="32" s="1"/>
  <c r="C27" i="32" a="1"/>
  <c r="C27" i="32" s="1"/>
  <c r="G27" i="32" s="1"/>
  <c r="D27" i="32" a="1"/>
  <c r="D27" i="32" s="1"/>
  <c r="H27" i="32" s="1"/>
  <c r="E27" i="32" a="1"/>
  <c r="E27" i="32" s="1"/>
  <c r="C28" i="32" a="1"/>
  <c r="C28" i="32" s="1"/>
  <c r="G28" i="32" s="1"/>
  <c r="D28" i="32" a="1"/>
  <c r="D28" i="32" s="1"/>
  <c r="H28" i="32" s="1"/>
  <c r="E28" i="32" a="1"/>
  <c r="E28" i="32" s="1"/>
  <c r="C29" i="32" a="1"/>
  <c r="C29" i="32" s="1"/>
  <c r="G29" i="32" s="1"/>
  <c r="D29" i="32" a="1"/>
  <c r="D29" i="32" s="1"/>
  <c r="H29" i="32" s="1"/>
  <c r="E29" i="32" a="1"/>
  <c r="E29" i="32" s="1"/>
  <c r="I29" i="32" s="1"/>
  <c r="B11" i="32" a="1"/>
  <c r="B11" i="32" s="1"/>
  <c r="F11" i="32" s="1"/>
  <c r="B12" i="32" a="1"/>
  <c r="B12" i="32" s="1"/>
  <c r="F12" i="32" s="1"/>
  <c r="B13" i="32" a="1"/>
  <c r="B13" i="32" s="1"/>
  <c r="F13" i="32" s="1"/>
  <c r="B14" i="32" a="1"/>
  <c r="B14" i="32" s="1"/>
  <c r="F14" i="32" s="1"/>
  <c r="B15" i="32" a="1"/>
  <c r="B15" i="32" s="1"/>
  <c r="F15" i="32" s="1"/>
  <c r="B16" i="32" a="1"/>
  <c r="B16" i="32" s="1"/>
  <c r="B17" i="32" a="1"/>
  <c r="B17" i="32" s="1"/>
  <c r="F17" i="32" s="1"/>
  <c r="B18" i="32" a="1"/>
  <c r="B18" i="32" s="1"/>
  <c r="F18" i="32" s="1"/>
  <c r="B19" i="32" a="1"/>
  <c r="B19" i="32" s="1"/>
  <c r="B20" i="32" a="1"/>
  <c r="B20" i="32" s="1"/>
  <c r="F20" i="32" s="1"/>
  <c r="B21" i="32" a="1"/>
  <c r="B21" i="32" s="1"/>
  <c r="F21" i="32" s="1"/>
  <c r="B22" i="32" a="1"/>
  <c r="B22" i="32" s="1"/>
  <c r="F22" i="32" s="1"/>
  <c r="B23" i="32" a="1"/>
  <c r="B23" i="32" s="1"/>
  <c r="F23" i="32" s="1"/>
  <c r="B24" i="32" a="1"/>
  <c r="B24" i="32" s="1"/>
  <c r="F24" i="32" s="1"/>
  <c r="B25" i="32" a="1"/>
  <c r="B25" i="32" s="1"/>
  <c r="F25" i="32" s="1"/>
  <c r="B26" i="32" a="1"/>
  <c r="B26" i="32" s="1"/>
  <c r="F26" i="32" s="1"/>
  <c r="B27" i="32" a="1"/>
  <c r="B27" i="32" s="1"/>
  <c r="F27" i="32" s="1"/>
  <c r="B28" i="32" a="1"/>
  <c r="B28" i="32" s="1"/>
  <c r="B29" i="32" a="1"/>
  <c r="B29" i="32" s="1"/>
  <c r="F29" i="32" s="1"/>
  <c r="B10" i="32" a="1"/>
  <c r="B10" i="32" s="1"/>
  <c r="F10" i="32" s="1"/>
  <c r="C37" i="31"/>
  <c r="C36" i="31"/>
  <c r="C35" i="31"/>
  <c r="C34" i="31"/>
  <c r="C33" i="31"/>
  <c r="C32" i="31"/>
  <c r="R10" i="31" a="1"/>
  <c r="R10" i="31" s="1"/>
  <c r="S10" i="31" a="1"/>
  <c r="S10" i="31" s="1"/>
  <c r="T10" i="31" a="1"/>
  <c r="T10" i="31" s="1"/>
  <c r="U10" i="31" a="1"/>
  <c r="U10" i="31" s="1"/>
  <c r="R11" i="31" a="1"/>
  <c r="R11" i="31" s="1"/>
  <c r="S11" i="31" a="1"/>
  <c r="S11" i="31"/>
  <c r="T11" i="31" a="1"/>
  <c r="T11" i="31" s="1"/>
  <c r="U11" i="31" a="1"/>
  <c r="U11" i="31" s="1"/>
  <c r="R12" i="31" a="1"/>
  <c r="R12" i="31" s="1"/>
  <c r="S12" i="31" a="1"/>
  <c r="S12" i="31" s="1"/>
  <c r="T12" i="31" a="1"/>
  <c r="T12" i="31" s="1"/>
  <c r="U12" i="31" a="1"/>
  <c r="U12" i="31"/>
  <c r="R13" i="31" a="1"/>
  <c r="R13" i="31" s="1"/>
  <c r="S13" i="31" a="1"/>
  <c r="S13" i="31" s="1"/>
  <c r="T13" i="31" a="1"/>
  <c r="T13" i="31" s="1"/>
  <c r="U13" i="31" a="1"/>
  <c r="U13" i="31" s="1"/>
  <c r="R14" i="31" a="1"/>
  <c r="R14" i="31" s="1"/>
  <c r="S14" i="31" a="1"/>
  <c r="S14" i="31"/>
  <c r="T14" i="31" a="1"/>
  <c r="T14" i="31" s="1"/>
  <c r="U14" i="31" a="1"/>
  <c r="U14" i="31" s="1"/>
  <c r="R15" i="31" a="1"/>
  <c r="R15" i="31" s="1"/>
  <c r="S15" i="31" a="1"/>
  <c r="S15" i="31" s="1"/>
  <c r="T15" i="31" a="1"/>
  <c r="T15" i="31" s="1"/>
  <c r="U15" i="31" a="1"/>
  <c r="U15" i="31"/>
  <c r="R16" i="31" a="1"/>
  <c r="R16" i="31" s="1"/>
  <c r="S16" i="31" a="1"/>
  <c r="S16" i="31" s="1"/>
  <c r="T16" i="31" a="1"/>
  <c r="T16" i="31" s="1"/>
  <c r="U16" i="31" a="1"/>
  <c r="U16" i="31" s="1"/>
  <c r="R17" i="31" a="1"/>
  <c r="R17" i="31" s="1"/>
  <c r="S17" i="31" a="1"/>
  <c r="S17" i="31"/>
  <c r="T17" i="31" a="1"/>
  <c r="T17" i="31" s="1"/>
  <c r="U17" i="31" a="1"/>
  <c r="U17" i="31" s="1"/>
  <c r="R18" i="31" a="1"/>
  <c r="R18" i="31" s="1"/>
  <c r="V18" i="31" s="1"/>
  <c r="S18" i="31" a="1"/>
  <c r="S18" i="31" s="1"/>
  <c r="T18" i="31" a="1"/>
  <c r="T18" i="31" s="1"/>
  <c r="U18" i="31" a="1"/>
  <c r="U18" i="31"/>
  <c r="R19" i="31" a="1"/>
  <c r="R19" i="31" s="1"/>
  <c r="S19" i="31" a="1"/>
  <c r="S19" i="31" s="1"/>
  <c r="T19" i="31" a="1"/>
  <c r="T19" i="31" s="1"/>
  <c r="U19" i="31" a="1"/>
  <c r="U19" i="31" s="1"/>
  <c r="R20" i="31" a="1"/>
  <c r="R20" i="31" s="1"/>
  <c r="S20" i="31" a="1"/>
  <c r="S20" i="31"/>
  <c r="T20" i="31" a="1"/>
  <c r="T20" i="31" s="1"/>
  <c r="U20" i="31" a="1"/>
  <c r="U20" i="31" s="1"/>
  <c r="R21" i="31" a="1"/>
  <c r="R21" i="31" s="1"/>
  <c r="S21" i="31" a="1"/>
  <c r="S21" i="31" s="1"/>
  <c r="T21" i="31" a="1"/>
  <c r="T21" i="31" s="1"/>
  <c r="U21" i="31" a="1"/>
  <c r="U21" i="31"/>
  <c r="R22" i="31" a="1"/>
  <c r="R22" i="31" s="1"/>
  <c r="S22" i="31" a="1"/>
  <c r="S22" i="31" s="1"/>
  <c r="T22" i="31" a="1"/>
  <c r="T22" i="31" s="1"/>
  <c r="U22" i="31" a="1"/>
  <c r="U22" i="31" s="1"/>
  <c r="R23" i="31" a="1"/>
  <c r="R23" i="31" s="1"/>
  <c r="S23" i="31" a="1"/>
  <c r="S23" i="31" s="1"/>
  <c r="T23" i="31" a="1"/>
  <c r="T23" i="31" s="1"/>
  <c r="U23" i="31" a="1"/>
  <c r="U23" i="31" s="1"/>
  <c r="R24" i="31" a="1"/>
  <c r="R24" i="31" s="1"/>
  <c r="S24" i="31" a="1"/>
  <c r="S24" i="31" s="1"/>
  <c r="T24" i="31" a="1"/>
  <c r="T24" i="31" s="1"/>
  <c r="U24" i="31" a="1"/>
  <c r="U24" i="31"/>
  <c r="R25" i="31" a="1"/>
  <c r="R25" i="31" s="1"/>
  <c r="S25" i="31" a="1"/>
  <c r="S25" i="31" s="1"/>
  <c r="T25" i="31" a="1"/>
  <c r="T25" i="31" s="1"/>
  <c r="U25" i="31" a="1"/>
  <c r="U25" i="31" s="1"/>
  <c r="R26" i="31" a="1"/>
  <c r="R26" i="31" s="1"/>
  <c r="V26" i="31" s="1"/>
  <c r="S26" i="31" a="1"/>
  <c r="S26" i="31"/>
  <c r="T26" i="31" a="1"/>
  <c r="T26" i="31" s="1"/>
  <c r="U26" i="31" a="1"/>
  <c r="U26" i="31" s="1"/>
  <c r="R27" i="31" a="1"/>
  <c r="R27" i="31" s="1"/>
  <c r="S27" i="31" a="1"/>
  <c r="S27" i="31" s="1"/>
  <c r="T27" i="31" a="1"/>
  <c r="T27" i="31" s="1"/>
  <c r="U27" i="31" a="1"/>
  <c r="U27" i="31" s="1"/>
  <c r="R28" i="31" a="1"/>
  <c r="R28" i="31" s="1"/>
  <c r="S28" i="31" a="1"/>
  <c r="S28" i="31" s="1"/>
  <c r="T28" i="31" a="1"/>
  <c r="T28" i="31" s="1"/>
  <c r="U28" i="31" a="1"/>
  <c r="U28" i="31" s="1"/>
  <c r="S9" i="31" a="1"/>
  <c r="S9" i="31" s="1"/>
  <c r="T9" i="31" a="1"/>
  <c r="T9" i="31" s="1"/>
  <c r="U9" i="31" a="1"/>
  <c r="U9" i="31" s="1"/>
  <c r="R9" i="31" a="1"/>
  <c r="R9" i="31" s="1"/>
  <c r="J10" i="31" a="1"/>
  <c r="J10" i="31" s="1"/>
  <c r="K10" i="31" a="1"/>
  <c r="K10" i="31" s="1"/>
  <c r="L10" i="31" a="1"/>
  <c r="L10" i="31" s="1"/>
  <c r="M10" i="31" a="1"/>
  <c r="M10" i="31" s="1"/>
  <c r="J11" i="31" a="1"/>
  <c r="J11" i="31" s="1"/>
  <c r="K11" i="31" a="1"/>
  <c r="K11" i="31"/>
  <c r="L11" i="31" a="1"/>
  <c r="L11" i="31" s="1"/>
  <c r="M11" i="31" a="1"/>
  <c r="M11" i="31" s="1"/>
  <c r="J12" i="31" a="1"/>
  <c r="J12" i="31" s="1"/>
  <c r="K12" i="31" a="1"/>
  <c r="K12" i="31" s="1"/>
  <c r="L12" i="31" a="1"/>
  <c r="L12" i="31" s="1"/>
  <c r="M12" i="31" a="1"/>
  <c r="M12" i="31"/>
  <c r="J13" i="31" a="1"/>
  <c r="J13" i="31" s="1"/>
  <c r="K13" i="31" a="1"/>
  <c r="K13" i="31" s="1"/>
  <c r="L13" i="31" a="1"/>
  <c r="L13" i="31" s="1"/>
  <c r="M13" i="31" a="1"/>
  <c r="M13" i="31" s="1"/>
  <c r="J14" i="31" a="1"/>
  <c r="J14" i="31" s="1"/>
  <c r="K14" i="31" a="1"/>
  <c r="K14" i="31"/>
  <c r="L14" i="31" a="1"/>
  <c r="L14" i="31" s="1"/>
  <c r="M14" i="31" a="1"/>
  <c r="M14" i="31" s="1"/>
  <c r="J15" i="31" a="1"/>
  <c r="J15" i="31" s="1"/>
  <c r="K15" i="31" a="1"/>
  <c r="K15" i="31" s="1"/>
  <c r="L15" i="31" a="1"/>
  <c r="L15" i="31" s="1"/>
  <c r="M15" i="31" a="1"/>
  <c r="M15" i="31"/>
  <c r="J16" i="31" a="1"/>
  <c r="J16" i="31" s="1"/>
  <c r="K16" i="31" a="1"/>
  <c r="K16" i="31" s="1"/>
  <c r="L16" i="31" a="1"/>
  <c r="L16" i="31" s="1"/>
  <c r="M16" i="31" a="1"/>
  <c r="M16" i="31" s="1"/>
  <c r="J17" i="31" a="1"/>
  <c r="J17" i="31" s="1"/>
  <c r="K17" i="31" a="1"/>
  <c r="K17" i="31"/>
  <c r="L17" i="31" a="1"/>
  <c r="L17" i="31" s="1"/>
  <c r="M17" i="31" a="1"/>
  <c r="M17" i="31" s="1"/>
  <c r="J18" i="31" a="1"/>
  <c r="J18" i="31" s="1"/>
  <c r="K18" i="31" a="1"/>
  <c r="K18" i="31" s="1"/>
  <c r="L18" i="31" a="1"/>
  <c r="L18" i="31" s="1"/>
  <c r="M18" i="31" a="1"/>
  <c r="M18" i="31"/>
  <c r="J19" i="31" a="1"/>
  <c r="J19" i="31" s="1"/>
  <c r="K19" i="31" a="1"/>
  <c r="K19" i="31" s="1"/>
  <c r="L19" i="31" a="1"/>
  <c r="L19" i="31" s="1"/>
  <c r="M19" i="31" a="1"/>
  <c r="M19" i="31" s="1"/>
  <c r="J20" i="31" a="1"/>
  <c r="J20" i="31" s="1"/>
  <c r="K20" i="31" a="1"/>
  <c r="K20" i="31"/>
  <c r="L20" i="31" a="1"/>
  <c r="L20" i="31" s="1"/>
  <c r="M20" i="31" a="1"/>
  <c r="M20" i="31" s="1"/>
  <c r="J21" i="31" a="1"/>
  <c r="J21" i="31" s="1"/>
  <c r="K21" i="31" a="1"/>
  <c r="K21" i="31" s="1"/>
  <c r="L21" i="31" a="1"/>
  <c r="L21" i="31" s="1"/>
  <c r="M21" i="31" a="1"/>
  <c r="M21" i="31"/>
  <c r="J22" i="31" a="1"/>
  <c r="J22" i="31" s="1"/>
  <c r="K22" i="31" a="1"/>
  <c r="K22" i="31" s="1"/>
  <c r="L22" i="31" a="1"/>
  <c r="L22" i="31" s="1"/>
  <c r="M22" i="31" a="1"/>
  <c r="M22" i="31" s="1"/>
  <c r="J23" i="31" a="1"/>
  <c r="J23" i="31" s="1"/>
  <c r="K23" i="31" a="1"/>
  <c r="K23" i="31"/>
  <c r="L23" i="31" a="1"/>
  <c r="L23" i="31" s="1"/>
  <c r="M23" i="31" a="1"/>
  <c r="M23" i="31" s="1"/>
  <c r="J24" i="31" a="1"/>
  <c r="J24" i="31" s="1"/>
  <c r="K24" i="31" a="1"/>
  <c r="K24" i="31" s="1"/>
  <c r="L24" i="31" a="1"/>
  <c r="L24" i="31" s="1"/>
  <c r="M24" i="31" a="1"/>
  <c r="M24" i="31"/>
  <c r="J25" i="31" a="1"/>
  <c r="J25" i="31" s="1"/>
  <c r="K25" i="31" a="1"/>
  <c r="K25" i="31" s="1"/>
  <c r="L25" i="31" a="1"/>
  <c r="L25" i="31" s="1"/>
  <c r="M25" i="31" a="1"/>
  <c r="M25" i="31" s="1"/>
  <c r="J26" i="31" a="1"/>
  <c r="J26" i="31" s="1"/>
  <c r="K26" i="31" a="1"/>
  <c r="K26" i="31"/>
  <c r="L26" i="31" a="1"/>
  <c r="L26" i="31" s="1"/>
  <c r="M26" i="31" a="1"/>
  <c r="M26" i="31" s="1"/>
  <c r="J27" i="31" a="1"/>
  <c r="J27" i="31" s="1"/>
  <c r="K27" i="31" a="1"/>
  <c r="K27" i="31" s="1"/>
  <c r="L27" i="31" a="1"/>
  <c r="L27" i="31" s="1"/>
  <c r="M27" i="31" a="1"/>
  <c r="M27" i="31" s="1"/>
  <c r="J28" i="31" a="1"/>
  <c r="J28" i="31" s="1"/>
  <c r="K28" i="31" a="1"/>
  <c r="K28" i="31" s="1"/>
  <c r="L28" i="31" a="1"/>
  <c r="L28" i="31" s="1"/>
  <c r="M28" i="31" a="1"/>
  <c r="M28" i="31" s="1"/>
  <c r="K9" i="31" a="1"/>
  <c r="K9" i="31" s="1"/>
  <c r="L9" i="31" a="1"/>
  <c r="L9" i="31" s="1"/>
  <c r="M9" i="31" a="1"/>
  <c r="M9" i="31" s="1"/>
  <c r="J9" i="31" a="1"/>
  <c r="J9" i="31" s="1"/>
  <c r="B10" i="31" a="1"/>
  <c r="B10" i="31" s="1"/>
  <c r="C10" i="31" a="1"/>
  <c r="C10" i="31" s="1"/>
  <c r="D10" i="31" a="1"/>
  <c r="D10" i="31" s="1"/>
  <c r="E10" i="31" a="1"/>
  <c r="E10" i="31" s="1"/>
  <c r="B11" i="31" a="1"/>
  <c r="B11" i="31" s="1"/>
  <c r="C11" i="31" a="1"/>
  <c r="C11" i="31"/>
  <c r="D11" i="31" a="1"/>
  <c r="D11" i="31" s="1"/>
  <c r="E11" i="31" a="1"/>
  <c r="E11" i="31" s="1"/>
  <c r="B12" i="31" a="1"/>
  <c r="B12" i="31" s="1"/>
  <c r="C12" i="31" a="1"/>
  <c r="C12" i="31" s="1"/>
  <c r="D12" i="31" a="1"/>
  <c r="D12" i="31" s="1"/>
  <c r="E12" i="31" a="1"/>
  <c r="E12" i="31"/>
  <c r="B13" i="31" a="1"/>
  <c r="B13" i="31" s="1"/>
  <c r="C13" i="31" a="1"/>
  <c r="C13" i="31" s="1"/>
  <c r="D13" i="31" a="1"/>
  <c r="D13" i="31" s="1"/>
  <c r="E13" i="31" a="1"/>
  <c r="E13" i="31" s="1"/>
  <c r="B14" i="31" a="1"/>
  <c r="B14" i="31" s="1"/>
  <c r="C14" i="31" a="1"/>
  <c r="C14" i="31"/>
  <c r="D14" i="31" a="1"/>
  <c r="D14" i="31" s="1"/>
  <c r="E14" i="31" a="1"/>
  <c r="E14" i="31" s="1"/>
  <c r="B15" i="31" a="1"/>
  <c r="B15" i="31" s="1"/>
  <c r="C15" i="31" a="1"/>
  <c r="C15" i="31" s="1"/>
  <c r="D15" i="31" a="1"/>
  <c r="D15" i="31" s="1"/>
  <c r="E15" i="31" a="1"/>
  <c r="E15" i="31"/>
  <c r="B16" i="31" a="1"/>
  <c r="B16" i="31" s="1"/>
  <c r="C16" i="31" a="1"/>
  <c r="C16" i="31" s="1"/>
  <c r="D16" i="31" a="1"/>
  <c r="D16" i="31" s="1"/>
  <c r="E16" i="31" a="1"/>
  <c r="E16" i="31" s="1"/>
  <c r="B17" i="31" a="1"/>
  <c r="B17" i="31" s="1"/>
  <c r="C17" i="31" a="1"/>
  <c r="C17" i="31"/>
  <c r="D17" i="31" a="1"/>
  <c r="D17" i="31" s="1"/>
  <c r="E17" i="31" a="1"/>
  <c r="E17" i="31" s="1"/>
  <c r="B18" i="31" a="1"/>
  <c r="B18" i="31" s="1"/>
  <c r="C18" i="31" a="1"/>
  <c r="C18" i="31" s="1"/>
  <c r="D18" i="31" a="1"/>
  <c r="D18" i="31" s="1"/>
  <c r="E18" i="31" a="1"/>
  <c r="E18" i="31"/>
  <c r="B19" i="31" a="1"/>
  <c r="B19" i="31" s="1"/>
  <c r="C19" i="31" a="1"/>
  <c r="C19" i="31" s="1"/>
  <c r="D19" i="31" a="1"/>
  <c r="D19" i="31" s="1"/>
  <c r="E19" i="31" a="1"/>
  <c r="E19" i="31" s="1"/>
  <c r="B20" i="31" a="1"/>
  <c r="B20" i="31" s="1"/>
  <c r="C20" i="31" a="1"/>
  <c r="C20" i="31"/>
  <c r="D20" i="31" a="1"/>
  <c r="D20" i="31" s="1"/>
  <c r="E20" i="31" a="1"/>
  <c r="E20" i="31" s="1"/>
  <c r="B21" i="31" a="1"/>
  <c r="B21" i="31" s="1"/>
  <c r="C21" i="31" a="1"/>
  <c r="C21" i="31" s="1"/>
  <c r="D21" i="31" a="1"/>
  <c r="D21" i="31" s="1"/>
  <c r="E21" i="31" a="1"/>
  <c r="E21" i="31"/>
  <c r="B22" i="31" a="1"/>
  <c r="B22" i="31" s="1"/>
  <c r="C22" i="31" a="1"/>
  <c r="C22" i="31" s="1"/>
  <c r="D22" i="31" a="1"/>
  <c r="D22" i="31" s="1"/>
  <c r="E22" i="31" a="1"/>
  <c r="E22" i="31" s="1"/>
  <c r="B23" i="31" a="1"/>
  <c r="B23" i="31" s="1"/>
  <c r="C23" i="31" a="1"/>
  <c r="C23" i="31"/>
  <c r="D23" i="31" a="1"/>
  <c r="D23" i="31" s="1"/>
  <c r="E23" i="31" a="1"/>
  <c r="E23" i="31" s="1"/>
  <c r="B24" i="31" a="1"/>
  <c r="B24" i="31" s="1"/>
  <c r="C24" i="31" a="1"/>
  <c r="C24" i="31" s="1"/>
  <c r="D24" i="31" a="1"/>
  <c r="D24" i="31" s="1"/>
  <c r="E24" i="31" a="1"/>
  <c r="E24" i="31"/>
  <c r="B25" i="31" a="1"/>
  <c r="B25" i="31" s="1"/>
  <c r="C25" i="31" a="1"/>
  <c r="C25" i="31" s="1"/>
  <c r="D25" i="31" a="1"/>
  <c r="D25" i="31" s="1"/>
  <c r="E25" i="31" a="1"/>
  <c r="E25" i="31" s="1"/>
  <c r="B26" i="31" a="1"/>
  <c r="B26" i="31" s="1"/>
  <c r="C26" i="31" a="1"/>
  <c r="C26" i="31"/>
  <c r="D26" i="31" a="1"/>
  <c r="D26" i="31" s="1"/>
  <c r="E26" i="31" a="1"/>
  <c r="E26" i="31" s="1"/>
  <c r="B27" i="31" a="1"/>
  <c r="B27" i="31" s="1"/>
  <c r="C27" i="31" a="1"/>
  <c r="C27" i="31" s="1"/>
  <c r="D27" i="31" a="1"/>
  <c r="D27" i="31" s="1"/>
  <c r="E27" i="31" a="1"/>
  <c r="E27" i="31" s="1"/>
  <c r="B28" i="31" a="1"/>
  <c r="B28" i="31" s="1"/>
  <c r="C28" i="31" a="1"/>
  <c r="C28" i="31" s="1"/>
  <c r="D28" i="31" a="1"/>
  <c r="D28" i="31" s="1"/>
  <c r="E28" i="31" a="1"/>
  <c r="E28" i="31" s="1"/>
  <c r="C9" i="31" a="1"/>
  <c r="C9" i="31" s="1"/>
  <c r="D9" i="31" a="1"/>
  <c r="D9" i="31" s="1"/>
  <c r="E9" i="31" a="1"/>
  <c r="E9" i="31" s="1"/>
  <c r="B9" i="31" a="1"/>
  <c r="B9" i="31" s="1"/>
  <c r="AE10" i="31"/>
  <c r="AE11" i="31"/>
  <c r="AE12" i="31"/>
  <c r="AE13" i="31"/>
  <c r="AE14" i="31"/>
  <c r="AE15" i="31"/>
  <c r="AE16" i="31"/>
  <c r="AE17" i="31"/>
  <c r="AE18" i="31"/>
  <c r="AE19" i="31"/>
  <c r="AE20" i="31"/>
  <c r="AE21" i="31"/>
  <c r="AE22" i="31"/>
  <c r="AE23" i="31"/>
  <c r="AE24" i="31"/>
  <c r="AE25" i="31"/>
  <c r="AE26" i="31"/>
  <c r="AE27" i="31"/>
  <c r="AE28" i="31"/>
  <c r="AE9" i="31"/>
  <c r="AD9" i="31"/>
  <c r="AA9" i="31" a="1"/>
  <c r="AA9" i="31" s="1"/>
  <c r="AB9" i="31" a="1"/>
  <c r="AB9" i="31" s="1"/>
  <c r="AC9" i="31" a="1"/>
  <c r="AC9" i="31" s="1"/>
  <c r="AA10" i="31" a="1"/>
  <c r="AA10" i="31" s="1"/>
  <c r="AB10" i="31" a="1"/>
  <c r="AB10" i="31" s="1"/>
  <c r="AC10" i="31" a="1"/>
  <c r="AC10" i="31"/>
  <c r="AA11" i="31" a="1"/>
  <c r="AA11" i="31" s="1"/>
  <c r="AB11" i="31" a="1"/>
  <c r="AB11" i="31" s="1"/>
  <c r="AC11" i="31" a="1"/>
  <c r="AC11" i="31" s="1"/>
  <c r="AA12" i="31" a="1"/>
  <c r="AA12" i="31" s="1"/>
  <c r="AB12" i="31" a="1"/>
  <c r="AB12" i="31" s="1"/>
  <c r="AC12" i="31" a="1"/>
  <c r="AC12" i="31"/>
  <c r="AA13" i="31" a="1"/>
  <c r="AA13" i="31" s="1"/>
  <c r="AB13" i="31" a="1"/>
  <c r="AB13" i="31" s="1"/>
  <c r="AC13" i="31" a="1"/>
  <c r="AC13" i="31" s="1"/>
  <c r="AA14" i="31" a="1"/>
  <c r="AA14" i="31" s="1"/>
  <c r="AB14" i="31" a="1"/>
  <c r="AB14" i="31" s="1"/>
  <c r="AC14" i="31" a="1"/>
  <c r="AC14" i="31"/>
  <c r="AA15" i="31" a="1"/>
  <c r="AA15" i="31" s="1"/>
  <c r="AB15" i="31" a="1"/>
  <c r="AB15" i="31" s="1"/>
  <c r="AC15" i="31" a="1"/>
  <c r="AC15" i="31" s="1"/>
  <c r="AA16" i="31" a="1"/>
  <c r="AA16" i="31" s="1"/>
  <c r="AB16" i="31" a="1"/>
  <c r="AB16" i="31" s="1"/>
  <c r="AC16" i="31" a="1"/>
  <c r="AC16" i="31"/>
  <c r="AA17" i="31" a="1"/>
  <c r="AA17" i="31" s="1"/>
  <c r="AB17" i="31" a="1"/>
  <c r="AB17" i="31" s="1"/>
  <c r="AC17" i="31" a="1"/>
  <c r="AC17" i="31" s="1"/>
  <c r="AA18" i="31" a="1"/>
  <c r="AA18" i="31" s="1"/>
  <c r="AB18" i="31" a="1"/>
  <c r="AB18" i="31" s="1"/>
  <c r="AC18" i="31" a="1"/>
  <c r="AC18" i="31"/>
  <c r="AA19" i="31" a="1"/>
  <c r="AA19" i="31" s="1"/>
  <c r="AB19" i="31" a="1"/>
  <c r="AB19" i="31" s="1"/>
  <c r="AC19" i="31" a="1"/>
  <c r="AC19" i="31" s="1"/>
  <c r="AA20" i="31" a="1"/>
  <c r="AA20" i="31" s="1"/>
  <c r="AB20" i="31" a="1"/>
  <c r="AB20" i="31" s="1"/>
  <c r="AC20" i="31" a="1"/>
  <c r="AC20" i="31"/>
  <c r="AA21" i="31" a="1"/>
  <c r="AA21" i="31" s="1"/>
  <c r="AB21" i="31" a="1"/>
  <c r="AB21" i="31" s="1"/>
  <c r="AC21" i="31" a="1"/>
  <c r="AC21" i="31" s="1"/>
  <c r="AA22" i="31" a="1"/>
  <c r="AA22" i="31" s="1"/>
  <c r="AB22" i="31" a="1"/>
  <c r="AB22" i="31" s="1"/>
  <c r="AC22" i="31" a="1"/>
  <c r="AC22" i="31"/>
  <c r="AA23" i="31" a="1"/>
  <c r="AA23" i="31" s="1"/>
  <c r="AB23" i="31" a="1"/>
  <c r="AB23" i="31" s="1"/>
  <c r="AC23" i="31" a="1"/>
  <c r="AC23" i="31" s="1"/>
  <c r="AA24" i="31" a="1"/>
  <c r="AA24" i="31" s="1"/>
  <c r="AB24" i="31" a="1"/>
  <c r="AB24" i="31" s="1"/>
  <c r="AC24" i="31" a="1"/>
  <c r="AC24" i="31"/>
  <c r="AA25" i="31" a="1"/>
  <c r="AA25" i="31" s="1"/>
  <c r="AB25" i="31" a="1"/>
  <c r="AB25" i="31" s="1"/>
  <c r="AC25" i="31" a="1"/>
  <c r="AC25" i="31" s="1"/>
  <c r="AA26" i="31" a="1"/>
  <c r="AA26" i="31" s="1"/>
  <c r="AB26" i="31" a="1"/>
  <c r="AB26" i="31" s="1"/>
  <c r="AC26" i="31" a="1"/>
  <c r="AC26" i="31"/>
  <c r="AA27" i="31" a="1"/>
  <c r="AA27" i="31" s="1"/>
  <c r="AB27" i="31" a="1"/>
  <c r="AB27" i="31" s="1"/>
  <c r="AC27" i="31" a="1"/>
  <c r="AC27" i="31" s="1"/>
  <c r="AA28" i="31" a="1"/>
  <c r="AA28" i="31" s="1"/>
  <c r="AB28" i="31" a="1"/>
  <c r="AB28" i="31" s="1"/>
  <c r="AC28" i="31" a="1"/>
  <c r="AC28" i="31" s="1"/>
  <c r="Z10" i="31" a="1"/>
  <c r="Z10" i="31" s="1"/>
  <c r="Z11" i="31" a="1"/>
  <c r="Z11" i="31" s="1"/>
  <c r="Z12" i="31" a="1"/>
  <c r="Z12" i="31" s="1"/>
  <c r="Z13" i="31" a="1"/>
  <c r="Z13" i="31" s="1"/>
  <c r="Z14" i="31" a="1"/>
  <c r="Z14" i="31" s="1"/>
  <c r="Z15" i="31" a="1"/>
  <c r="Z15" i="31"/>
  <c r="Z16" i="31" a="1"/>
  <c r="Z16" i="31" s="1"/>
  <c r="Z17" i="31" a="1"/>
  <c r="Z17" i="31" s="1"/>
  <c r="Z18" i="31" a="1"/>
  <c r="Z18" i="31" s="1"/>
  <c r="Z19" i="31" a="1"/>
  <c r="Z19" i="31" s="1"/>
  <c r="Z20" i="31" a="1"/>
  <c r="Z20" i="31" s="1"/>
  <c r="Z21" i="31" a="1"/>
  <c r="Z21" i="31"/>
  <c r="Z22" i="31" a="1"/>
  <c r="Z22" i="31" s="1"/>
  <c r="Z23" i="31" a="1"/>
  <c r="Z23" i="31" s="1"/>
  <c r="Z24" i="31" a="1"/>
  <c r="Z24" i="31" s="1"/>
  <c r="Z25" i="31" a="1"/>
  <c r="Z25" i="31" s="1"/>
  <c r="Z26" i="31" a="1"/>
  <c r="Z26" i="31" s="1"/>
  <c r="Z27" i="31" a="1"/>
  <c r="Z27" i="31" s="1"/>
  <c r="Z28" i="31" a="1"/>
  <c r="Z28" i="31" s="1"/>
  <c r="Z9" i="31" a="1"/>
  <c r="Z9" i="31" s="1"/>
  <c r="C6" i="29"/>
  <c r="D6" i="29"/>
  <c r="E6" i="29"/>
  <c r="F6" i="29"/>
  <c r="B6" i="29"/>
  <c r="C5" i="29"/>
  <c r="F5" i="29" s="1"/>
  <c r="D5" i="29"/>
  <c r="E5" i="29"/>
  <c r="B5" i="29"/>
  <c r="C4" i="29"/>
  <c r="D4" i="29"/>
  <c r="F4" i="29" s="1"/>
  <c r="E4" i="29"/>
  <c r="B4" i="29"/>
  <c r="C3" i="29"/>
  <c r="D3" i="29"/>
  <c r="E3" i="29"/>
  <c r="B3" i="29"/>
  <c r="F3" i="29" s="1"/>
  <c r="M4" i="3"/>
  <c r="B3" i="15" a="1"/>
  <c r="B3" i="15" s="1"/>
  <c r="C4" i="28"/>
  <c r="C6" i="28"/>
  <c r="C5" i="28"/>
  <c r="C3" i="28"/>
  <c r="D4" i="28"/>
  <c r="D6" i="28"/>
  <c r="D5" i="28"/>
  <c r="D3" i="28"/>
  <c r="B4" i="28"/>
  <c r="B6" i="28"/>
  <c r="B5" i="28"/>
  <c r="B3" i="28"/>
  <c r="B18" i="20" a="1"/>
  <c r="B18" i="20" s="1"/>
  <c r="C18" i="20" a="1"/>
  <c r="C18" i="20" s="1"/>
  <c r="D18" i="20" a="1"/>
  <c r="D18" i="20" s="1"/>
  <c r="E18" i="20" a="1"/>
  <c r="E18" i="20" s="1"/>
  <c r="B19" i="20" a="1"/>
  <c r="B19" i="20" s="1"/>
  <c r="C19" i="20" a="1"/>
  <c r="C19" i="20" s="1"/>
  <c r="D19" i="20" a="1"/>
  <c r="D19" i="20" s="1"/>
  <c r="E19" i="20" a="1"/>
  <c r="E19" i="20" s="1"/>
  <c r="B20" i="20" a="1"/>
  <c r="B20" i="20" s="1"/>
  <c r="C20" i="20" a="1"/>
  <c r="C20" i="20" s="1"/>
  <c r="D20" i="20" a="1"/>
  <c r="D20" i="20" s="1"/>
  <c r="E20" i="20" a="1"/>
  <c r="E20" i="20" s="1"/>
  <c r="B21" i="20" a="1"/>
  <c r="B21" i="20" s="1"/>
  <c r="C21" i="20" a="1"/>
  <c r="C21" i="20" s="1"/>
  <c r="D21" i="20" a="1"/>
  <c r="D21" i="20" s="1"/>
  <c r="E21" i="20" a="1"/>
  <c r="E21" i="20" s="1"/>
  <c r="B22" i="20" a="1"/>
  <c r="B22" i="20" s="1"/>
  <c r="C22" i="20" a="1"/>
  <c r="C22" i="20" s="1"/>
  <c r="D22" i="20" a="1"/>
  <c r="D22" i="20" s="1"/>
  <c r="E22" i="20" a="1"/>
  <c r="E22" i="20" s="1"/>
  <c r="B23" i="20" a="1"/>
  <c r="B23" i="20" s="1"/>
  <c r="C23" i="20" a="1"/>
  <c r="C23" i="20" s="1"/>
  <c r="D23" i="20" a="1"/>
  <c r="D23" i="20" s="1"/>
  <c r="E23" i="20" a="1"/>
  <c r="E23" i="20" s="1"/>
  <c r="B24" i="20" a="1"/>
  <c r="B24" i="20" s="1"/>
  <c r="C24" i="20" a="1"/>
  <c r="C24" i="20" s="1"/>
  <c r="D24" i="20" a="1"/>
  <c r="D24" i="20" s="1"/>
  <c r="E24" i="20" a="1"/>
  <c r="E24" i="20" s="1"/>
  <c r="B25" i="20" a="1"/>
  <c r="B25" i="20" s="1"/>
  <c r="C25" i="20" a="1"/>
  <c r="C25" i="20" s="1"/>
  <c r="D25" i="20" a="1"/>
  <c r="D25" i="20" s="1"/>
  <c r="E25" i="20" a="1"/>
  <c r="E25" i="20" s="1"/>
  <c r="C17" i="20" a="1"/>
  <c r="C17" i="20" s="1"/>
  <c r="D17" i="20" a="1"/>
  <c r="D17" i="20" s="1"/>
  <c r="E17" i="20" a="1"/>
  <c r="E17" i="20" s="1"/>
  <c r="B17" i="20" a="1"/>
  <c r="B17" i="20" s="1"/>
  <c r="E3" i="20" a="1"/>
  <c r="E3" i="20" s="1"/>
  <c r="B3" i="20" a="1"/>
  <c r="B3" i="20" s="1"/>
  <c r="E4" i="20" a="1"/>
  <c r="E4" i="20" s="1"/>
  <c r="E5" i="20" a="1"/>
  <c r="E5" i="20" s="1"/>
  <c r="E6" i="20" a="1"/>
  <c r="E6" i="20" s="1"/>
  <c r="E7" i="20" a="1"/>
  <c r="E7" i="20" s="1"/>
  <c r="E8" i="20" a="1"/>
  <c r="E8" i="20" s="1"/>
  <c r="E9" i="20" a="1"/>
  <c r="E9" i="20" s="1"/>
  <c r="E10" i="20" a="1"/>
  <c r="E10" i="20" s="1"/>
  <c r="E11" i="20" a="1"/>
  <c r="E11" i="20" s="1"/>
  <c r="D4" i="20" a="1"/>
  <c r="D4" i="20" s="1"/>
  <c r="D5" i="20" a="1"/>
  <c r="D5" i="20" s="1"/>
  <c r="D6" i="20" a="1"/>
  <c r="D6" i="20" s="1"/>
  <c r="D7" i="20" a="1"/>
  <c r="D7" i="20" s="1"/>
  <c r="D8" i="20" a="1"/>
  <c r="D8" i="20" s="1"/>
  <c r="D9" i="20" a="1"/>
  <c r="D9" i="20" s="1"/>
  <c r="D10" i="20" a="1"/>
  <c r="D10" i="20" s="1"/>
  <c r="D11" i="20" a="1"/>
  <c r="D11" i="20" s="1"/>
  <c r="C3" i="20" a="1"/>
  <c r="C3" i="20" s="1"/>
  <c r="D3" i="20" a="1"/>
  <c r="D3" i="20" s="1"/>
  <c r="B4" i="20" a="1"/>
  <c r="B4" i="20" s="1"/>
  <c r="C4" i="20" a="1"/>
  <c r="C4" i="20" s="1"/>
  <c r="B5" i="20" a="1"/>
  <c r="B5" i="20" s="1"/>
  <c r="C5" i="20" a="1"/>
  <c r="C5" i="20" s="1"/>
  <c r="B6" i="20" a="1"/>
  <c r="B6" i="20" s="1"/>
  <c r="C6" i="20" a="1"/>
  <c r="C6" i="20" s="1"/>
  <c r="B7" i="20" a="1"/>
  <c r="B7" i="20" s="1"/>
  <c r="C7" i="20" a="1"/>
  <c r="C7" i="20" s="1"/>
  <c r="B8" i="20" a="1"/>
  <c r="B8" i="20" s="1"/>
  <c r="C8" i="20" a="1"/>
  <c r="C8" i="20" s="1"/>
  <c r="B9" i="20" a="1"/>
  <c r="B9" i="20" s="1"/>
  <c r="C9" i="20" a="1"/>
  <c r="C9" i="20" s="1"/>
  <c r="B10" i="20" a="1"/>
  <c r="B10" i="20" s="1"/>
  <c r="C10" i="20" a="1"/>
  <c r="C10" i="20" s="1"/>
  <c r="B11" i="20" a="1"/>
  <c r="B11" i="20" s="1"/>
  <c r="C11" i="20" a="1"/>
  <c r="C11" i="20" s="1"/>
  <c r="E4" i="15" a="1"/>
  <c r="E4" i="15" s="1"/>
  <c r="E5" i="15" a="1"/>
  <c r="E5" i="15" s="1"/>
  <c r="E6" i="15" a="1"/>
  <c r="E6" i="15" s="1"/>
  <c r="E7" i="15" a="1"/>
  <c r="E7" i="15" s="1"/>
  <c r="E8" i="15" a="1"/>
  <c r="E8" i="15" s="1"/>
  <c r="E9" i="15" a="1"/>
  <c r="E9" i="15" s="1"/>
  <c r="E10" i="15" a="1"/>
  <c r="E10" i="15" s="1"/>
  <c r="E11" i="15" a="1"/>
  <c r="E11" i="15" s="1"/>
  <c r="E12" i="15" a="1"/>
  <c r="E12" i="15" s="1"/>
  <c r="E13" i="15" a="1"/>
  <c r="E13" i="15" s="1"/>
  <c r="E14" i="15" a="1"/>
  <c r="E14" i="15" s="1"/>
  <c r="E15" i="15" a="1"/>
  <c r="E15" i="15" s="1"/>
  <c r="E16" i="15" a="1"/>
  <c r="E16" i="15" s="1"/>
  <c r="E17" i="15" a="1"/>
  <c r="E17" i="15" s="1"/>
  <c r="E18" i="15" a="1"/>
  <c r="E18" i="15" s="1"/>
  <c r="E19" i="15" a="1"/>
  <c r="E19" i="15" s="1"/>
  <c r="E20" i="15" a="1"/>
  <c r="E20" i="15" s="1"/>
  <c r="E21" i="15" a="1"/>
  <c r="E21" i="15" s="1"/>
  <c r="E22" i="15" a="1"/>
  <c r="E22" i="15" s="1"/>
  <c r="E3" i="15" a="1"/>
  <c r="E3" i="15" s="1"/>
  <c r="D4" i="15" a="1"/>
  <c r="D4" i="15" s="1"/>
  <c r="D5" i="15" a="1"/>
  <c r="D5" i="15" s="1"/>
  <c r="D6" i="15" a="1"/>
  <c r="D6" i="15"/>
  <c r="D7" i="15" a="1"/>
  <c r="D7" i="15" s="1"/>
  <c r="D8" i="15" a="1"/>
  <c r="D8" i="15" s="1"/>
  <c r="D9" i="15" a="1"/>
  <c r="D9" i="15" s="1"/>
  <c r="D10" i="15" a="1"/>
  <c r="D10" i="15" s="1"/>
  <c r="D11" i="15" a="1"/>
  <c r="D11" i="15" s="1"/>
  <c r="D12" i="15" a="1"/>
  <c r="D12" i="15" s="1"/>
  <c r="D13" i="15" a="1"/>
  <c r="D13" i="15" s="1"/>
  <c r="D14" i="15" a="1"/>
  <c r="D14" i="15" s="1"/>
  <c r="D15" i="15" a="1"/>
  <c r="D15" i="15" s="1"/>
  <c r="D16" i="15" a="1"/>
  <c r="D16" i="15" s="1"/>
  <c r="D17" i="15" a="1"/>
  <c r="D17" i="15" s="1"/>
  <c r="D18" i="15" a="1"/>
  <c r="D18" i="15" s="1"/>
  <c r="D19" i="15" a="1"/>
  <c r="D19" i="15" s="1"/>
  <c r="D20" i="15" a="1"/>
  <c r="D20" i="15" s="1"/>
  <c r="D21" i="15" a="1"/>
  <c r="D21" i="15" s="1"/>
  <c r="D22" i="15" a="1"/>
  <c r="D22" i="15" s="1"/>
  <c r="D3" i="15" a="1"/>
  <c r="D3" i="15" s="1"/>
  <c r="C4" i="15" a="1"/>
  <c r="C4" i="15" s="1"/>
  <c r="C5" i="15" a="1"/>
  <c r="C5" i="15" s="1"/>
  <c r="C6" i="15" a="1"/>
  <c r="C6" i="15" s="1"/>
  <c r="C7" i="15" a="1"/>
  <c r="C7" i="15"/>
  <c r="C8" i="15" a="1"/>
  <c r="C8" i="15" s="1"/>
  <c r="C9" i="15" a="1"/>
  <c r="C9" i="15" s="1"/>
  <c r="C10" i="15" a="1"/>
  <c r="C10" i="15" s="1"/>
  <c r="C11" i="15" a="1"/>
  <c r="C11" i="15" s="1"/>
  <c r="C12" i="15" a="1"/>
  <c r="C12" i="15" s="1"/>
  <c r="C13" i="15" a="1"/>
  <c r="C13" i="15"/>
  <c r="C14" i="15" a="1"/>
  <c r="C14" i="15" s="1"/>
  <c r="C15" i="15" a="1"/>
  <c r="C15" i="15" s="1"/>
  <c r="C16" i="15" a="1"/>
  <c r="C16" i="15" s="1"/>
  <c r="C17" i="15" a="1"/>
  <c r="C17" i="15" s="1"/>
  <c r="C18" i="15" a="1"/>
  <c r="C18" i="15" s="1"/>
  <c r="C19" i="15" a="1"/>
  <c r="C19" i="15" s="1"/>
  <c r="C20" i="15" a="1"/>
  <c r="C20" i="15" s="1"/>
  <c r="C21" i="15" a="1"/>
  <c r="C21" i="15" s="1"/>
  <c r="C22" i="15" a="1"/>
  <c r="C22" i="15" s="1"/>
  <c r="C3" i="15" a="1"/>
  <c r="C3" i="15" s="1"/>
  <c r="B4" i="15" a="1"/>
  <c r="B4" i="15" s="1"/>
  <c r="B5" i="15" a="1"/>
  <c r="B5" i="15"/>
  <c r="B6" i="15" a="1"/>
  <c r="B6" i="15" s="1"/>
  <c r="B7" i="15" a="1"/>
  <c r="B7" i="15" s="1"/>
  <c r="B8" i="15" a="1"/>
  <c r="B8" i="15" s="1"/>
  <c r="B9" i="15" a="1"/>
  <c r="B9" i="15" s="1"/>
  <c r="B10" i="15" a="1"/>
  <c r="B10" i="15" s="1"/>
  <c r="B11" i="15" a="1"/>
  <c r="B11" i="15"/>
  <c r="B12" i="15" a="1"/>
  <c r="B12" i="15" s="1"/>
  <c r="B13" i="15" a="1"/>
  <c r="B13" i="15" s="1"/>
  <c r="B14" i="15" a="1"/>
  <c r="B14" i="15" s="1"/>
  <c r="B15" i="15" a="1"/>
  <c r="B15" i="15" s="1"/>
  <c r="B16" i="15" a="1"/>
  <c r="B16" i="15" s="1"/>
  <c r="B17" i="15" a="1"/>
  <c r="B17" i="15" s="1"/>
  <c r="B18" i="15" a="1"/>
  <c r="B18" i="15" s="1"/>
  <c r="B19" i="15" a="1"/>
  <c r="B19" i="15" s="1"/>
  <c r="B20" i="15" a="1"/>
  <c r="B20" i="15" s="1"/>
  <c r="B21" i="15" a="1"/>
  <c r="B21" i="15" s="1"/>
  <c r="B22" i="15" a="1"/>
  <c r="B22" i="15" s="1"/>
  <c r="F19" i="32" l="1"/>
  <c r="I28" i="32"/>
  <c r="I24" i="32"/>
  <c r="J24" i="32" s="1"/>
  <c r="I20" i="32"/>
  <c r="J20" i="32" s="1"/>
  <c r="I16" i="32"/>
  <c r="I12" i="32"/>
  <c r="J12" i="32" s="1"/>
  <c r="J60" i="32"/>
  <c r="J57" i="32"/>
  <c r="J49" i="32"/>
  <c r="J46" i="32"/>
  <c r="J43" i="32"/>
  <c r="J89" i="32"/>
  <c r="J86" i="32"/>
  <c r="J81" i="32"/>
  <c r="J78" i="32"/>
  <c r="J76" i="32"/>
  <c r="J120" i="32"/>
  <c r="F28" i="32"/>
  <c r="J28" i="32" s="1"/>
  <c r="F16" i="32"/>
  <c r="I27" i="32"/>
  <c r="J27" i="32" s="1"/>
  <c r="I23" i="32"/>
  <c r="J23" i="32" s="1"/>
  <c r="I19" i="32"/>
  <c r="I15" i="32"/>
  <c r="J15" i="32" s="1"/>
  <c r="I11" i="32"/>
  <c r="J11" i="32" s="1"/>
  <c r="J59" i="32"/>
  <c r="J56" i="32"/>
  <c r="J54" i="32"/>
  <c r="J51" i="32"/>
  <c r="J48" i="32"/>
  <c r="J45" i="32"/>
  <c r="J42" i="32"/>
  <c r="J71" i="32"/>
  <c r="J88" i="32"/>
  <c r="J85" i="32"/>
  <c r="J83" i="32"/>
  <c r="J80" i="32"/>
  <c r="J75" i="32"/>
  <c r="J72" i="32"/>
  <c r="J119" i="32"/>
  <c r="J116" i="32"/>
  <c r="J115" i="32"/>
  <c r="J112" i="32"/>
  <c r="J109" i="32"/>
  <c r="J106" i="32"/>
  <c r="J103" i="32"/>
  <c r="J114" i="32"/>
  <c r="J73" i="32"/>
  <c r="J118" i="32"/>
  <c r="J101" i="32"/>
  <c r="J90" i="32"/>
  <c r="J74" i="32"/>
  <c r="J84" i="32"/>
  <c r="J79" i="32"/>
  <c r="J77" i="32"/>
  <c r="J87" i="32"/>
  <c r="J82" i="32"/>
  <c r="J53" i="32"/>
  <c r="J58" i="32"/>
  <c r="J50" i="32"/>
  <c r="J52" i="32"/>
  <c r="J41" i="32"/>
  <c r="J44" i="32"/>
  <c r="J47" i="32"/>
  <c r="J55" i="32"/>
  <c r="J10" i="32"/>
  <c r="F12" i="33"/>
  <c r="C23" i="33" s="1"/>
  <c r="F14" i="33"/>
  <c r="G20" i="33"/>
  <c r="G8" i="33"/>
  <c r="C24" i="33" s="1"/>
  <c r="J21" i="32"/>
  <c r="J25" i="32"/>
  <c r="J14" i="32"/>
  <c r="J26" i="32"/>
  <c r="J17" i="32"/>
  <c r="J22" i="32"/>
  <c r="J13" i="32"/>
  <c r="J29" i="32"/>
  <c r="J18" i="32"/>
  <c r="V20" i="31"/>
  <c r="V25" i="31"/>
  <c r="V12" i="31"/>
  <c r="V22" i="31"/>
  <c r="V17" i="31"/>
  <c r="V23" i="31"/>
  <c r="V10" i="31"/>
  <c r="W26" i="31" s="1"/>
  <c r="V28" i="31"/>
  <c r="V15" i="31"/>
  <c r="V27" i="31"/>
  <c r="W27" i="31" s="1"/>
  <c r="V19" i="31"/>
  <c r="V14" i="31"/>
  <c r="W16" i="31" s="1"/>
  <c r="V24" i="31"/>
  <c r="V16" i="31"/>
  <c r="V11" i="31"/>
  <c r="V21" i="31"/>
  <c r="V13" i="31"/>
  <c r="W13" i="31" s="1"/>
  <c r="V9" i="31"/>
  <c r="W12" i="31"/>
  <c r="N26" i="31"/>
  <c r="F25" i="31"/>
  <c r="F22" i="31"/>
  <c r="F19" i="31"/>
  <c r="F15" i="31"/>
  <c r="F27" i="31"/>
  <c r="AD14" i="31"/>
  <c r="AD26" i="31"/>
  <c r="AD23" i="31"/>
  <c r="AD28" i="31"/>
  <c r="AD25" i="31"/>
  <c r="AD20" i="31"/>
  <c r="AD13" i="31"/>
  <c r="AD10" i="31"/>
  <c r="AD22" i="31"/>
  <c r="AD17" i="31"/>
  <c r="AD19" i="31"/>
  <c r="AD16" i="31"/>
  <c r="AD11" i="31"/>
  <c r="AD15" i="31"/>
  <c r="AD21" i="31"/>
  <c r="AD27" i="31"/>
  <c r="AD12" i="31"/>
  <c r="AD18" i="31"/>
  <c r="AD24" i="31"/>
  <c r="N9" i="31"/>
  <c r="N10" i="31"/>
  <c r="N28" i="31"/>
  <c r="N20" i="31"/>
  <c r="N25" i="31"/>
  <c r="N22" i="31"/>
  <c r="N17" i="31"/>
  <c r="N13" i="31"/>
  <c r="N23" i="31"/>
  <c r="N19" i="31"/>
  <c r="N14" i="31"/>
  <c r="N16" i="31"/>
  <c r="N11" i="31"/>
  <c r="N12" i="31"/>
  <c r="N15" i="31"/>
  <c r="N18" i="31"/>
  <c r="N21" i="31"/>
  <c r="N24" i="31"/>
  <c r="N27" i="31"/>
  <c r="F23" i="31"/>
  <c r="F20" i="31"/>
  <c r="F18" i="31"/>
  <c r="F28" i="31"/>
  <c r="F13" i="31"/>
  <c r="F11" i="31"/>
  <c r="F16" i="31"/>
  <c r="F24" i="31"/>
  <c r="F12" i="31"/>
  <c r="F10" i="31"/>
  <c r="F9" i="31"/>
  <c r="F14" i="31"/>
  <c r="F26" i="31"/>
  <c r="F17" i="31"/>
  <c r="F21" i="31"/>
  <c r="F23" i="20"/>
  <c r="F24" i="20"/>
  <c r="F18" i="20"/>
  <c r="F25" i="20"/>
  <c r="F20" i="20"/>
  <c r="F22" i="20"/>
  <c r="F19" i="20"/>
  <c r="F17" i="20"/>
  <c r="F21" i="20"/>
  <c r="F3" i="20"/>
  <c r="F7" i="15"/>
  <c r="F9" i="20"/>
  <c r="F4" i="20"/>
  <c r="F5" i="20"/>
  <c r="F11" i="20"/>
  <c r="F7" i="20"/>
  <c r="F6" i="20"/>
  <c r="F8" i="20"/>
  <c r="F10" i="20"/>
  <c r="F3" i="15"/>
  <c r="F6" i="15"/>
  <c r="F12" i="15"/>
  <c r="F21" i="15"/>
  <c r="F11" i="15"/>
  <c r="F20" i="15"/>
  <c r="F10" i="15"/>
  <c r="F19" i="15"/>
  <c r="F9" i="15"/>
  <c r="F8" i="15"/>
  <c r="F15" i="15"/>
  <c r="F5" i="15"/>
  <c r="F14" i="15"/>
  <c r="F4" i="15"/>
  <c r="F22" i="15"/>
  <c r="F18" i="15"/>
  <c r="F13" i="15"/>
  <c r="F17" i="15"/>
  <c r="F16" i="15"/>
  <c r="J104" i="32" l="1"/>
  <c r="J107" i="32"/>
  <c r="J111" i="32"/>
  <c r="J113" i="32"/>
  <c r="J110" i="32"/>
  <c r="J19" i="32"/>
  <c r="J16" i="32"/>
  <c r="J30" i="32" s="1"/>
  <c r="J117" i="32"/>
  <c r="J105" i="32"/>
  <c r="J102" i="32"/>
  <c r="J121" i="32" s="1"/>
  <c r="J108" i="32"/>
  <c r="J91" i="32"/>
  <c r="J61" i="32"/>
  <c r="W18" i="31"/>
  <c r="W17" i="31"/>
  <c r="W22" i="31"/>
  <c r="W19" i="31"/>
  <c r="W14" i="31"/>
  <c r="W25" i="31"/>
  <c r="W24" i="31"/>
  <c r="W10" i="31"/>
  <c r="W9" i="31"/>
  <c r="W15" i="31"/>
  <c r="W23" i="31"/>
  <c r="W21" i="31"/>
  <c r="W11" i="31"/>
  <c r="W20" i="31"/>
  <c r="W28" i="31"/>
  <c r="O13" i="31"/>
  <c r="O25" i="31"/>
  <c r="O14" i="31"/>
  <c r="O26" i="31"/>
  <c r="O17" i="31"/>
  <c r="O24" i="31"/>
  <c r="O15" i="31"/>
  <c r="O27" i="31"/>
  <c r="O16" i="31"/>
  <c r="O28" i="31"/>
  <c r="O9" i="31"/>
  <c r="O18" i="31"/>
  <c r="O22" i="31"/>
  <c r="O12" i="31"/>
  <c r="O19" i="31"/>
  <c r="O10" i="31"/>
  <c r="O20" i="31"/>
  <c r="O21" i="31"/>
  <c r="O11" i="31"/>
  <c r="O23" i="31"/>
  <c r="G20" i="31"/>
  <c r="G12" i="31"/>
  <c r="G25" i="31"/>
  <c r="G16" i="31"/>
  <c r="G14" i="31"/>
  <c r="G10" i="31"/>
  <c r="G24" i="31"/>
  <c r="G18" i="31"/>
  <c r="G21" i="31"/>
  <c r="G22" i="31"/>
  <c r="G9" i="31"/>
  <c r="G13" i="31"/>
  <c r="G27" i="31"/>
  <c r="G19" i="31"/>
  <c r="G17" i="31"/>
  <c r="G28" i="31"/>
  <c r="G26" i="31"/>
  <c r="G23" i="31"/>
  <c r="G11" i="31"/>
  <c r="G15" i="3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<sst xmlns="http://schemas.openxmlformats.org/spreadsheetml/2006/main" count="14740" uniqueCount="531">
  <si>
    <t>run_type</t>
  </si>
  <si>
    <t>run_no</t>
  </si>
  <si>
    <t>site_name</t>
  </si>
  <si>
    <t>domain</t>
  </si>
  <si>
    <t>model</t>
  </si>
  <si>
    <t>weighted_risk_score</t>
  </si>
  <si>
    <t>unweighted_risk_score</t>
  </si>
  <si>
    <t>max_weighted_score</t>
  </si>
  <si>
    <t>hallucination_count</t>
  </si>
  <si>
    <t>validation_denominator</t>
  </si>
  <si>
    <t>indicator_count</t>
  </si>
  <si>
    <t>total_chunks</t>
  </si>
  <si>
    <t>successful_chunks</t>
  </si>
  <si>
    <t>malformed_chunks</t>
  </si>
  <si>
    <t>chunk_coverage</t>
  </si>
  <si>
    <t>weighted_risk_ratio</t>
  </si>
  <si>
    <t>risk_tier</t>
  </si>
  <si>
    <t>hallucination_rate</t>
  </si>
  <si>
    <t>main</t>
  </si>
  <si>
    <t>About You</t>
  </si>
  <si>
    <t>aboutyou.de</t>
  </si>
  <si>
    <t>CLAUDE</t>
  </si>
  <si>
    <t>Low Risk</t>
  </si>
  <si>
    <t>GEMINI</t>
  </si>
  <si>
    <t>GPT</t>
  </si>
  <si>
    <t>LLAMA</t>
  </si>
  <si>
    <t>Allegro</t>
  </si>
  <si>
    <t>allegro.pl</t>
  </si>
  <si>
    <t>Amazon</t>
  </si>
  <si>
    <t>amazon.de</t>
  </si>
  <si>
    <t>Answear</t>
  </si>
  <si>
    <t>answear.com</t>
  </si>
  <si>
    <t>Bol.com</t>
  </si>
  <si>
    <t>bol.com</t>
  </si>
  <si>
    <t>Boozt</t>
  </si>
  <si>
    <t>boozt.com</t>
  </si>
  <si>
    <t>Carrefour</t>
  </si>
  <si>
    <t>carrefour.fr</t>
  </si>
  <si>
    <t>Cdiscount</t>
  </si>
  <si>
    <t>cdiscount.com</t>
  </si>
  <si>
    <t>Decathlon</t>
  </si>
  <si>
    <t>decathlon.es</t>
  </si>
  <si>
    <t>Medium Risk</t>
  </si>
  <si>
    <t>Douglas</t>
  </si>
  <si>
    <t>douglas.de</t>
  </si>
  <si>
    <t>El Corte Ingles</t>
  </si>
  <si>
    <t>elcorteingles.es</t>
  </si>
  <si>
    <t>Fnac</t>
  </si>
  <si>
    <t>fnac.com</t>
  </si>
  <si>
    <t>MediaMarkt</t>
  </si>
  <si>
    <t>mediamarkt.de</t>
  </si>
  <si>
    <t>Notino</t>
  </si>
  <si>
    <t>notino.pl</t>
  </si>
  <si>
    <t>Otto</t>
  </si>
  <si>
    <t>otto.de</t>
  </si>
  <si>
    <t>Smyths Toys</t>
  </si>
  <si>
    <t>smythstoys.com</t>
  </si>
  <si>
    <t>Vinted</t>
  </si>
  <si>
    <t>vinted.lt</t>
  </si>
  <si>
    <t>Zalando</t>
  </si>
  <si>
    <t>zalando.com</t>
  </si>
  <si>
    <t>Zooplus</t>
  </si>
  <si>
    <t>zooplus.de</t>
  </si>
  <si>
    <t>eMAG</t>
  </si>
  <si>
    <t>emag.ro</t>
  </si>
  <si>
    <t>min_unweighted_risk_score</t>
  </si>
  <si>
    <t>max_unweighted_risk_score</t>
  </si>
  <si>
    <t>min_weighted_risk_score</t>
  </si>
  <si>
    <t>max_weighted_risk_score</t>
  </si>
  <si>
    <t>n_models</t>
  </si>
  <si>
    <t>unweighted_risk_score_range</t>
  </si>
  <si>
    <t>weighted_risk_score_range</t>
  </si>
  <si>
    <t>meaningful_unweighted_divergence</t>
  </si>
  <si>
    <t>indicator_id</t>
  </si>
  <si>
    <t>indicator_name</t>
  </si>
  <si>
    <t>mean_score</t>
  </si>
  <si>
    <t>total_flags</t>
  </si>
  <si>
    <t>R01</t>
  </si>
  <si>
    <t>Freely given consent</t>
  </si>
  <si>
    <t>R02</t>
  </si>
  <si>
    <t>Right to withdraw</t>
  </si>
  <si>
    <t>R03</t>
  </si>
  <si>
    <t>Demonstrability of consent</t>
  </si>
  <si>
    <t>R04</t>
  </si>
  <si>
    <t>Specific consent (granularity)</t>
  </si>
  <si>
    <t>R05</t>
  </si>
  <si>
    <t>Informed consent</t>
  </si>
  <si>
    <t>R06</t>
  </si>
  <si>
    <t>Unambiguous indication</t>
  </si>
  <si>
    <t>R07</t>
  </si>
  <si>
    <t>Identity of controller</t>
  </si>
  <si>
    <t>R08</t>
  </si>
  <si>
    <t>Contact details</t>
  </si>
  <si>
    <t>R09</t>
  </si>
  <si>
    <t>Purpose specification</t>
  </si>
  <si>
    <t>R10</t>
  </si>
  <si>
    <t>Legal basis disclosure</t>
  </si>
  <si>
    <t>R11</t>
  </si>
  <si>
    <t>Third-party recipients</t>
  </si>
  <si>
    <t>R12</t>
  </si>
  <si>
    <t>International transfers</t>
  </si>
  <si>
    <t>R13</t>
  </si>
  <si>
    <t>Data retention period</t>
  </si>
  <si>
    <t>R14</t>
  </si>
  <si>
    <t>Data subject rights</t>
  </si>
  <si>
    <t>R15</t>
  </si>
  <si>
    <t>Complaint mechanism</t>
  </si>
  <si>
    <t>R16</t>
  </si>
  <si>
    <t>Pre-consent tracking disclosure</t>
  </si>
  <si>
    <t>R17</t>
  </si>
  <si>
    <t>Equal prominence of choices</t>
  </si>
  <si>
    <t>R18</t>
  </si>
  <si>
    <t>Layered information / clarity of information</t>
  </si>
  <si>
    <t>avg_chunk_count</t>
  </si>
  <si>
    <t>avg_chunk_coverage</t>
  </si>
  <si>
    <t>total_hallucinations</t>
  </si>
  <si>
    <t>indicator_rows</t>
  </si>
  <si>
    <t>disagreement_cases</t>
  </si>
  <si>
    <t>total_cases</t>
  </si>
  <si>
    <t>disagreement_rate</t>
  </si>
  <si>
    <t>model_a</t>
  </si>
  <si>
    <t>model_b</t>
  </si>
  <si>
    <t>pairwise_agreement</t>
  </si>
  <si>
    <t>n_cases</t>
  </si>
  <si>
    <t>fleiss_kappa</t>
  </si>
  <si>
    <t>n_sites</t>
  </si>
  <si>
    <t>AE</t>
  </si>
  <si>
    <t>H</t>
  </si>
  <si>
    <t>MC</t>
  </si>
  <si>
    <t>VC</t>
  </si>
  <si>
    <t>groundedness_rate</t>
  </si>
  <si>
    <t>human_validated_rows</t>
  </si>
  <si>
    <t>human_agreements</t>
  </si>
  <si>
    <t>human_disagreements</t>
  </si>
  <si>
    <t>human_alignment_rate</t>
  </si>
  <si>
    <t>groundedness_pass_gt_90pct</t>
  </si>
  <si>
    <t>stability_from_repeat_workbook</t>
  </si>
  <si>
    <t>llm_score</t>
  </si>
  <si>
    <t>human_score</t>
  </si>
  <si>
    <t>validation_category</t>
  </si>
  <si>
    <t>validation_category_norm</t>
  </si>
  <si>
    <t>validation_note</t>
  </si>
  <si>
    <t>evidence_quote</t>
  </si>
  <si>
    <t>Minor formatting differences in extracted quote.</t>
  </si>
  <si>
    <t>In order to offer you a personal user experience, we and our 35 partners need your consent (click on "Ok"). If you do not consent (click "opt-out"), we will limit our use of cookies and technologies to those that are strictly necessary to make our site safe, secure and available in the way you want ("performance") - but we will not be able to provide you with the full ABOUT YOU experience.</t>
  </si>
  <si>
    <t>You can adjust your consent individually by clicking on "Settings" and revoke it at any time with effect for the future.</t>
  </si>
  <si>
    <t>With your consent, we would like to store and/or retrieve information on your end device (e.g. IP address, user ID, browser information, device identifiers) and use this information for the following purposes: to identify you on third party sites (including using pseudonymised email addresses and phone numbers); to show you personalised ads and content, here and on third party sites ("personalised ads and content"); for ad and content measurement; to better understand you ("market research") and so that we can develop even better products and services for you ("product development").</t>
  </si>
  <si>
    <t>Hallucination: fabricated evidence not present in source.</t>
  </si>
  <si>
    <t>Consent is described as resulting from clicking "Ok" or adjusting settings.</t>
  </si>
  <si>
    <t>Different but relevant evidence excerpts selected across models.</t>
  </si>
  <si>
    <t>The legal basis for this processing is your consent (Art. 6 (1) a) GDPR).</t>
  </si>
  <si>
    <t>Relevant section exists, but model failed to identify it.</t>
  </si>
  <si>
    <t>NO_EVIDENCE_FOUND</t>
  </si>
  <si>
    <t>Generic retention wording, but relevant.</t>
  </si>
  <si>
    <t>The information is stored and automatically deleted after the aforementioned purposes have been achieved. The standard periods for deletion are based on the criterion of necessity.</t>
  </si>
  <si>
    <t>Evidence spans two paragraphs</t>
  </si>
  <si>
    <t>In addition to the right to revoke your consent given to us, you are entitled to the following further rights if the respective legal requirements are met: the right of access about your personal data stored by us (Art. 15 GDPR), in particular you can request information about the processing purposes, the categories of personal data, the categories of recipients to whom your data has been or will be disclosed, the planned storage period, the origin of your data, if it has not been collected directly from you.</t>
  </si>
  <si>
    <t>Best evidence: explicit complaint right and supervisory authority reference.</t>
  </si>
  <si>
    <t>Both "Reject" and "Ok" buttons are visible on the first layer, with equal size, color (black background with white text), and placement side by side. The "Settings" option is smaller and less prominent but does not replace reject.</t>
  </si>
  <si>
    <t>same evidence</t>
  </si>
  <si>
    <t>You can easily jump directly to the section you are interested in by clicking on the respective chapter headings.</t>
  </si>
  <si>
    <t>Granular option found by other models.</t>
  </si>
  <si>
    <t>By giving your consent to the storage of information on your terminal equipment, and to the access and processing of data, including in the sphere of profiling as well as market and statistical analysis, you will easily find exactly what you are searching for and what you need on Allegro.</t>
  </si>
  <si>
    <t>Consent is described as resulting from explicit actions such as clicking "I agree" or "I do not agree".</t>
  </si>
  <si>
    <t>Minor formatting/paraphrase difference; evidence verified.</t>
  </si>
  <si>
    <t>While the connection with the server is being established, after you have given the relevant consents if any are required, the server saves a cookie on your end device.</t>
  </si>
  <si>
    <t>Over-extraction: merged fragments from different sections.</t>
  </si>
  <si>
    <t>We use your personal information to operate, provide, and improve the Amazon Services that we offer our customers. These purposes include: Purchase and delivery of products and services, Provide, troubleshoot, and improve Amazon Services, Recommendations and personalization, Advertising, Fraud prevention and credit risks, Comply with legal obligations, Communicate with you.</t>
  </si>
  <si>
    <t>Subject to applicable law and in certain instances, you have the following rights: Access and portability, Deletion, Objection and restriction, Correction, Withdraw your consent.</t>
  </si>
  <si>
    <t>Reject and accept comparable; under-flagged asymmetry.</t>
  </si>
  <si>
    <t>Both "Discard optional" and "Accept all" buttons are visible on the first layer, with comparable size and border style; "Accept all" is black with white text, "Discard optional" is white with black border and text, both placed side by side.</t>
  </si>
  <si>
    <t>All models identified the same evidence.</t>
  </si>
  <si>
    <t>You can always adjust or withdraw your choice afterwards via "Data usage settings" in our "privacy policy" and/or "cookie policy" (which can be found at the bottom of the website) or under "Data &amp; Preferences" in your customer account.</t>
  </si>
  <si>
    <t>Complete agreement across models.</t>
  </si>
  <si>
    <t>Via "Set it yourself" you can indicate more specifically what you accept.</t>
  </si>
  <si>
    <t>See also our privacy policy and cookie policy.</t>
  </si>
  <si>
    <t>Bol bases this processing on its legitimate interest: informing about our range and providing inspiration when choosing a gift for a child.</t>
  </si>
  <si>
    <t>Finally, you have the right to turn to the Dutch Data Protection Authority with your complaint.</t>
  </si>
  <si>
    <t>Relevant evidence exists, but model failed to identify it.</t>
  </si>
  <si>
    <t>Consent is described as resulting from clicking "Accept all".</t>
  </si>
  <si>
    <t>Cookies and similar technology are enabled only if the user has provided a separate consent when visiting our website.</t>
  </si>
  <si>
    <t>You can consent to all or part of these trackers and data processing or refuse them, except for those necessary for the operation of this site.</t>
  </si>
  <si>
    <t>Learn more about our cookie policy</t>
  </si>
  <si>
    <t>You can withdraw your consent at any time by clicking on the "Manage my cookies" link at the bottom of the page or in our personal data and cookie protection policy.</t>
  </si>
  <si>
    <t>See the details of these purposes.</t>
  </si>
  <si>
    <t>Bundled-purpose risk; granular option found by others.</t>
  </si>
  <si>
    <t>With your consent, we and our 36 partners use cookies or similar technologies to process your personal data for the following purposes: storing and/or accessing information on your device, providing you with personalized advertising, measuring audience and content performance on decathlon.es, and personalizing your experience on the site.</t>
  </si>
  <si>
    <t>You can withdraw your consent at any time by clicking on "Configure cookies" or by accessing our Cookie Policy.</t>
  </si>
  <si>
    <t>Consent is described as resulting from explicit actions such as clicking "Accept."</t>
  </si>
  <si>
    <t>We want you to know that you have the right to file a complaint with the supervisory authority in www.aepd.es.</t>
  </si>
  <si>
    <t>We recommend that you allow us to use cookies and other technologies (including AI) and to process the personal data collected with them (i.e. your website use) for these purposes through your consent.</t>
  </si>
  <si>
    <t>We may transfer the data to the following companies: Creditreform Boniversum GmbH, Hellersbergstrasse 11, 41460 Neuss.</t>
  </si>
  <si>
    <t>False positive; Privacy Shield/SCCs disclosed.</t>
  </si>
  <si>
    <t>There is a risk that your data will not be protected in the same way with these US companies as it is in the European Union.</t>
  </si>
  <si>
    <t>Specific durations present; over-strict reading.</t>
  </si>
  <si>
    <t>The data is stored for a period of 7 days, after which the IP address is automatically deleted. For security reasons, we store this information in log files for a longer period of time, but without the IP address, and delete it after 31 days.</t>
  </si>
  <si>
    <t>The privacy policy is lengthy and dense, with information scattered across multiple sections.</t>
  </si>
  <si>
    <t>Personal data will be retained subsequently, for a general period of 6 years, unless other legal provisions requiring the retention of personal data for a longer period.</t>
  </si>
  <si>
    <t>In case of that you consider it necessary, you can present a claim to the Spanish Data Protection Agency, on the website www.aepd.es.</t>
  </si>
  <si>
    <t>Best agreement across models: all identified absence of consent record-keeping evidence.</t>
  </si>
  <si>
    <t>Unsupported inference; formatting differences only. Interpretaion is wromg</t>
  </si>
  <si>
    <t>By clicking on the "Accept all" button, you agree that your data (such as site activity and device information) will be used by us and our partners for the above purposes.</t>
  </si>
  <si>
    <t>same quote across models</t>
  </si>
  <si>
    <t>Learn more about cookies in the Cookie Policy.</t>
  </si>
  <si>
    <t>Mentions DPO contact details rather than explicit controller identification.</t>
  </si>
  <si>
    <t>We remind you that you can contact the eMAG Data Protection Officer at any time by sending your request. by any of the following ways: by e-mail to: data.protection@emag.ro or by mail or courier to the address: 6 Gara Herastrau Street, Globalworth Square Office Building, 8th floor, Sector 2, Bucharest – with the mention to the attention of the eMAG Data Protection Officer.</t>
  </si>
  <si>
    <t>Evidence lists specific purposes; risk inference unsupported.</t>
  </si>
  <si>
    <t>Cookies are used for the following purposes: for the operation of the website, for the analysis of the behavior of website visitors, for advertising.</t>
  </si>
  <si>
    <t>Relevant legal basis disclosure exists, but model failed to identify it.</t>
  </si>
  <si>
    <t>Relevant recipient disclosure exists, but model failed to identify it.</t>
  </si>
  <si>
    <t>Relevant transfer disclosure exists, but model failed to identify it.</t>
  </si>
  <si>
    <t>Retention criterion identified; risk inference unsupported.</t>
  </si>
  <si>
    <t>You have the right to lodge a complaint with the supervisory authority regarding the processing of your personal data.</t>
  </si>
  <si>
    <t>The personal data collected in particular via cookies and trackers [...] are processed jointly by: FNAC DARTY PARTICIPATIONS &amp; SERVICES RCS Créteil B 775 661 390 and FNAC DIRECT RCS Créteil B 377 853 536</t>
  </si>
  <si>
    <t>FNAC DARTY uses your personal data mainly for the following purposes: Order and customer relationship management, Payment for your orders or subscriptions, Personalisation of our services and the messages we send to you.</t>
  </si>
  <si>
    <t>Granular categories found by other models.</t>
  </si>
  <si>
    <t>By clicking on "Allow all", you voluntarily consent to the convenience and marketing data processing.</t>
  </si>
  <si>
    <t>Accept solid vs reject outline; missed asymmetry.</t>
  </si>
  <si>
    <t>Both "Reject All" and "Allow All" buttons are visible on the first layer. "Reject All" is a white button with black border and text, "Allow All" is a solid red button with white text. Both buttons are similar in size and placed side by side at the bottom of the banner.</t>
  </si>
  <si>
    <t>We process personal data to tailor the content to our users and recommend products that they will be interested in.</t>
  </si>
  <si>
    <t>Consent is bundled for individual data uses in order to store and/or retrieve information on your device (IP address, user ID, browser information, device identifiers).</t>
  </si>
  <si>
    <t>You also have the right to lodge a complaint with a supervisory authority.</t>
  </si>
  <si>
    <t>"Cookie Policy / Privacy Policy"</t>
  </si>
  <si>
    <t>"to improve the quality of our website, for example, when we see that a particular toy has an increasing number of views, we can make it more prominent on our website"</t>
  </si>
  <si>
    <t>False positive; legal-basis table found by others.</t>
  </si>
  <si>
    <t>False positive; recipient categories listed.</t>
  </si>
  <si>
    <t>False positive; Chapter V safeguards disclosed.</t>
  </si>
  <si>
    <t>You will see a cookie notice at the bottom of the window and you will be able to either accept all cookies or customize your cookie settings.</t>
  </si>
  <si>
    <t>Please contact us via this form or by email at privacysupport@vinted.lt.</t>
  </si>
  <si>
    <t>False positive; legitimate-interest basis disclosed.</t>
  </si>
  <si>
    <t>The right to lodge a complaint with a supervisory authority is mentioned under "Which data protection rights do I have"'</t>
  </si>
  <si>
    <t>Reject as text link; missed prominence asymmetry.</t>
  </si>
  <si>
    <t>The banner shows three visible options on the first layer: "Only essential", "Set preferences", and "Accept all". "Only essential" acts as a reject/decline option and is visually comparable in size and contrast to "Accept all". Both are placed at the bottom with similar prominence, and no option requires opening another layer to reject.</t>
  </si>
  <si>
    <t>False positive; recipient disclosure present.</t>
  </si>
  <si>
    <t>False positive; specific deletion period disclosed.</t>
  </si>
  <si>
    <t>Correct score, but quote mentions company activity, not explicit controller identification.</t>
  </si>
  <si>
    <t>ABOUT YOU maintains social media profiles on social networks</t>
  </si>
  <si>
    <t>The legal basis for this data processing is Art. 6 (1) a) GDPR, Art. 6 (1) b) GDPR and Art. 6 (f) GDPR.</t>
  </si>
  <si>
    <t>Best evidence: explicit third-party disclosure.</t>
  </si>
  <si>
    <t>In addition to the third parties named in our Privacy Policy and in our CMP by name, we may disclose personal data to a third party in particular if</t>
  </si>
  <si>
    <t>Best evidence</t>
  </si>
  <si>
    <t>7. Recipients outside the EEA</t>
  </si>
  <si>
    <t>Best evidence: specific retention periods and legal criteria.</t>
  </si>
  <si>
    <t>we are obliged to retain this information for tax audits and financial audits for up to ten years. Even if there is no legal obligation to retain data, we may refrain from immediate deletion in certain cases permitted by law. This applies, for example, if the information in question may still be required for further contract processing or legal prosecution or legal defense (e.g. in the case of complaints). The relevant criterion for the duration of the blocking is then the respective statutory limitation periods, after the expiry of which we then delete the information. As a rule, the limitation periods end 3 years after the end of the year in which you made a purchase from us.</t>
  </si>
  <si>
    <t>Best evidence: explicit list of GDPR data subject rights.</t>
  </si>
  <si>
    <t>the right of access about your personal data stored by us (Art. 15 GDPR), in particular you can request information about the processing purposes, the categories of personal data, the categories of recipients to whom your data has been or will be disclosed, the planned storage period, the origin of your data, if it has not been collected directly from you</t>
  </si>
  <si>
    <t>You also have the right to complain to a supervisory authority. In particular, you can contact the supervisory authority of your usual place of residence or workplace or our company headquarters.</t>
  </si>
  <si>
    <t>We use most Cookies based on your consent. We ask you for this consent in our Consent Management Plattform ("CMP" and/or "Preference Center").</t>
  </si>
  <si>
    <t>Contents
You can easily jump directly to the section you are interested in by clicking on the respective chapter headings.</t>
  </si>
  <si>
    <t>Best evidence: transfers and EC safeguards disclosed.</t>
  </si>
  <si>
    <t>Transfers out of the European Economic Area: Whenever we transfer personal information to countries outside of the European Economic Area, we ensure that the information is transferred in accordance with this Privacy Notice and as permitted by the applicable laws on data protection. We rely on European Commission adequacy decisions or use contracts with standard safeguards published by the European Commission</t>
  </si>
  <si>
    <t>Subject to applicable law and in certain instances, you have the following rights: Access and portability... Deletion... Objection and restriction... Correction... Withdraw your consent.</t>
  </si>
  <si>
    <t>Best evidence: explicit consent record-keeping for demonstrability.</t>
  </si>
  <si>
    <t>We store information regarding the request made and the person who made the request in order to ensure that compliance can be demonstrated and to establish, defend or pursue possible claims of data subjects. The register of requests is stored in a way that ensures the integrity and confidentiality of the data contained therein.</t>
  </si>
  <si>
    <t>Specific retention periods present; over-strict reading.</t>
  </si>
  <si>
    <t>As a rule, data are processed for the duration of the provision of the service or the execution of the order, until the consent is withdrawn or an effective objection to data processing is submitted in cases where the legal basis for data processing is the legitimate interest of the Administrator.</t>
  </si>
  <si>
    <t>Best evidence: solid vs outline prominence asymmetry.</t>
  </si>
  <si>
    <t>Three buttons are visible at the bottom of the banner: "Accept all" (solid dark blue fill, white text), "Custom settings" (outline style, blue text), and "To refuse" (outline style, blue text). The "Accept all" button has a filled background providing high contrast and strong visual weight, while the reject option "To refuse" uses only an outline with no fill, making it visually less prominent.</t>
  </si>
  <si>
    <t>Best evidence: documentation of consent retained explicitly.</t>
  </si>
  <si>
    <t>However, we will keep documentation of your consent for a period of up to 5 years after your consent has been withdrawn.</t>
  </si>
  <si>
    <t>Reject button equally prominent; over-flagged.</t>
  </si>
  <si>
    <t>Three buttons are visible on the first layer: "Settings" (light grey fill, dark text, outline style), "Only necessary" (solid black fill, white text), and "Accept all" (solid black fill, white text). The "Settings" button is visually de-emphasised with a grey/outline style compared to the two solid black buttons. To fully reject cookies, the user must click "Settings" to access granular controls, while "Accept all" is immediately actionable on the first layer with high-contrast solid styling.</t>
  </si>
  <si>
    <t>Best evidence: SCCs for US transfers identified.</t>
  </si>
  <si>
    <t>Personal data concerning you may be transmitted to service providers located in third countries that are not members of the European Union, namely the United States. These data transfers are governed by a cross-border data flow agreement established in accordance with the standard contractual clauses for controller to processor issued by the European Commission and currently in force.</t>
  </si>
  <si>
    <t>Best evidence: named partners and categories.</t>
  </si>
  <si>
    <t>Cdiscount and its 87 partners (see our partners) use trackers (such as cookies) to register and/or access information stored on your device</t>
  </si>
  <si>
    <t>Missed conditioning of services on consent.</t>
  </si>
  <si>
    <t>By clicking "Reject and close," you reject cookies that require consent and will not have access to, among other things, personalized offers, services, or advertising.</t>
  </si>
  <si>
    <t>We want you to know that you have the right to lodge a complaint with the www.aepd.es supervisory authority.</t>
  </si>
  <si>
    <t>Best evidence: large button vs small text link.</t>
  </si>
  <si>
    <t>A large, solid dark-blue "Accept" button with a checkmark is prominently displayed at the bottom center of the banner. The only rejection option visible is "Decline and close", rendered as a small blue hyperlink-style text in the top-right corner of the banner, with no button styling, no fill, and significantly smaller visual weight.</t>
  </si>
  <si>
    <t>Best evidence: tracking activated by default on visit.</t>
  </si>
  <si>
    <t>When you visit our website and our apps, they are activated by default.</t>
  </si>
  <si>
    <t>Best evidence: solid vs outline button contrast.</t>
  </si>
  <si>
    <t>Three buttons are visible: "ONLY ABSOLUTELY NECESSARY" (outline/white fill), "MORE INFORMATION" (outline/white fill), and "ALLOW EVERYONE" (solid black fill with white text). The accept button uses a high-contrast solid black background, while the reject option uses a low-contrast outline style with no fill.</t>
  </si>
  <si>
    <t>Best evidence: explicit access with only necessary cookies after refusal.</t>
  </si>
  <si>
    <t>If you choose "Decline all", we will only use cookies that are strictly necessary for the operation of the site and will not display personalized advertisements.</t>
  </si>
  <si>
    <t>same evidence 3 models</t>
  </si>
  <si>
    <t>You can change your preferences at any time by clicking on "Manage preferences".</t>
  </si>
  <si>
    <t>Best evidence: explicit preference management option.</t>
  </si>
  <si>
    <t>I accept all
Refuse all
Manage your preferences</t>
  </si>
  <si>
    <t>Best evidence: explicit affirmative action required ("Accept all").</t>
  </si>
  <si>
    <t>Best evidence: full legal name and registered office of the controller.</t>
  </si>
  <si>
    <t>This policy refers to cookies and similar technologies used, as applicable, in the websites and applications operated by SC DANTE INTERNATIONAL SA with its registered office in Bucharest, Şoseaua Virtuții, no. 148, sector 6, (hereinafter referred to as eMAG).</t>
  </si>
  <si>
    <t>Best evidence: email and postal address provided.</t>
  </si>
  <si>
    <t>we encourage you to contact eMAG's Data Protection Officer at data.protection@emag.ro e-mail address or by mail or courier at str. Gara Herăstrău, nr. 6, Globalworth Square Office Building, 8th floor, Sector 2, Bucharest – with the mention: to the attention of eMAG's Data Protection Officer.</t>
  </si>
  <si>
    <t>Best evidence: multiple distinct processing purposes explicitly listed.</t>
  </si>
  <si>
    <t>for the operation of the website,
for the analysis of the behavior of website visitors,
for advertising.</t>
  </si>
  <si>
    <t>Best evidence: explicit contract performance legal basis.</t>
  </si>
  <si>
    <t>The processing of your personal data for these purposes is in most cases necessary for the conclusion and execution of a contract between eMAG and you. Also, certain processing subsumed to these purposes is required by applicable legislation, including tax and accounting legislation.</t>
  </si>
  <si>
    <t>Best evidence: detailed categories of third-party recipients explicitly listed.</t>
  </si>
  <si>
    <t>Where appropriate, we may transmit or provide access to certain of your personal data. to the following categories of recipients:
companies within the same group of companies as eMAG;
eMAG Marketplace partners;
courier service providers;
payment/banking service providers;
marketing / telemarketing service providers;
market research service providers;
insurance companies;
IT service providers;
to other companies with whom we may develop joint market offering programs for our goods and services.</t>
  </si>
  <si>
    <t>Best evidence: transfers outside EU/EEA and safeguards explicitly disclosed.</t>
  </si>
  <si>
    <t>In the event that your personal data will be transferred outside the European Union or the EEA, the transfer will be carried out (a) pursuant to Article 45 GDPR, respectively on the basis of a decision of the European Commission by which it decides that the third country in question ensures an adequate level of protection, (b) pursuant to Article 46(2)(b) GDPR, respectively on the basis of mandatory corporate rules or (c) pursuant to Article 46(2)(c) GDPR, respectively on the basis of the standard contractual clauses adopted by the European Commission.</t>
  </si>
  <si>
    <t>As a general rule, we will store your personal data. For as long as you have an account on the eMAG platform.</t>
  </si>
  <si>
    <t>Best evidence: multiple GDPR data subject rights explicitly listed.</t>
  </si>
  <si>
    <t>The General Data Protection Regulation recognises a number of rights in relation to your personal data. Personal data. You can request access to your data, the correction of any mistakes in our files and/or object to the processing of your personal data. You can also exercise your right to complain to the competent supervisory authority or to take legal action. Where applicable, you may also have the right to request the erasure of your personal data. the right to restrict the processing of your personal data. and the right to data portability.</t>
  </si>
  <si>
    <t>Best evidence: layered structure and linked policies explicitly referenced.</t>
  </si>
  <si>
    <t>This policy is complemented by the eMAG policy on the protection of personal data in general that you can find here and the Terms and Conditions of the website that you can find here, which we encourage you to read, which include additional useful information, including regarding the eMAG data protection officer, all purposes of data processing by eMAG, your rights, as well as their exceptions and limitations, etc.</t>
  </si>
  <si>
    <t>Over-flagged; non-essential trackers are consent-gated.</t>
  </si>
  <si>
    <t>When you visit our website fnac.com, trackers are placed by FNAC DARTY and/or third parties on your computer, mobile phone or tablet.</t>
  </si>
  <si>
    <t>Best evidence: solid accept vs outline/text reject.</t>
  </si>
  <si>
    <t>The "I AGREE" button is a large, solid dark-filled button with high-contrast white text, placed in the bottom-right corner. The "MANAGE MY PREFERENCES" button is an outline-only button with no fill, placed to the left. There is no direct "Reject" or "Decline" button on this layer; refusal requires navigating through "Manage My Preferences". Additionally, "Continue without accepting" is available as a plain text link in the top-right corner, significantly less visually prominent than the solid "I AGREE" button.</t>
  </si>
  <si>
    <t>Best evidence: solid red accept vs outline reject.</t>
  </si>
  <si>
    <t>The "Allow All" button is a solid red filled rectangle with white text, while the "Reject All" button is an outline-only rectangle with black text on white background. Both buttons are the same size and placed side by side on the same layer.</t>
  </si>
  <si>
    <t>Accept only necessary cookies
Accept everything</t>
  </si>
  <si>
    <t>Best evidence: full legal name and registered office.</t>
  </si>
  <si>
    <t>Notino, s.r.o., Londynské náměstí 881/6, 63900 Brno, Czech Republic, REGON: 27609057, NIP: CZ27609057, Company registered at the Municipal Court in Prague under number C118634</t>
  </si>
  <si>
    <t>Best evidence: standard contractual clauses identified.</t>
  </si>
  <si>
    <t>such a transfer by us will only take place if our processor undertakes to comply with the standard contractual clauses issued by the European Commission, which are available here.</t>
  </si>
  <si>
    <t>Best evidence: explicit retention periods identified.</t>
  </si>
  <si>
    <t>in the case of accounting documents issued by us, we as the administrator are obliged to store the data for at least 10 years from their issuance.</t>
  </si>
  <si>
    <t>Best evidence: large button vs minor text link.</t>
  </si>
  <si>
    <t>The "Accept everything" button is a large, solid black filled button with white text at the bottom of the banner. The only reject/decline option visible is "Accept only necessary cookies", rendered as a small grey underlined hyperlink-style text at the very top of the banner, significantly smaller and lower contrast than the accept button. The "More information" button is an outline/bordered button that leads to further settings, not a direct rejection.</t>
  </si>
  <si>
    <t>Best evidence: red accept vs grey reject button.</t>
  </si>
  <si>
    <t>The "OK" button is a large, solid red/filled button with white text on the right side. The "Decline consent" button is a light grey, low-contrast button on the left. The "More information" link in the center is styled as a plain underlined text link, not a button.</t>
  </si>
  <si>
    <t>Cookie Policy / Privacy Policy</t>
  </si>
  <si>
    <t>Vague retention only; no specific durations.</t>
  </si>
  <si>
    <t>We will only retain your personal data for as long as necessary to fulfil the purposes we collected it for, including for the purposes of satisfying any legal, accounting, or reporting requirements.</t>
  </si>
  <si>
    <t>The "Yes, I am happy" (accept) button and "Reject all" button are both solid blue filled buttons of similar size and placement on the right side. However, "Manage my cookies" on the left uses only an outline/border style with no fill, making it visually less prominent. The reject option ("Reject all") is solid blue and comparable to accept, but the manage/withdraw option is clearly de-emphasised via outline styling.</t>
  </si>
  <si>
    <t>Best evidence: explicit consent records identified.</t>
  </si>
  <si>
    <t>Legal and compliance data , such as consent records, claims, copies of documents proving ownership of your Vinted account, and your agreements with us.</t>
  </si>
  <si>
    <t>Best evidence: no reject-all button on first layer.</t>
  </si>
  <si>
    <t>The "Accept all" button is solid teal/dark green with white text (high contrast, filled style). The "Select the necessary ones" button has a teal outline with teal text on white background (lower visual weight). "Manage cookies" appears as a plain teal text link with no button styling at all.</t>
  </si>
  <si>
    <t>Best evidence: solid accept vs outline reject.</t>
  </si>
  <si>
    <t>Three buttons are visible: "Adjust settings" (light grey, outline style), 'Agreed, let's continue.' (solid dark green, high contrast, bold white text), and "Only necessary cookies" (light grey, outline style). The accept button is visually dominant due to its solid green fill and high contrast, while the reject option ("Only necessary cookies") uses a low-contrast grey outline style identical to the settings button.</t>
  </si>
  <si>
    <t>Insofar as we process personal data (e.g. the IP address) in this context, the legal basis for this is Art. 6 (1) f) GDPR.</t>
  </si>
  <si>
    <t>Generic section title, but relevant.</t>
  </si>
  <si>
    <t>8. Your Rights</t>
  </si>
  <si>
    <t>Best evidence: explicit consent requirement before non-essential cookies.</t>
  </si>
  <si>
    <t>We use most Cookies based on your consent. We ask you for this consent in our Consent Management Plattform ( „CMP“ and/or “Preference Center”).</t>
  </si>
  <si>
    <t>Contents You can easily jump directly to the section you are interested in by clicking on the respective chapter headings.</t>
  </si>
  <si>
    <t>Unsupported inference; withdrawal mechanism is available.</t>
  </si>
  <si>
    <t>After exercising the right to object, sign out from your Allegro account on all devices and clear the cookies on them in line with the instructions for the browser. Furthermore, if you consented to cookies while logged in, opt out of them by logging in to your account and using the cookie management dashboard.</t>
  </si>
  <si>
    <t>Preference persistence over-read as consent demonstrability.</t>
  </si>
  <si>
    <t>Your choices concerning the use of cookies expressed upon logging in to Allegro are associated with your Allegro account and remembered also when you log in to the account from another device or browser</t>
  </si>
  <si>
    <t>You can change your choices at any time by visiting Cookies and advertising choices. and When you consent to our use your personal information for a specified purpose, you may withdraw your consent at any time and we will stop any further use of your data for that purpose.</t>
  </si>
  <si>
    <t>Click “Decline” to reject, or “Customise” to make more detailed advertising choices, or learn more. and You can also withdraw your consent for certain purposes directly, for instance on the Customise third-party advertising cookies page.</t>
  </si>
  <si>
    <t>Amazon Europe Core SARL, Amazon EU SARL and Amazon Media EU SARL, all three at 38 avenue John F. Kennedy L-1855, Luxembourg, and Amazon Digital Germany GmbH, at Anni-Albers-Str. 21, 80807 Munich and Further, the data protection officer for the above-mentioned data controllers can be contacted at eu-privacy@amazon.de.</t>
  </si>
  <si>
    <t>Data Use Purposes, Data Categories and Legal Bases and To help you better understand each purpose, please click here to see the categories of personal information we typically use for each purpose and the legal bases we rely on.</t>
  </si>
  <si>
    <t>operational cookies will remain on your browser for 13 months from your last visit to Amazon Services, except for cookies used to remember your privacy settings, which may remain on your browser for up to 5 years. Other cookies remain on your browser for 13 months after you provide us with your consent to use these cookies. and For these reasons, we normally retain transactional data related to orders for products and services, for example, customer name, ordered product, order date, delivery address, payment method, price, and VAT for 10 years.</t>
  </si>
  <si>
    <t>What Rights Do I Have' Subject to applicable law and in certain instances, you have the following rights: Access and portability. ... Deletion. ... Objection and restriction. ... Correction. ... Withdraw your consent.</t>
  </si>
  <si>
    <t>Analytics "in any case" over-read as pre-consent.</t>
  </si>
  <si>
    <t>In any case, we use cookies and similar tools that are necessary to enable you to make purchases, to enhance your shopping experiences and to provide our services, as detailed in our Cookie notice. We also use these cookies to understand how customers use our services (for example, by measuring site visits) so we can make improvements.</t>
  </si>
  <si>
    <t>1.7. What are your rights in relation to your personal data?
1.7.1. Right to access
1.7.2. Right to rectification
1.7.3. Right to erasure</t>
  </si>
  <si>
    <t>You can change your choices at any time by clicking on "Setting your cookies" at the bottom of each page of our site. You can disable the cookies you have consented to at any time, free of charge, using the opt-out options offered and described below.</t>
  </si>
  <si>
    <t>Consent-storage duration over-read as demonstrability.</t>
  </si>
  <si>
    <t>The retention period for your choices (consent or refusal of cookies) is six months from the date your consent is obtained.</t>
  </si>
  <si>
    <t>You can consent to all or part of these trackers and data processing or refuse them. A module allows you to choose which cookies you wish to accept and which you wish to refuse on our site.</t>
  </si>
  <si>
    <t>Accept All Refuse everything Setting up. During your first visit to our site, you will be asked to accept or refuse the use of certain cookies.</t>
  </si>
  <si>
    <t>the legal bases of which are as follows: your consent, the performance of a contract concluded with you, our legitimate interest, or our legal and regulatory obligations. (followed by a table mapping purposes to legal bases)</t>
  </si>
  <si>
    <t>False positive; CNIL complaint right found by others.</t>
  </si>
  <si>
    <t>With your consent, we and our 36 partners use cookies or similar technologies to process your personal data for the following purposes: storing and/or accessing information on your device, providing you with personalized advertising, measuring audience and content performance on decathlon.es, and personalizing your experience on the site. ... Accept</t>
  </si>
  <si>
    <t>With your consent, we and our 36 partners use cookies or similar technologies to process your personal data for the following purposes: storing and/or accessing information on your device, providing you with personalized advertising, measuring audience and content performance on decathlon.es, and personalizing your experience on the site. and Legal basis of processing We process your data in order to be able to execute the subscription rental agreement entered into with DECATHLON.</t>
  </si>
  <si>
    <t>Safeguards confirmed by other models.</t>
  </si>
  <si>
    <t>International transfers of your data may take place to these social networks, which may not be located in countries with a level of data protection comparable to the GDPR.</t>
  </si>
  <si>
    <t>Complexity inference; others found it navigable.</t>
  </si>
  <si>
    <t>In the case of the AWIN and Resolution affiliate platforms, the operators of the respective platforms record the commissions payable by Douglas and earned by the respective affiliates under their own responsibility and settle these commissions on their own behalf to Douglas and the respective affiliates. With the EASY Marketing affiliate platform, the operator records the commissions incurred on behalf of Douglas and the accounting is carried out by Douglas for the benefit of the respective affiliates. In the case of AWIN and Resolution affiliate platforms, the operators of the respective platforms record the commissions payable by Douglas and earned by the respective affiliates at their own risk and settle these commissions in their own name to Douglas and the relevant affiliates. With the EASY Marketing affiliate platform, the operator records the commissions incurred on behalf of Douglas and the accounting is maintained by Douglas for the benefit of the respective affiliates. In the case of the AWIN and Resolution affiliate platforms, the operators of the respective platforms record the commissions payable by Douglas and earned by the respective affiliates at their own risk and settle these commissions in their own name to Douglas and the relevant affiliates. With theEASY Marketing affiliate operator records commissions incurred on behalf of Douglas and accounting is handled by Douglas for the benefit of the respective affiliates.</t>
  </si>
  <si>
    <t>To manage or disable these cookies, click on Configure Cookies. You can allow, block, or delete cookies installed on your computer by configuring your internet browser settings.</t>
  </si>
  <si>
    <t>To manage or disable these cookies, click on Configure Cookies. In this Cookie Policy you will find the description and purpose of each of the cookies used, as well as their name, the sending server, their expiration and in some cases the existence of international data transfer.</t>
  </si>
  <si>
    <t>Best evidence: retention linked to account duration and additional criteria.</t>
  </si>
  <si>
    <t>As a general rule, we will store your personal data. For as long as you have an account on the eMAG platform. You can ask us at any time to delete certain information or close your account, and we will comply with these requests, subject to the retention of certain information, including after the closure of your account, in situations where applicable law or our legitimate interests require it.</t>
  </si>
  <si>
    <t>Best evidence: explicit statement that only necessary cookies remain after refusal.</t>
  </si>
  <si>
    <t>Policy on the use of cookies and similar technologies Manage preferences 1. Policy on the use of cookies and similar technologies ... This policy is complemented by the eMAG policy on the protection of personal data in general that you can find here and the Terms and Conditions of the website that you can find here...</t>
  </si>
  <si>
    <t>The data we collect may be transmitted to service providers (subcontractors) / Data sharing between FNAC and DARTY / Data sharing within the FNAC DARTY group / The categories of recipients who may receive personal data from FNAC DARTY are: Franchisees who use the FNAC or DARTY brands, Marketplace sellers, Partner sites that operate services related to our site when you use those services (e.g., Photo Work Partner), Insurance, financing or credit institutions if you subscribe to these services (e.g. CA CONSUMER FINANCE, Garantie Privée), Advertisers using FNAC DARTY's advertising services such as commercial partners as well as marketing and advertising agencies and their advertisers, Partners, customer reviews and satisfaction surveys (e.g. Verified reviews), Affiliate Partners, Social Networks, Police authorities in the context of judicial requisitions concerning the fight against fraud or other authorised third parties, Customs services in the event of delivery abroad, Carriers, Payment services.</t>
  </si>
  <si>
    <t>Narrow voice-system documentation only; not general demonstrability.</t>
  </si>
  <si>
    <t>The consent is given via the voice dialog system and is documented with the communication connection data.</t>
  </si>
  <si>
    <t>Vague retention treated as sufficient.</t>
  </si>
  <si>
    <t>We process and store your personal data only for the period necessary to fulfil the purpose of processing or if this has been provided for in laws or regulations. After the purpose has ceased to exist or has been fulfilled, your personal data will be deleted or blocked. In the event of blocking, the data will be deleted as soon as there are no statutory or contractual retention periods to the contrary.</t>
  </si>
  <si>
    <t>Unsupported inference from browser-settings text.</t>
  </si>
  <si>
    <t>In your browser, you can disable cookies completely or limit them to the types you choose. However, this will limit the operation of our websites and you will not be able to use the full range of features we offer, including logging in to your customer account.</t>
  </si>
  <si>
    <t>Legal bases identified by other models.</t>
  </si>
  <si>
    <t>SCC safeguard found by other models.</t>
  </si>
  <si>
    <t>Specific durations found by other models.</t>
  </si>
  <si>
    <t>However, this does not apply to personal data that is necessary for the fulfilment of our statutory obligations and that we are obliged to store in accordance with the law (e.g. the execution of an order placed) or in order to protect our legitimate interests. Personal data will also be deleted if this data is no longer needed for a specific purpose or if the storage of personal data is inadmissible for other reasons specified by law.</t>
  </si>
  <si>
    <t>7. What rights does the data subject have and how can he or she exercise them' ... 8. Contact Us ... 9. Effective Date</t>
  </si>
  <si>
    <t>Table of contents, The detailed descriptions of the topics dealt with in the individual sub-points are sometimes preceded by a short summary. This short summary serves the purpose of giving you an overview of the respective topic. If you need further information on this, you will find it in the detailed explanations following the short summary.</t>
  </si>
  <si>
    <t>Cookie Policy FAQs</t>
  </si>
  <si>
    <t>Click "Manage cookies" or visit the privacy policy page at any time. Cookie policy.</t>
  </si>
  <si>
    <t>please contact us via this form or by email at privacysupport@vinted.lt . To the Data Protection Officer UAB Vinted Švitrigailos g. 13 LT-03228 Vilnius Lithuania</t>
  </si>
  <si>
    <t>You can adjust your preferences at any time. For more information, please read our privacy notice and legal notice. and You may withdraw consent at any time with effect for the future, for example by asking the employee on the phone to stop the recording.</t>
  </si>
  <si>
    <t>Narrow newsletter logging over-read as demonstrability.</t>
  </si>
  <si>
    <t>If you subscribe to a newsletter, we temporarily save your IP address as well as the time of your subscription and confirmation. This allows us to verify that you have actually subscribed to the newsletter and to detect any unauthorised use of your email address.</t>
  </si>
  <si>
    <t>This may mean that your data is also processed in the USA and China. ... Should personal data be transmitted to the USA, we have concluded the Standard Contractual Clauses with Google.</t>
  </si>
  <si>
    <t>With your consent, we would like to enable performance, functional and marketing cookies to improve your experience with our website and to show you relevant products and services, as well as to personalize advertising. You can make changes at any time in our preference center ("Adjust settings"). We distinguish between the following types of cookies: 2.1. Strictly necessary cookies [...] 2.2 Performance cookies [...] 2.3. Functional cookies [...] 2.4. Cookies for marketing purposes.</t>
  </si>
  <si>
    <t>Legal basis: Art. 6 para. 1 lit. f) GDPR. [...] Legal basis: Art. 6 para. 1 lit. a) GDPR. [...] Legal basis: Art. 6 para. 1 lit. b) GDPR.</t>
  </si>
  <si>
    <t>With your consent, we would like to enable performance, functional and marketing cookies to improve your experience with our website and to show you relevant products and services, as well as to personalize advertising. [...] Legal basis: Art. 6 para. 1 lit. a) GDPR.</t>
  </si>
  <si>
    <t>Brief overview 1. Who is the controller of data processing' [...] 8. How can I withdraw my consent or object' A. General information on data protection at zooplus 1. Scope and Definitions [...]</t>
  </si>
  <si>
    <t xml:space="preserve">Different evidence quote </t>
  </si>
  <si>
    <t>We store the decision made by you in this respect as to whether you wish to give consent in order to be able to implement it accordingly.</t>
  </si>
  <si>
    <t>Privacy Policy</t>
  </si>
  <si>
    <t>No relevant evidence identified.</t>
  </si>
  <si>
    <t>Generic wording, but relevant.</t>
  </si>
  <si>
    <t>3. Purposes of the Data Processing, Legal Bases and Legitimate Interests pursued by the Controller or a Third Party, as well as Categories of Recipients</t>
  </si>
  <si>
    <t>The legal basis for this is Art. 6 (1) f) GDPR. Our legitimate interest results from the Ensure smooth connection establishment, Ensuring a comfortable use of our Marketplace, Evaluation of system security and stability.</t>
  </si>
  <si>
    <t>Minor capitalization normalization observed ("we" -&gt; "We") without semantic change.</t>
  </si>
  <si>
    <t>We and our Partners use Cookies or similar technologies</t>
  </si>
  <si>
    <t>Minimal but relevant evidence.</t>
  </si>
  <si>
    <t>USA (we rely in this respect on the "DPF")</t>
  </si>
  <si>
    <t>Shorter but relevant retention disclosure.</t>
  </si>
  <si>
    <t>We store the data collected for the processing of the contract - unless we use it for our own marketing purposes - for the duration of the respective contract and until the expiry of the respective statutory or possible contractual warranty and guarantee rights and applicable limitation periods.</t>
  </si>
  <si>
    <t>Shorter but relevant complaint disclosure.</t>
  </si>
  <si>
    <t>You also have the right to complain to a supervisory authority.</t>
  </si>
  <si>
    <t>Retention text misread as consent record-keeping.</t>
  </si>
  <si>
    <t>We keep your personal information to enable your continued use of Amazon Services, for as long as it is required in order to fulfil the relevant purposes described in this Privacy Notice</t>
  </si>
  <si>
    <t>We share customers' personal information only as described below and with Amazon.com, Inc. and the subsidiaries that Amazon.com, Inc. controls</t>
  </si>
  <si>
    <t>You can always adjust or withdraw your choice afterwards via "Data usage settings" in our "privacy policy" and/or "cookie policy"</t>
  </si>
  <si>
    <t>Via "Set it yourself" you can indicate more specifically what you accept</t>
  </si>
  <si>
    <t>See also our privacy policy and cookie policy</t>
  </si>
  <si>
    <t>The policy text is detailed and provides specific information about data processing, indicating a reasonable level of clarity.</t>
  </si>
  <si>
    <t>Saw default-activation text but did not flag risk.</t>
  </si>
  <si>
    <t>COOKIE POLICY ...  Cookies policy</t>
  </si>
  <si>
    <t>Trade name and registered address clearly identify the controller.</t>
  </si>
  <si>
    <t>eMAG is the trade name of DANTE INTERNAŢIONAL S.A., a legal entity of Romanian nationality, having its registered office in Bucharest, Șoseaua Virtuţii nr. 148, sector 6</t>
  </si>
  <si>
    <t>Shorter but relevant contact disclosure.</t>
  </si>
  <si>
    <t>by e-mail to: data.protection@emag.ro or by mail or courier to the address: 6 Gara Herastrau Street</t>
  </si>
  <si>
    <t>Shorter but relevant legal basis disclosure.</t>
  </si>
  <si>
    <t>The processing of your personal data for these purposes is in most cases necessary for the conclusion and execution of a contract between eMAG and you.</t>
  </si>
  <si>
    <t>Generic but relevant recipient disclosure.</t>
  </si>
  <si>
    <t>by us and our partners</t>
  </si>
  <si>
    <t>Shorter but relevant transfer disclosure.</t>
  </si>
  <si>
    <t>In the event that your personal data will be transferred outside the European Union or the EEA, the transfer will be carried out (a) pursuant to Article 45 GDPR, respectively on the basis of a decision of the European Commission by which it decides that the third country in question ensures an adequate level of protection</t>
  </si>
  <si>
    <t>Minor extraction mismatch; evidence verified.</t>
  </si>
  <si>
    <t>As a general rule, we will store your personal data for as long as you have an account on the eMAG platform.</t>
  </si>
  <si>
    <t>You have the right to lodge a complaint with the supervisory authority regarding the processing of your personal data</t>
  </si>
  <si>
    <t>The text data generated in the chat process as well as technical usage and communication data (e.g. time of the request, technical identification features) will be stored for up to 30 days</t>
  </si>
  <si>
    <t>We will only retain your personal data for as long as necessary to fulfil the purposes we collected it for</t>
  </si>
  <si>
    <t>We only store your data for as long as is necessary for the purposes stated above. When it is no longer needed, we delete or anonymize the data. We generally keep your data for as long as you actively use Vinted, and for up to 5 years after you stop using it.</t>
  </si>
  <si>
    <t>Table 21. Total Risk Flags by Model and Indicator Group</t>
  </si>
  <si>
    <t>GPT-4o</t>
  </si>
  <si>
    <t>Claude 4.6</t>
  </si>
  <si>
    <t>Total</t>
  </si>
  <si>
    <t>Validity of Consent (R01–R06)</t>
  </si>
  <si>
    <t>Transparency (R07–R15, R18)</t>
  </si>
  <si>
    <t>Accountability and Tech (R16–R17)</t>
  </si>
  <si>
    <t>Total Risks Detected</t>
  </si>
  <si>
    <t>Table 22. Severity-Weighted Risk Scores by Site and Model</t>
  </si>
  <si>
    <t>Site</t>
  </si>
  <si>
    <t>Claude</t>
  </si>
  <si>
    <t>Gemini</t>
  </si>
  <si>
    <t>Llama</t>
  </si>
  <si>
    <t>Range W</t>
  </si>
  <si>
    <t>Risk Tier</t>
  </si>
  <si>
    <t>Table 23. Pairwise Agreement Between Models</t>
  </si>
  <si>
    <t>Claude 4.6 – Llama 3.3</t>
  </si>
  <si>
    <t>Gemini 2.5 – Llama 3.3</t>
  </si>
  <si>
    <t>Claude 4.6 – Gemini 2.5</t>
  </si>
  <si>
    <t>GPT-4o – Llama 3.3</t>
  </si>
  <si>
    <t>Claude 4.6 – GPT-4o</t>
  </si>
  <si>
    <t>Gemini 2.5 – GPT-4o</t>
  </si>
  <si>
    <t>Pre-consent tracking</t>
  </si>
  <si>
    <t>Clarity of information</t>
  </si>
  <si>
    <t>Table 24. Indicator-Level Divergence</t>
  </si>
  <si>
    <t>Divergence</t>
  </si>
  <si>
    <t>Indicator</t>
  </si>
  <si>
    <t>ID</t>
  </si>
  <si>
    <t>Right to Withdraw</t>
  </si>
  <si>
    <t>Demonstrability of Consent</t>
  </si>
  <si>
    <t>Freely Given Consent</t>
  </si>
  <si>
    <t>Specific Consent</t>
  </si>
  <si>
    <t>Purpose Specification</t>
  </si>
  <si>
    <t>Legal Basis Disclosure</t>
  </si>
  <si>
    <t>Third-Party Recipients</t>
  </si>
  <si>
    <t>International Transfers</t>
  </si>
  <si>
    <t>Data Retention Period</t>
  </si>
  <si>
    <t>Complaint Mechanism</t>
  </si>
  <si>
    <t>Pre-Consent Tracking</t>
  </si>
  <si>
    <t>Layered Information</t>
  </si>
  <si>
    <t>Table 25. Fleiss' Kappa by Indicator</t>
  </si>
  <si>
    <t>Weighted Range</t>
  </si>
  <si>
    <t>Unweighted Range</t>
  </si>
  <si>
    <t>Table 26. Sites with Meaningful Divergence (Unweighted)</t>
  </si>
  <si>
    <t>Table 26. Sites with Meaningful Divergence (Weighted Range)</t>
  </si>
  <si>
    <t>stable</t>
  </si>
  <si>
    <t>stable_cases</t>
  </si>
  <si>
    <t>stability_rate</t>
  </si>
  <si>
    <t>Table 27. Output Stability Across Three Runs (10 sites, all applicable indicators)</t>
  </si>
  <si>
    <t>Llama 3.3 70B</t>
  </si>
  <si>
    <t>Gemini 2.5 Flash</t>
  </si>
  <si>
    <t>Table 28. Unstable Indicators by Model (Stability Rate &lt; 100%)</t>
  </si>
  <si>
    <t>Model</t>
  </si>
  <si>
    <t>Table 29. Hallucination Rate by Model (full dataset)</t>
  </si>
  <si>
    <t>Table 30. LLM Trustworthiness Profile</t>
  </si>
  <si>
    <t>indicator</t>
  </si>
  <si>
    <t>severity</t>
  </si>
  <si>
    <t>High</t>
  </si>
  <si>
    <t>Medium</t>
  </si>
  <si>
    <t>Low</t>
  </si>
  <si>
    <t>Sensitivity</t>
  </si>
  <si>
    <t>site</t>
  </si>
  <si>
    <t>range</t>
  </si>
  <si>
    <t>rank</t>
  </si>
  <si>
    <t>Current</t>
  </si>
  <si>
    <t>Equal</t>
  </si>
  <si>
    <t>Severity</t>
  </si>
  <si>
    <t>Steep</t>
  </si>
  <si>
    <t>Compressed</t>
  </si>
  <si>
    <t>Spearman ρ</t>
  </si>
  <si>
    <t>A</t>
  </si>
  <si>
    <t>B</t>
  </si>
  <si>
    <t>Tiers-LLM</t>
  </si>
  <si>
    <t>weighted score</t>
  </si>
  <si>
    <t>Critical ≥</t>
  </si>
  <si>
    <t>High ≥</t>
  </si>
  <si>
    <t>Medium ≥</t>
  </si>
  <si>
    <t>Low &lt;</t>
  </si>
  <si>
    <t>tier CLAUDE</t>
  </si>
  <si>
    <t>tier GEMINI</t>
  </si>
  <si>
    <t>tier GPT</t>
  </si>
  <si>
    <t>tier LLAMA</t>
  </si>
  <si>
    <t>different tiers</t>
  </si>
  <si>
    <t>Row Labels</t>
  </si>
  <si>
    <t>Grand Total</t>
  </si>
  <si>
    <t>Column Labels</t>
  </si>
  <si>
    <t>Sum of llm_score</t>
  </si>
  <si>
    <t>site \ indicator</t>
  </si>
  <si>
    <t>divergence %</t>
  </si>
  <si>
    <t>rank_pos</t>
  </si>
  <si>
    <t>rank_div</t>
  </si>
  <si>
    <t>rank_halluc</t>
  </si>
  <si>
    <t>Prompt Position</t>
  </si>
  <si>
    <t>position</t>
  </si>
  <si>
    <t>hallucination</t>
  </si>
  <si>
    <t>R17_vis(3mod)</t>
  </si>
  <si>
    <t>position - divergence (Spearman ρ)</t>
  </si>
  <si>
    <t>position - hallucination (Spearman ρ)</t>
  </si>
  <si>
    <t>Additional checking</t>
  </si>
  <si>
    <t>avg divergence, 1st part</t>
  </si>
  <si>
    <t>avg divergence, 2nd part</t>
  </si>
  <si>
    <t>hallucination, 1st part</t>
  </si>
  <si>
    <t>hallucination, 2nd part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</si>
</sst>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18" x14ac:knownFonts="1">
    <font>
      <sz val="11"/>
      <color theme="1"/>
      <name val="Calibri"/>
      <family val="2"/>
      <scheme val="minor"/>
    </font>
    <font>
      <b/>
      <sz val="11"/>
      <name val="Calibri"/>
    </font>
    <font>
      <sz val="11"/>
      <color theme="1"/>
      <name val="Calibri"/>
      <family val="2"/>
      <scheme val="minor"/>
    </font>
    <font>
      <sz val="11"/>
      <name val="Calibri"/>
      <family val="2"/>
      <scheme val="minor"/>
    </font>
    <font>
      <sz val="12"/>
      <color theme="1"/>
      <name val="Times New Roman"/>
      <family val="1"/>
    </font>
    <font>
      <b/>
      <sz val="11"/>
      <name val="Calibri"/>
      <family val="2"/>
    </font>
    <font>
      <b/>
      <sz val="12"/>
      <color theme="1"/>
      <name val="Times New Roman"/>
      <family val="1"/>
    </font>
    <font>
      <b/>
      <sz val="12"/>
      <name val="Times New Roman"/>
      <family val="1"/>
    </font>
    <font>
      <sz val="12"/>
      <name val="Times New Roman"/>
      <family val="1"/>
    </font>
    <font>
      <sz val="12"/>
      <name val="Calibri"/>
      <family val="2"/>
      <scheme val="minor"/>
    </font>
    <font>
      <sz val="12"/>
      <color rgb="FF000000"/>
      <name val="Times New Roman"/>
      <family val="1"/>
    </font>
    <font>
      <b/>
      <sz val="12"/>
      <color rgb="FF000000"/>
      <name val="Times New Roman"/>
      <family val="1"/>
    </font>
    <font>
      <b/>
      <sz val="11"/>
      <color theme="1"/>
      <name val="Calibri"/>
      <family val="2"/>
      <scheme val="minor"/>
    </font>
    <font>
      <sz val="10"/>
      <name val="Arial"/>
      <family val="2"/>
    </font>
    <font>
      <b/>
      <sz val="10"/>
      <name val="Arial"/>
      <family val="2"/>
    </font>
    <font>
      <sz val="11"/>
      <color theme="1"/>
      <name val="Arial"/>
      <family val="2"/>
    </font>
    <font>
      <b/>
      <sz val="11"/>
      <color theme="1"/>
      <name val="Arial"/>
      <family val="2"/>
    </font>
    <font>
      <b/>
      <sz val="11"/>
      <name val="Arial"/>
      <family val="2"/>
    </font>
  </fonts>
  <fills count="2">
    <fill>
      <patternFill patternType="none"/>
    </fill>
    <fill>
      <patternFill patternType="gray125"/>
    </fill>
  </fills>
  <borders count="5">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s>
  <cellStyleXfs count="2">
    <xf numFmtId="0" fontId="0" fillId="0" borderId="0"/>
    <xf numFmtId="9" fontId="2" fillId="0" borderId="0" applyFont="0" applyFill="0" applyBorder="0" applyAlignment="0" applyProtection="0"/>
  </cellStyleXfs>
  <cellXfs count="51">
    <xf numFmtId="0" fontId="0" fillId="0" borderId="0" xfId="0"/>
    <xf numFmtId="0" fontId="1" fillId="0" borderId="1" xfId="0" applyFont="1" applyBorder="1" applyAlignment="1">
      <alignment horizontal="center" vertical="top"/>
    </xf>
    <xf numFmtId="0" fontId="3" fillId="0" borderId="0" xfId="0" applyFont="1"/>
    <xf numFmtId="9" fontId="0" fillId="0" borderId="0" xfId="1" applyFont="1"/>
    <xf numFmtId="0" fontId="5" fillId="0" borderId="1" xfId="0" applyFont="1" applyBorder="1" applyAlignment="1">
      <alignment horizontal="center" vertical="top"/>
    </xf>
    <xf numFmtId="0" fontId="8" fillId="0" borderId="0" xfId="0" applyFont="1"/>
    <xf numFmtId="0" fontId="7" fillId="0" borderId="1" xfId="0" applyFont="1" applyBorder="1" applyAlignment="1">
      <alignment horizontal="center" vertical="center" wrapText="1"/>
    </xf>
    <xf numFmtId="0" fontId="8" fillId="0" borderId="1" xfId="0" applyFont="1" applyBorder="1" applyAlignment="1">
      <alignment horizontal="left" vertical="center" wrapText="1"/>
    </xf>
    <xf numFmtId="0" fontId="8" fillId="0" borderId="1" xfId="0" applyFont="1" applyBorder="1" applyAlignment="1">
      <alignment horizontal="center" vertical="center" wrapText="1"/>
    </xf>
    <xf numFmtId="0" fontId="9" fillId="0" borderId="0" xfId="0" applyFont="1"/>
    <xf numFmtId="0" fontId="8" fillId="0" borderId="1" xfId="0" applyFont="1" applyBorder="1" applyAlignment="1">
      <alignment horizontal="left" vertical="center"/>
    </xf>
    <xf numFmtId="0" fontId="8" fillId="0" borderId="1" xfId="0" applyFont="1" applyBorder="1" applyAlignment="1">
      <alignment horizontal="center" vertical="center"/>
    </xf>
    <xf numFmtId="0" fontId="7" fillId="0" borderId="1" xfId="0" applyFont="1" applyBorder="1" applyAlignment="1">
      <alignment horizontal="center" vertical="top"/>
    </xf>
    <xf numFmtId="0" fontId="4" fillId="0" borderId="1" xfId="0" applyFont="1" applyBorder="1"/>
    <xf numFmtId="164" fontId="4" fillId="0" borderId="1" xfId="1" applyNumberFormat="1" applyFont="1" applyBorder="1"/>
    <xf numFmtId="0" fontId="7" fillId="0" borderId="1" xfId="0" applyFont="1" applyBorder="1" applyAlignment="1">
      <alignment horizontal="left" vertical="top"/>
    </xf>
    <xf numFmtId="9" fontId="4" fillId="0" borderId="1" xfId="1" applyFont="1" applyBorder="1"/>
    <xf numFmtId="0" fontId="6" fillId="0" borderId="1" xfId="0" applyFont="1" applyBorder="1"/>
    <xf numFmtId="165" fontId="4" fillId="0" borderId="1" xfId="0" applyNumberFormat="1" applyFont="1" applyBorder="1"/>
    <xf numFmtId="10" fontId="4" fillId="0" borderId="1" xfId="1" applyNumberFormat="1" applyFont="1" applyBorder="1"/>
    <xf numFmtId="0" fontId="7" fillId="0" borderId="0" xfId="0" applyFont="1"/>
    <xf numFmtId="9" fontId="7" fillId="0" borderId="1" xfId="1" applyFont="1" applyBorder="1" applyAlignment="1">
      <alignment horizontal="center" vertical="top"/>
    </xf>
    <xf numFmtId="0" fontId="10" fillId="0" borderId="1" xfId="0" applyFont="1" applyBorder="1" applyAlignment="1">
      <alignment vertical="center" wrapText="1"/>
    </xf>
    <xf numFmtId="0" fontId="11" fillId="0" borderId="1" xfId="0" applyFont="1" applyBorder="1" applyAlignment="1">
      <alignment vertical="center" wrapText="1"/>
    </xf>
    <xf numFmtId="0" fontId="0" fillId="0" borderId="1" xfId="0" applyBorder="1"/>
    <xf numFmtId="0" fontId="12" fillId="0" borderId="1" xfId="0" applyFont="1" applyBorder="1"/>
    <xf numFmtId="0" fontId="13" fillId="0" borderId="0" xfId="0" applyFont="1"/>
    <xf numFmtId="0" fontId="13" fillId="0" borderId="1" xfId="0" applyFont="1" applyBorder="1"/>
    <xf numFmtId="0" fontId="13" fillId="0" borderId="1" xfId="0" applyFont="1" applyBorder="1" applyAlignment="1">
      <alignment horizontal="center" vertical="center"/>
    </xf>
    <xf numFmtId="0" fontId="14" fillId="0" borderId="1" xfId="0" applyFont="1" applyBorder="1"/>
    <xf numFmtId="0" fontId="15" fillId="0" borderId="0" xfId="0" applyFont="1"/>
    <xf numFmtId="0" fontId="15" fillId="0" borderId="1" xfId="0" applyFont="1" applyBorder="1"/>
    <xf numFmtId="0" fontId="16" fillId="0" borderId="1" xfId="0" applyFont="1" applyBorder="1"/>
    <xf numFmtId="165" fontId="12" fillId="0" borderId="1" xfId="0" applyNumberFormat="1" applyFont="1" applyBorder="1"/>
    <xf numFmtId="0" fontId="16" fillId="0" borderId="0" xfId="0" applyFont="1"/>
    <xf numFmtId="0" fontId="0" fillId="0" borderId="0" xfId="0" pivotButton="1"/>
    <xf numFmtId="0" fontId="0" fillId="0" borderId="0" xfId="0" applyAlignment="1">
      <alignment horizontal="left"/>
    </xf>
    <xf numFmtId="165" fontId="17" fillId="0" borderId="0" xfId="0" applyNumberFormat="1" applyFont="1"/>
    <xf numFmtId="0" fontId="12" fillId="0" borderId="0" xfId="0" applyFont="1"/>
    <xf numFmtId="165" fontId="12" fillId="0" borderId="0" xfId="0" applyNumberFormat="1" applyFont="1"/>
    <xf numFmtId="2" fontId="12" fillId="0" borderId="0" xfId="0" applyNumberFormat="1" applyFont="1"/>
    <xf numFmtId="0" fontId="7" fillId="0" borderId="2" xfId="0" applyFont="1" applyBorder="1" applyAlignment="1">
      <alignment horizontal="center" vertical="center"/>
    </xf>
    <xf numFmtId="0" fontId="7" fillId="0" borderId="3" xfId="0" applyFont="1" applyBorder="1" applyAlignment="1">
      <alignment horizontal="center" vertical="center"/>
    </xf>
    <xf numFmtId="0" fontId="7" fillId="0" borderId="4" xfId="0" applyFont="1" applyBorder="1" applyAlignment="1">
      <alignment horizontal="center" vertical="center"/>
    </xf>
    <xf numFmtId="0" fontId="7" fillId="0" borderId="1" xfId="0" applyFont="1" applyBorder="1" applyAlignment="1">
      <alignment horizontal="center" vertical="center"/>
    </xf>
    <xf numFmtId="0" fontId="7" fillId="0" borderId="2" xfId="0" applyFont="1" applyBorder="1" applyAlignment="1">
      <alignment horizontal="center"/>
    </xf>
    <xf numFmtId="0" fontId="7" fillId="0" borderId="3" xfId="0" applyFont="1" applyBorder="1" applyAlignment="1">
      <alignment horizontal="center"/>
    </xf>
    <xf numFmtId="0" fontId="7" fillId="0" borderId="4" xfId="0" applyFont="1" applyBorder="1" applyAlignment="1">
      <alignment horizontal="center"/>
    </xf>
    <xf numFmtId="0" fontId="14" fillId="0" borderId="2" xfId="0" applyFont="1" applyBorder="1" applyAlignment="1">
      <alignment horizontal="center"/>
    </xf>
    <xf numFmtId="0" fontId="14" fillId="0" borderId="3" xfId="0" applyFont="1" applyBorder="1" applyAlignment="1">
      <alignment horizontal="center"/>
    </xf>
    <xf numFmtId="0" fontId="14" fillId="0" borderId="4" xfId="0" applyFont="1" applyBorder="1" applyAlignment="1">
      <alignment horizontal="center"/>
    </xf>
  </cellXfs>
  <cellStyles count="2">
    <cellStyle name="Normal" xfId="0" builtinId="0"/>
    <cellStyle name="Per cent" xfId="1" builtinId="5"/>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pivotCacheDefinition" Target="pivotCache/pivotCacheDefinition1.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haredStrings" Target="sharedStrings.xml"/><Relationship Id="rId8" Type="http://schemas.openxmlformats.org/officeDocument/2006/relationships/worksheet" Target="worksheets/sheet8.xml"/><Relationship Id="rId3" Type="http://schemas.openxmlformats.org/officeDocument/2006/relationships/worksheet" Target="worksheets/sheet3.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igerim Kairatova" refreshedDate="46189.862242129631" createdVersion="8" refreshedVersion="8" minRefreshableVersion="3" recordCount="1440" xr:uid="{E6ECE2CB-DFF4-4950-AFCF-FD361D0FEA6C}">
  <cacheSource type="worksheet">
    <worksheetSource ref="A1:F1441" sheet="Data"/>
  </cacheSource>
  <cacheFields count="6">
    <cacheField name="site_name" numFmtId="0">
      <sharedItems count="20">
        <s v="About You"/>
        <s v="Allegro"/>
        <s v="Amazon"/>
        <s v="Answear"/>
        <s v="Bol.com"/>
        <s v="Boozt"/>
        <s v="Carrefour"/>
        <s v="Cdiscount"/>
        <s v="Decathlon"/>
        <s v="Douglas"/>
        <s v="El Corte Ingles"/>
        <s v="eMAG"/>
        <s v="Fnac"/>
        <s v="MediaMarkt"/>
        <s v="Notino"/>
        <s v="Otto"/>
        <s v="Smyths Toys"/>
        <s v="Vinted"/>
        <s v="Zalando"/>
        <s v="Zooplus"/>
      </sharedItems>
    </cacheField>
    <cacheField name="model" numFmtId="0">
      <sharedItems/>
    </cacheField>
    <cacheField name="indicator_id" numFmtId="0">
      <sharedItems count="18">
        <s v="R01"/>
        <s v="R02"/>
        <s v="R03"/>
        <s v="R04"/>
        <s v="R05"/>
        <s v="R06"/>
        <s v="R07"/>
        <s v="R08"/>
        <s v="R09"/>
        <s v="R10"/>
        <s v="R11"/>
        <s v="R12"/>
        <s v="R13"/>
        <s v="R14"/>
        <s v="R15"/>
        <s v="R16"/>
        <s v="R17"/>
        <s v="R18"/>
      </sharedItems>
    </cacheField>
    <cacheField name="severity" numFmtId="0">
      <sharedItems/>
    </cacheField>
    <cacheField name="llm_score" numFmtId="0">
      <sharedItems containsSemiMixedTypes="0" containsString="0" containsNumber="1" containsInteger="1" minValue="0" maxValue="1"/>
    </cacheField>
    <cacheField name="validation_category"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0">
  <r>
    <x v="0"/>
    <s v="GPT"/>
    <x v="0"/>
    <s v="High"/>
    <n v="1"/>
    <s v="VC"/>
  </r>
  <r>
    <x v="0"/>
    <s v="GPT"/>
    <x v="1"/>
    <s v="High"/>
    <n v="0"/>
    <s v="VC"/>
  </r>
  <r>
    <x v="0"/>
    <s v="GPT"/>
    <x v="2"/>
    <s v="Medium"/>
    <n v="0"/>
    <s v="VC"/>
  </r>
  <r>
    <x v="0"/>
    <s v="GPT"/>
    <x v="3"/>
    <s v="High"/>
    <n v="1"/>
    <s v="MC"/>
  </r>
  <r>
    <x v="0"/>
    <s v="GPT"/>
    <x v="4"/>
    <s v="Medium"/>
    <n v="0"/>
    <s v="VC"/>
  </r>
  <r>
    <x v="0"/>
    <s v="GPT"/>
    <x v="5"/>
    <s v="High"/>
    <n v="0"/>
    <s v="H"/>
  </r>
  <r>
    <x v="0"/>
    <s v="GPT"/>
    <x v="6"/>
    <s v="Medium"/>
    <n v="0"/>
    <s v="VC"/>
  </r>
  <r>
    <x v="0"/>
    <s v="GPT"/>
    <x v="7"/>
    <s v="Medium"/>
    <n v="0"/>
    <s v="VC"/>
  </r>
  <r>
    <x v="0"/>
    <s v="GPT"/>
    <x v="8"/>
    <s v="Medium"/>
    <n v="0"/>
    <s v="VC"/>
  </r>
  <r>
    <x v="0"/>
    <s v="GPT"/>
    <x v="9"/>
    <s v="Medium"/>
    <n v="0"/>
    <s v="VC"/>
  </r>
  <r>
    <x v="0"/>
    <s v="GPT"/>
    <x v="10"/>
    <s v="High"/>
    <n v="0"/>
    <s v="VC"/>
  </r>
  <r>
    <x v="0"/>
    <s v="GPT"/>
    <x v="11"/>
    <s v="Medium"/>
    <n v="1"/>
    <s v="MC"/>
  </r>
  <r>
    <x v="0"/>
    <s v="GPT"/>
    <x v="12"/>
    <s v="Low"/>
    <n v="0"/>
    <s v="VC"/>
  </r>
  <r>
    <x v="0"/>
    <s v="GPT"/>
    <x v="13"/>
    <s v="Medium"/>
    <n v="0"/>
    <s v="VC"/>
  </r>
  <r>
    <x v="0"/>
    <s v="GPT"/>
    <x v="14"/>
    <s v="Medium"/>
    <n v="0"/>
    <s v="VC"/>
  </r>
  <r>
    <x v="0"/>
    <s v="GPT"/>
    <x v="15"/>
    <s v="High"/>
    <n v="0"/>
    <s v="VC"/>
  </r>
  <r>
    <x v="0"/>
    <s v="GPT"/>
    <x v="16"/>
    <s v="High"/>
    <n v="0"/>
    <s v="VC"/>
  </r>
  <r>
    <x v="0"/>
    <s v="GPT"/>
    <x v="17"/>
    <s v="Medium"/>
    <n v="0"/>
    <s v="VC"/>
  </r>
  <r>
    <x v="1"/>
    <s v="GPT"/>
    <x v="0"/>
    <s v="High"/>
    <n v="0"/>
    <s v="AE"/>
  </r>
  <r>
    <x v="1"/>
    <s v="GPT"/>
    <x v="1"/>
    <s v="High"/>
    <n v="0"/>
    <s v="VC"/>
  </r>
  <r>
    <x v="1"/>
    <s v="GPT"/>
    <x v="2"/>
    <s v="Medium"/>
    <n v="1"/>
    <s v="VC"/>
  </r>
  <r>
    <x v="1"/>
    <s v="GPT"/>
    <x v="3"/>
    <s v="High"/>
    <n v="1"/>
    <s v="MC"/>
  </r>
  <r>
    <x v="1"/>
    <s v="GPT"/>
    <x v="4"/>
    <s v="Medium"/>
    <n v="0"/>
    <s v="VC"/>
  </r>
  <r>
    <x v="1"/>
    <s v="GPT"/>
    <x v="5"/>
    <s v="High"/>
    <n v="0"/>
    <s v="H"/>
  </r>
  <r>
    <x v="1"/>
    <s v="GPT"/>
    <x v="6"/>
    <s v="Medium"/>
    <n v="0"/>
    <s v="VC"/>
  </r>
  <r>
    <x v="1"/>
    <s v="GPT"/>
    <x v="7"/>
    <s v="Medium"/>
    <n v="0"/>
    <s v="VC"/>
  </r>
  <r>
    <x v="1"/>
    <s v="GPT"/>
    <x v="8"/>
    <s v="Medium"/>
    <n v="0"/>
    <s v="VC"/>
  </r>
  <r>
    <x v="1"/>
    <s v="GPT"/>
    <x v="9"/>
    <s v="Medium"/>
    <n v="0"/>
    <s v="VC"/>
  </r>
  <r>
    <x v="1"/>
    <s v="GPT"/>
    <x v="10"/>
    <s v="High"/>
    <n v="0"/>
    <s v="VC"/>
  </r>
  <r>
    <x v="1"/>
    <s v="GPT"/>
    <x v="11"/>
    <s v="Medium"/>
    <n v="0"/>
    <s v="VC"/>
  </r>
  <r>
    <x v="1"/>
    <s v="GPT"/>
    <x v="12"/>
    <s v="Low"/>
    <n v="0"/>
    <s v="VC"/>
  </r>
  <r>
    <x v="1"/>
    <s v="GPT"/>
    <x v="13"/>
    <s v="Medium"/>
    <n v="0"/>
    <s v="VC"/>
  </r>
  <r>
    <x v="1"/>
    <s v="GPT"/>
    <x v="14"/>
    <s v="Medium"/>
    <n v="0"/>
    <s v="VC"/>
  </r>
  <r>
    <x v="1"/>
    <s v="GPT"/>
    <x v="15"/>
    <s v="High"/>
    <n v="0"/>
    <s v="VC"/>
  </r>
  <r>
    <x v="1"/>
    <s v="GPT"/>
    <x v="16"/>
    <s v="High"/>
    <n v="0"/>
    <s v="VC"/>
  </r>
  <r>
    <x v="1"/>
    <s v="GPT"/>
    <x v="17"/>
    <s v="Medium"/>
    <n v="0"/>
    <s v="VC"/>
  </r>
  <r>
    <x v="2"/>
    <s v="GPT"/>
    <x v="0"/>
    <s v="High"/>
    <n v="0"/>
    <s v="AE"/>
  </r>
  <r>
    <x v="2"/>
    <s v="GPT"/>
    <x v="1"/>
    <s v="High"/>
    <n v="0"/>
    <s v="VC"/>
  </r>
  <r>
    <x v="2"/>
    <s v="GPT"/>
    <x v="2"/>
    <s v="Medium"/>
    <n v="1"/>
    <s v="VC"/>
  </r>
  <r>
    <x v="2"/>
    <s v="GPT"/>
    <x v="3"/>
    <s v="High"/>
    <n v="0"/>
    <s v="VC"/>
  </r>
  <r>
    <x v="2"/>
    <s v="GPT"/>
    <x v="4"/>
    <s v="Medium"/>
    <n v="0"/>
    <s v="VC"/>
  </r>
  <r>
    <x v="2"/>
    <s v="GPT"/>
    <x v="5"/>
    <s v="High"/>
    <n v="0"/>
    <s v="VC"/>
  </r>
  <r>
    <x v="2"/>
    <s v="GPT"/>
    <x v="6"/>
    <s v="Medium"/>
    <n v="0"/>
    <s v="VC"/>
  </r>
  <r>
    <x v="2"/>
    <s v="GPT"/>
    <x v="7"/>
    <s v="Medium"/>
    <n v="0"/>
    <s v="VC"/>
  </r>
  <r>
    <x v="2"/>
    <s v="GPT"/>
    <x v="8"/>
    <s v="Medium"/>
    <n v="0"/>
    <s v="VC"/>
  </r>
  <r>
    <x v="2"/>
    <s v="GPT"/>
    <x v="9"/>
    <s v="Medium"/>
    <n v="0"/>
    <s v="VC"/>
  </r>
  <r>
    <x v="2"/>
    <s v="GPT"/>
    <x v="10"/>
    <s v="High"/>
    <n v="0"/>
    <s v="VC"/>
  </r>
  <r>
    <x v="2"/>
    <s v="GPT"/>
    <x v="11"/>
    <s v="Medium"/>
    <n v="0"/>
    <s v="VC"/>
  </r>
  <r>
    <x v="2"/>
    <s v="GPT"/>
    <x v="12"/>
    <s v="Low"/>
    <n v="0"/>
    <s v="VC"/>
  </r>
  <r>
    <x v="2"/>
    <s v="GPT"/>
    <x v="13"/>
    <s v="Medium"/>
    <n v="0"/>
    <s v="VC"/>
  </r>
  <r>
    <x v="2"/>
    <s v="GPT"/>
    <x v="14"/>
    <s v="Medium"/>
    <n v="0"/>
    <s v="VC"/>
  </r>
  <r>
    <x v="2"/>
    <s v="GPT"/>
    <x v="15"/>
    <s v="High"/>
    <n v="0"/>
    <s v="VC"/>
  </r>
  <r>
    <x v="2"/>
    <s v="GPT"/>
    <x v="16"/>
    <s v="High"/>
    <n v="1"/>
    <s v="VC"/>
  </r>
  <r>
    <x v="2"/>
    <s v="GPT"/>
    <x v="17"/>
    <s v="Medium"/>
    <n v="0"/>
    <s v="VC"/>
  </r>
  <r>
    <x v="3"/>
    <s v="GPT"/>
    <x v="0"/>
    <s v="High"/>
    <n v="0"/>
    <s v="AE"/>
  </r>
  <r>
    <x v="3"/>
    <s v="GPT"/>
    <x v="1"/>
    <s v="High"/>
    <n v="0"/>
    <s v="VC"/>
  </r>
  <r>
    <x v="3"/>
    <s v="GPT"/>
    <x v="2"/>
    <s v="Medium"/>
    <n v="0"/>
    <s v="VC"/>
  </r>
  <r>
    <x v="3"/>
    <s v="GPT"/>
    <x v="3"/>
    <s v="High"/>
    <n v="0"/>
    <s v="VC"/>
  </r>
  <r>
    <x v="3"/>
    <s v="GPT"/>
    <x v="4"/>
    <s v="Medium"/>
    <n v="0"/>
    <s v="VC"/>
  </r>
  <r>
    <x v="3"/>
    <s v="GPT"/>
    <x v="5"/>
    <s v="High"/>
    <n v="0"/>
    <s v="VC"/>
  </r>
  <r>
    <x v="3"/>
    <s v="GPT"/>
    <x v="6"/>
    <s v="Medium"/>
    <n v="0"/>
    <s v="VC"/>
  </r>
  <r>
    <x v="3"/>
    <s v="GPT"/>
    <x v="7"/>
    <s v="Medium"/>
    <n v="0"/>
    <s v="VC"/>
  </r>
  <r>
    <x v="3"/>
    <s v="GPT"/>
    <x v="8"/>
    <s v="Medium"/>
    <n v="0"/>
    <s v="VC"/>
  </r>
  <r>
    <x v="3"/>
    <s v="GPT"/>
    <x v="9"/>
    <s v="Medium"/>
    <n v="0"/>
    <s v="VC"/>
  </r>
  <r>
    <x v="3"/>
    <s v="GPT"/>
    <x v="10"/>
    <s v="High"/>
    <n v="0"/>
    <s v="VC"/>
  </r>
  <r>
    <x v="3"/>
    <s v="GPT"/>
    <x v="11"/>
    <s v="Medium"/>
    <n v="0"/>
    <s v="VC"/>
  </r>
  <r>
    <x v="3"/>
    <s v="GPT"/>
    <x v="12"/>
    <s v="Low"/>
    <n v="0"/>
    <s v="VC"/>
  </r>
  <r>
    <x v="3"/>
    <s v="GPT"/>
    <x v="13"/>
    <s v="Medium"/>
    <n v="0"/>
    <s v="VC"/>
  </r>
  <r>
    <x v="3"/>
    <s v="GPT"/>
    <x v="14"/>
    <s v="Medium"/>
    <n v="0"/>
    <s v="VC"/>
  </r>
  <r>
    <x v="3"/>
    <s v="GPT"/>
    <x v="15"/>
    <s v="High"/>
    <n v="0"/>
    <s v="VC"/>
  </r>
  <r>
    <x v="3"/>
    <s v="GPT"/>
    <x v="16"/>
    <s v="High"/>
    <n v="0"/>
    <s v="MC"/>
  </r>
  <r>
    <x v="3"/>
    <s v="GPT"/>
    <x v="17"/>
    <s v="Medium"/>
    <n v="0"/>
    <s v="VC"/>
  </r>
  <r>
    <x v="4"/>
    <s v="GPT"/>
    <x v="0"/>
    <s v="High"/>
    <n v="0"/>
    <s v="AE"/>
  </r>
  <r>
    <x v="4"/>
    <s v="GPT"/>
    <x v="1"/>
    <s v="High"/>
    <n v="0"/>
    <s v="VC"/>
  </r>
  <r>
    <x v="4"/>
    <s v="GPT"/>
    <x v="2"/>
    <s v="Medium"/>
    <n v="1"/>
    <s v="VC"/>
  </r>
  <r>
    <x v="4"/>
    <s v="GPT"/>
    <x v="3"/>
    <s v="High"/>
    <n v="0"/>
    <s v="VC"/>
  </r>
  <r>
    <x v="4"/>
    <s v="GPT"/>
    <x v="4"/>
    <s v="Medium"/>
    <n v="0"/>
    <s v="VC"/>
  </r>
  <r>
    <x v="4"/>
    <s v="GPT"/>
    <x v="5"/>
    <s v="High"/>
    <n v="0"/>
    <s v="VC"/>
  </r>
  <r>
    <x v="4"/>
    <s v="GPT"/>
    <x v="6"/>
    <s v="Medium"/>
    <n v="0"/>
    <s v="VC"/>
  </r>
  <r>
    <x v="4"/>
    <s v="GPT"/>
    <x v="7"/>
    <s v="Medium"/>
    <n v="0"/>
    <s v="VC"/>
  </r>
  <r>
    <x v="4"/>
    <s v="GPT"/>
    <x v="8"/>
    <s v="Medium"/>
    <n v="0"/>
    <s v="VC"/>
  </r>
  <r>
    <x v="4"/>
    <s v="GPT"/>
    <x v="9"/>
    <s v="Medium"/>
    <n v="0"/>
    <s v="VC"/>
  </r>
  <r>
    <x v="4"/>
    <s v="GPT"/>
    <x v="10"/>
    <s v="High"/>
    <n v="0"/>
    <s v="VC"/>
  </r>
  <r>
    <x v="4"/>
    <s v="GPT"/>
    <x v="11"/>
    <s v="Medium"/>
    <n v="0"/>
    <s v="VC"/>
  </r>
  <r>
    <x v="4"/>
    <s v="GPT"/>
    <x v="12"/>
    <s v="Low"/>
    <n v="0"/>
    <s v="VC"/>
  </r>
  <r>
    <x v="4"/>
    <s v="GPT"/>
    <x v="13"/>
    <s v="Medium"/>
    <n v="0"/>
    <s v="VC"/>
  </r>
  <r>
    <x v="4"/>
    <s v="GPT"/>
    <x v="14"/>
    <s v="Medium"/>
    <n v="0"/>
    <s v="VC"/>
  </r>
  <r>
    <x v="4"/>
    <s v="GPT"/>
    <x v="15"/>
    <s v="High"/>
    <n v="0"/>
    <s v="VC"/>
  </r>
  <r>
    <x v="4"/>
    <s v="GPT"/>
    <x v="16"/>
    <s v="High"/>
    <n v="1"/>
    <s v="VC"/>
  </r>
  <r>
    <x v="4"/>
    <s v="GPT"/>
    <x v="17"/>
    <s v="Medium"/>
    <n v="0"/>
    <s v="VC"/>
  </r>
  <r>
    <x v="5"/>
    <s v="GPT"/>
    <x v="0"/>
    <s v="High"/>
    <n v="0"/>
    <s v="AE"/>
  </r>
  <r>
    <x v="5"/>
    <s v="GPT"/>
    <x v="1"/>
    <s v="High"/>
    <n v="0"/>
    <s v="VC"/>
  </r>
  <r>
    <x v="5"/>
    <s v="GPT"/>
    <x v="2"/>
    <s v="Medium"/>
    <n v="1"/>
    <s v="MC"/>
  </r>
  <r>
    <x v="5"/>
    <s v="GPT"/>
    <x v="3"/>
    <s v="High"/>
    <n v="0"/>
    <s v="VC"/>
  </r>
  <r>
    <x v="5"/>
    <s v="GPT"/>
    <x v="4"/>
    <s v="Medium"/>
    <n v="0"/>
    <s v="VC"/>
  </r>
  <r>
    <x v="5"/>
    <s v="GPT"/>
    <x v="5"/>
    <s v="High"/>
    <n v="0"/>
    <s v="H"/>
  </r>
  <r>
    <x v="5"/>
    <s v="GPT"/>
    <x v="6"/>
    <s v="Medium"/>
    <n v="0"/>
    <s v="VC"/>
  </r>
  <r>
    <x v="5"/>
    <s v="GPT"/>
    <x v="7"/>
    <s v="Medium"/>
    <n v="0"/>
    <s v="VC"/>
  </r>
  <r>
    <x v="5"/>
    <s v="GPT"/>
    <x v="8"/>
    <s v="Medium"/>
    <n v="0"/>
    <s v="VC"/>
  </r>
  <r>
    <x v="5"/>
    <s v="GPT"/>
    <x v="9"/>
    <s v="Medium"/>
    <n v="0"/>
    <s v="VC"/>
  </r>
  <r>
    <x v="5"/>
    <s v="GPT"/>
    <x v="10"/>
    <s v="High"/>
    <n v="0"/>
    <s v="VC"/>
  </r>
  <r>
    <x v="5"/>
    <s v="GPT"/>
    <x v="11"/>
    <s v="Medium"/>
    <n v="0"/>
    <s v="VC"/>
  </r>
  <r>
    <x v="5"/>
    <s v="GPT"/>
    <x v="12"/>
    <s v="Low"/>
    <n v="0"/>
    <s v="VC"/>
  </r>
  <r>
    <x v="5"/>
    <s v="GPT"/>
    <x v="13"/>
    <s v="Medium"/>
    <n v="0"/>
    <s v="VC"/>
  </r>
  <r>
    <x v="5"/>
    <s v="GPT"/>
    <x v="14"/>
    <s v="Medium"/>
    <n v="0"/>
    <s v="VC"/>
  </r>
  <r>
    <x v="5"/>
    <s v="GPT"/>
    <x v="15"/>
    <s v="High"/>
    <n v="0"/>
    <s v="H"/>
  </r>
  <r>
    <x v="5"/>
    <s v="GPT"/>
    <x v="16"/>
    <s v="High"/>
    <n v="0"/>
    <s v="VC"/>
  </r>
  <r>
    <x v="5"/>
    <s v="GPT"/>
    <x v="17"/>
    <s v="Medium"/>
    <n v="0"/>
    <s v="VC"/>
  </r>
  <r>
    <x v="6"/>
    <s v="GPT"/>
    <x v="0"/>
    <s v="High"/>
    <n v="0"/>
    <s v="AE"/>
  </r>
  <r>
    <x v="6"/>
    <s v="GPT"/>
    <x v="1"/>
    <s v="High"/>
    <n v="0"/>
    <s v="VC"/>
  </r>
  <r>
    <x v="6"/>
    <s v="GPT"/>
    <x v="2"/>
    <s v="Medium"/>
    <n v="1"/>
    <s v="VC"/>
  </r>
  <r>
    <x v="6"/>
    <s v="GPT"/>
    <x v="3"/>
    <s v="High"/>
    <n v="0"/>
    <s v="VC"/>
  </r>
  <r>
    <x v="6"/>
    <s v="GPT"/>
    <x v="4"/>
    <s v="Medium"/>
    <n v="0"/>
    <s v="VC"/>
  </r>
  <r>
    <x v="6"/>
    <s v="GPT"/>
    <x v="5"/>
    <s v="High"/>
    <n v="0"/>
    <s v="VC"/>
  </r>
  <r>
    <x v="6"/>
    <s v="GPT"/>
    <x v="6"/>
    <s v="Medium"/>
    <n v="0"/>
    <s v="VC"/>
  </r>
  <r>
    <x v="6"/>
    <s v="GPT"/>
    <x v="7"/>
    <s v="Medium"/>
    <n v="0"/>
    <s v="VC"/>
  </r>
  <r>
    <x v="6"/>
    <s v="GPT"/>
    <x v="8"/>
    <s v="Medium"/>
    <n v="0"/>
    <s v="VC"/>
  </r>
  <r>
    <x v="6"/>
    <s v="GPT"/>
    <x v="9"/>
    <s v="Medium"/>
    <n v="0"/>
    <s v="VC"/>
  </r>
  <r>
    <x v="6"/>
    <s v="GPT"/>
    <x v="10"/>
    <s v="High"/>
    <n v="0"/>
    <s v="VC"/>
  </r>
  <r>
    <x v="6"/>
    <s v="GPT"/>
    <x v="11"/>
    <s v="Medium"/>
    <n v="0"/>
    <s v="VC"/>
  </r>
  <r>
    <x v="6"/>
    <s v="GPT"/>
    <x v="12"/>
    <s v="Low"/>
    <n v="0"/>
    <s v="VC"/>
  </r>
  <r>
    <x v="6"/>
    <s v="GPT"/>
    <x v="13"/>
    <s v="Medium"/>
    <n v="0"/>
    <s v="VC"/>
  </r>
  <r>
    <x v="6"/>
    <s v="GPT"/>
    <x v="14"/>
    <s v="Medium"/>
    <n v="0"/>
    <s v="VC"/>
  </r>
  <r>
    <x v="6"/>
    <s v="GPT"/>
    <x v="15"/>
    <s v="High"/>
    <n v="0"/>
    <s v="VC"/>
  </r>
  <r>
    <x v="6"/>
    <s v="GPT"/>
    <x v="16"/>
    <s v="High"/>
    <n v="1"/>
    <s v="VC"/>
  </r>
  <r>
    <x v="6"/>
    <s v="GPT"/>
    <x v="17"/>
    <s v="Medium"/>
    <n v="0"/>
    <s v="VC"/>
  </r>
  <r>
    <x v="7"/>
    <s v="GPT"/>
    <x v="0"/>
    <s v="High"/>
    <n v="0"/>
    <s v="AE"/>
  </r>
  <r>
    <x v="7"/>
    <s v="GPT"/>
    <x v="1"/>
    <s v="High"/>
    <n v="0"/>
    <s v="VC"/>
  </r>
  <r>
    <x v="7"/>
    <s v="GPT"/>
    <x v="2"/>
    <s v="Medium"/>
    <n v="1"/>
    <s v="VC"/>
  </r>
  <r>
    <x v="7"/>
    <s v="GPT"/>
    <x v="3"/>
    <s v="High"/>
    <n v="0"/>
    <s v="AE"/>
  </r>
  <r>
    <x v="7"/>
    <s v="GPT"/>
    <x v="4"/>
    <s v="Medium"/>
    <n v="0"/>
    <s v="VC"/>
  </r>
  <r>
    <x v="7"/>
    <s v="GPT"/>
    <x v="5"/>
    <s v="High"/>
    <n v="0"/>
    <s v="VC"/>
  </r>
  <r>
    <x v="7"/>
    <s v="GPT"/>
    <x v="6"/>
    <s v="Medium"/>
    <n v="0"/>
    <s v="VC"/>
  </r>
  <r>
    <x v="7"/>
    <s v="GPT"/>
    <x v="7"/>
    <s v="Medium"/>
    <n v="0"/>
    <s v="VC"/>
  </r>
  <r>
    <x v="7"/>
    <s v="GPT"/>
    <x v="8"/>
    <s v="Medium"/>
    <n v="0"/>
    <s v="VC"/>
  </r>
  <r>
    <x v="7"/>
    <s v="GPT"/>
    <x v="9"/>
    <s v="Medium"/>
    <n v="0"/>
    <s v="VC"/>
  </r>
  <r>
    <x v="7"/>
    <s v="GPT"/>
    <x v="10"/>
    <s v="High"/>
    <n v="0"/>
    <s v="VC"/>
  </r>
  <r>
    <x v="7"/>
    <s v="GPT"/>
    <x v="11"/>
    <s v="Medium"/>
    <n v="0"/>
    <s v="VC"/>
  </r>
  <r>
    <x v="7"/>
    <s v="GPT"/>
    <x v="12"/>
    <s v="Low"/>
    <n v="0"/>
    <s v="VC"/>
  </r>
  <r>
    <x v="7"/>
    <s v="GPT"/>
    <x v="13"/>
    <s v="Medium"/>
    <n v="0"/>
    <s v="VC"/>
  </r>
  <r>
    <x v="7"/>
    <s v="GPT"/>
    <x v="14"/>
    <s v="Medium"/>
    <n v="0"/>
    <s v="VC"/>
  </r>
  <r>
    <x v="7"/>
    <s v="GPT"/>
    <x v="15"/>
    <s v="High"/>
    <n v="0"/>
    <s v="VC"/>
  </r>
  <r>
    <x v="7"/>
    <s v="GPT"/>
    <x v="16"/>
    <s v="High"/>
    <n v="1"/>
    <s v="VC"/>
  </r>
  <r>
    <x v="7"/>
    <s v="GPT"/>
    <x v="17"/>
    <s v="Medium"/>
    <n v="0"/>
    <s v="VC"/>
  </r>
  <r>
    <x v="8"/>
    <s v="GPT"/>
    <x v="0"/>
    <s v="High"/>
    <n v="1"/>
    <s v="VC"/>
  </r>
  <r>
    <x v="8"/>
    <s v="GPT"/>
    <x v="1"/>
    <s v="High"/>
    <n v="0"/>
    <s v="VC"/>
  </r>
  <r>
    <x v="8"/>
    <s v="GPT"/>
    <x v="2"/>
    <s v="Medium"/>
    <n v="1"/>
    <s v="VC"/>
  </r>
  <r>
    <x v="8"/>
    <s v="GPT"/>
    <x v="3"/>
    <s v="High"/>
    <n v="1"/>
    <s v="MC"/>
  </r>
  <r>
    <x v="8"/>
    <s v="GPT"/>
    <x v="4"/>
    <s v="Medium"/>
    <n v="0"/>
    <s v="VC"/>
  </r>
  <r>
    <x v="8"/>
    <s v="GPT"/>
    <x v="5"/>
    <s v="High"/>
    <n v="0"/>
    <s v="H"/>
  </r>
  <r>
    <x v="8"/>
    <s v="GPT"/>
    <x v="6"/>
    <s v="Medium"/>
    <n v="0"/>
    <s v="VC"/>
  </r>
  <r>
    <x v="8"/>
    <s v="GPT"/>
    <x v="7"/>
    <s v="Medium"/>
    <n v="0"/>
    <s v="VC"/>
  </r>
  <r>
    <x v="8"/>
    <s v="GPT"/>
    <x v="8"/>
    <s v="Medium"/>
    <n v="0"/>
    <s v="VC"/>
  </r>
  <r>
    <x v="8"/>
    <s v="GPT"/>
    <x v="9"/>
    <s v="Medium"/>
    <n v="0"/>
    <s v="VC"/>
  </r>
  <r>
    <x v="8"/>
    <s v="GPT"/>
    <x v="10"/>
    <s v="High"/>
    <n v="0"/>
    <s v="VC"/>
  </r>
  <r>
    <x v="8"/>
    <s v="GPT"/>
    <x v="11"/>
    <s v="Medium"/>
    <n v="0"/>
    <s v="VC"/>
  </r>
  <r>
    <x v="8"/>
    <s v="GPT"/>
    <x v="12"/>
    <s v="Low"/>
    <n v="0"/>
    <s v="VC"/>
  </r>
  <r>
    <x v="8"/>
    <s v="GPT"/>
    <x v="13"/>
    <s v="Medium"/>
    <n v="0"/>
    <s v="VC"/>
  </r>
  <r>
    <x v="8"/>
    <s v="GPT"/>
    <x v="14"/>
    <s v="Medium"/>
    <n v="0"/>
    <s v="VC"/>
  </r>
  <r>
    <x v="8"/>
    <s v="GPT"/>
    <x v="15"/>
    <s v="High"/>
    <n v="0"/>
    <s v="VC"/>
  </r>
  <r>
    <x v="8"/>
    <s v="GPT"/>
    <x v="16"/>
    <s v="High"/>
    <n v="1"/>
    <s v="VC"/>
  </r>
  <r>
    <x v="8"/>
    <s v="GPT"/>
    <x v="17"/>
    <s v="Medium"/>
    <n v="0"/>
    <s v="VC"/>
  </r>
  <r>
    <x v="9"/>
    <s v="GPT"/>
    <x v="0"/>
    <s v="High"/>
    <n v="0"/>
    <s v="AE"/>
  </r>
  <r>
    <x v="9"/>
    <s v="GPT"/>
    <x v="1"/>
    <s v="High"/>
    <n v="0"/>
    <s v="VC"/>
  </r>
  <r>
    <x v="9"/>
    <s v="GPT"/>
    <x v="2"/>
    <s v="Medium"/>
    <n v="1"/>
    <s v="VC"/>
  </r>
  <r>
    <x v="9"/>
    <s v="GPT"/>
    <x v="3"/>
    <s v="High"/>
    <n v="1"/>
    <s v="MC"/>
  </r>
  <r>
    <x v="9"/>
    <s v="GPT"/>
    <x v="4"/>
    <s v="Medium"/>
    <n v="0"/>
    <s v="VC"/>
  </r>
  <r>
    <x v="9"/>
    <s v="GPT"/>
    <x v="5"/>
    <s v="High"/>
    <n v="0"/>
    <s v="VC"/>
  </r>
  <r>
    <x v="9"/>
    <s v="GPT"/>
    <x v="6"/>
    <s v="Medium"/>
    <n v="0"/>
    <s v="VC"/>
  </r>
  <r>
    <x v="9"/>
    <s v="GPT"/>
    <x v="7"/>
    <s v="Medium"/>
    <n v="0"/>
    <s v="VC"/>
  </r>
  <r>
    <x v="9"/>
    <s v="GPT"/>
    <x v="8"/>
    <s v="Medium"/>
    <n v="0"/>
    <s v="VC"/>
  </r>
  <r>
    <x v="9"/>
    <s v="GPT"/>
    <x v="9"/>
    <s v="Medium"/>
    <n v="0"/>
    <s v="VC"/>
  </r>
  <r>
    <x v="9"/>
    <s v="GPT"/>
    <x v="10"/>
    <s v="High"/>
    <n v="0"/>
    <s v="H"/>
  </r>
  <r>
    <x v="9"/>
    <s v="GPT"/>
    <x v="11"/>
    <s v="Medium"/>
    <n v="1"/>
    <s v="MC"/>
  </r>
  <r>
    <x v="9"/>
    <s v="GPT"/>
    <x v="12"/>
    <s v="Low"/>
    <n v="1"/>
    <s v="MC"/>
  </r>
  <r>
    <x v="9"/>
    <s v="GPT"/>
    <x v="13"/>
    <s v="Medium"/>
    <n v="0"/>
    <s v="VC"/>
  </r>
  <r>
    <x v="9"/>
    <s v="GPT"/>
    <x v="14"/>
    <s v="Medium"/>
    <n v="0"/>
    <s v="VC"/>
  </r>
  <r>
    <x v="9"/>
    <s v="GPT"/>
    <x v="15"/>
    <s v="High"/>
    <n v="0"/>
    <s v="MC"/>
  </r>
  <r>
    <x v="9"/>
    <s v="GPT"/>
    <x v="16"/>
    <s v="High"/>
    <n v="1"/>
    <s v="VC"/>
  </r>
  <r>
    <x v="9"/>
    <s v="GPT"/>
    <x v="17"/>
    <s v="Medium"/>
    <n v="1"/>
    <s v="H"/>
  </r>
  <r>
    <x v="10"/>
    <s v="GPT"/>
    <x v="0"/>
    <s v="High"/>
    <n v="0"/>
    <s v="AE"/>
  </r>
  <r>
    <x v="10"/>
    <s v="GPT"/>
    <x v="1"/>
    <s v="High"/>
    <n v="0"/>
    <s v="AE"/>
  </r>
  <r>
    <x v="10"/>
    <s v="GPT"/>
    <x v="2"/>
    <s v="Medium"/>
    <n v="1"/>
    <s v="VC"/>
  </r>
  <r>
    <x v="10"/>
    <s v="GPT"/>
    <x v="3"/>
    <s v="High"/>
    <n v="0"/>
    <s v="AE"/>
  </r>
  <r>
    <x v="10"/>
    <s v="GPT"/>
    <x v="4"/>
    <s v="Medium"/>
    <n v="0"/>
    <s v="VC"/>
  </r>
  <r>
    <x v="10"/>
    <s v="GPT"/>
    <x v="5"/>
    <s v="High"/>
    <n v="0"/>
    <s v="AE"/>
  </r>
  <r>
    <x v="10"/>
    <s v="GPT"/>
    <x v="6"/>
    <s v="Medium"/>
    <n v="0"/>
    <s v="VC"/>
  </r>
  <r>
    <x v="10"/>
    <s v="GPT"/>
    <x v="7"/>
    <s v="Medium"/>
    <n v="0"/>
    <s v="VC"/>
  </r>
  <r>
    <x v="10"/>
    <s v="GPT"/>
    <x v="8"/>
    <s v="Medium"/>
    <n v="0"/>
    <s v="VC"/>
  </r>
  <r>
    <x v="10"/>
    <s v="GPT"/>
    <x v="9"/>
    <s v="Medium"/>
    <n v="0"/>
    <s v="VC"/>
  </r>
  <r>
    <x v="10"/>
    <s v="GPT"/>
    <x v="10"/>
    <s v="High"/>
    <n v="0"/>
    <s v="VC"/>
  </r>
  <r>
    <x v="10"/>
    <s v="GPT"/>
    <x v="11"/>
    <s v="Medium"/>
    <n v="0"/>
    <s v="VC"/>
  </r>
  <r>
    <x v="10"/>
    <s v="GPT"/>
    <x v="12"/>
    <s v="Low"/>
    <n v="0"/>
    <s v="VC"/>
  </r>
  <r>
    <x v="10"/>
    <s v="GPT"/>
    <x v="13"/>
    <s v="Medium"/>
    <n v="0"/>
    <s v="VC"/>
  </r>
  <r>
    <x v="10"/>
    <s v="GPT"/>
    <x v="14"/>
    <s v="Medium"/>
    <n v="0"/>
    <s v="VC"/>
  </r>
  <r>
    <x v="10"/>
    <s v="GPT"/>
    <x v="15"/>
    <s v="High"/>
    <n v="0"/>
    <s v="AE"/>
  </r>
  <r>
    <x v="10"/>
    <s v="GPT"/>
    <x v="16"/>
    <s v="High"/>
    <n v="0"/>
    <s v="VC"/>
  </r>
  <r>
    <x v="10"/>
    <s v="GPT"/>
    <x v="17"/>
    <s v="Medium"/>
    <n v="0"/>
    <s v="VC"/>
  </r>
  <r>
    <x v="11"/>
    <s v="GPT"/>
    <x v="0"/>
    <s v="High"/>
    <n v="0"/>
    <s v="AE"/>
  </r>
  <r>
    <x v="11"/>
    <s v="GPT"/>
    <x v="1"/>
    <s v="High"/>
    <n v="0"/>
    <s v="AE"/>
  </r>
  <r>
    <x v="11"/>
    <s v="GPT"/>
    <x v="2"/>
    <s v="Medium"/>
    <n v="1"/>
    <s v="VC"/>
  </r>
  <r>
    <x v="11"/>
    <s v="GPT"/>
    <x v="3"/>
    <s v="High"/>
    <n v="1"/>
    <s v="MC"/>
  </r>
  <r>
    <x v="11"/>
    <s v="GPT"/>
    <x v="4"/>
    <s v="Medium"/>
    <n v="0"/>
    <s v="VC"/>
  </r>
  <r>
    <x v="11"/>
    <s v="GPT"/>
    <x v="5"/>
    <s v="High"/>
    <n v="0"/>
    <s v="AE"/>
  </r>
  <r>
    <x v="11"/>
    <s v="GPT"/>
    <x v="6"/>
    <s v="Medium"/>
    <n v="0"/>
    <s v="VC"/>
  </r>
  <r>
    <x v="11"/>
    <s v="GPT"/>
    <x v="7"/>
    <s v="Medium"/>
    <n v="0"/>
    <s v="VC"/>
  </r>
  <r>
    <x v="11"/>
    <s v="GPT"/>
    <x v="8"/>
    <s v="Medium"/>
    <n v="1"/>
    <s v="MC"/>
  </r>
  <r>
    <x v="11"/>
    <s v="GPT"/>
    <x v="9"/>
    <s v="Medium"/>
    <n v="1"/>
    <s v="MC"/>
  </r>
  <r>
    <x v="11"/>
    <s v="GPT"/>
    <x v="10"/>
    <s v="High"/>
    <n v="1"/>
    <s v="MC"/>
  </r>
  <r>
    <x v="11"/>
    <s v="GPT"/>
    <x v="11"/>
    <s v="Medium"/>
    <n v="1"/>
    <s v="MC"/>
  </r>
  <r>
    <x v="11"/>
    <s v="GPT"/>
    <x v="12"/>
    <s v="Low"/>
    <n v="1"/>
    <s v="MC"/>
  </r>
  <r>
    <x v="11"/>
    <s v="GPT"/>
    <x v="13"/>
    <s v="Medium"/>
    <n v="0"/>
    <s v="VC"/>
  </r>
  <r>
    <x v="11"/>
    <s v="GPT"/>
    <x v="14"/>
    <s v="Medium"/>
    <n v="0"/>
    <s v="VC"/>
  </r>
  <r>
    <x v="11"/>
    <s v="GPT"/>
    <x v="15"/>
    <s v="High"/>
    <n v="0"/>
    <s v="AE"/>
  </r>
  <r>
    <x v="11"/>
    <s v="GPT"/>
    <x v="16"/>
    <s v="High"/>
    <n v="0"/>
    <s v="VC"/>
  </r>
  <r>
    <x v="11"/>
    <s v="GPT"/>
    <x v="17"/>
    <s v="Medium"/>
    <n v="0"/>
    <s v="VC"/>
  </r>
  <r>
    <x v="12"/>
    <s v="GPT"/>
    <x v="0"/>
    <s v="High"/>
    <n v="0"/>
    <s v="AE"/>
  </r>
  <r>
    <x v="12"/>
    <s v="GPT"/>
    <x v="1"/>
    <s v="High"/>
    <n v="0"/>
    <s v="VC"/>
  </r>
  <r>
    <x v="12"/>
    <s v="GPT"/>
    <x v="2"/>
    <s v="Medium"/>
    <n v="1"/>
    <s v="VC"/>
  </r>
  <r>
    <x v="12"/>
    <s v="GPT"/>
    <x v="3"/>
    <s v="High"/>
    <n v="0"/>
    <s v="VC"/>
  </r>
  <r>
    <x v="12"/>
    <s v="GPT"/>
    <x v="4"/>
    <s v="Medium"/>
    <n v="0"/>
    <s v="VC"/>
  </r>
  <r>
    <x v="12"/>
    <s v="GPT"/>
    <x v="5"/>
    <s v="High"/>
    <n v="0"/>
    <s v="VC"/>
  </r>
  <r>
    <x v="12"/>
    <s v="GPT"/>
    <x v="6"/>
    <s v="Medium"/>
    <n v="0"/>
    <s v="VC"/>
  </r>
  <r>
    <x v="12"/>
    <s v="GPT"/>
    <x v="7"/>
    <s v="Medium"/>
    <n v="0"/>
    <s v="VC"/>
  </r>
  <r>
    <x v="12"/>
    <s v="GPT"/>
    <x v="8"/>
    <s v="Medium"/>
    <n v="0"/>
    <s v="VC"/>
  </r>
  <r>
    <x v="12"/>
    <s v="GPT"/>
    <x v="9"/>
    <s v="Medium"/>
    <n v="0"/>
    <s v="VC"/>
  </r>
  <r>
    <x v="12"/>
    <s v="GPT"/>
    <x v="10"/>
    <s v="High"/>
    <n v="0"/>
    <s v="VC"/>
  </r>
  <r>
    <x v="12"/>
    <s v="GPT"/>
    <x v="11"/>
    <s v="Medium"/>
    <n v="0"/>
    <s v="VC"/>
  </r>
  <r>
    <x v="12"/>
    <s v="GPT"/>
    <x v="12"/>
    <s v="Low"/>
    <n v="0"/>
    <s v="VC"/>
  </r>
  <r>
    <x v="12"/>
    <s v="GPT"/>
    <x v="13"/>
    <s v="Medium"/>
    <n v="0"/>
    <s v="VC"/>
  </r>
  <r>
    <x v="12"/>
    <s v="GPT"/>
    <x v="14"/>
    <s v="Medium"/>
    <n v="0"/>
    <s v="VC"/>
  </r>
  <r>
    <x v="12"/>
    <s v="GPT"/>
    <x v="15"/>
    <s v="High"/>
    <n v="0"/>
    <s v="VC"/>
  </r>
  <r>
    <x v="12"/>
    <s v="GPT"/>
    <x v="16"/>
    <s v="High"/>
    <n v="1"/>
    <s v="VC"/>
  </r>
  <r>
    <x v="12"/>
    <s v="GPT"/>
    <x v="17"/>
    <s v="Medium"/>
    <n v="0"/>
    <s v="VC"/>
  </r>
  <r>
    <x v="13"/>
    <s v="GPT"/>
    <x v="0"/>
    <s v="High"/>
    <n v="0"/>
    <s v="AE"/>
  </r>
  <r>
    <x v="13"/>
    <s v="GPT"/>
    <x v="1"/>
    <s v="High"/>
    <n v="0"/>
    <s v="VC"/>
  </r>
  <r>
    <x v="13"/>
    <s v="GPT"/>
    <x v="2"/>
    <s v="Medium"/>
    <n v="1"/>
    <s v="VC"/>
  </r>
  <r>
    <x v="13"/>
    <s v="GPT"/>
    <x v="3"/>
    <s v="High"/>
    <n v="1"/>
    <s v="MC"/>
  </r>
  <r>
    <x v="13"/>
    <s v="GPT"/>
    <x v="4"/>
    <s v="Medium"/>
    <n v="0"/>
    <s v="VC"/>
  </r>
  <r>
    <x v="13"/>
    <s v="GPT"/>
    <x v="5"/>
    <s v="High"/>
    <n v="0"/>
    <s v="VC"/>
  </r>
  <r>
    <x v="13"/>
    <s v="GPT"/>
    <x v="6"/>
    <s v="Medium"/>
    <n v="0"/>
    <s v="VC"/>
  </r>
  <r>
    <x v="13"/>
    <s v="GPT"/>
    <x v="7"/>
    <s v="Medium"/>
    <n v="0"/>
    <s v="VC"/>
  </r>
  <r>
    <x v="13"/>
    <s v="GPT"/>
    <x v="8"/>
    <s v="Medium"/>
    <n v="0"/>
    <s v="VC"/>
  </r>
  <r>
    <x v="13"/>
    <s v="GPT"/>
    <x v="9"/>
    <s v="Medium"/>
    <n v="0"/>
    <s v="VC"/>
  </r>
  <r>
    <x v="13"/>
    <s v="GPT"/>
    <x v="10"/>
    <s v="High"/>
    <n v="0"/>
    <s v="VC"/>
  </r>
  <r>
    <x v="13"/>
    <s v="GPT"/>
    <x v="11"/>
    <s v="Medium"/>
    <n v="0"/>
    <s v="VC"/>
  </r>
  <r>
    <x v="13"/>
    <s v="GPT"/>
    <x v="12"/>
    <s v="Low"/>
    <n v="1"/>
    <s v="VC"/>
  </r>
  <r>
    <x v="13"/>
    <s v="GPT"/>
    <x v="13"/>
    <s v="Medium"/>
    <n v="0"/>
    <s v="VC"/>
  </r>
  <r>
    <x v="13"/>
    <s v="GPT"/>
    <x v="14"/>
    <s v="Medium"/>
    <n v="0"/>
    <s v="VC"/>
  </r>
  <r>
    <x v="13"/>
    <s v="GPT"/>
    <x v="15"/>
    <s v="High"/>
    <n v="0"/>
    <s v="VC"/>
  </r>
  <r>
    <x v="13"/>
    <s v="GPT"/>
    <x v="16"/>
    <s v="High"/>
    <n v="0"/>
    <s v="MC"/>
  </r>
  <r>
    <x v="13"/>
    <s v="GPT"/>
    <x v="17"/>
    <s v="Medium"/>
    <n v="0"/>
    <s v="VC"/>
  </r>
  <r>
    <x v="14"/>
    <s v="GPT"/>
    <x v="0"/>
    <s v="High"/>
    <n v="0"/>
    <s v="AE"/>
  </r>
  <r>
    <x v="14"/>
    <s v="GPT"/>
    <x v="1"/>
    <s v="High"/>
    <n v="0"/>
    <s v="AE"/>
  </r>
  <r>
    <x v="14"/>
    <s v="GPT"/>
    <x v="2"/>
    <s v="Medium"/>
    <n v="1"/>
    <s v="VC"/>
  </r>
  <r>
    <x v="14"/>
    <s v="GPT"/>
    <x v="3"/>
    <s v="High"/>
    <n v="0"/>
    <s v="AE"/>
  </r>
  <r>
    <x v="14"/>
    <s v="GPT"/>
    <x v="4"/>
    <s v="Medium"/>
    <n v="0"/>
    <s v="AE"/>
  </r>
  <r>
    <x v="14"/>
    <s v="GPT"/>
    <x v="5"/>
    <s v="High"/>
    <n v="0"/>
    <s v="AE"/>
  </r>
  <r>
    <x v="14"/>
    <s v="GPT"/>
    <x v="6"/>
    <s v="Medium"/>
    <n v="0"/>
    <s v="VC"/>
  </r>
  <r>
    <x v="14"/>
    <s v="GPT"/>
    <x v="7"/>
    <s v="Medium"/>
    <n v="0"/>
    <s v="VC"/>
  </r>
  <r>
    <x v="14"/>
    <s v="GPT"/>
    <x v="8"/>
    <s v="Medium"/>
    <n v="0"/>
    <s v="VC"/>
  </r>
  <r>
    <x v="14"/>
    <s v="GPT"/>
    <x v="9"/>
    <s v="Medium"/>
    <n v="0"/>
    <s v="VC"/>
  </r>
  <r>
    <x v="14"/>
    <s v="GPT"/>
    <x v="10"/>
    <s v="High"/>
    <n v="0"/>
    <s v="VC"/>
  </r>
  <r>
    <x v="14"/>
    <s v="GPT"/>
    <x v="11"/>
    <s v="Medium"/>
    <n v="0"/>
    <s v="VC"/>
  </r>
  <r>
    <x v="14"/>
    <s v="GPT"/>
    <x v="12"/>
    <s v="Low"/>
    <n v="0"/>
    <s v="VC"/>
  </r>
  <r>
    <x v="14"/>
    <s v="GPT"/>
    <x v="13"/>
    <s v="Medium"/>
    <n v="0"/>
    <s v="VC"/>
  </r>
  <r>
    <x v="14"/>
    <s v="GPT"/>
    <x v="14"/>
    <s v="Medium"/>
    <n v="0"/>
    <s v="VC"/>
  </r>
  <r>
    <x v="14"/>
    <s v="GPT"/>
    <x v="15"/>
    <s v="High"/>
    <n v="0"/>
    <s v="AE"/>
  </r>
  <r>
    <x v="14"/>
    <s v="GPT"/>
    <x v="16"/>
    <s v="High"/>
    <n v="1"/>
    <s v="VC"/>
  </r>
  <r>
    <x v="14"/>
    <s v="GPT"/>
    <x v="17"/>
    <s v="Medium"/>
    <n v="0"/>
    <s v="VC"/>
  </r>
  <r>
    <x v="15"/>
    <s v="GPT"/>
    <x v="0"/>
    <s v="High"/>
    <n v="0"/>
    <s v="AE"/>
  </r>
  <r>
    <x v="15"/>
    <s v="GPT"/>
    <x v="1"/>
    <s v="High"/>
    <n v="0"/>
    <s v="VC"/>
  </r>
  <r>
    <x v="15"/>
    <s v="GPT"/>
    <x v="2"/>
    <s v="Medium"/>
    <n v="1"/>
    <s v="MC"/>
  </r>
  <r>
    <x v="15"/>
    <s v="GPT"/>
    <x v="3"/>
    <s v="High"/>
    <n v="1"/>
    <s v="H"/>
  </r>
  <r>
    <x v="15"/>
    <s v="GPT"/>
    <x v="4"/>
    <s v="Medium"/>
    <n v="0"/>
    <s v="VC"/>
  </r>
  <r>
    <x v="15"/>
    <s v="GPT"/>
    <x v="5"/>
    <s v="High"/>
    <n v="0"/>
    <s v="VC"/>
  </r>
  <r>
    <x v="15"/>
    <s v="GPT"/>
    <x v="6"/>
    <s v="Medium"/>
    <n v="0"/>
    <s v="VC"/>
  </r>
  <r>
    <x v="15"/>
    <s v="GPT"/>
    <x v="7"/>
    <s v="Medium"/>
    <n v="0"/>
    <s v="VC"/>
  </r>
  <r>
    <x v="15"/>
    <s v="GPT"/>
    <x v="8"/>
    <s v="Medium"/>
    <n v="0"/>
    <s v="VC"/>
  </r>
  <r>
    <x v="15"/>
    <s v="GPT"/>
    <x v="9"/>
    <s v="Medium"/>
    <n v="0"/>
    <s v="VC"/>
  </r>
  <r>
    <x v="15"/>
    <s v="GPT"/>
    <x v="10"/>
    <s v="High"/>
    <n v="0"/>
    <s v="VC"/>
  </r>
  <r>
    <x v="15"/>
    <s v="GPT"/>
    <x v="11"/>
    <s v="Medium"/>
    <n v="0"/>
    <s v="VC"/>
  </r>
  <r>
    <x v="15"/>
    <s v="GPT"/>
    <x v="12"/>
    <s v="Low"/>
    <n v="0"/>
    <s v="VC"/>
  </r>
  <r>
    <x v="15"/>
    <s v="GPT"/>
    <x v="13"/>
    <s v="Medium"/>
    <n v="0"/>
    <s v="VC"/>
  </r>
  <r>
    <x v="15"/>
    <s v="GPT"/>
    <x v="14"/>
    <s v="Medium"/>
    <n v="0"/>
    <s v="VC"/>
  </r>
  <r>
    <x v="15"/>
    <s v="GPT"/>
    <x v="15"/>
    <s v="High"/>
    <n v="0"/>
    <s v="VC"/>
  </r>
  <r>
    <x v="15"/>
    <s v="GPT"/>
    <x v="16"/>
    <s v="High"/>
    <n v="1"/>
    <s v="VC"/>
  </r>
  <r>
    <x v="15"/>
    <s v="GPT"/>
    <x v="17"/>
    <s v="Medium"/>
    <n v="0"/>
    <s v="VC"/>
  </r>
  <r>
    <x v="16"/>
    <s v="GPT"/>
    <x v="0"/>
    <s v="High"/>
    <n v="0"/>
    <s v="AE"/>
  </r>
  <r>
    <x v="16"/>
    <s v="GPT"/>
    <x v="1"/>
    <s v="High"/>
    <n v="0"/>
    <s v="AE"/>
  </r>
  <r>
    <x v="16"/>
    <s v="GPT"/>
    <x v="2"/>
    <s v="Medium"/>
    <n v="1"/>
    <s v="VC"/>
  </r>
  <r>
    <x v="16"/>
    <s v="GPT"/>
    <x v="3"/>
    <s v="High"/>
    <n v="0"/>
    <s v="AE"/>
  </r>
  <r>
    <x v="16"/>
    <s v="GPT"/>
    <x v="4"/>
    <s v="Medium"/>
    <n v="0"/>
    <s v="VC"/>
  </r>
  <r>
    <x v="16"/>
    <s v="GPT"/>
    <x v="5"/>
    <s v="High"/>
    <n v="0"/>
    <s v="AE"/>
  </r>
  <r>
    <x v="16"/>
    <s v="GPT"/>
    <x v="6"/>
    <s v="Medium"/>
    <n v="0"/>
    <s v="VC"/>
  </r>
  <r>
    <x v="16"/>
    <s v="GPT"/>
    <x v="7"/>
    <s v="Medium"/>
    <n v="0"/>
    <s v="VC"/>
  </r>
  <r>
    <x v="16"/>
    <s v="GPT"/>
    <x v="8"/>
    <s v="Medium"/>
    <n v="0"/>
    <s v="H"/>
  </r>
  <r>
    <x v="16"/>
    <s v="GPT"/>
    <x v="9"/>
    <s v="Medium"/>
    <n v="1"/>
    <s v="MC"/>
  </r>
  <r>
    <x v="16"/>
    <s v="GPT"/>
    <x v="10"/>
    <s v="High"/>
    <n v="1"/>
    <s v="MC"/>
  </r>
  <r>
    <x v="16"/>
    <s v="GPT"/>
    <x v="11"/>
    <s v="Medium"/>
    <n v="1"/>
    <s v="MC"/>
  </r>
  <r>
    <x v="16"/>
    <s v="GPT"/>
    <x v="12"/>
    <s v="Low"/>
    <n v="1"/>
    <s v="VC"/>
  </r>
  <r>
    <x v="16"/>
    <s v="GPT"/>
    <x v="13"/>
    <s v="Medium"/>
    <n v="0"/>
    <s v="VC"/>
  </r>
  <r>
    <x v="16"/>
    <s v="GPT"/>
    <x v="14"/>
    <s v="Medium"/>
    <n v="0"/>
    <s v="VC"/>
  </r>
  <r>
    <x v="16"/>
    <s v="GPT"/>
    <x v="15"/>
    <s v="High"/>
    <n v="0"/>
    <s v="AE"/>
  </r>
  <r>
    <x v="16"/>
    <s v="GPT"/>
    <x v="16"/>
    <s v="High"/>
    <n v="0"/>
    <s v="VC"/>
  </r>
  <r>
    <x v="16"/>
    <s v="GPT"/>
    <x v="17"/>
    <s v="Medium"/>
    <n v="0"/>
    <s v="AE"/>
  </r>
  <r>
    <x v="17"/>
    <s v="GPT"/>
    <x v="0"/>
    <s v="High"/>
    <n v="0"/>
    <s v="AE"/>
  </r>
  <r>
    <x v="17"/>
    <s v="GPT"/>
    <x v="1"/>
    <s v="High"/>
    <n v="0"/>
    <s v="VC"/>
  </r>
  <r>
    <x v="17"/>
    <s v="GPT"/>
    <x v="2"/>
    <s v="Medium"/>
    <n v="1"/>
    <s v="MC"/>
  </r>
  <r>
    <x v="17"/>
    <s v="GPT"/>
    <x v="3"/>
    <s v="High"/>
    <n v="0"/>
    <s v="VC"/>
  </r>
  <r>
    <x v="17"/>
    <s v="GPT"/>
    <x v="4"/>
    <s v="Medium"/>
    <n v="0"/>
    <s v="VC"/>
  </r>
  <r>
    <x v="17"/>
    <s v="GPT"/>
    <x v="5"/>
    <s v="High"/>
    <n v="0"/>
    <s v="VC"/>
  </r>
  <r>
    <x v="17"/>
    <s v="GPT"/>
    <x v="6"/>
    <s v="Medium"/>
    <n v="0"/>
    <s v="VC"/>
  </r>
  <r>
    <x v="17"/>
    <s v="GPT"/>
    <x v="7"/>
    <s v="Medium"/>
    <n v="0"/>
    <s v="VC"/>
  </r>
  <r>
    <x v="17"/>
    <s v="GPT"/>
    <x v="8"/>
    <s v="Medium"/>
    <n v="0"/>
    <s v="VC"/>
  </r>
  <r>
    <x v="17"/>
    <s v="GPT"/>
    <x v="9"/>
    <s v="Medium"/>
    <n v="1"/>
    <s v="MC"/>
  </r>
  <r>
    <x v="17"/>
    <s v="GPT"/>
    <x v="10"/>
    <s v="High"/>
    <n v="0"/>
    <s v="VC"/>
  </r>
  <r>
    <x v="17"/>
    <s v="GPT"/>
    <x v="11"/>
    <s v="Medium"/>
    <n v="0"/>
    <s v="VC"/>
  </r>
  <r>
    <x v="17"/>
    <s v="GPT"/>
    <x v="12"/>
    <s v="Low"/>
    <n v="0"/>
    <s v="VC"/>
  </r>
  <r>
    <x v="17"/>
    <s v="GPT"/>
    <x v="13"/>
    <s v="Medium"/>
    <n v="0"/>
    <s v="VC"/>
  </r>
  <r>
    <x v="17"/>
    <s v="GPT"/>
    <x v="14"/>
    <s v="Medium"/>
    <n v="0"/>
    <s v="VC"/>
  </r>
  <r>
    <x v="17"/>
    <s v="GPT"/>
    <x v="15"/>
    <s v="High"/>
    <n v="0"/>
    <s v="VC"/>
  </r>
  <r>
    <x v="17"/>
    <s v="GPT"/>
    <x v="16"/>
    <s v="High"/>
    <n v="1"/>
    <s v="VC"/>
  </r>
  <r>
    <x v="17"/>
    <s v="GPT"/>
    <x v="17"/>
    <s v="Medium"/>
    <n v="0"/>
    <s v="VC"/>
  </r>
  <r>
    <x v="18"/>
    <s v="GPT"/>
    <x v="0"/>
    <s v="High"/>
    <n v="0"/>
    <s v="AE"/>
  </r>
  <r>
    <x v="18"/>
    <s v="GPT"/>
    <x v="1"/>
    <s v="High"/>
    <n v="0"/>
    <s v="VC"/>
  </r>
  <r>
    <x v="18"/>
    <s v="GPT"/>
    <x v="2"/>
    <s v="Medium"/>
    <n v="1"/>
    <s v="VC"/>
  </r>
  <r>
    <x v="18"/>
    <s v="GPT"/>
    <x v="3"/>
    <s v="High"/>
    <n v="0"/>
    <s v="VC"/>
  </r>
  <r>
    <x v="18"/>
    <s v="GPT"/>
    <x v="4"/>
    <s v="Medium"/>
    <n v="0"/>
    <s v="VC"/>
  </r>
  <r>
    <x v="18"/>
    <s v="GPT"/>
    <x v="5"/>
    <s v="High"/>
    <n v="0"/>
    <s v="VC"/>
  </r>
  <r>
    <x v="18"/>
    <s v="GPT"/>
    <x v="6"/>
    <s v="Medium"/>
    <n v="0"/>
    <s v="VC"/>
  </r>
  <r>
    <x v="18"/>
    <s v="GPT"/>
    <x v="7"/>
    <s v="Medium"/>
    <n v="0"/>
    <s v="VC"/>
  </r>
  <r>
    <x v="18"/>
    <s v="GPT"/>
    <x v="8"/>
    <s v="Medium"/>
    <n v="0"/>
    <s v="VC"/>
  </r>
  <r>
    <x v="18"/>
    <s v="GPT"/>
    <x v="9"/>
    <s v="Medium"/>
    <n v="0"/>
    <s v="VC"/>
  </r>
  <r>
    <x v="18"/>
    <s v="GPT"/>
    <x v="10"/>
    <s v="High"/>
    <n v="0"/>
    <s v="VC"/>
  </r>
  <r>
    <x v="18"/>
    <s v="GPT"/>
    <x v="11"/>
    <s v="Medium"/>
    <n v="0"/>
    <s v="VC"/>
  </r>
  <r>
    <x v="18"/>
    <s v="GPT"/>
    <x v="12"/>
    <s v="Low"/>
    <n v="0"/>
    <s v="VC"/>
  </r>
  <r>
    <x v="18"/>
    <s v="GPT"/>
    <x v="13"/>
    <s v="Medium"/>
    <n v="0"/>
    <s v="VC"/>
  </r>
  <r>
    <x v="18"/>
    <s v="GPT"/>
    <x v="14"/>
    <s v="Medium"/>
    <n v="0"/>
    <s v="H"/>
  </r>
  <r>
    <x v="18"/>
    <s v="GPT"/>
    <x v="15"/>
    <s v="High"/>
    <n v="0"/>
    <s v="VC"/>
  </r>
  <r>
    <x v="18"/>
    <s v="GPT"/>
    <x v="16"/>
    <s v="High"/>
    <n v="0"/>
    <s v="MC"/>
  </r>
  <r>
    <x v="18"/>
    <s v="GPT"/>
    <x v="17"/>
    <s v="Medium"/>
    <n v="0"/>
    <s v="VC"/>
  </r>
  <r>
    <x v="19"/>
    <s v="GPT"/>
    <x v="0"/>
    <s v="High"/>
    <n v="0"/>
    <s v="AE"/>
  </r>
  <r>
    <x v="19"/>
    <s v="GPT"/>
    <x v="1"/>
    <s v="High"/>
    <n v="0"/>
    <s v="VC"/>
  </r>
  <r>
    <x v="19"/>
    <s v="GPT"/>
    <x v="2"/>
    <s v="Medium"/>
    <n v="1"/>
    <s v="MC"/>
  </r>
  <r>
    <x v="19"/>
    <s v="GPT"/>
    <x v="3"/>
    <s v="High"/>
    <n v="0"/>
    <s v="VC"/>
  </r>
  <r>
    <x v="19"/>
    <s v="GPT"/>
    <x v="4"/>
    <s v="Medium"/>
    <n v="0"/>
    <s v="VC"/>
  </r>
  <r>
    <x v="19"/>
    <s v="GPT"/>
    <x v="5"/>
    <s v="High"/>
    <n v="0"/>
    <s v="AE"/>
  </r>
  <r>
    <x v="19"/>
    <s v="GPT"/>
    <x v="6"/>
    <s v="Medium"/>
    <n v="0"/>
    <s v="VC"/>
  </r>
  <r>
    <x v="19"/>
    <s v="GPT"/>
    <x v="7"/>
    <s v="Medium"/>
    <n v="0"/>
    <s v="VC"/>
  </r>
  <r>
    <x v="19"/>
    <s v="GPT"/>
    <x v="8"/>
    <s v="Medium"/>
    <n v="0"/>
    <s v="VC"/>
  </r>
  <r>
    <x v="19"/>
    <s v="GPT"/>
    <x v="9"/>
    <s v="Medium"/>
    <n v="0"/>
    <s v="VC"/>
  </r>
  <r>
    <x v="19"/>
    <s v="GPT"/>
    <x v="10"/>
    <s v="High"/>
    <n v="1"/>
    <s v="MC"/>
  </r>
  <r>
    <x v="19"/>
    <s v="GPT"/>
    <x v="11"/>
    <s v="Medium"/>
    <n v="0"/>
    <s v="VC"/>
  </r>
  <r>
    <x v="19"/>
    <s v="GPT"/>
    <x v="12"/>
    <s v="Low"/>
    <n v="1"/>
    <s v="MC"/>
  </r>
  <r>
    <x v="19"/>
    <s v="GPT"/>
    <x v="13"/>
    <s v="Medium"/>
    <n v="0"/>
    <s v="VC"/>
  </r>
  <r>
    <x v="19"/>
    <s v="GPT"/>
    <x v="14"/>
    <s v="Medium"/>
    <n v="0"/>
    <s v="VC"/>
  </r>
  <r>
    <x v="19"/>
    <s v="GPT"/>
    <x v="15"/>
    <s v="High"/>
    <n v="0"/>
    <s v="AE"/>
  </r>
  <r>
    <x v="19"/>
    <s v="GPT"/>
    <x v="16"/>
    <s v="High"/>
    <n v="1"/>
    <s v="VC"/>
  </r>
  <r>
    <x v="19"/>
    <s v="GPT"/>
    <x v="17"/>
    <s v="Medium"/>
    <n v="0"/>
    <s v="VC"/>
  </r>
  <r>
    <x v="0"/>
    <s v="CLAUDE"/>
    <x v="0"/>
    <s v="High"/>
    <n v="1"/>
    <s v="VC"/>
  </r>
  <r>
    <x v="0"/>
    <s v="CLAUDE"/>
    <x v="1"/>
    <s v="High"/>
    <n v="0"/>
    <s v="VC"/>
  </r>
  <r>
    <x v="0"/>
    <s v="CLAUDE"/>
    <x v="2"/>
    <s v="Medium"/>
    <n v="0"/>
    <s v="VC"/>
  </r>
  <r>
    <x v="0"/>
    <s v="CLAUDE"/>
    <x v="3"/>
    <s v="High"/>
    <n v="0"/>
    <s v="VC"/>
  </r>
  <r>
    <x v="0"/>
    <s v="CLAUDE"/>
    <x v="4"/>
    <s v="Medium"/>
    <n v="0"/>
    <s v="VC"/>
  </r>
  <r>
    <x v="0"/>
    <s v="CLAUDE"/>
    <x v="5"/>
    <s v="High"/>
    <n v="0"/>
    <s v="VC"/>
  </r>
  <r>
    <x v="0"/>
    <s v="CLAUDE"/>
    <x v="6"/>
    <s v="Medium"/>
    <n v="0"/>
    <s v="VC"/>
  </r>
  <r>
    <x v="0"/>
    <s v="CLAUDE"/>
    <x v="7"/>
    <s v="Medium"/>
    <n v="0"/>
    <s v="VC"/>
  </r>
  <r>
    <x v="0"/>
    <s v="CLAUDE"/>
    <x v="8"/>
    <s v="Medium"/>
    <n v="0"/>
    <s v="VC"/>
  </r>
  <r>
    <x v="0"/>
    <s v="CLAUDE"/>
    <x v="9"/>
    <s v="Medium"/>
    <n v="0"/>
    <s v="VC"/>
  </r>
  <r>
    <x v="0"/>
    <s v="CLAUDE"/>
    <x v="10"/>
    <s v="High"/>
    <n v="0"/>
    <s v="VC"/>
  </r>
  <r>
    <x v="0"/>
    <s v="CLAUDE"/>
    <x v="11"/>
    <s v="Medium"/>
    <n v="0"/>
    <s v="VC"/>
  </r>
  <r>
    <x v="0"/>
    <s v="CLAUDE"/>
    <x v="12"/>
    <s v="Low"/>
    <n v="0"/>
    <s v="VC"/>
  </r>
  <r>
    <x v="0"/>
    <s v="CLAUDE"/>
    <x v="13"/>
    <s v="Medium"/>
    <n v="0"/>
    <s v="VC"/>
  </r>
  <r>
    <x v="0"/>
    <s v="CLAUDE"/>
    <x v="14"/>
    <s v="Medium"/>
    <n v="0"/>
    <s v="VC"/>
  </r>
  <r>
    <x v="0"/>
    <s v="CLAUDE"/>
    <x v="15"/>
    <s v="High"/>
    <n v="0"/>
    <s v="VC"/>
  </r>
  <r>
    <x v="0"/>
    <s v="CLAUDE"/>
    <x v="16"/>
    <s v="High"/>
    <n v="0"/>
    <s v="VC"/>
  </r>
  <r>
    <x v="0"/>
    <s v="CLAUDE"/>
    <x v="17"/>
    <s v="Medium"/>
    <n v="0"/>
    <s v="VC"/>
  </r>
  <r>
    <x v="1"/>
    <s v="CLAUDE"/>
    <x v="0"/>
    <s v="High"/>
    <n v="0"/>
    <s v="AE"/>
  </r>
  <r>
    <x v="1"/>
    <s v="CLAUDE"/>
    <x v="1"/>
    <s v="High"/>
    <n v="0"/>
    <s v="VC"/>
  </r>
  <r>
    <x v="1"/>
    <s v="CLAUDE"/>
    <x v="2"/>
    <s v="Medium"/>
    <n v="1"/>
    <s v="VC"/>
  </r>
  <r>
    <x v="1"/>
    <s v="CLAUDE"/>
    <x v="3"/>
    <s v="High"/>
    <n v="0"/>
    <s v="VC"/>
  </r>
  <r>
    <x v="1"/>
    <s v="CLAUDE"/>
    <x v="4"/>
    <s v="Medium"/>
    <n v="0"/>
    <s v="VC"/>
  </r>
  <r>
    <x v="1"/>
    <s v="CLAUDE"/>
    <x v="5"/>
    <s v="High"/>
    <n v="0"/>
    <s v="AE"/>
  </r>
  <r>
    <x v="1"/>
    <s v="CLAUDE"/>
    <x v="6"/>
    <s v="Medium"/>
    <n v="0"/>
    <s v="VC"/>
  </r>
  <r>
    <x v="1"/>
    <s v="CLAUDE"/>
    <x v="7"/>
    <s v="Medium"/>
    <n v="0"/>
    <s v="VC"/>
  </r>
  <r>
    <x v="1"/>
    <s v="CLAUDE"/>
    <x v="8"/>
    <s v="Medium"/>
    <n v="0"/>
    <s v="VC"/>
  </r>
  <r>
    <x v="1"/>
    <s v="CLAUDE"/>
    <x v="9"/>
    <s v="Medium"/>
    <n v="0"/>
    <s v="VC"/>
  </r>
  <r>
    <x v="1"/>
    <s v="CLAUDE"/>
    <x v="10"/>
    <s v="High"/>
    <n v="0"/>
    <s v="VC"/>
  </r>
  <r>
    <x v="1"/>
    <s v="CLAUDE"/>
    <x v="11"/>
    <s v="Medium"/>
    <n v="0"/>
    <s v="VC"/>
  </r>
  <r>
    <x v="1"/>
    <s v="CLAUDE"/>
    <x v="12"/>
    <s v="Low"/>
    <n v="0"/>
    <s v="VC"/>
  </r>
  <r>
    <x v="1"/>
    <s v="CLAUDE"/>
    <x v="13"/>
    <s v="Medium"/>
    <n v="0"/>
    <s v="VC"/>
  </r>
  <r>
    <x v="1"/>
    <s v="CLAUDE"/>
    <x v="14"/>
    <s v="Medium"/>
    <n v="0"/>
    <s v="VC"/>
  </r>
  <r>
    <x v="1"/>
    <s v="CLAUDE"/>
    <x v="15"/>
    <s v="High"/>
    <n v="0"/>
    <s v="AE"/>
  </r>
  <r>
    <x v="1"/>
    <s v="CLAUDE"/>
    <x v="16"/>
    <s v="High"/>
    <n v="0"/>
    <s v="VC"/>
  </r>
  <r>
    <x v="1"/>
    <s v="CLAUDE"/>
    <x v="17"/>
    <s v="Medium"/>
    <n v="0"/>
    <s v="VC"/>
  </r>
  <r>
    <x v="2"/>
    <s v="CLAUDE"/>
    <x v="0"/>
    <s v="High"/>
    <n v="0"/>
    <s v="AE"/>
  </r>
  <r>
    <x v="2"/>
    <s v="CLAUDE"/>
    <x v="1"/>
    <s v="High"/>
    <n v="0"/>
    <s v="VC"/>
  </r>
  <r>
    <x v="2"/>
    <s v="CLAUDE"/>
    <x v="2"/>
    <s v="Medium"/>
    <n v="1"/>
    <s v="VC"/>
  </r>
  <r>
    <x v="2"/>
    <s v="CLAUDE"/>
    <x v="3"/>
    <s v="High"/>
    <n v="0"/>
    <s v="VC"/>
  </r>
  <r>
    <x v="2"/>
    <s v="CLAUDE"/>
    <x v="4"/>
    <s v="Medium"/>
    <n v="0"/>
    <s v="VC"/>
  </r>
  <r>
    <x v="2"/>
    <s v="CLAUDE"/>
    <x v="5"/>
    <s v="High"/>
    <n v="0"/>
    <s v="AE"/>
  </r>
  <r>
    <x v="2"/>
    <s v="CLAUDE"/>
    <x v="6"/>
    <s v="Medium"/>
    <n v="0"/>
    <s v="VC"/>
  </r>
  <r>
    <x v="2"/>
    <s v="CLAUDE"/>
    <x v="7"/>
    <s v="Medium"/>
    <n v="0"/>
    <s v="VC"/>
  </r>
  <r>
    <x v="2"/>
    <s v="CLAUDE"/>
    <x v="8"/>
    <s v="Medium"/>
    <n v="0"/>
    <s v="VC"/>
  </r>
  <r>
    <x v="2"/>
    <s v="CLAUDE"/>
    <x v="9"/>
    <s v="Medium"/>
    <n v="0"/>
    <s v="VC"/>
  </r>
  <r>
    <x v="2"/>
    <s v="CLAUDE"/>
    <x v="10"/>
    <s v="High"/>
    <n v="0"/>
    <s v="VC"/>
  </r>
  <r>
    <x v="2"/>
    <s v="CLAUDE"/>
    <x v="11"/>
    <s v="Medium"/>
    <n v="0"/>
    <s v="VC"/>
  </r>
  <r>
    <x v="2"/>
    <s v="CLAUDE"/>
    <x v="12"/>
    <s v="Low"/>
    <n v="0"/>
    <s v="VC"/>
  </r>
  <r>
    <x v="2"/>
    <s v="CLAUDE"/>
    <x v="13"/>
    <s v="Medium"/>
    <n v="0"/>
    <s v="VC"/>
  </r>
  <r>
    <x v="2"/>
    <s v="CLAUDE"/>
    <x v="14"/>
    <s v="Medium"/>
    <n v="0"/>
    <s v="VC"/>
  </r>
  <r>
    <x v="2"/>
    <s v="CLAUDE"/>
    <x v="15"/>
    <s v="High"/>
    <n v="0"/>
    <s v="VC"/>
  </r>
  <r>
    <x v="2"/>
    <s v="CLAUDE"/>
    <x v="16"/>
    <s v="High"/>
    <n v="1"/>
    <s v="VC"/>
  </r>
  <r>
    <x v="2"/>
    <s v="CLAUDE"/>
    <x v="17"/>
    <s v="Medium"/>
    <n v="0"/>
    <s v="VC"/>
  </r>
  <r>
    <x v="3"/>
    <s v="CLAUDE"/>
    <x v="0"/>
    <s v="High"/>
    <n v="0"/>
    <s v="AE"/>
  </r>
  <r>
    <x v="3"/>
    <s v="CLAUDE"/>
    <x v="1"/>
    <s v="High"/>
    <n v="0"/>
    <s v="VC"/>
  </r>
  <r>
    <x v="3"/>
    <s v="CLAUDE"/>
    <x v="2"/>
    <s v="Medium"/>
    <n v="0"/>
    <s v="VC"/>
  </r>
  <r>
    <x v="3"/>
    <s v="CLAUDE"/>
    <x v="3"/>
    <s v="High"/>
    <n v="0"/>
    <s v="VC"/>
  </r>
  <r>
    <x v="3"/>
    <s v="CLAUDE"/>
    <x v="4"/>
    <s v="Medium"/>
    <n v="0"/>
    <s v="VC"/>
  </r>
  <r>
    <x v="3"/>
    <s v="CLAUDE"/>
    <x v="5"/>
    <s v="High"/>
    <n v="0"/>
    <s v="VC"/>
  </r>
  <r>
    <x v="3"/>
    <s v="CLAUDE"/>
    <x v="6"/>
    <s v="Medium"/>
    <n v="0"/>
    <s v="VC"/>
  </r>
  <r>
    <x v="3"/>
    <s v="CLAUDE"/>
    <x v="7"/>
    <s v="Medium"/>
    <n v="0"/>
    <s v="VC"/>
  </r>
  <r>
    <x v="3"/>
    <s v="CLAUDE"/>
    <x v="8"/>
    <s v="Medium"/>
    <n v="0"/>
    <s v="VC"/>
  </r>
  <r>
    <x v="3"/>
    <s v="CLAUDE"/>
    <x v="9"/>
    <s v="Medium"/>
    <n v="0"/>
    <s v="VC"/>
  </r>
  <r>
    <x v="3"/>
    <s v="CLAUDE"/>
    <x v="10"/>
    <s v="High"/>
    <n v="0"/>
    <s v="VC"/>
  </r>
  <r>
    <x v="3"/>
    <s v="CLAUDE"/>
    <x v="11"/>
    <s v="Medium"/>
    <n v="0"/>
    <s v="VC"/>
  </r>
  <r>
    <x v="3"/>
    <s v="CLAUDE"/>
    <x v="12"/>
    <s v="Low"/>
    <n v="1"/>
    <s v="MC"/>
  </r>
  <r>
    <x v="3"/>
    <s v="CLAUDE"/>
    <x v="13"/>
    <s v="Medium"/>
    <n v="0"/>
    <s v="VC"/>
  </r>
  <r>
    <x v="3"/>
    <s v="CLAUDE"/>
    <x v="14"/>
    <s v="Medium"/>
    <n v="0"/>
    <s v="VC"/>
  </r>
  <r>
    <x v="3"/>
    <s v="CLAUDE"/>
    <x v="15"/>
    <s v="High"/>
    <n v="0"/>
    <s v="VC"/>
  </r>
  <r>
    <x v="3"/>
    <s v="CLAUDE"/>
    <x v="16"/>
    <s v="High"/>
    <n v="1"/>
    <s v="VC"/>
  </r>
  <r>
    <x v="3"/>
    <s v="CLAUDE"/>
    <x v="17"/>
    <s v="Medium"/>
    <n v="0"/>
    <s v="VC"/>
  </r>
  <r>
    <x v="4"/>
    <s v="CLAUDE"/>
    <x v="0"/>
    <s v="High"/>
    <n v="0"/>
    <s v="VC"/>
  </r>
  <r>
    <x v="4"/>
    <s v="CLAUDE"/>
    <x v="1"/>
    <s v="High"/>
    <n v="0"/>
    <s v="VC"/>
  </r>
  <r>
    <x v="4"/>
    <s v="CLAUDE"/>
    <x v="2"/>
    <s v="Medium"/>
    <n v="1"/>
    <s v="VC"/>
  </r>
  <r>
    <x v="4"/>
    <s v="CLAUDE"/>
    <x v="3"/>
    <s v="High"/>
    <n v="0"/>
    <s v="VC"/>
  </r>
  <r>
    <x v="4"/>
    <s v="CLAUDE"/>
    <x v="4"/>
    <s v="Medium"/>
    <n v="0"/>
    <s v="VC"/>
  </r>
  <r>
    <x v="4"/>
    <s v="CLAUDE"/>
    <x v="5"/>
    <s v="High"/>
    <n v="0"/>
    <s v="VC"/>
  </r>
  <r>
    <x v="4"/>
    <s v="CLAUDE"/>
    <x v="6"/>
    <s v="Medium"/>
    <n v="0"/>
    <s v="VC"/>
  </r>
  <r>
    <x v="4"/>
    <s v="CLAUDE"/>
    <x v="7"/>
    <s v="Medium"/>
    <n v="0"/>
    <s v="VC"/>
  </r>
  <r>
    <x v="4"/>
    <s v="CLAUDE"/>
    <x v="8"/>
    <s v="Medium"/>
    <n v="0"/>
    <s v="VC"/>
  </r>
  <r>
    <x v="4"/>
    <s v="CLAUDE"/>
    <x v="9"/>
    <s v="Medium"/>
    <n v="0"/>
    <s v="VC"/>
  </r>
  <r>
    <x v="4"/>
    <s v="CLAUDE"/>
    <x v="10"/>
    <s v="High"/>
    <n v="0"/>
    <s v="VC"/>
  </r>
  <r>
    <x v="4"/>
    <s v="CLAUDE"/>
    <x v="11"/>
    <s v="Medium"/>
    <n v="0"/>
    <s v="VC"/>
  </r>
  <r>
    <x v="4"/>
    <s v="CLAUDE"/>
    <x v="12"/>
    <s v="Low"/>
    <n v="0"/>
    <s v="VC"/>
  </r>
  <r>
    <x v="4"/>
    <s v="CLAUDE"/>
    <x v="13"/>
    <s v="Medium"/>
    <n v="0"/>
    <s v="VC"/>
  </r>
  <r>
    <x v="4"/>
    <s v="CLAUDE"/>
    <x v="14"/>
    <s v="Medium"/>
    <n v="0"/>
    <s v="VC"/>
  </r>
  <r>
    <x v="4"/>
    <s v="CLAUDE"/>
    <x v="15"/>
    <s v="High"/>
    <n v="0"/>
    <s v="VC"/>
  </r>
  <r>
    <x v="4"/>
    <s v="CLAUDE"/>
    <x v="16"/>
    <s v="High"/>
    <n v="1"/>
    <s v="VC"/>
  </r>
  <r>
    <x v="4"/>
    <s v="CLAUDE"/>
    <x v="17"/>
    <s v="Medium"/>
    <n v="0"/>
    <s v="VC"/>
  </r>
  <r>
    <x v="5"/>
    <s v="CLAUDE"/>
    <x v="0"/>
    <s v="High"/>
    <n v="0"/>
    <s v="AE"/>
  </r>
  <r>
    <x v="5"/>
    <s v="CLAUDE"/>
    <x v="1"/>
    <s v="High"/>
    <n v="0"/>
    <s v="VC"/>
  </r>
  <r>
    <x v="5"/>
    <s v="CLAUDE"/>
    <x v="2"/>
    <s v="Medium"/>
    <n v="0"/>
    <s v="VC"/>
  </r>
  <r>
    <x v="5"/>
    <s v="CLAUDE"/>
    <x v="3"/>
    <s v="High"/>
    <n v="0"/>
    <s v="VC"/>
  </r>
  <r>
    <x v="5"/>
    <s v="CLAUDE"/>
    <x v="4"/>
    <s v="Medium"/>
    <n v="0"/>
    <s v="VC"/>
  </r>
  <r>
    <x v="5"/>
    <s v="CLAUDE"/>
    <x v="5"/>
    <s v="High"/>
    <n v="0"/>
    <s v="AE"/>
  </r>
  <r>
    <x v="5"/>
    <s v="CLAUDE"/>
    <x v="6"/>
    <s v="Medium"/>
    <n v="0"/>
    <s v="VC"/>
  </r>
  <r>
    <x v="5"/>
    <s v="CLAUDE"/>
    <x v="7"/>
    <s v="Medium"/>
    <n v="0"/>
    <s v="VC"/>
  </r>
  <r>
    <x v="5"/>
    <s v="CLAUDE"/>
    <x v="8"/>
    <s v="Medium"/>
    <n v="0"/>
    <s v="VC"/>
  </r>
  <r>
    <x v="5"/>
    <s v="CLAUDE"/>
    <x v="9"/>
    <s v="Medium"/>
    <n v="0"/>
    <s v="VC"/>
  </r>
  <r>
    <x v="5"/>
    <s v="CLAUDE"/>
    <x v="10"/>
    <s v="High"/>
    <n v="0"/>
    <s v="VC"/>
  </r>
  <r>
    <x v="5"/>
    <s v="CLAUDE"/>
    <x v="11"/>
    <s v="Medium"/>
    <n v="0"/>
    <s v="VC"/>
  </r>
  <r>
    <x v="5"/>
    <s v="CLAUDE"/>
    <x v="12"/>
    <s v="Low"/>
    <n v="0"/>
    <s v="VC"/>
  </r>
  <r>
    <x v="5"/>
    <s v="CLAUDE"/>
    <x v="13"/>
    <s v="Medium"/>
    <n v="0"/>
    <s v="VC"/>
  </r>
  <r>
    <x v="5"/>
    <s v="CLAUDE"/>
    <x v="14"/>
    <s v="Medium"/>
    <n v="0"/>
    <s v="VC"/>
  </r>
  <r>
    <x v="5"/>
    <s v="CLAUDE"/>
    <x v="15"/>
    <s v="High"/>
    <n v="0"/>
    <s v="AE"/>
  </r>
  <r>
    <x v="5"/>
    <s v="CLAUDE"/>
    <x v="16"/>
    <s v="High"/>
    <n v="1"/>
    <s v="MC"/>
  </r>
  <r>
    <x v="5"/>
    <s v="CLAUDE"/>
    <x v="17"/>
    <s v="Medium"/>
    <n v="0"/>
    <s v="VC"/>
  </r>
  <r>
    <x v="6"/>
    <s v="CLAUDE"/>
    <x v="0"/>
    <s v="High"/>
    <n v="0"/>
    <s v="AE"/>
  </r>
  <r>
    <x v="6"/>
    <s v="CLAUDE"/>
    <x v="1"/>
    <s v="High"/>
    <n v="0"/>
    <s v="VC"/>
  </r>
  <r>
    <x v="6"/>
    <s v="CLAUDE"/>
    <x v="2"/>
    <s v="Medium"/>
    <n v="1"/>
    <s v="VC"/>
  </r>
  <r>
    <x v="6"/>
    <s v="CLAUDE"/>
    <x v="3"/>
    <s v="High"/>
    <n v="0"/>
    <s v="VC"/>
  </r>
  <r>
    <x v="6"/>
    <s v="CLAUDE"/>
    <x v="4"/>
    <s v="Medium"/>
    <n v="0"/>
    <s v="VC"/>
  </r>
  <r>
    <x v="6"/>
    <s v="CLAUDE"/>
    <x v="5"/>
    <s v="High"/>
    <n v="0"/>
    <s v="VC"/>
  </r>
  <r>
    <x v="6"/>
    <s v="CLAUDE"/>
    <x v="6"/>
    <s v="Medium"/>
    <n v="0"/>
    <s v="VC"/>
  </r>
  <r>
    <x v="6"/>
    <s v="CLAUDE"/>
    <x v="7"/>
    <s v="Medium"/>
    <n v="0"/>
    <s v="VC"/>
  </r>
  <r>
    <x v="6"/>
    <s v="CLAUDE"/>
    <x v="8"/>
    <s v="Medium"/>
    <n v="0"/>
    <s v="VC"/>
  </r>
  <r>
    <x v="6"/>
    <s v="CLAUDE"/>
    <x v="9"/>
    <s v="Medium"/>
    <n v="0"/>
    <s v="VC"/>
  </r>
  <r>
    <x v="6"/>
    <s v="CLAUDE"/>
    <x v="10"/>
    <s v="High"/>
    <n v="0"/>
    <s v="VC"/>
  </r>
  <r>
    <x v="6"/>
    <s v="CLAUDE"/>
    <x v="11"/>
    <s v="Medium"/>
    <n v="0"/>
    <s v="VC"/>
  </r>
  <r>
    <x v="6"/>
    <s v="CLAUDE"/>
    <x v="12"/>
    <s v="Low"/>
    <n v="0"/>
    <s v="VC"/>
  </r>
  <r>
    <x v="6"/>
    <s v="CLAUDE"/>
    <x v="13"/>
    <s v="Medium"/>
    <n v="0"/>
    <s v="VC"/>
  </r>
  <r>
    <x v="6"/>
    <s v="CLAUDE"/>
    <x v="14"/>
    <s v="Medium"/>
    <n v="0"/>
    <s v="VC"/>
  </r>
  <r>
    <x v="6"/>
    <s v="CLAUDE"/>
    <x v="15"/>
    <s v="High"/>
    <n v="0"/>
    <s v="VC"/>
  </r>
  <r>
    <x v="6"/>
    <s v="CLAUDE"/>
    <x v="16"/>
    <s v="High"/>
    <n v="1"/>
    <s v="VC"/>
  </r>
  <r>
    <x v="6"/>
    <s v="CLAUDE"/>
    <x v="17"/>
    <s v="Medium"/>
    <n v="0"/>
    <s v="AE"/>
  </r>
  <r>
    <x v="7"/>
    <s v="CLAUDE"/>
    <x v="0"/>
    <s v="High"/>
    <n v="0"/>
    <s v="VC"/>
  </r>
  <r>
    <x v="7"/>
    <s v="CLAUDE"/>
    <x v="1"/>
    <s v="High"/>
    <n v="0"/>
    <s v="VC"/>
  </r>
  <r>
    <x v="7"/>
    <s v="CLAUDE"/>
    <x v="2"/>
    <s v="Medium"/>
    <n v="1"/>
    <s v="VC"/>
  </r>
  <r>
    <x v="7"/>
    <s v="CLAUDE"/>
    <x v="3"/>
    <s v="High"/>
    <n v="0"/>
    <s v="VC"/>
  </r>
  <r>
    <x v="7"/>
    <s v="CLAUDE"/>
    <x v="4"/>
    <s v="Medium"/>
    <n v="0"/>
    <s v="VC"/>
  </r>
  <r>
    <x v="7"/>
    <s v="CLAUDE"/>
    <x v="5"/>
    <s v="High"/>
    <n v="0"/>
    <s v="AE"/>
  </r>
  <r>
    <x v="7"/>
    <s v="CLAUDE"/>
    <x v="6"/>
    <s v="Medium"/>
    <n v="0"/>
    <s v="VC"/>
  </r>
  <r>
    <x v="7"/>
    <s v="CLAUDE"/>
    <x v="7"/>
    <s v="Medium"/>
    <n v="0"/>
    <s v="VC"/>
  </r>
  <r>
    <x v="7"/>
    <s v="CLAUDE"/>
    <x v="8"/>
    <s v="Medium"/>
    <n v="0"/>
    <s v="VC"/>
  </r>
  <r>
    <x v="7"/>
    <s v="CLAUDE"/>
    <x v="9"/>
    <s v="Medium"/>
    <n v="0"/>
    <s v="VC"/>
  </r>
  <r>
    <x v="7"/>
    <s v="CLAUDE"/>
    <x v="10"/>
    <s v="High"/>
    <n v="0"/>
    <s v="VC"/>
  </r>
  <r>
    <x v="7"/>
    <s v="CLAUDE"/>
    <x v="11"/>
    <s v="Medium"/>
    <n v="0"/>
    <s v="VC"/>
  </r>
  <r>
    <x v="7"/>
    <s v="CLAUDE"/>
    <x v="12"/>
    <s v="Low"/>
    <n v="0"/>
    <s v="VC"/>
  </r>
  <r>
    <x v="7"/>
    <s v="CLAUDE"/>
    <x v="13"/>
    <s v="Medium"/>
    <n v="0"/>
    <s v="VC"/>
  </r>
  <r>
    <x v="7"/>
    <s v="CLAUDE"/>
    <x v="14"/>
    <s v="Medium"/>
    <n v="0"/>
    <s v="VC"/>
  </r>
  <r>
    <x v="7"/>
    <s v="CLAUDE"/>
    <x v="15"/>
    <s v="High"/>
    <n v="0"/>
    <s v="AE"/>
  </r>
  <r>
    <x v="7"/>
    <s v="CLAUDE"/>
    <x v="16"/>
    <s v="High"/>
    <n v="1"/>
    <s v="VC"/>
  </r>
  <r>
    <x v="7"/>
    <s v="CLAUDE"/>
    <x v="17"/>
    <s v="Medium"/>
    <n v="0"/>
    <s v="VC"/>
  </r>
  <r>
    <x v="8"/>
    <s v="CLAUDE"/>
    <x v="0"/>
    <s v="High"/>
    <n v="0"/>
    <s v="MC"/>
  </r>
  <r>
    <x v="8"/>
    <s v="CLAUDE"/>
    <x v="1"/>
    <s v="High"/>
    <n v="0"/>
    <s v="VC"/>
  </r>
  <r>
    <x v="8"/>
    <s v="CLAUDE"/>
    <x v="2"/>
    <s v="Medium"/>
    <n v="1"/>
    <s v="VC"/>
  </r>
  <r>
    <x v="8"/>
    <s v="CLAUDE"/>
    <x v="3"/>
    <s v="High"/>
    <n v="0"/>
    <s v="VC"/>
  </r>
  <r>
    <x v="8"/>
    <s v="CLAUDE"/>
    <x v="4"/>
    <s v="Medium"/>
    <n v="0"/>
    <s v="VC"/>
  </r>
  <r>
    <x v="8"/>
    <s v="CLAUDE"/>
    <x v="5"/>
    <s v="High"/>
    <n v="0"/>
    <s v="AE"/>
  </r>
  <r>
    <x v="8"/>
    <s v="CLAUDE"/>
    <x v="6"/>
    <s v="Medium"/>
    <n v="0"/>
    <s v="VC"/>
  </r>
  <r>
    <x v="8"/>
    <s v="CLAUDE"/>
    <x v="7"/>
    <s v="Medium"/>
    <n v="0"/>
    <s v="VC"/>
  </r>
  <r>
    <x v="8"/>
    <s v="CLAUDE"/>
    <x v="8"/>
    <s v="Medium"/>
    <n v="0"/>
    <s v="VC"/>
  </r>
  <r>
    <x v="8"/>
    <s v="CLAUDE"/>
    <x v="9"/>
    <s v="Medium"/>
    <n v="0"/>
    <s v="VC"/>
  </r>
  <r>
    <x v="8"/>
    <s v="CLAUDE"/>
    <x v="10"/>
    <s v="High"/>
    <n v="0"/>
    <s v="VC"/>
  </r>
  <r>
    <x v="8"/>
    <s v="CLAUDE"/>
    <x v="11"/>
    <s v="Medium"/>
    <n v="0"/>
    <s v="VC"/>
  </r>
  <r>
    <x v="8"/>
    <s v="CLAUDE"/>
    <x v="12"/>
    <s v="Low"/>
    <n v="0"/>
    <s v="VC"/>
  </r>
  <r>
    <x v="8"/>
    <s v="CLAUDE"/>
    <x v="13"/>
    <s v="Medium"/>
    <n v="0"/>
    <s v="VC"/>
  </r>
  <r>
    <x v="8"/>
    <s v="CLAUDE"/>
    <x v="14"/>
    <s v="Medium"/>
    <n v="0"/>
    <s v="VC"/>
  </r>
  <r>
    <x v="8"/>
    <s v="CLAUDE"/>
    <x v="15"/>
    <s v="High"/>
    <n v="0"/>
    <s v="AE"/>
  </r>
  <r>
    <x v="8"/>
    <s v="CLAUDE"/>
    <x v="16"/>
    <s v="High"/>
    <n v="1"/>
    <s v="VC"/>
  </r>
  <r>
    <x v="8"/>
    <s v="CLAUDE"/>
    <x v="17"/>
    <s v="Medium"/>
    <n v="0"/>
    <s v="AE"/>
  </r>
  <r>
    <x v="9"/>
    <s v="CLAUDE"/>
    <x v="0"/>
    <s v="High"/>
    <n v="0"/>
    <s v="VC"/>
  </r>
  <r>
    <x v="9"/>
    <s v="CLAUDE"/>
    <x v="1"/>
    <s v="High"/>
    <n v="0"/>
    <s v="VC"/>
  </r>
  <r>
    <x v="9"/>
    <s v="CLAUDE"/>
    <x v="2"/>
    <s v="Medium"/>
    <n v="1"/>
    <s v="VC"/>
  </r>
  <r>
    <x v="9"/>
    <s v="CLAUDE"/>
    <x v="3"/>
    <s v="High"/>
    <n v="0"/>
    <s v="VC"/>
  </r>
  <r>
    <x v="9"/>
    <s v="CLAUDE"/>
    <x v="4"/>
    <s v="Medium"/>
    <n v="0"/>
    <s v="VC"/>
  </r>
  <r>
    <x v="9"/>
    <s v="CLAUDE"/>
    <x v="5"/>
    <s v="High"/>
    <n v="0"/>
    <s v="VC"/>
  </r>
  <r>
    <x v="9"/>
    <s v="CLAUDE"/>
    <x v="6"/>
    <s v="Medium"/>
    <n v="0"/>
    <s v="VC"/>
  </r>
  <r>
    <x v="9"/>
    <s v="CLAUDE"/>
    <x v="7"/>
    <s v="Medium"/>
    <n v="0"/>
    <s v="VC"/>
  </r>
  <r>
    <x v="9"/>
    <s v="CLAUDE"/>
    <x v="8"/>
    <s v="Medium"/>
    <n v="0"/>
    <s v="VC"/>
  </r>
  <r>
    <x v="9"/>
    <s v="CLAUDE"/>
    <x v="9"/>
    <s v="Medium"/>
    <n v="0"/>
    <s v="VC"/>
  </r>
  <r>
    <x v="9"/>
    <s v="CLAUDE"/>
    <x v="10"/>
    <s v="High"/>
    <n v="0"/>
    <s v="VC"/>
  </r>
  <r>
    <x v="9"/>
    <s v="CLAUDE"/>
    <x v="11"/>
    <s v="Medium"/>
    <n v="0"/>
    <s v="VC"/>
  </r>
  <r>
    <x v="9"/>
    <s v="CLAUDE"/>
    <x v="12"/>
    <s v="Low"/>
    <n v="0"/>
    <s v="VC"/>
  </r>
  <r>
    <x v="9"/>
    <s v="CLAUDE"/>
    <x v="13"/>
    <s v="Medium"/>
    <n v="0"/>
    <s v="VC"/>
  </r>
  <r>
    <x v="9"/>
    <s v="CLAUDE"/>
    <x v="14"/>
    <s v="Medium"/>
    <n v="0"/>
    <s v="VC"/>
  </r>
  <r>
    <x v="9"/>
    <s v="CLAUDE"/>
    <x v="15"/>
    <s v="High"/>
    <n v="1"/>
    <s v="VC"/>
  </r>
  <r>
    <x v="9"/>
    <s v="CLAUDE"/>
    <x v="16"/>
    <s v="High"/>
    <n v="1"/>
    <s v="VC"/>
  </r>
  <r>
    <x v="9"/>
    <s v="CLAUDE"/>
    <x v="17"/>
    <s v="Medium"/>
    <n v="0"/>
    <s v="VC"/>
  </r>
  <r>
    <x v="10"/>
    <s v="CLAUDE"/>
    <x v="0"/>
    <s v="High"/>
    <n v="0"/>
    <s v="VC"/>
  </r>
  <r>
    <x v="10"/>
    <s v="CLAUDE"/>
    <x v="1"/>
    <s v="High"/>
    <n v="0"/>
    <s v="VC"/>
  </r>
  <r>
    <x v="10"/>
    <s v="CLAUDE"/>
    <x v="2"/>
    <s v="Medium"/>
    <n v="1"/>
    <s v="VC"/>
  </r>
  <r>
    <x v="10"/>
    <s v="CLAUDE"/>
    <x v="3"/>
    <s v="High"/>
    <n v="0"/>
    <s v="VC"/>
  </r>
  <r>
    <x v="10"/>
    <s v="CLAUDE"/>
    <x v="4"/>
    <s v="Medium"/>
    <n v="0"/>
    <s v="VC"/>
  </r>
  <r>
    <x v="10"/>
    <s v="CLAUDE"/>
    <x v="5"/>
    <s v="High"/>
    <n v="0"/>
    <s v="AE"/>
  </r>
  <r>
    <x v="10"/>
    <s v="CLAUDE"/>
    <x v="6"/>
    <s v="Medium"/>
    <n v="0"/>
    <s v="VC"/>
  </r>
  <r>
    <x v="10"/>
    <s v="CLAUDE"/>
    <x v="7"/>
    <s v="Medium"/>
    <n v="0"/>
    <s v="VC"/>
  </r>
  <r>
    <x v="10"/>
    <s v="CLAUDE"/>
    <x v="8"/>
    <s v="Medium"/>
    <n v="0"/>
    <s v="VC"/>
  </r>
  <r>
    <x v="10"/>
    <s v="CLAUDE"/>
    <x v="9"/>
    <s v="Medium"/>
    <n v="0"/>
    <s v="VC"/>
  </r>
  <r>
    <x v="10"/>
    <s v="CLAUDE"/>
    <x v="10"/>
    <s v="High"/>
    <n v="0"/>
    <s v="VC"/>
  </r>
  <r>
    <x v="10"/>
    <s v="CLAUDE"/>
    <x v="11"/>
    <s v="Medium"/>
    <n v="0"/>
    <s v="VC"/>
  </r>
  <r>
    <x v="10"/>
    <s v="CLAUDE"/>
    <x v="12"/>
    <s v="Low"/>
    <n v="0"/>
    <s v="VC"/>
  </r>
  <r>
    <x v="10"/>
    <s v="CLAUDE"/>
    <x v="13"/>
    <s v="Medium"/>
    <n v="0"/>
    <s v="VC"/>
  </r>
  <r>
    <x v="10"/>
    <s v="CLAUDE"/>
    <x v="14"/>
    <s v="Medium"/>
    <n v="0"/>
    <s v="VC"/>
  </r>
  <r>
    <x v="10"/>
    <s v="CLAUDE"/>
    <x v="15"/>
    <s v="High"/>
    <n v="0"/>
    <s v="AE"/>
  </r>
  <r>
    <x v="10"/>
    <s v="CLAUDE"/>
    <x v="16"/>
    <s v="High"/>
    <n v="0"/>
    <s v="VC"/>
  </r>
  <r>
    <x v="10"/>
    <s v="CLAUDE"/>
    <x v="17"/>
    <s v="Medium"/>
    <n v="0"/>
    <s v="VC"/>
  </r>
  <r>
    <x v="11"/>
    <s v="CLAUDE"/>
    <x v="0"/>
    <s v="High"/>
    <n v="0"/>
    <s v="VC"/>
  </r>
  <r>
    <x v="11"/>
    <s v="CLAUDE"/>
    <x v="1"/>
    <s v="High"/>
    <n v="0"/>
    <s v="VC"/>
  </r>
  <r>
    <x v="11"/>
    <s v="CLAUDE"/>
    <x v="2"/>
    <s v="Medium"/>
    <n v="1"/>
    <s v="VC"/>
  </r>
  <r>
    <x v="11"/>
    <s v="CLAUDE"/>
    <x v="3"/>
    <s v="High"/>
    <n v="0"/>
    <s v="VC"/>
  </r>
  <r>
    <x v="11"/>
    <s v="CLAUDE"/>
    <x v="4"/>
    <s v="Medium"/>
    <n v="0"/>
    <s v="VC"/>
  </r>
  <r>
    <x v="11"/>
    <s v="CLAUDE"/>
    <x v="5"/>
    <s v="High"/>
    <n v="0"/>
    <s v="VC"/>
  </r>
  <r>
    <x v="11"/>
    <s v="CLAUDE"/>
    <x v="6"/>
    <s v="Medium"/>
    <n v="0"/>
    <s v="VC"/>
  </r>
  <r>
    <x v="11"/>
    <s v="CLAUDE"/>
    <x v="7"/>
    <s v="Medium"/>
    <n v="0"/>
    <s v="VC"/>
  </r>
  <r>
    <x v="11"/>
    <s v="CLAUDE"/>
    <x v="8"/>
    <s v="Medium"/>
    <n v="0"/>
    <s v="VC"/>
  </r>
  <r>
    <x v="11"/>
    <s v="CLAUDE"/>
    <x v="9"/>
    <s v="Medium"/>
    <n v="0"/>
    <s v="VC"/>
  </r>
  <r>
    <x v="11"/>
    <s v="CLAUDE"/>
    <x v="10"/>
    <s v="High"/>
    <n v="0"/>
    <s v="VC"/>
  </r>
  <r>
    <x v="11"/>
    <s v="CLAUDE"/>
    <x v="11"/>
    <s v="Medium"/>
    <n v="0"/>
    <s v="VC"/>
  </r>
  <r>
    <x v="11"/>
    <s v="CLAUDE"/>
    <x v="12"/>
    <s v="Low"/>
    <n v="1"/>
    <s v="MC"/>
  </r>
  <r>
    <x v="11"/>
    <s v="CLAUDE"/>
    <x v="13"/>
    <s v="Medium"/>
    <n v="0"/>
    <s v="VC"/>
  </r>
  <r>
    <x v="11"/>
    <s v="CLAUDE"/>
    <x v="14"/>
    <s v="Medium"/>
    <n v="0"/>
    <s v="VC"/>
  </r>
  <r>
    <x v="11"/>
    <s v="CLAUDE"/>
    <x v="15"/>
    <s v="High"/>
    <n v="0"/>
    <s v="VC"/>
  </r>
  <r>
    <x v="11"/>
    <s v="CLAUDE"/>
    <x v="16"/>
    <s v="High"/>
    <n v="0"/>
    <s v="VC"/>
  </r>
  <r>
    <x v="11"/>
    <s v="CLAUDE"/>
    <x v="17"/>
    <s v="Medium"/>
    <n v="0"/>
    <s v="VC"/>
  </r>
  <r>
    <x v="12"/>
    <s v="CLAUDE"/>
    <x v="0"/>
    <s v="High"/>
    <n v="0"/>
    <s v="AE"/>
  </r>
  <r>
    <x v="12"/>
    <s v="CLAUDE"/>
    <x v="1"/>
    <s v="High"/>
    <n v="0"/>
    <s v="VC"/>
  </r>
  <r>
    <x v="12"/>
    <s v="CLAUDE"/>
    <x v="2"/>
    <s v="Medium"/>
    <n v="1"/>
    <s v="VC"/>
  </r>
  <r>
    <x v="12"/>
    <s v="CLAUDE"/>
    <x v="3"/>
    <s v="High"/>
    <n v="0"/>
    <s v="VC"/>
  </r>
  <r>
    <x v="12"/>
    <s v="CLAUDE"/>
    <x v="4"/>
    <s v="Medium"/>
    <n v="0"/>
    <s v="VC"/>
  </r>
  <r>
    <x v="12"/>
    <s v="CLAUDE"/>
    <x v="5"/>
    <s v="High"/>
    <n v="0"/>
    <s v="VC"/>
  </r>
  <r>
    <x v="12"/>
    <s v="CLAUDE"/>
    <x v="6"/>
    <s v="Medium"/>
    <n v="0"/>
    <s v="VC"/>
  </r>
  <r>
    <x v="12"/>
    <s v="CLAUDE"/>
    <x v="7"/>
    <s v="Medium"/>
    <n v="0"/>
    <s v="VC"/>
  </r>
  <r>
    <x v="12"/>
    <s v="CLAUDE"/>
    <x v="8"/>
    <s v="Medium"/>
    <n v="0"/>
    <s v="VC"/>
  </r>
  <r>
    <x v="12"/>
    <s v="CLAUDE"/>
    <x v="9"/>
    <s v="Medium"/>
    <n v="0"/>
    <s v="VC"/>
  </r>
  <r>
    <x v="12"/>
    <s v="CLAUDE"/>
    <x v="10"/>
    <s v="High"/>
    <n v="0"/>
    <s v="VC"/>
  </r>
  <r>
    <x v="12"/>
    <s v="CLAUDE"/>
    <x v="11"/>
    <s v="Medium"/>
    <n v="0"/>
    <s v="VC"/>
  </r>
  <r>
    <x v="12"/>
    <s v="CLAUDE"/>
    <x v="12"/>
    <s v="Low"/>
    <n v="0"/>
    <s v="VC"/>
  </r>
  <r>
    <x v="12"/>
    <s v="CLAUDE"/>
    <x v="13"/>
    <s v="Medium"/>
    <n v="0"/>
    <s v="VC"/>
  </r>
  <r>
    <x v="12"/>
    <s v="CLAUDE"/>
    <x v="14"/>
    <s v="Medium"/>
    <n v="0"/>
    <s v="VC"/>
  </r>
  <r>
    <x v="12"/>
    <s v="CLAUDE"/>
    <x v="15"/>
    <s v="High"/>
    <n v="1"/>
    <s v="MC"/>
  </r>
  <r>
    <x v="12"/>
    <s v="CLAUDE"/>
    <x v="16"/>
    <s v="High"/>
    <n v="1"/>
    <s v="VC"/>
  </r>
  <r>
    <x v="12"/>
    <s v="CLAUDE"/>
    <x v="17"/>
    <s v="Medium"/>
    <n v="0"/>
    <s v="VC"/>
  </r>
  <r>
    <x v="13"/>
    <s v="CLAUDE"/>
    <x v="0"/>
    <s v="High"/>
    <n v="0"/>
    <s v="AE"/>
  </r>
  <r>
    <x v="13"/>
    <s v="CLAUDE"/>
    <x v="1"/>
    <s v="High"/>
    <n v="0"/>
    <s v="VC"/>
  </r>
  <r>
    <x v="13"/>
    <s v="CLAUDE"/>
    <x v="2"/>
    <s v="Medium"/>
    <n v="1"/>
    <s v="VC"/>
  </r>
  <r>
    <x v="13"/>
    <s v="CLAUDE"/>
    <x v="3"/>
    <s v="High"/>
    <n v="0"/>
    <s v="VC"/>
  </r>
  <r>
    <x v="13"/>
    <s v="CLAUDE"/>
    <x v="4"/>
    <s v="Medium"/>
    <n v="0"/>
    <s v="VC"/>
  </r>
  <r>
    <x v="13"/>
    <s v="CLAUDE"/>
    <x v="5"/>
    <s v="High"/>
    <n v="0"/>
    <s v="VC"/>
  </r>
  <r>
    <x v="13"/>
    <s v="CLAUDE"/>
    <x v="6"/>
    <s v="Medium"/>
    <n v="0"/>
    <s v="VC"/>
  </r>
  <r>
    <x v="13"/>
    <s v="CLAUDE"/>
    <x v="7"/>
    <s v="Medium"/>
    <n v="0"/>
    <s v="VC"/>
  </r>
  <r>
    <x v="13"/>
    <s v="CLAUDE"/>
    <x v="8"/>
    <s v="Medium"/>
    <n v="0"/>
    <s v="VC"/>
  </r>
  <r>
    <x v="13"/>
    <s v="CLAUDE"/>
    <x v="9"/>
    <s v="Medium"/>
    <n v="0"/>
    <s v="VC"/>
  </r>
  <r>
    <x v="13"/>
    <s v="CLAUDE"/>
    <x v="10"/>
    <s v="High"/>
    <n v="0"/>
    <s v="VC"/>
  </r>
  <r>
    <x v="13"/>
    <s v="CLAUDE"/>
    <x v="11"/>
    <s v="Medium"/>
    <n v="0"/>
    <s v="VC"/>
  </r>
  <r>
    <x v="13"/>
    <s v="CLAUDE"/>
    <x v="12"/>
    <s v="Low"/>
    <n v="1"/>
    <s v="VC"/>
  </r>
  <r>
    <x v="13"/>
    <s v="CLAUDE"/>
    <x v="13"/>
    <s v="Medium"/>
    <n v="0"/>
    <s v="VC"/>
  </r>
  <r>
    <x v="13"/>
    <s v="CLAUDE"/>
    <x v="14"/>
    <s v="Medium"/>
    <n v="0"/>
    <s v="VC"/>
  </r>
  <r>
    <x v="13"/>
    <s v="CLAUDE"/>
    <x v="15"/>
    <s v="High"/>
    <n v="0"/>
    <s v="VC"/>
  </r>
  <r>
    <x v="13"/>
    <s v="CLAUDE"/>
    <x v="16"/>
    <s v="High"/>
    <n v="1"/>
    <s v="VC"/>
  </r>
  <r>
    <x v="13"/>
    <s v="CLAUDE"/>
    <x v="17"/>
    <s v="Medium"/>
    <n v="0"/>
    <s v="VC"/>
  </r>
  <r>
    <x v="14"/>
    <s v="CLAUDE"/>
    <x v="0"/>
    <s v="High"/>
    <n v="0"/>
    <s v="AE"/>
  </r>
  <r>
    <x v="14"/>
    <s v="CLAUDE"/>
    <x v="1"/>
    <s v="High"/>
    <n v="0"/>
    <s v="VC"/>
  </r>
  <r>
    <x v="14"/>
    <s v="CLAUDE"/>
    <x v="2"/>
    <s v="Medium"/>
    <n v="1"/>
    <s v="VC"/>
  </r>
  <r>
    <x v="14"/>
    <s v="CLAUDE"/>
    <x v="3"/>
    <s v="High"/>
    <n v="0"/>
    <s v="VC"/>
  </r>
  <r>
    <x v="14"/>
    <s v="CLAUDE"/>
    <x v="4"/>
    <s v="Medium"/>
    <n v="0"/>
    <s v="VC"/>
  </r>
  <r>
    <x v="14"/>
    <s v="CLAUDE"/>
    <x v="5"/>
    <s v="High"/>
    <n v="0"/>
    <s v="AE"/>
  </r>
  <r>
    <x v="14"/>
    <s v="CLAUDE"/>
    <x v="6"/>
    <s v="Medium"/>
    <n v="0"/>
    <s v="VC"/>
  </r>
  <r>
    <x v="14"/>
    <s v="CLAUDE"/>
    <x v="7"/>
    <s v="Medium"/>
    <n v="0"/>
    <s v="VC"/>
  </r>
  <r>
    <x v="14"/>
    <s v="CLAUDE"/>
    <x v="8"/>
    <s v="Medium"/>
    <n v="0"/>
    <s v="VC"/>
  </r>
  <r>
    <x v="14"/>
    <s v="CLAUDE"/>
    <x v="9"/>
    <s v="Medium"/>
    <n v="0"/>
    <s v="VC"/>
  </r>
  <r>
    <x v="14"/>
    <s v="CLAUDE"/>
    <x v="10"/>
    <s v="High"/>
    <n v="0"/>
    <s v="VC"/>
  </r>
  <r>
    <x v="14"/>
    <s v="CLAUDE"/>
    <x v="11"/>
    <s v="Medium"/>
    <n v="0"/>
    <s v="VC"/>
  </r>
  <r>
    <x v="14"/>
    <s v="CLAUDE"/>
    <x v="12"/>
    <s v="Low"/>
    <n v="0"/>
    <s v="VC"/>
  </r>
  <r>
    <x v="14"/>
    <s v="CLAUDE"/>
    <x v="13"/>
    <s v="Medium"/>
    <n v="0"/>
    <s v="VC"/>
  </r>
  <r>
    <x v="14"/>
    <s v="CLAUDE"/>
    <x v="14"/>
    <s v="Medium"/>
    <n v="0"/>
    <s v="VC"/>
  </r>
  <r>
    <x v="14"/>
    <s v="CLAUDE"/>
    <x v="15"/>
    <s v="High"/>
    <n v="0"/>
    <s v="AE"/>
  </r>
  <r>
    <x v="14"/>
    <s v="CLAUDE"/>
    <x v="16"/>
    <s v="High"/>
    <n v="1"/>
    <s v="VC"/>
  </r>
  <r>
    <x v="14"/>
    <s v="CLAUDE"/>
    <x v="17"/>
    <s v="Medium"/>
    <n v="0"/>
    <s v="VC"/>
  </r>
  <r>
    <x v="15"/>
    <s v="CLAUDE"/>
    <x v="0"/>
    <s v="High"/>
    <n v="0"/>
    <s v="AE"/>
  </r>
  <r>
    <x v="15"/>
    <s v="CLAUDE"/>
    <x v="1"/>
    <s v="High"/>
    <n v="0"/>
    <s v="VC"/>
  </r>
  <r>
    <x v="15"/>
    <s v="CLAUDE"/>
    <x v="2"/>
    <s v="Medium"/>
    <n v="0"/>
    <s v="VC"/>
  </r>
  <r>
    <x v="15"/>
    <s v="CLAUDE"/>
    <x v="3"/>
    <s v="High"/>
    <n v="0"/>
    <s v="VC"/>
  </r>
  <r>
    <x v="15"/>
    <s v="CLAUDE"/>
    <x v="4"/>
    <s v="Medium"/>
    <n v="0"/>
    <s v="VC"/>
  </r>
  <r>
    <x v="15"/>
    <s v="CLAUDE"/>
    <x v="5"/>
    <s v="High"/>
    <n v="0"/>
    <s v="VC"/>
  </r>
  <r>
    <x v="15"/>
    <s v="CLAUDE"/>
    <x v="6"/>
    <s v="Medium"/>
    <n v="0"/>
    <s v="VC"/>
  </r>
  <r>
    <x v="15"/>
    <s v="CLAUDE"/>
    <x v="7"/>
    <s v="Medium"/>
    <n v="0"/>
    <s v="VC"/>
  </r>
  <r>
    <x v="15"/>
    <s v="CLAUDE"/>
    <x v="8"/>
    <s v="Medium"/>
    <n v="0"/>
    <s v="VC"/>
  </r>
  <r>
    <x v="15"/>
    <s v="CLAUDE"/>
    <x v="9"/>
    <s v="Medium"/>
    <n v="0"/>
    <s v="VC"/>
  </r>
  <r>
    <x v="15"/>
    <s v="CLAUDE"/>
    <x v="10"/>
    <s v="High"/>
    <n v="0"/>
    <s v="VC"/>
  </r>
  <r>
    <x v="15"/>
    <s v="CLAUDE"/>
    <x v="11"/>
    <s v="Medium"/>
    <n v="0"/>
    <s v="VC"/>
  </r>
  <r>
    <x v="15"/>
    <s v="CLAUDE"/>
    <x v="12"/>
    <s v="Low"/>
    <n v="0"/>
    <s v="VC"/>
  </r>
  <r>
    <x v="15"/>
    <s v="CLAUDE"/>
    <x v="13"/>
    <s v="Medium"/>
    <n v="0"/>
    <s v="VC"/>
  </r>
  <r>
    <x v="15"/>
    <s v="CLAUDE"/>
    <x v="14"/>
    <s v="Medium"/>
    <n v="0"/>
    <s v="VC"/>
  </r>
  <r>
    <x v="15"/>
    <s v="CLAUDE"/>
    <x v="15"/>
    <s v="High"/>
    <n v="0"/>
    <s v="VC"/>
  </r>
  <r>
    <x v="15"/>
    <s v="CLAUDE"/>
    <x v="16"/>
    <s v="High"/>
    <n v="1"/>
    <s v="VC"/>
  </r>
  <r>
    <x v="15"/>
    <s v="CLAUDE"/>
    <x v="17"/>
    <s v="Medium"/>
    <n v="0"/>
    <s v="VC"/>
  </r>
  <r>
    <x v="16"/>
    <s v="CLAUDE"/>
    <x v="0"/>
    <s v="High"/>
    <n v="0"/>
    <s v="AE"/>
  </r>
  <r>
    <x v="16"/>
    <s v="CLAUDE"/>
    <x v="1"/>
    <s v="High"/>
    <n v="0"/>
    <s v="VC"/>
  </r>
  <r>
    <x v="16"/>
    <s v="CLAUDE"/>
    <x v="2"/>
    <s v="Medium"/>
    <n v="1"/>
    <s v="VC"/>
  </r>
  <r>
    <x v="16"/>
    <s v="CLAUDE"/>
    <x v="3"/>
    <s v="High"/>
    <n v="0"/>
    <s v="VC"/>
  </r>
  <r>
    <x v="16"/>
    <s v="CLAUDE"/>
    <x v="4"/>
    <s v="Medium"/>
    <n v="0"/>
    <s v="VC"/>
  </r>
  <r>
    <x v="16"/>
    <s v="CLAUDE"/>
    <x v="5"/>
    <s v="High"/>
    <n v="0"/>
    <s v="AE"/>
  </r>
  <r>
    <x v="16"/>
    <s v="CLAUDE"/>
    <x v="6"/>
    <s v="Medium"/>
    <n v="0"/>
    <s v="VC"/>
  </r>
  <r>
    <x v="16"/>
    <s v="CLAUDE"/>
    <x v="7"/>
    <s v="Medium"/>
    <n v="0"/>
    <s v="VC"/>
  </r>
  <r>
    <x v="16"/>
    <s v="CLAUDE"/>
    <x v="8"/>
    <s v="Medium"/>
    <n v="0"/>
    <s v="VC"/>
  </r>
  <r>
    <x v="16"/>
    <s v="CLAUDE"/>
    <x v="9"/>
    <s v="Medium"/>
    <n v="0"/>
    <s v="VC"/>
  </r>
  <r>
    <x v="16"/>
    <s v="CLAUDE"/>
    <x v="10"/>
    <s v="High"/>
    <n v="0"/>
    <s v="VC"/>
  </r>
  <r>
    <x v="16"/>
    <s v="CLAUDE"/>
    <x v="11"/>
    <s v="Medium"/>
    <n v="0"/>
    <s v="VC"/>
  </r>
  <r>
    <x v="16"/>
    <s v="CLAUDE"/>
    <x v="12"/>
    <s v="Low"/>
    <n v="1"/>
    <s v="VC"/>
  </r>
  <r>
    <x v="16"/>
    <s v="CLAUDE"/>
    <x v="13"/>
    <s v="Medium"/>
    <n v="0"/>
    <s v="VC"/>
  </r>
  <r>
    <x v="16"/>
    <s v="CLAUDE"/>
    <x v="14"/>
    <s v="Medium"/>
    <n v="0"/>
    <s v="VC"/>
  </r>
  <r>
    <x v="16"/>
    <s v="CLAUDE"/>
    <x v="15"/>
    <s v="High"/>
    <n v="0"/>
    <s v="AE"/>
  </r>
  <r>
    <x v="16"/>
    <s v="CLAUDE"/>
    <x v="16"/>
    <s v="High"/>
    <n v="1"/>
    <s v="MC"/>
  </r>
  <r>
    <x v="16"/>
    <s v="CLAUDE"/>
    <x v="17"/>
    <s v="Medium"/>
    <n v="0"/>
    <s v="AE"/>
  </r>
  <r>
    <x v="17"/>
    <s v="CLAUDE"/>
    <x v="0"/>
    <s v="High"/>
    <n v="0"/>
    <s v="VC"/>
  </r>
  <r>
    <x v="17"/>
    <s v="CLAUDE"/>
    <x v="1"/>
    <s v="High"/>
    <n v="0"/>
    <s v="VC"/>
  </r>
  <r>
    <x v="17"/>
    <s v="CLAUDE"/>
    <x v="2"/>
    <s v="Medium"/>
    <n v="0"/>
    <s v="VC"/>
  </r>
  <r>
    <x v="17"/>
    <s v="CLAUDE"/>
    <x v="3"/>
    <s v="High"/>
    <n v="0"/>
    <s v="VC"/>
  </r>
  <r>
    <x v="17"/>
    <s v="CLAUDE"/>
    <x v="4"/>
    <s v="Medium"/>
    <n v="0"/>
    <s v="VC"/>
  </r>
  <r>
    <x v="17"/>
    <s v="CLAUDE"/>
    <x v="5"/>
    <s v="High"/>
    <n v="0"/>
    <s v="AE"/>
  </r>
  <r>
    <x v="17"/>
    <s v="CLAUDE"/>
    <x v="6"/>
    <s v="Medium"/>
    <n v="0"/>
    <s v="VC"/>
  </r>
  <r>
    <x v="17"/>
    <s v="CLAUDE"/>
    <x v="7"/>
    <s v="Medium"/>
    <n v="0"/>
    <s v="VC"/>
  </r>
  <r>
    <x v="17"/>
    <s v="CLAUDE"/>
    <x v="8"/>
    <s v="Medium"/>
    <n v="0"/>
    <s v="VC"/>
  </r>
  <r>
    <x v="17"/>
    <s v="CLAUDE"/>
    <x v="9"/>
    <s v="Medium"/>
    <n v="0"/>
    <s v="VC"/>
  </r>
  <r>
    <x v="17"/>
    <s v="CLAUDE"/>
    <x v="10"/>
    <s v="High"/>
    <n v="0"/>
    <s v="VC"/>
  </r>
  <r>
    <x v="17"/>
    <s v="CLAUDE"/>
    <x v="11"/>
    <s v="Medium"/>
    <n v="0"/>
    <s v="VC"/>
  </r>
  <r>
    <x v="17"/>
    <s v="CLAUDE"/>
    <x v="12"/>
    <s v="Low"/>
    <n v="0"/>
    <s v="VC"/>
  </r>
  <r>
    <x v="17"/>
    <s v="CLAUDE"/>
    <x v="13"/>
    <s v="Medium"/>
    <n v="0"/>
    <s v="VC"/>
  </r>
  <r>
    <x v="17"/>
    <s v="CLAUDE"/>
    <x v="14"/>
    <s v="Medium"/>
    <n v="0"/>
    <s v="VC"/>
  </r>
  <r>
    <x v="17"/>
    <s v="CLAUDE"/>
    <x v="15"/>
    <s v="High"/>
    <n v="0"/>
    <s v="AE"/>
  </r>
  <r>
    <x v="17"/>
    <s v="CLAUDE"/>
    <x v="16"/>
    <s v="High"/>
    <n v="1"/>
    <s v="VC"/>
  </r>
  <r>
    <x v="17"/>
    <s v="CLAUDE"/>
    <x v="17"/>
    <s v="Medium"/>
    <n v="0"/>
    <s v="VC"/>
  </r>
  <r>
    <x v="18"/>
    <s v="CLAUDE"/>
    <x v="0"/>
    <s v="High"/>
    <n v="0"/>
    <s v="AE"/>
  </r>
  <r>
    <x v="18"/>
    <s v="CLAUDE"/>
    <x v="1"/>
    <s v="High"/>
    <n v="0"/>
    <s v="VC"/>
  </r>
  <r>
    <x v="18"/>
    <s v="CLAUDE"/>
    <x v="2"/>
    <s v="Medium"/>
    <n v="1"/>
    <s v="VC"/>
  </r>
  <r>
    <x v="18"/>
    <s v="CLAUDE"/>
    <x v="3"/>
    <s v="High"/>
    <n v="0"/>
    <s v="VC"/>
  </r>
  <r>
    <x v="18"/>
    <s v="CLAUDE"/>
    <x v="4"/>
    <s v="Medium"/>
    <n v="0"/>
    <s v="VC"/>
  </r>
  <r>
    <x v="18"/>
    <s v="CLAUDE"/>
    <x v="5"/>
    <s v="High"/>
    <n v="0"/>
    <s v="AE"/>
  </r>
  <r>
    <x v="18"/>
    <s v="CLAUDE"/>
    <x v="6"/>
    <s v="Medium"/>
    <n v="0"/>
    <s v="VC"/>
  </r>
  <r>
    <x v="18"/>
    <s v="CLAUDE"/>
    <x v="7"/>
    <s v="Medium"/>
    <n v="0"/>
    <s v="VC"/>
  </r>
  <r>
    <x v="18"/>
    <s v="CLAUDE"/>
    <x v="8"/>
    <s v="Medium"/>
    <n v="0"/>
    <s v="VC"/>
  </r>
  <r>
    <x v="18"/>
    <s v="CLAUDE"/>
    <x v="9"/>
    <s v="Medium"/>
    <n v="0"/>
    <s v="VC"/>
  </r>
  <r>
    <x v="18"/>
    <s v="CLAUDE"/>
    <x v="10"/>
    <s v="High"/>
    <n v="0"/>
    <s v="VC"/>
  </r>
  <r>
    <x v="18"/>
    <s v="CLAUDE"/>
    <x v="11"/>
    <s v="Medium"/>
    <n v="0"/>
    <s v="VC"/>
  </r>
  <r>
    <x v="18"/>
    <s v="CLAUDE"/>
    <x v="12"/>
    <s v="Low"/>
    <n v="0"/>
    <s v="VC"/>
  </r>
  <r>
    <x v="18"/>
    <s v="CLAUDE"/>
    <x v="13"/>
    <s v="Medium"/>
    <n v="0"/>
    <s v="VC"/>
  </r>
  <r>
    <x v="18"/>
    <s v="CLAUDE"/>
    <x v="14"/>
    <s v="Medium"/>
    <n v="0"/>
    <s v="VC"/>
  </r>
  <r>
    <x v="18"/>
    <s v="CLAUDE"/>
    <x v="15"/>
    <s v="High"/>
    <n v="0"/>
    <s v="AE"/>
  </r>
  <r>
    <x v="18"/>
    <s v="CLAUDE"/>
    <x v="16"/>
    <s v="High"/>
    <n v="1"/>
    <s v="VC"/>
  </r>
  <r>
    <x v="18"/>
    <s v="CLAUDE"/>
    <x v="17"/>
    <s v="Medium"/>
    <n v="0"/>
    <s v="VC"/>
  </r>
  <r>
    <x v="19"/>
    <s v="CLAUDE"/>
    <x v="0"/>
    <s v="High"/>
    <n v="0"/>
    <s v="AE"/>
  </r>
  <r>
    <x v="19"/>
    <s v="CLAUDE"/>
    <x v="1"/>
    <s v="High"/>
    <n v="0"/>
    <s v="VC"/>
  </r>
  <r>
    <x v="19"/>
    <s v="CLAUDE"/>
    <x v="2"/>
    <s v="Medium"/>
    <n v="0"/>
    <s v="VC"/>
  </r>
  <r>
    <x v="19"/>
    <s v="CLAUDE"/>
    <x v="3"/>
    <s v="High"/>
    <n v="0"/>
    <s v="VC"/>
  </r>
  <r>
    <x v="19"/>
    <s v="CLAUDE"/>
    <x v="4"/>
    <s v="Medium"/>
    <n v="0"/>
    <s v="VC"/>
  </r>
  <r>
    <x v="19"/>
    <s v="CLAUDE"/>
    <x v="5"/>
    <s v="High"/>
    <n v="0"/>
    <s v="AE"/>
  </r>
  <r>
    <x v="19"/>
    <s v="CLAUDE"/>
    <x v="6"/>
    <s v="Medium"/>
    <n v="0"/>
    <s v="VC"/>
  </r>
  <r>
    <x v="19"/>
    <s v="CLAUDE"/>
    <x v="7"/>
    <s v="Medium"/>
    <n v="0"/>
    <s v="VC"/>
  </r>
  <r>
    <x v="19"/>
    <s v="CLAUDE"/>
    <x v="8"/>
    <s v="Medium"/>
    <n v="0"/>
    <s v="VC"/>
  </r>
  <r>
    <x v="19"/>
    <s v="CLAUDE"/>
    <x v="9"/>
    <s v="Medium"/>
    <n v="0"/>
    <s v="VC"/>
  </r>
  <r>
    <x v="19"/>
    <s v="CLAUDE"/>
    <x v="10"/>
    <s v="High"/>
    <n v="0"/>
    <s v="VC"/>
  </r>
  <r>
    <x v="19"/>
    <s v="CLAUDE"/>
    <x v="11"/>
    <s v="Medium"/>
    <n v="0"/>
    <s v="VC"/>
  </r>
  <r>
    <x v="19"/>
    <s v="CLAUDE"/>
    <x v="12"/>
    <s v="Low"/>
    <n v="0"/>
    <s v="VC"/>
  </r>
  <r>
    <x v="19"/>
    <s v="CLAUDE"/>
    <x v="13"/>
    <s v="Medium"/>
    <n v="0"/>
    <s v="VC"/>
  </r>
  <r>
    <x v="19"/>
    <s v="CLAUDE"/>
    <x v="14"/>
    <s v="Medium"/>
    <n v="0"/>
    <s v="VC"/>
  </r>
  <r>
    <x v="19"/>
    <s v="CLAUDE"/>
    <x v="15"/>
    <s v="High"/>
    <n v="0"/>
    <s v="AE"/>
  </r>
  <r>
    <x v="19"/>
    <s v="CLAUDE"/>
    <x v="16"/>
    <s v="High"/>
    <n v="1"/>
    <s v="VC"/>
  </r>
  <r>
    <x v="19"/>
    <s v="CLAUDE"/>
    <x v="17"/>
    <s v="Medium"/>
    <n v="0"/>
    <s v="VC"/>
  </r>
  <r>
    <x v="0"/>
    <s v="GEMINI"/>
    <x v="0"/>
    <s v="High"/>
    <n v="1"/>
    <s v="VC"/>
  </r>
  <r>
    <x v="0"/>
    <s v="GEMINI"/>
    <x v="1"/>
    <s v="High"/>
    <n v="0"/>
    <s v="VC"/>
  </r>
  <r>
    <x v="0"/>
    <s v="GEMINI"/>
    <x v="2"/>
    <s v="Medium"/>
    <n v="0"/>
    <s v="VC"/>
  </r>
  <r>
    <x v="0"/>
    <s v="GEMINI"/>
    <x v="3"/>
    <s v="High"/>
    <n v="0"/>
    <s v="VC"/>
  </r>
  <r>
    <x v="0"/>
    <s v="GEMINI"/>
    <x v="4"/>
    <s v="Medium"/>
    <n v="0"/>
    <s v="VC"/>
  </r>
  <r>
    <x v="0"/>
    <s v="GEMINI"/>
    <x v="5"/>
    <s v="High"/>
    <n v="0"/>
    <s v="VC"/>
  </r>
  <r>
    <x v="0"/>
    <s v="GEMINI"/>
    <x v="6"/>
    <s v="Medium"/>
    <n v="0"/>
    <s v="VC"/>
  </r>
  <r>
    <x v="0"/>
    <s v="GEMINI"/>
    <x v="7"/>
    <s v="Medium"/>
    <n v="0"/>
    <s v="VC"/>
  </r>
  <r>
    <x v="0"/>
    <s v="GEMINI"/>
    <x v="8"/>
    <s v="Medium"/>
    <n v="0"/>
    <s v="VC"/>
  </r>
  <r>
    <x v="0"/>
    <s v="GEMINI"/>
    <x v="9"/>
    <s v="Medium"/>
    <n v="0"/>
    <s v="VC"/>
  </r>
  <r>
    <x v="0"/>
    <s v="GEMINI"/>
    <x v="10"/>
    <s v="High"/>
    <n v="0"/>
    <s v="VC"/>
  </r>
  <r>
    <x v="0"/>
    <s v="GEMINI"/>
    <x v="11"/>
    <s v="Medium"/>
    <n v="0"/>
    <s v="VC"/>
  </r>
  <r>
    <x v="0"/>
    <s v="GEMINI"/>
    <x v="12"/>
    <s v="Low"/>
    <n v="0"/>
    <s v="VC"/>
  </r>
  <r>
    <x v="0"/>
    <s v="GEMINI"/>
    <x v="13"/>
    <s v="Medium"/>
    <n v="0"/>
    <s v="VC"/>
  </r>
  <r>
    <x v="0"/>
    <s v="GEMINI"/>
    <x v="14"/>
    <s v="Medium"/>
    <n v="0"/>
    <s v="VC"/>
  </r>
  <r>
    <x v="0"/>
    <s v="GEMINI"/>
    <x v="15"/>
    <s v="High"/>
    <n v="0"/>
    <s v="VC"/>
  </r>
  <r>
    <x v="0"/>
    <s v="GEMINI"/>
    <x v="16"/>
    <s v="High"/>
    <n v="0"/>
    <s v="VC"/>
  </r>
  <r>
    <x v="0"/>
    <s v="GEMINI"/>
    <x v="17"/>
    <s v="Medium"/>
    <n v="0"/>
    <s v="VC"/>
  </r>
  <r>
    <x v="1"/>
    <s v="GEMINI"/>
    <x v="0"/>
    <s v="High"/>
    <n v="0"/>
    <s v="VC"/>
  </r>
  <r>
    <x v="1"/>
    <s v="GEMINI"/>
    <x v="1"/>
    <s v="High"/>
    <n v="1"/>
    <s v="MC"/>
  </r>
  <r>
    <x v="1"/>
    <s v="GEMINI"/>
    <x v="2"/>
    <s v="Medium"/>
    <n v="0"/>
    <s v="MC"/>
  </r>
  <r>
    <x v="1"/>
    <s v="GEMINI"/>
    <x v="3"/>
    <s v="High"/>
    <n v="0"/>
    <s v="VC"/>
  </r>
  <r>
    <x v="1"/>
    <s v="GEMINI"/>
    <x v="4"/>
    <s v="Medium"/>
    <n v="0"/>
    <s v="VC"/>
  </r>
  <r>
    <x v="1"/>
    <s v="GEMINI"/>
    <x v="5"/>
    <s v="High"/>
    <n v="0"/>
    <s v="VC"/>
  </r>
  <r>
    <x v="1"/>
    <s v="GEMINI"/>
    <x v="6"/>
    <s v="Medium"/>
    <n v="0"/>
    <s v="VC"/>
  </r>
  <r>
    <x v="1"/>
    <s v="GEMINI"/>
    <x v="7"/>
    <s v="Medium"/>
    <n v="0"/>
    <s v="VC"/>
  </r>
  <r>
    <x v="1"/>
    <s v="GEMINI"/>
    <x v="8"/>
    <s v="Medium"/>
    <n v="0"/>
    <s v="VC"/>
  </r>
  <r>
    <x v="1"/>
    <s v="GEMINI"/>
    <x v="9"/>
    <s v="Medium"/>
    <n v="0"/>
    <s v="VC"/>
  </r>
  <r>
    <x v="1"/>
    <s v="GEMINI"/>
    <x v="10"/>
    <s v="High"/>
    <n v="0"/>
    <s v="VC"/>
  </r>
  <r>
    <x v="1"/>
    <s v="GEMINI"/>
    <x v="11"/>
    <s v="Medium"/>
    <n v="0"/>
    <s v="VC"/>
  </r>
  <r>
    <x v="1"/>
    <s v="GEMINI"/>
    <x v="12"/>
    <s v="Low"/>
    <n v="0"/>
    <s v="VC"/>
  </r>
  <r>
    <x v="1"/>
    <s v="GEMINI"/>
    <x v="13"/>
    <s v="Medium"/>
    <n v="0"/>
    <s v="VC"/>
  </r>
  <r>
    <x v="1"/>
    <s v="GEMINI"/>
    <x v="14"/>
    <s v="Medium"/>
    <n v="0"/>
    <s v="VC"/>
  </r>
  <r>
    <x v="1"/>
    <s v="GEMINI"/>
    <x v="15"/>
    <s v="High"/>
    <n v="0"/>
    <s v="VC"/>
  </r>
  <r>
    <x v="1"/>
    <s v="GEMINI"/>
    <x v="16"/>
    <s v="High"/>
    <n v="0"/>
    <s v="VC"/>
  </r>
  <r>
    <x v="1"/>
    <s v="GEMINI"/>
    <x v="17"/>
    <s v="Medium"/>
    <n v="0"/>
    <s v="VC"/>
  </r>
  <r>
    <x v="2"/>
    <s v="GEMINI"/>
    <x v="0"/>
    <s v="High"/>
    <n v="0"/>
    <s v="VC"/>
  </r>
  <r>
    <x v="2"/>
    <s v="GEMINI"/>
    <x v="1"/>
    <s v="High"/>
    <n v="0"/>
    <s v="VC"/>
  </r>
  <r>
    <x v="2"/>
    <s v="GEMINI"/>
    <x v="2"/>
    <s v="Medium"/>
    <n v="1"/>
    <s v="VC"/>
  </r>
  <r>
    <x v="2"/>
    <s v="GEMINI"/>
    <x v="3"/>
    <s v="High"/>
    <n v="0"/>
    <s v="VC"/>
  </r>
  <r>
    <x v="2"/>
    <s v="GEMINI"/>
    <x v="4"/>
    <s v="Medium"/>
    <n v="0"/>
    <s v="VC"/>
  </r>
  <r>
    <x v="2"/>
    <s v="GEMINI"/>
    <x v="5"/>
    <s v="High"/>
    <n v="0"/>
    <s v="VC"/>
  </r>
  <r>
    <x v="2"/>
    <s v="GEMINI"/>
    <x v="6"/>
    <s v="Medium"/>
    <n v="0"/>
    <s v="VC"/>
  </r>
  <r>
    <x v="2"/>
    <s v="GEMINI"/>
    <x v="7"/>
    <s v="Medium"/>
    <n v="0"/>
    <s v="VC"/>
  </r>
  <r>
    <x v="2"/>
    <s v="GEMINI"/>
    <x v="8"/>
    <s v="Medium"/>
    <n v="0"/>
    <s v="VC"/>
  </r>
  <r>
    <x v="2"/>
    <s v="GEMINI"/>
    <x v="9"/>
    <s v="Medium"/>
    <n v="0"/>
    <s v="VC"/>
  </r>
  <r>
    <x v="2"/>
    <s v="GEMINI"/>
    <x v="10"/>
    <s v="High"/>
    <n v="0"/>
    <s v="VC"/>
  </r>
  <r>
    <x v="2"/>
    <s v="GEMINI"/>
    <x v="11"/>
    <s v="Medium"/>
    <n v="0"/>
    <s v="VC"/>
  </r>
  <r>
    <x v="2"/>
    <s v="GEMINI"/>
    <x v="12"/>
    <s v="Low"/>
    <n v="0"/>
    <s v="VC"/>
  </r>
  <r>
    <x v="2"/>
    <s v="GEMINI"/>
    <x v="13"/>
    <s v="Medium"/>
    <n v="0"/>
    <s v="VC"/>
  </r>
  <r>
    <x v="2"/>
    <s v="GEMINI"/>
    <x v="14"/>
    <s v="Medium"/>
    <n v="0"/>
    <s v="VC"/>
  </r>
  <r>
    <x v="2"/>
    <s v="GEMINI"/>
    <x v="15"/>
    <s v="High"/>
    <n v="1"/>
    <s v="MC"/>
  </r>
  <r>
    <x v="2"/>
    <s v="GEMINI"/>
    <x v="16"/>
    <s v="High"/>
    <n v="1"/>
    <s v="VC"/>
  </r>
  <r>
    <x v="2"/>
    <s v="GEMINI"/>
    <x v="17"/>
    <s v="Medium"/>
    <n v="0"/>
    <s v="VC"/>
  </r>
  <r>
    <x v="3"/>
    <s v="GEMINI"/>
    <x v="0"/>
    <s v="High"/>
    <n v="0"/>
    <s v="VC"/>
  </r>
  <r>
    <x v="3"/>
    <s v="GEMINI"/>
    <x v="1"/>
    <s v="High"/>
    <n v="0"/>
    <s v="VC"/>
  </r>
  <r>
    <x v="3"/>
    <s v="GEMINI"/>
    <x v="2"/>
    <s v="Medium"/>
    <n v="1"/>
    <s v="MC"/>
  </r>
  <r>
    <x v="3"/>
    <s v="GEMINI"/>
    <x v="3"/>
    <s v="High"/>
    <n v="0"/>
    <s v="VC"/>
  </r>
  <r>
    <x v="3"/>
    <s v="GEMINI"/>
    <x v="4"/>
    <s v="Medium"/>
    <n v="0"/>
    <s v="VC"/>
  </r>
  <r>
    <x v="3"/>
    <s v="GEMINI"/>
    <x v="5"/>
    <s v="High"/>
    <n v="0"/>
    <s v="VC"/>
  </r>
  <r>
    <x v="3"/>
    <s v="GEMINI"/>
    <x v="6"/>
    <s v="Medium"/>
    <n v="0"/>
    <s v="VC"/>
  </r>
  <r>
    <x v="3"/>
    <s v="GEMINI"/>
    <x v="7"/>
    <s v="Medium"/>
    <n v="0"/>
    <s v="VC"/>
  </r>
  <r>
    <x v="3"/>
    <s v="GEMINI"/>
    <x v="8"/>
    <s v="Medium"/>
    <n v="0"/>
    <s v="VC"/>
  </r>
  <r>
    <x v="3"/>
    <s v="GEMINI"/>
    <x v="9"/>
    <s v="Medium"/>
    <n v="0"/>
    <s v="VC"/>
  </r>
  <r>
    <x v="3"/>
    <s v="GEMINI"/>
    <x v="10"/>
    <s v="High"/>
    <n v="0"/>
    <s v="VC"/>
  </r>
  <r>
    <x v="3"/>
    <s v="GEMINI"/>
    <x v="11"/>
    <s v="Medium"/>
    <n v="0"/>
    <s v="VC"/>
  </r>
  <r>
    <x v="3"/>
    <s v="GEMINI"/>
    <x v="12"/>
    <s v="Low"/>
    <n v="0"/>
    <s v="VC"/>
  </r>
  <r>
    <x v="3"/>
    <s v="GEMINI"/>
    <x v="13"/>
    <s v="Medium"/>
    <n v="0"/>
    <s v="VC"/>
  </r>
  <r>
    <x v="3"/>
    <s v="GEMINI"/>
    <x v="14"/>
    <s v="Medium"/>
    <n v="0"/>
    <s v="VC"/>
  </r>
  <r>
    <x v="3"/>
    <s v="GEMINI"/>
    <x v="15"/>
    <s v="High"/>
    <n v="0"/>
    <s v="VC"/>
  </r>
  <r>
    <x v="3"/>
    <s v="GEMINI"/>
    <x v="16"/>
    <s v="High"/>
    <n v="1"/>
    <s v="VC"/>
  </r>
  <r>
    <x v="3"/>
    <s v="GEMINI"/>
    <x v="17"/>
    <s v="Medium"/>
    <n v="0"/>
    <s v="AE"/>
  </r>
  <r>
    <x v="4"/>
    <s v="GEMINI"/>
    <x v="0"/>
    <s v="High"/>
    <n v="0"/>
    <s v="VC"/>
  </r>
  <r>
    <x v="4"/>
    <s v="GEMINI"/>
    <x v="1"/>
    <s v="High"/>
    <n v="0"/>
    <s v="VC"/>
  </r>
  <r>
    <x v="4"/>
    <s v="GEMINI"/>
    <x v="2"/>
    <s v="Medium"/>
    <n v="1"/>
    <s v="VC"/>
  </r>
  <r>
    <x v="4"/>
    <s v="GEMINI"/>
    <x v="3"/>
    <s v="High"/>
    <n v="0"/>
    <s v="VC"/>
  </r>
  <r>
    <x v="4"/>
    <s v="GEMINI"/>
    <x v="4"/>
    <s v="Medium"/>
    <n v="0"/>
    <s v="VC"/>
  </r>
  <r>
    <x v="4"/>
    <s v="GEMINI"/>
    <x v="5"/>
    <s v="High"/>
    <n v="0"/>
    <s v="VC"/>
  </r>
  <r>
    <x v="4"/>
    <s v="GEMINI"/>
    <x v="6"/>
    <s v="Medium"/>
    <n v="0"/>
    <s v="VC"/>
  </r>
  <r>
    <x v="4"/>
    <s v="GEMINI"/>
    <x v="7"/>
    <s v="Medium"/>
    <n v="0"/>
    <s v="VC"/>
  </r>
  <r>
    <x v="4"/>
    <s v="GEMINI"/>
    <x v="8"/>
    <s v="Medium"/>
    <n v="0"/>
    <s v="VC"/>
  </r>
  <r>
    <x v="4"/>
    <s v="GEMINI"/>
    <x v="9"/>
    <s v="Medium"/>
    <n v="0"/>
    <s v="VC"/>
  </r>
  <r>
    <x v="4"/>
    <s v="GEMINI"/>
    <x v="10"/>
    <s v="High"/>
    <n v="0"/>
    <s v="VC"/>
  </r>
  <r>
    <x v="4"/>
    <s v="GEMINI"/>
    <x v="11"/>
    <s v="Medium"/>
    <n v="0"/>
    <s v="VC"/>
  </r>
  <r>
    <x v="4"/>
    <s v="GEMINI"/>
    <x v="12"/>
    <s v="Low"/>
    <n v="0"/>
    <s v="VC"/>
  </r>
  <r>
    <x v="4"/>
    <s v="GEMINI"/>
    <x v="13"/>
    <s v="Medium"/>
    <n v="0"/>
    <s v="VC"/>
  </r>
  <r>
    <x v="4"/>
    <s v="GEMINI"/>
    <x v="14"/>
    <s v="Medium"/>
    <n v="0"/>
    <s v="VC"/>
  </r>
  <r>
    <x v="4"/>
    <s v="GEMINI"/>
    <x v="15"/>
    <s v="High"/>
    <n v="0"/>
    <s v="VC"/>
  </r>
  <r>
    <x v="4"/>
    <s v="GEMINI"/>
    <x v="16"/>
    <s v="High"/>
    <n v="1"/>
    <s v="VC"/>
  </r>
  <r>
    <x v="4"/>
    <s v="GEMINI"/>
    <x v="17"/>
    <s v="Medium"/>
    <n v="0"/>
    <s v="AE"/>
  </r>
  <r>
    <x v="5"/>
    <s v="GEMINI"/>
    <x v="0"/>
    <s v="High"/>
    <n v="0"/>
    <s v="VC"/>
  </r>
  <r>
    <x v="5"/>
    <s v="GEMINI"/>
    <x v="1"/>
    <s v="High"/>
    <n v="0"/>
    <s v="VC"/>
  </r>
  <r>
    <x v="5"/>
    <s v="GEMINI"/>
    <x v="2"/>
    <s v="Medium"/>
    <n v="0"/>
    <s v="VC"/>
  </r>
  <r>
    <x v="5"/>
    <s v="GEMINI"/>
    <x v="3"/>
    <s v="High"/>
    <n v="0"/>
    <s v="VC"/>
  </r>
  <r>
    <x v="5"/>
    <s v="GEMINI"/>
    <x v="4"/>
    <s v="Medium"/>
    <n v="0"/>
    <s v="VC"/>
  </r>
  <r>
    <x v="5"/>
    <s v="GEMINI"/>
    <x v="5"/>
    <s v="High"/>
    <n v="0"/>
    <s v="AE"/>
  </r>
  <r>
    <x v="5"/>
    <s v="GEMINI"/>
    <x v="6"/>
    <s v="Medium"/>
    <n v="0"/>
    <s v="VC"/>
  </r>
  <r>
    <x v="5"/>
    <s v="GEMINI"/>
    <x v="7"/>
    <s v="Medium"/>
    <n v="0"/>
    <s v="VC"/>
  </r>
  <r>
    <x v="5"/>
    <s v="GEMINI"/>
    <x v="8"/>
    <s v="Medium"/>
    <n v="0"/>
    <s v="VC"/>
  </r>
  <r>
    <x v="5"/>
    <s v="GEMINI"/>
    <x v="9"/>
    <s v="Medium"/>
    <n v="0"/>
    <s v="VC"/>
  </r>
  <r>
    <x v="5"/>
    <s v="GEMINI"/>
    <x v="10"/>
    <s v="High"/>
    <n v="0"/>
    <s v="VC"/>
  </r>
  <r>
    <x v="5"/>
    <s v="GEMINI"/>
    <x v="11"/>
    <s v="Medium"/>
    <n v="0"/>
    <s v="VC"/>
  </r>
  <r>
    <x v="5"/>
    <s v="GEMINI"/>
    <x v="12"/>
    <s v="Low"/>
    <n v="0"/>
    <s v="VC"/>
  </r>
  <r>
    <x v="5"/>
    <s v="GEMINI"/>
    <x v="13"/>
    <s v="Medium"/>
    <n v="0"/>
    <s v="VC"/>
  </r>
  <r>
    <x v="5"/>
    <s v="GEMINI"/>
    <x v="14"/>
    <s v="Medium"/>
    <n v="0"/>
    <s v="VC"/>
  </r>
  <r>
    <x v="5"/>
    <s v="GEMINI"/>
    <x v="15"/>
    <s v="High"/>
    <n v="0"/>
    <s v="VC"/>
  </r>
  <r>
    <x v="5"/>
    <s v="GEMINI"/>
    <x v="16"/>
    <s v="High"/>
    <n v="0"/>
    <s v="VC"/>
  </r>
  <r>
    <x v="5"/>
    <s v="GEMINI"/>
    <x v="17"/>
    <s v="Medium"/>
    <n v="0"/>
    <s v="VC"/>
  </r>
  <r>
    <x v="6"/>
    <s v="GEMINI"/>
    <x v="0"/>
    <s v="High"/>
    <n v="0"/>
    <s v="AE"/>
  </r>
  <r>
    <x v="6"/>
    <s v="GEMINI"/>
    <x v="1"/>
    <s v="High"/>
    <n v="0"/>
    <s v="VC"/>
  </r>
  <r>
    <x v="6"/>
    <s v="GEMINI"/>
    <x v="2"/>
    <s v="Medium"/>
    <n v="0"/>
    <s v="MC"/>
  </r>
  <r>
    <x v="6"/>
    <s v="GEMINI"/>
    <x v="3"/>
    <s v="High"/>
    <n v="0"/>
    <s v="VC"/>
  </r>
  <r>
    <x v="6"/>
    <s v="GEMINI"/>
    <x v="4"/>
    <s v="Medium"/>
    <n v="0"/>
    <s v="VC"/>
  </r>
  <r>
    <x v="6"/>
    <s v="GEMINI"/>
    <x v="5"/>
    <s v="High"/>
    <n v="0"/>
    <s v="VC"/>
  </r>
  <r>
    <x v="6"/>
    <s v="GEMINI"/>
    <x v="6"/>
    <s v="Medium"/>
    <n v="0"/>
    <s v="VC"/>
  </r>
  <r>
    <x v="6"/>
    <s v="GEMINI"/>
    <x v="7"/>
    <s v="Medium"/>
    <n v="0"/>
    <s v="VC"/>
  </r>
  <r>
    <x v="6"/>
    <s v="GEMINI"/>
    <x v="8"/>
    <s v="Medium"/>
    <n v="0"/>
    <s v="VC"/>
  </r>
  <r>
    <x v="6"/>
    <s v="GEMINI"/>
    <x v="9"/>
    <s v="Medium"/>
    <n v="0"/>
    <s v="H"/>
  </r>
  <r>
    <x v="6"/>
    <s v="GEMINI"/>
    <x v="10"/>
    <s v="High"/>
    <n v="0"/>
    <s v="VC"/>
  </r>
  <r>
    <x v="6"/>
    <s v="GEMINI"/>
    <x v="11"/>
    <s v="Medium"/>
    <n v="0"/>
    <s v="VC"/>
  </r>
  <r>
    <x v="6"/>
    <s v="GEMINI"/>
    <x v="12"/>
    <s v="Low"/>
    <n v="0"/>
    <s v="VC"/>
  </r>
  <r>
    <x v="6"/>
    <s v="GEMINI"/>
    <x v="13"/>
    <s v="Medium"/>
    <n v="0"/>
    <s v="VC"/>
  </r>
  <r>
    <x v="6"/>
    <s v="GEMINI"/>
    <x v="14"/>
    <s v="Medium"/>
    <n v="0"/>
    <s v="VC"/>
  </r>
  <r>
    <x v="6"/>
    <s v="GEMINI"/>
    <x v="15"/>
    <s v="High"/>
    <n v="0"/>
    <s v="AE"/>
  </r>
  <r>
    <x v="6"/>
    <s v="GEMINI"/>
    <x v="16"/>
    <s v="High"/>
    <n v="1"/>
    <s v="VC"/>
  </r>
  <r>
    <x v="6"/>
    <s v="GEMINI"/>
    <x v="17"/>
    <s v="Medium"/>
    <n v="0"/>
    <s v="VC"/>
  </r>
  <r>
    <x v="7"/>
    <s v="GEMINI"/>
    <x v="0"/>
    <s v="High"/>
    <n v="0"/>
    <s v="VC"/>
  </r>
  <r>
    <x v="7"/>
    <s v="GEMINI"/>
    <x v="1"/>
    <s v="High"/>
    <n v="0"/>
    <s v="VC"/>
  </r>
  <r>
    <x v="7"/>
    <s v="GEMINI"/>
    <x v="2"/>
    <s v="Medium"/>
    <n v="1"/>
    <s v="VC"/>
  </r>
  <r>
    <x v="7"/>
    <s v="GEMINI"/>
    <x v="3"/>
    <s v="High"/>
    <n v="0"/>
    <s v="VC"/>
  </r>
  <r>
    <x v="7"/>
    <s v="GEMINI"/>
    <x v="4"/>
    <s v="Medium"/>
    <n v="0"/>
    <s v="VC"/>
  </r>
  <r>
    <x v="7"/>
    <s v="GEMINI"/>
    <x v="5"/>
    <s v="High"/>
    <n v="0"/>
    <s v="VC"/>
  </r>
  <r>
    <x v="7"/>
    <s v="GEMINI"/>
    <x v="6"/>
    <s v="Medium"/>
    <n v="0"/>
    <s v="VC"/>
  </r>
  <r>
    <x v="7"/>
    <s v="GEMINI"/>
    <x v="7"/>
    <s v="Medium"/>
    <n v="0"/>
    <s v="VC"/>
  </r>
  <r>
    <x v="7"/>
    <s v="GEMINI"/>
    <x v="8"/>
    <s v="Medium"/>
    <n v="0"/>
    <s v="VC"/>
  </r>
  <r>
    <x v="7"/>
    <s v="GEMINI"/>
    <x v="9"/>
    <s v="Medium"/>
    <n v="0"/>
    <s v="VC"/>
  </r>
  <r>
    <x v="7"/>
    <s v="GEMINI"/>
    <x v="10"/>
    <s v="High"/>
    <n v="0"/>
    <s v="VC"/>
  </r>
  <r>
    <x v="7"/>
    <s v="GEMINI"/>
    <x v="11"/>
    <s v="Medium"/>
    <n v="0"/>
    <s v="VC"/>
  </r>
  <r>
    <x v="7"/>
    <s v="GEMINI"/>
    <x v="12"/>
    <s v="Low"/>
    <n v="0"/>
    <s v="VC"/>
  </r>
  <r>
    <x v="7"/>
    <s v="GEMINI"/>
    <x v="13"/>
    <s v="Medium"/>
    <n v="0"/>
    <s v="VC"/>
  </r>
  <r>
    <x v="7"/>
    <s v="GEMINI"/>
    <x v="14"/>
    <s v="Medium"/>
    <n v="1"/>
    <s v="MC"/>
  </r>
  <r>
    <x v="7"/>
    <s v="GEMINI"/>
    <x v="15"/>
    <s v="High"/>
    <n v="0"/>
    <s v="VC"/>
  </r>
  <r>
    <x v="7"/>
    <s v="GEMINI"/>
    <x v="16"/>
    <s v="High"/>
    <n v="1"/>
    <s v="VC"/>
  </r>
  <r>
    <x v="7"/>
    <s v="GEMINI"/>
    <x v="17"/>
    <s v="Medium"/>
    <n v="0"/>
    <s v="AE"/>
  </r>
  <r>
    <x v="8"/>
    <s v="GEMINI"/>
    <x v="0"/>
    <s v="High"/>
    <n v="1"/>
    <s v="VC"/>
  </r>
  <r>
    <x v="8"/>
    <s v="GEMINI"/>
    <x v="1"/>
    <s v="High"/>
    <n v="0"/>
    <s v="VC"/>
  </r>
  <r>
    <x v="8"/>
    <s v="GEMINI"/>
    <x v="2"/>
    <s v="Medium"/>
    <n v="1"/>
    <s v="VC"/>
  </r>
  <r>
    <x v="8"/>
    <s v="GEMINI"/>
    <x v="3"/>
    <s v="High"/>
    <n v="1"/>
    <s v="MC"/>
  </r>
  <r>
    <x v="8"/>
    <s v="GEMINI"/>
    <x v="4"/>
    <s v="Medium"/>
    <n v="0"/>
    <s v="VC"/>
  </r>
  <r>
    <x v="8"/>
    <s v="GEMINI"/>
    <x v="5"/>
    <s v="High"/>
    <n v="0"/>
    <s v="VC"/>
  </r>
  <r>
    <x v="8"/>
    <s v="GEMINI"/>
    <x v="6"/>
    <s v="Medium"/>
    <n v="0"/>
    <s v="VC"/>
  </r>
  <r>
    <x v="8"/>
    <s v="GEMINI"/>
    <x v="7"/>
    <s v="Medium"/>
    <n v="0"/>
    <s v="VC"/>
  </r>
  <r>
    <x v="8"/>
    <s v="GEMINI"/>
    <x v="8"/>
    <s v="Medium"/>
    <n v="0"/>
    <s v="VC"/>
  </r>
  <r>
    <x v="8"/>
    <s v="GEMINI"/>
    <x v="9"/>
    <s v="Medium"/>
    <n v="0"/>
    <s v="VC"/>
  </r>
  <r>
    <x v="8"/>
    <s v="GEMINI"/>
    <x v="10"/>
    <s v="High"/>
    <n v="0"/>
    <s v="VC"/>
  </r>
  <r>
    <x v="8"/>
    <s v="GEMINI"/>
    <x v="11"/>
    <s v="Medium"/>
    <n v="1"/>
    <s v="MC"/>
  </r>
  <r>
    <x v="8"/>
    <s v="GEMINI"/>
    <x v="12"/>
    <s v="Low"/>
    <n v="0"/>
    <s v="VC"/>
  </r>
  <r>
    <x v="8"/>
    <s v="GEMINI"/>
    <x v="13"/>
    <s v="Medium"/>
    <n v="0"/>
    <s v="VC"/>
  </r>
  <r>
    <x v="8"/>
    <s v="GEMINI"/>
    <x v="14"/>
    <s v="Medium"/>
    <n v="0"/>
    <s v="VC"/>
  </r>
  <r>
    <x v="8"/>
    <s v="GEMINI"/>
    <x v="15"/>
    <s v="High"/>
    <n v="0"/>
    <s v="VC"/>
  </r>
  <r>
    <x v="8"/>
    <s v="GEMINI"/>
    <x v="16"/>
    <s v="High"/>
    <n v="1"/>
    <s v="VC"/>
  </r>
  <r>
    <x v="8"/>
    <s v="GEMINI"/>
    <x v="17"/>
    <s v="Medium"/>
    <n v="0"/>
    <s v="AE"/>
  </r>
  <r>
    <x v="9"/>
    <s v="GEMINI"/>
    <x v="0"/>
    <s v="High"/>
    <n v="0"/>
    <s v="VC"/>
  </r>
  <r>
    <x v="9"/>
    <s v="GEMINI"/>
    <x v="1"/>
    <s v="High"/>
    <n v="0"/>
    <s v="VC"/>
  </r>
  <r>
    <x v="9"/>
    <s v="GEMINI"/>
    <x v="2"/>
    <s v="Medium"/>
    <n v="0"/>
    <s v="MC"/>
  </r>
  <r>
    <x v="9"/>
    <s v="GEMINI"/>
    <x v="3"/>
    <s v="High"/>
    <n v="0"/>
    <s v="VC"/>
  </r>
  <r>
    <x v="9"/>
    <s v="GEMINI"/>
    <x v="4"/>
    <s v="Medium"/>
    <n v="0"/>
    <s v="VC"/>
  </r>
  <r>
    <x v="9"/>
    <s v="GEMINI"/>
    <x v="5"/>
    <s v="High"/>
    <n v="0"/>
    <s v="VC"/>
  </r>
  <r>
    <x v="9"/>
    <s v="GEMINI"/>
    <x v="6"/>
    <s v="Medium"/>
    <n v="0"/>
    <s v="VC"/>
  </r>
  <r>
    <x v="9"/>
    <s v="GEMINI"/>
    <x v="7"/>
    <s v="Medium"/>
    <n v="0"/>
    <s v="VC"/>
  </r>
  <r>
    <x v="9"/>
    <s v="GEMINI"/>
    <x v="8"/>
    <s v="Medium"/>
    <n v="0"/>
    <s v="VC"/>
  </r>
  <r>
    <x v="9"/>
    <s v="GEMINI"/>
    <x v="9"/>
    <s v="Medium"/>
    <n v="0"/>
    <s v="VC"/>
  </r>
  <r>
    <x v="9"/>
    <s v="GEMINI"/>
    <x v="10"/>
    <s v="High"/>
    <n v="0"/>
    <s v="VC"/>
  </r>
  <r>
    <x v="9"/>
    <s v="GEMINI"/>
    <x v="11"/>
    <s v="Medium"/>
    <n v="0"/>
    <s v="VC"/>
  </r>
  <r>
    <x v="9"/>
    <s v="GEMINI"/>
    <x v="12"/>
    <s v="Low"/>
    <n v="0"/>
    <s v="VC"/>
  </r>
  <r>
    <x v="9"/>
    <s v="GEMINI"/>
    <x v="13"/>
    <s v="Medium"/>
    <n v="0"/>
    <s v="VC"/>
  </r>
  <r>
    <x v="9"/>
    <s v="GEMINI"/>
    <x v="14"/>
    <s v="Medium"/>
    <n v="0"/>
    <s v="VC"/>
  </r>
  <r>
    <x v="9"/>
    <s v="GEMINI"/>
    <x v="15"/>
    <s v="High"/>
    <n v="0"/>
    <s v="MC"/>
  </r>
  <r>
    <x v="9"/>
    <s v="GEMINI"/>
    <x v="16"/>
    <s v="High"/>
    <n v="1"/>
    <s v="VC"/>
  </r>
  <r>
    <x v="9"/>
    <s v="GEMINI"/>
    <x v="17"/>
    <s v="Medium"/>
    <n v="1"/>
    <s v="MC"/>
  </r>
  <r>
    <x v="10"/>
    <s v="GEMINI"/>
    <x v="0"/>
    <s v="High"/>
    <n v="0"/>
    <s v="AE"/>
  </r>
  <r>
    <x v="10"/>
    <s v="GEMINI"/>
    <x v="1"/>
    <s v="High"/>
    <n v="0"/>
    <s v="VC"/>
  </r>
  <r>
    <x v="10"/>
    <s v="GEMINI"/>
    <x v="2"/>
    <s v="Medium"/>
    <n v="1"/>
    <s v="VC"/>
  </r>
  <r>
    <x v="10"/>
    <s v="GEMINI"/>
    <x v="3"/>
    <s v="High"/>
    <n v="0"/>
    <s v="VC"/>
  </r>
  <r>
    <x v="10"/>
    <s v="GEMINI"/>
    <x v="4"/>
    <s v="Medium"/>
    <n v="0"/>
    <s v="VC"/>
  </r>
  <r>
    <x v="10"/>
    <s v="GEMINI"/>
    <x v="5"/>
    <s v="High"/>
    <n v="0"/>
    <s v="AE"/>
  </r>
  <r>
    <x v="10"/>
    <s v="GEMINI"/>
    <x v="6"/>
    <s v="Medium"/>
    <n v="0"/>
    <s v="VC"/>
  </r>
  <r>
    <x v="10"/>
    <s v="GEMINI"/>
    <x v="7"/>
    <s v="Medium"/>
    <n v="0"/>
    <s v="VC"/>
  </r>
  <r>
    <x v="10"/>
    <s v="GEMINI"/>
    <x v="8"/>
    <s v="Medium"/>
    <n v="0"/>
    <s v="VC"/>
  </r>
  <r>
    <x v="10"/>
    <s v="GEMINI"/>
    <x v="9"/>
    <s v="Medium"/>
    <n v="0"/>
    <s v="VC"/>
  </r>
  <r>
    <x v="10"/>
    <s v="GEMINI"/>
    <x v="10"/>
    <s v="High"/>
    <n v="0"/>
    <s v="VC"/>
  </r>
  <r>
    <x v="10"/>
    <s v="GEMINI"/>
    <x v="11"/>
    <s v="Medium"/>
    <n v="0"/>
    <s v="VC"/>
  </r>
  <r>
    <x v="10"/>
    <s v="GEMINI"/>
    <x v="12"/>
    <s v="Low"/>
    <n v="0"/>
    <s v="VC"/>
  </r>
  <r>
    <x v="10"/>
    <s v="GEMINI"/>
    <x v="13"/>
    <s v="Medium"/>
    <n v="0"/>
    <s v="VC"/>
  </r>
  <r>
    <x v="10"/>
    <s v="GEMINI"/>
    <x v="14"/>
    <s v="Medium"/>
    <n v="0"/>
    <s v="VC"/>
  </r>
  <r>
    <x v="10"/>
    <s v="GEMINI"/>
    <x v="15"/>
    <s v="High"/>
    <n v="0"/>
    <s v="VC"/>
  </r>
  <r>
    <x v="10"/>
    <s v="GEMINI"/>
    <x v="16"/>
    <s v="High"/>
    <n v="0"/>
    <s v="VC"/>
  </r>
  <r>
    <x v="10"/>
    <s v="GEMINI"/>
    <x v="17"/>
    <s v="Medium"/>
    <n v="0"/>
    <s v="VC"/>
  </r>
  <r>
    <x v="11"/>
    <s v="GEMINI"/>
    <x v="0"/>
    <s v="High"/>
    <n v="0"/>
    <s v="VC"/>
  </r>
  <r>
    <x v="11"/>
    <s v="GEMINI"/>
    <x v="1"/>
    <s v="High"/>
    <n v="0"/>
    <s v="VC"/>
  </r>
  <r>
    <x v="11"/>
    <s v="GEMINI"/>
    <x v="2"/>
    <s v="Medium"/>
    <n v="1"/>
    <s v="VC"/>
  </r>
  <r>
    <x v="11"/>
    <s v="GEMINI"/>
    <x v="3"/>
    <s v="High"/>
    <n v="0"/>
    <s v="VC"/>
  </r>
  <r>
    <x v="11"/>
    <s v="GEMINI"/>
    <x v="4"/>
    <s v="Medium"/>
    <n v="0"/>
    <s v="VC"/>
  </r>
  <r>
    <x v="11"/>
    <s v="GEMINI"/>
    <x v="5"/>
    <s v="High"/>
    <n v="0"/>
    <s v="VC"/>
  </r>
  <r>
    <x v="11"/>
    <s v="GEMINI"/>
    <x v="6"/>
    <s v="Medium"/>
    <n v="0"/>
    <s v="VC"/>
  </r>
  <r>
    <x v="11"/>
    <s v="GEMINI"/>
    <x v="7"/>
    <s v="Medium"/>
    <n v="0"/>
    <s v="VC"/>
  </r>
  <r>
    <x v="11"/>
    <s v="GEMINI"/>
    <x v="8"/>
    <s v="Medium"/>
    <n v="0"/>
    <s v="VC"/>
  </r>
  <r>
    <x v="11"/>
    <s v="GEMINI"/>
    <x v="9"/>
    <s v="Medium"/>
    <n v="0"/>
    <s v="VC"/>
  </r>
  <r>
    <x v="11"/>
    <s v="GEMINI"/>
    <x v="10"/>
    <s v="High"/>
    <n v="0"/>
    <s v="VC"/>
  </r>
  <r>
    <x v="11"/>
    <s v="GEMINI"/>
    <x v="11"/>
    <s v="Medium"/>
    <n v="0"/>
    <s v="VC"/>
  </r>
  <r>
    <x v="11"/>
    <s v="GEMINI"/>
    <x v="12"/>
    <s v="Low"/>
    <n v="0"/>
    <s v="VC"/>
  </r>
  <r>
    <x v="11"/>
    <s v="GEMINI"/>
    <x v="13"/>
    <s v="Medium"/>
    <n v="0"/>
    <s v="VC"/>
  </r>
  <r>
    <x v="11"/>
    <s v="GEMINI"/>
    <x v="14"/>
    <s v="Medium"/>
    <n v="0"/>
    <s v="VC"/>
  </r>
  <r>
    <x v="11"/>
    <s v="GEMINI"/>
    <x v="15"/>
    <s v="High"/>
    <n v="0"/>
    <s v="VC"/>
  </r>
  <r>
    <x v="11"/>
    <s v="GEMINI"/>
    <x v="16"/>
    <s v="High"/>
    <n v="0"/>
    <s v="VC"/>
  </r>
  <r>
    <x v="11"/>
    <s v="GEMINI"/>
    <x v="17"/>
    <s v="Medium"/>
    <n v="0"/>
    <s v="VC"/>
  </r>
  <r>
    <x v="12"/>
    <s v="GEMINI"/>
    <x v="0"/>
    <s v="High"/>
    <n v="0"/>
    <s v="VC"/>
  </r>
  <r>
    <x v="12"/>
    <s v="GEMINI"/>
    <x v="1"/>
    <s v="High"/>
    <n v="0"/>
    <s v="VC"/>
  </r>
  <r>
    <x v="12"/>
    <s v="GEMINI"/>
    <x v="2"/>
    <s v="Medium"/>
    <n v="1"/>
    <s v="VC"/>
  </r>
  <r>
    <x v="12"/>
    <s v="GEMINI"/>
    <x v="3"/>
    <s v="High"/>
    <n v="0"/>
    <s v="VC"/>
  </r>
  <r>
    <x v="12"/>
    <s v="GEMINI"/>
    <x v="4"/>
    <s v="Medium"/>
    <n v="0"/>
    <s v="VC"/>
  </r>
  <r>
    <x v="12"/>
    <s v="GEMINI"/>
    <x v="5"/>
    <s v="High"/>
    <n v="0"/>
    <s v="VC"/>
  </r>
  <r>
    <x v="12"/>
    <s v="GEMINI"/>
    <x v="6"/>
    <s v="Medium"/>
    <n v="0"/>
    <s v="VC"/>
  </r>
  <r>
    <x v="12"/>
    <s v="GEMINI"/>
    <x v="7"/>
    <s v="Medium"/>
    <n v="0"/>
    <s v="VC"/>
  </r>
  <r>
    <x v="12"/>
    <s v="GEMINI"/>
    <x v="8"/>
    <s v="Medium"/>
    <n v="0"/>
    <s v="VC"/>
  </r>
  <r>
    <x v="12"/>
    <s v="GEMINI"/>
    <x v="9"/>
    <s v="Medium"/>
    <n v="0"/>
    <s v="VC"/>
  </r>
  <r>
    <x v="12"/>
    <s v="GEMINI"/>
    <x v="10"/>
    <s v="High"/>
    <n v="0"/>
    <s v="VC"/>
  </r>
  <r>
    <x v="12"/>
    <s v="GEMINI"/>
    <x v="11"/>
    <s v="Medium"/>
    <n v="0"/>
    <s v="VC"/>
  </r>
  <r>
    <x v="12"/>
    <s v="GEMINI"/>
    <x v="12"/>
    <s v="Low"/>
    <n v="0"/>
    <s v="VC"/>
  </r>
  <r>
    <x v="12"/>
    <s v="GEMINI"/>
    <x v="13"/>
    <s v="Medium"/>
    <n v="0"/>
    <s v="VC"/>
  </r>
  <r>
    <x v="12"/>
    <s v="GEMINI"/>
    <x v="14"/>
    <s v="Medium"/>
    <n v="0"/>
    <s v="VC"/>
  </r>
  <r>
    <x v="12"/>
    <s v="GEMINI"/>
    <x v="15"/>
    <s v="High"/>
    <n v="0"/>
    <s v="VC"/>
  </r>
  <r>
    <x v="12"/>
    <s v="GEMINI"/>
    <x v="16"/>
    <s v="High"/>
    <n v="1"/>
    <s v="VC"/>
  </r>
  <r>
    <x v="12"/>
    <s v="GEMINI"/>
    <x v="17"/>
    <s v="Medium"/>
    <n v="0"/>
    <s v="VC"/>
  </r>
  <r>
    <x v="13"/>
    <s v="GEMINI"/>
    <x v="0"/>
    <s v="High"/>
    <n v="0"/>
    <s v="AE"/>
  </r>
  <r>
    <x v="13"/>
    <s v="GEMINI"/>
    <x v="1"/>
    <s v="High"/>
    <n v="0"/>
    <s v="VC"/>
  </r>
  <r>
    <x v="13"/>
    <s v="GEMINI"/>
    <x v="2"/>
    <s v="Medium"/>
    <n v="0"/>
    <s v="MC"/>
  </r>
  <r>
    <x v="13"/>
    <s v="GEMINI"/>
    <x v="3"/>
    <s v="High"/>
    <n v="0"/>
    <s v="AE"/>
  </r>
  <r>
    <x v="13"/>
    <s v="GEMINI"/>
    <x v="4"/>
    <s v="Medium"/>
    <n v="0"/>
    <s v="VC"/>
  </r>
  <r>
    <x v="13"/>
    <s v="GEMINI"/>
    <x v="5"/>
    <s v="High"/>
    <n v="0"/>
    <s v="VC"/>
  </r>
  <r>
    <x v="13"/>
    <s v="GEMINI"/>
    <x v="6"/>
    <s v="Medium"/>
    <n v="0"/>
    <s v="VC"/>
  </r>
  <r>
    <x v="13"/>
    <s v="GEMINI"/>
    <x v="7"/>
    <s v="Medium"/>
    <n v="0"/>
    <s v="VC"/>
  </r>
  <r>
    <x v="13"/>
    <s v="GEMINI"/>
    <x v="8"/>
    <s v="Medium"/>
    <n v="0"/>
    <s v="VC"/>
  </r>
  <r>
    <x v="13"/>
    <s v="GEMINI"/>
    <x v="9"/>
    <s v="Medium"/>
    <n v="0"/>
    <s v="VC"/>
  </r>
  <r>
    <x v="13"/>
    <s v="GEMINI"/>
    <x v="10"/>
    <s v="High"/>
    <n v="0"/>
    <s v="VC"/>
  </r>
  <r>
    <x v="13"/>
    <s v="GEMINI"/>
    <x v="11"/>
    <s v="Medium"/>
    <n v="0"/>
    <s v="VC"/>
  </r>
  <r>
    <x v="13"/>
    <s v="GEMINI"/>
    <x v="12"/>
    <s v="Low"/>
    <n v="0"/>
    <s v="MC"/>
  </r>
  <r>
    <x v="13"/>
    <s v="GEMINI"/>
    <x v="13"/>
    <s v="Medium"/>
    <n v="0"/>
    <s v="VC"/>
  </r>
  <r>
    <x v="13"/>
    <s v="GEMINI"/>
    <x v="14"/>
    <s v="Medium"/>
    <n v="0"/>
    <s v="VC"/>
  </r>
  <r>
    <x v="13"/>
    <s v="GEMINI"/>
    <x v="15"/>
    <s v="High"/>
    <n v="0"/>
    <s v="VC"/>
  </r>
  <r>
    <x v="13"/>
    <s v="GEMINI"/>
    <x v="16"/>
    <s v="High"/>
    <n v="1"/>
    <s v="VC"/>
  </r>
  <r>
    <x v="13"/>
    <s v="GEMINI"/>
    <x v="17"/>
    <s v="Medium"/>
    <n v="0"/>
    <s v="VC"/>
  </r>
  <r>
    <x v="14"/>
    <s v="GEMINI"/>
    <x v="0"/>
    <s v="High"/>
    <n v="0"/>
    <s v="AE"/>
  </r>
  <r>
    <x v="14"/>
    <s v="GEMINI"/>
    <x v="1"/>
    <s v="High"/>
    <n v="1"/>
    <s v="MC"/>
  </r>
  <r>
    <x v="14"/>
    <s v="GEMINI"/>
    <x v="2"/>
    <s v="Medium"/>
    <n v="1"/>
    <s v="VC"/>
  </r>
  <r>
    <x v="14"/>
    <s v="GEMINI"/>
    <x v="3"/>
    <s v="High"/>
    <n v="0"/>
    <s v="VC"/>
  </r>
  <r>
    <x v="14"/>
    <s v="GEMINI"/>
    <x v="4"/>
    <s v="Medium"/>
    <n v="0"/>
    <s v="VC"/>
  </r>
  <r>
    <x v="14"/>
    <s v="GEMINI"/>
    <x v="5"/>
    <s v="High"/>
    <n v="0"/>
    <s v="VC"/>
  </r>
  <r>
    <x v="14"/>
    <s v="GEMINI"/>
    <x v="6"/>
    <s v="Medium"/>
    <n v="0"/>
    <s v="VC"/>
  </r>
  <r>
    <x v="14"/>
    <s v="GEMINI"/>
    <x v="7"/>
    <s v="Medium"/>
    <n v="0"/>
    <s v="VC"/>
  </r>
  <r>
    <x v="14"/>
    <s v="GEMINI"/>
    <x v="8"/>
    <s v="Medium"/>
    <n v="0"/>
    <s v="VC"/>
  </r>
  <r>
    <x v="14"/>
    <s v="GEMINI"/>
    <x v="9"/>
    <s v="Medium"/>
    <n v="1"/>
    <s v="MC"/>
  </r>
  <r>
    <x v="14"/>
    <s v="GEMINI"/>
    <x v="10"/>
    <s v="High"/>
    <n v="0"/>
    <s v="VC"/>
  </r>
  <r>
    <x v="14"/>
    <s v="GEMINI"/>
    <x v="11"/>
    <s v="Medium"/>
    <n v="1"/>
    <s v="MC"/>
  </r>
  <r>
    <x v="14"/>
    <s v="GEMINI"/>
    <x v="12"/>
    <s v="Low"/>
    <n v="1"/>
    <s v="MC"/>
  </r>
  <r>
    <x v="14"/>
    <s v="GEMINI"/>
    <x v="13"/>
    <s v="Medium"/>
    <n v="0"/>
    <s v="VC"/>
  </r>
  <r>
    <x v="14"/>
    <s v="GEMINI"/>
    <x v="14"/>
    <s v="Medium"/>
    <n v="0"/>
    <s v="VC"/>
  </r>
  <r>
    <x v="14"/>
    <s v="GEMINI"/>
    <x v="15"/>
    <s v="High"/>
    <n v="0"/>
    <s v="AE"/>
  </r>
  <r>
    <x v="14"/>
    <s v="GEMINI"/>
    <x v="16"/>
    <s v="High"/>
    <n v="1"/>
    <s v="VC"/>
  </r>
  <r>
    <x v="14"/>
    <s v="GEMINI"/>
    <x v="17"/>
    <s v="Medium"/>
    <n v="0"/>
    <s v="VC"/>
  </r>
  <r>
    <x v="15"/>
    <s v="GEMINI"/>
    <x v="0"/>
    <s v="High"/>
    <n v="0"/>
    <s v="AE"/>
  </r>
  <r>
    <x v="15"/>
    <s v="GEMINI"/>
    <x v="1"/>
    <s v="High"/>
    <n v="0"/>
    <s v="VC"/>
  </r>
  <r>
    <x v="15"/>
    <s v="GEMINI"/>
    <x v="2"/>
    <s v="Medium"/>
    <n v="1"/>
    <s v="MC"/>
  </r>
  <r>
    <x v="15"/>
    <s v="GEMINI"/>
    <x v="3"/>
    <s v="High"/>
    <n v="1"/>
    <s v="MC"/>
  </r>
  <r>
    <x v="15"/>
    <s v="GEMINI"/>
    <x v="4"/>
    <s v="Medium"/>
    <n v="0"/>
    <s v="VC"/>
  </r>
  <r>
    <x v="15"/>
    <s v="GEMINI"/>
    <x v="5"/>
    <s v="High"/>
    <n v="0"/>
    <s v="VC"/>
  </r>
  <r>
    <x v="15"/>
    <s v="GEMINI"/>
    <x v="6"/>
    <s v="Medium"/>
    <n v="0"/>
    <s v="VC"/>
  </r>
  <r>
    <x v="15"/>
    <s v="GEMINI"/>
    <x v="7"/>
    <s v="Medium"/>
    <n v="0"/>
    <s v="VC"/>
  </r>
  <r>
    <x v="15"/>
    <s v="GEMINI"/>
    <x v="8"/>
    <s v="Medium"/>
    <n v="0"/>
    <s v="VC"/>
  </r>
  <r>
    <x v="15"/>
    <s v="GEMINI"/>
    <x v="9"/>
    <s v="Medium"/>
    <n v="0"/>
    <s v="VC"/>
  </r>
  <r>
    <x v="15"/>
    <s v="GEMINI"/>
    <x v="10"/>
    <s v="High"/>
    <n v="0"/>
    <s v="VC"/>
  </r>
  <r>
    <x v="15"/>
    <s v="GEMINI"/>
    <x v="11"/>
    <s v="Medium"/>
    <n v="0"/>
    <s v="VC"/>
  </r>
  <r>
    <x v="15"/>
    <s v="GEMINI"/>
    <x v="12"/>
    <s v="Low"/>
    <n v="0"/>
    <s v="VC"/>
  </r>
  <r>
    <x v="15"/>
    <s v="GEMINI"/>
    <x v="13"/>
    <s v="Medium"/>
    <n v="0"/>
    <s v="VC"/>
  </r>
  <r>
    <x v="15"/>
    <s v="GEMINI"/>
    <x v="14"/>
    <s v="Medium"/>
    <n v="0"/>
    <s v="VC"/>
  </r>
  <r>
    <x v="15"/>
    <s v="GEMINI"/>
    <x v="15"/>
    <s v="High"/>
    <n v="0"/>
    <s v="VC"/>
  </r>
  <r>
    <x v="15"/>
    <s v="GEMINI"/>
    <x v="16"/>
    <s v="High"/>
    <n v="1"/>
    <s v="VC"/>
  </r>
  <r>
    <x v="15"/>
    <s v="GEMINI"/>
    <x v="17"/>
    <s v="Medium"/>
    <n v="0"/>
    <s v="VC"/>
  </r>
  <r>
    <x v="16"/>
    <s v="GEMINI"/>
    <x v="0"/>
    <s v="High"/>
    <n v="0"/>
    <s v="AE"/>
  </r>
  <r>
    <x v="16"/>
    <s v="GEMINI"/>
    <x v="1"/>
    <s v="High"/>
    <n v="0"/>
    <s v="VC"/>
  </r>
  <r>
    <x v="16"/>
    <s v="GEMINI"/>
    <x v="2"/>
    <s v="Medium"/>
    <n v="1"/>
    <s v="VC"/>
  </r>
  <r>
    <x v="16"/>
    <s v="GEMINI"/>
    <x v="3"/>
    <s v="High"/>
    <n v="0"/>
    <s v="VC"/>
  </r>
  <r>
    <x v="16"/>
    <s v="GEMINI"/>
    <x v="4"/>
    <s v="Medium"/>
    <n v="0"/>
    <s v="VC"/>
  </r>
  <r>
    <x v="16"/>
    <s v="GEMINI"/>
    <x v="5"/>
    <s v="High"/>
    <n v="0"/>
    <s v="VC"/>
  </r>
  <r>
    <x v="16"/>
    <s v="GEMINI"/>
    <x v="6"/>
    <s v="Medium"/>
    <n v="0"/>
    <s v="VC"/>
  </r>
  <r>
    <x v="16"/>
    <s v="GEMINI"/>
    <x v="7"/>
    <s v="Medium"/>
    <n v="0"/>
    <s v="VC"/>
  </r>
  <r>
    <x v="16"/>
    <s v="GEMINI"/>
    <x v="8"/>
    <s v="Medium"/>
    <n v="0"/>
    <s v="VC"/>
  </r>
  <r>
    <x v="16"/>
    <s v="GEMINI"/>
    <x v="9"/>
    <s v="Medium"/>
    <n v="0"/>
    <s v="VC"/>
  </r>
  <r>
    <x v="16"/>
    <s v="GEMINI"/>
    <x v="10"/>
    <s v="High"/>
    <n v="0"/>
    <s v="VC"/>
  </r>
  <r>
    <x v="16"/>
    <s v="GEMINI"/>
    <x v="11"/>
    <s v="Medium"/>
    <n v="0"/>
    <s v="VC"/>
  </r>
  <r>
    <x v="16"/>
    <s v="GEMINI"/>
    <x v="12"/>
    <s v="Low"/>
    <n v="0"/>
    <s v="MC"/>
  </r>
  <r>
    <x v="16"/>
    <s v="GEMINI"/>
    <x v="13"/>
    <s v="Medium"/>
    <n v="0"/>
    <s v="VC"/>
  </r>
  <r>
    <x v="16"/>
    <s v="GEMINI"/>
    <x v="14"/>
    <s v="Medium"/>
    <n v="0"/>
    <s v="VC"/>
  </r>
  <r>
    <x v="16"/>
    <s v="GEMINI"/>
    <x v="15"/>
    <s v="High"/>
    <n v="0"/>
    <s v="AE"/>
  </r>
  <r>
    <x v="16"/>
    <s v="GEMINI"/>
    <x v="16"/>
    <s v="High"/>
    <n v="0"/>
    <s v="VC"/>
  </r>
  <r>
    <x v="16"/>
    <s v="GEMINI"/>
    <x v="17"/>
    <s v="Medium"/>
    <n v="0"/>
    <s v="H"/>
  </r>
  <r>
    <x v="17"/>
    <s v="GEMINI"/>
    <x v="0"/>
    <s v="High"/>
    <n v="0"/>
    <s v="VC"/>
  </r>
  <r>
    <x v="17"/>
    <s v="GEMINI"/>
    <x v="1"/>
    <s v="High"/>
    <n v="0"/>
    <s v="VC"/>
  </r>
  <r>
    <x v="17"/>
    <s v="GEMINI"/>
    <x v="2"/>
    <s v="Medium"/>
    <n v="0"/>
    <s v="VC"/>
  </r>
  <r>
    <x v="17"/>
    <s v="GEMINI"/>
    <x v="3"/>
    <s v="High"/>
    <n v="0"/>
    <s v="VC"/>
  </r>
  <r>
    <x v="17"/>
    <s v="GEMINI"/>
    <x v="4"/>
    <s v="Medium"/>
    <n v="0"/>
    <s v="VC"/>
  </r>
  <r>
    <x v="17"/>
    <s v="GEMINI"/>
    <x v="5"/>
    <s v="High"/>
    <n v="0"/>
    <s v="VC"/>
  </r>
  <r>
    <x v="17"/>
    <s v="GEMINI"/>
    <x v="6"/>
    <s v="Medium"/>
    <n v="0"/>
    <s v="VC"/>
  </r>
  <r>
    <x v="17"/>
    <s v="GEMINI"/>
    <x v="7"/>
    <s v="Medium"/>
    <n v="0"/>
    <s v="VC"/>
  </r>
  <r>
    <x v="17"/>
    <s v="GEMINI"/>
    <x v="8"/>
    <s v="Medium"/>
    <n v="0"/>
    <s v="VC"/>
  </r>
  <r>
    <x v="17"/>
    <s v="GEMINI"/>
    <x v="9"/>
    <s v="Medium"/>
    <n v="0"/>
    <s v="VC"/>
  </r>
  <r>
    <x v="17"/>
    <s v="GEMINI"/>
    <x v="10"/>
    <s v="High"/>
    <n v="0"/>
    <s v="VC"/>
  </r>
  <r>
    <x v="17"/>
    <s v="GEMINI"/>
    <x v="11"/>
    <s v="Medium"/>
    <n v="0"/>
    <s v="VC"/>
  </r>
  <r>
    <x v="17"/>
    <s v="GEMINI"/>
    <x v="12"/>
    <s v="Low"/>
    <n v="0"/>
    <s v="VC"/>
  </r>
  <r>
    <x v="17"/>
    <s v="GEMINI"/>
    <x v="13"/>
    <s v="Medium"/>
    <n v="0"/>
    <s v="VC"/>
  </r>
  <r>
    <x v="17"/>
    <s v="GEMINI"/>
    <x v="14"/>
    <s v="Medium"/>
    <n v="0"/>
    <s v="VC"/>
  </r>
  <r>
    <x v="17"/>
    <s v="GEMINI"/>
    <x v="15"/>
    <s v="High"/>
    <n v="0"/>
    <s v="VC"/>
  </r>
  <r>
    <x v="17"/>
    <s v="GEMINI"/>
    <x v="16"/>
    <s v="High"/>
    <n v="1"/>
    <s v="VC"/>
  </r>
  <r>
    <x v="17"/>
    <s v="GEMINI"/>
    <x v="17"/>
    <s v="Medium"/>
    <n v="0"/>
    <s v="VC"/>
  </r>
  <r>
    <x v="18"/>
    <s v="GEMINI"/>
    <x v="0"/>
    <s v="High"/>
    <n v="0"/>
    <s v="VC"/>
  </r>
  <r>
    <x v="18"/>
    <s v="GEMINI"/>
    <x v="1"/>
    <s v="High"/>
    <n v="0"/>
    <s v="VC"/>
  </r>
  <r>
    <x v="18"/>
    <s v="GEMINI"/>
    <x v="2"/>
    <s v="Medium"/>
    <n v="0"/>
    <s v="MC"/>
  </r>
  <r>
    <x v="18"/>
    <s v="GEMINI"/>
    <x v="3"/>
    <s v="High"/>
    <n v="0"/>
    <s v="VC"/>
  </r>
  <r>
    <x v="18"/>
    <s v="GEMINI"/>
    <x v="4"/>
    <s v="Medium"/>
    <n v="0"/>
    <s v="VC"/>
  </r>
  <r>
    <x v="18"/>
    <s v="GEMINI"/>
    <x v="5"/>
    <s v="High"/>
    <n v="0"/>
    <s v="VC"/>
  </r>
  <r>
    <x v="18"/>
    <s v="GEMINI"/>
    <x v="6"/>
    <s v="Medium"/>
    <n v="0"/>
    <s v="VC"/>
  </r>
  <r>
    <x v="18"/>
    <s v="GEMINI"/>
    <x v="7"/>
    <s v="Medium"/>
    <n v="0"/>
    <s v="VC"/>
  </r>
  <r>
    <x v="18"/>
    <s v="GEMINI"/>
    <x v="8"/>
    <s v="Medium"/>
    <n v="0"/>
    <s v="VC"/>
  </r>
  <r>
    <x v="18"/>
    <s v="GEMINI"/>
    <x v="9"/>
    <s v="Medium"/>
    <n v="0"/>
    <s v="VC"/>
  </r>
  <r>
    <x v="18"/>
    <s v="GEMINI"/>
    <x v="10"/>
    <s v="High"/>
    <n v="0"/>
    <s v="VC"/>
  </r>
  <r>
    <x v="18"/>
    <s v="GEMINI"/>
    <x v="11"/>
    <s v="Medium"/>
    <n v="0"/>
    <s v="VC"/>
  </r>
  <r>
    <x v="18"/>
    <s v="GEMINI"/>
    <x v="12"/>
    <s v="Low"/>
    <n v="0"/>
    <s v="VC"/>
  </r>
  <r>
    <x v="18"/>
    <s v="GEMINI"/>
    <x v="13"/>
    <s v="Medium"/>
    <n v="0"/>
    <s v="VC"/>
  </r>
  <r>
    <x v="18"/>
    <s v="GEMINI"/>
    <x v="14"/>
    <s v="Medium"/>
    <n v="0"/>
    <s v="VC"/>
  </r>
  <r>
    <x v="18"/>
    <s v="GEMINI"/>
    <x v="15"/>
    <s v="High"/>
    <n v="0"/>
    <s v="AE"/>
  </r>
  <r>
    <x v="18"/>
    <s v="GEMINI"/>
    <x v="16"/>
    <s v="High"/>
    <n v="1"/>
    <s v="VC"/>
  </r>
  <r>
    <x v="18"/>
    <s v="GEMINI"/>
    <x v="17"/>
    <s v="Medium"/>
    <n v="0"/>
    <s v="VC"/>
  </r>
  <r>
    <x v="19"/>
    <s v="GEMINI"/>
    <x v="0"/>
    <s v="High"/>
    <n v="0"/>
    <s v="AE"/>
  </r>
  <r>
    <x v="19"/>
    <s v="GEMINI"/>
    <x v="1"/>
    <s v="High"/>
    <n v="0"/>
    <s v="VC"/>
  </r>
  <r>
    <x v="19"/>
    <s v="GEMINI"/>
    <x v="2"/>
    <s v="Medium"/>
    <n v="1"/>
    <s v="MC"/>
  </r>
  <r>
    <x v="19"/>
    <s v="GEMINI"/>
    <x v="3"/>
    <s v="High"/>
    <n v="0"/>
    <s v="VC"/>
  </r>
  <r>
    <x v="19"/>
    <s v="GEMINI"/>
    <x v="4"/>
    <s v="Medium"/>
    <n v="0"/>
    <s v="VC"/>
  </r>
  <r>
    <x v="19"/>
    <s v="GEMINI"/>
    <x v="5"/>
    <s v="High"/>
    <n v="0"/>
    <s v="AE"/>
  </r>
  <r>
    <x v="19"/>
    <s v="GEMINI"/>
    <x v="6"/>
    <s v="Medium"/>
    <n v="0"/>
    <s v="VC"/>
  </r>
  <r>
    <x v="19"/>
    <s v="GEMINI"/>
    <x v="7"/>
    <s v="Medium"/>
    <n v="0"/>
    <s v="VC"/>
  </r>
  <r>
    <x v="19"/>
    <s v="GEMINI"/>
    <x v="8"/>
    <s v="Medium"/>
    <n v="0"/>
    <s v="VC"/>
  </r>
  <r>
    <x v="19"/>
    <s v="GEMINI"/>
    <x v="9"/>
    <s v="Medium"/>
    <n v="0"/>
    <s v="VC"/>
  </r>
  <r>
    <x v="19"/>
    <s v="GEMINI"/>
    <x v="10"/>
    <s v="High"/>
    <n v="0"/>
    <s v="VC"/>
  </r>
  <r>
    <x v="19"/>
    <s v="GEMINI"/>
    <x v="11"/>
    <s v="Medium"/>
    <n v="0"/>
    <s v="VC"/>
  </r>
  <r>
    <x v="19"/>
    <s v="GEMINI"/>
    <x v="12"/>
    <s v="Low"/>
    <n v="0"/>
    <s v="VC"/>
  </r>
  <r>
    <x v="19"/>
    <s v="GEMINI"/>
    <x v="13"/>
    <s v="Medium"/>
    <n v="0"/>
    <s v="VC"/>
  </r>
  <r>
    <x v="19"/>
    <s v="GEMINI"/>
    <x v="14"/>
    <s v="Medium"/>
    <n v="0"/>
    <s v="VC"/>
  </r>
  <r>
    <x v="19"/>
    <s v="GEMINI"/>
    <x v="15"/>
    <s v="High"/>
    <n v="0"/>
    <s v="VC"/>
  </r>
  <r>
    <x v="19"/>
    <s v="GEMINI"/>
    <x v="16"/>
    <s v="High"/>
    <n v="1"/>
    <s v="VC"/>
  </r>
  <r>
    <x v="19"/>
    <s v="GEMINI"/>
    <x v="17"/>
    <s v="Medium"/>
    <n v="0"/>
    <s v="VC"/>
  </r>
  <r>
    <x v="0"/>
    <s v="LLAMA"/>
    <x v="0"/>
    <s v="High"/>
    <n v="1"/>
    <s v="VC"/>
  </r>
  <r>
    <x v="0"/>
    <s v="LLAMA"/>
    <x v="1"/>
    <s v="High"/>
    <n v="0"/>
    <s v="VC"/>
  </r>
  <r>
    <x v="0"/>
    <s v="LLAMA"/>
    <x v="2"/>
    <s v="Medium"/>
    <n v="0"/>
    <s v="VC"/>
  </r>
  <r>
    <x v="0"/>
    <s v="LLAMA"/>
    <x v="3"/>
    <s v="High"/>
    <n v="0"/>
    <s v="VC"/>
  </r>
  <r>
    <x v="0"/>
    <s v="LLAMA"/>
    <x v="4"/>
    <s v="Medium"/>
    <n v="0"/>
    <s v="VC"/>
  </r>
  <r>
    <x v="0"/>
    <s v="LLAMA"/>
    <x v="5"/>
    <s v="High"/>
    <n v="0"/>
    <s v="AE"/>
  </r>
  <r>
    <x v="0"/>
    <s v="LLAMA"/>
    <x v="6"/>
    <s v="Medium"/>
    <n v="0"/>
    <s v="VC"/>
  </r>
  <r>
    <x v="0"/>
    <s v="LLAMA"/>
    <x v="7"/>
    <s v="Medium"/>
    <n v="0"/>
    <s v="VC"/>
  </r>
  <r>
    <x v="0"/>
    <s v="LLAMA"/>
    <x v="8"/>
    <s v="Medium"/>
    <n v="0"/>
    <s v="VC"/>
  </r>
  <r>
    <x v="0"/>
    <s v="LLAMA"/>
    <x v="9"/>
    <s v="Medium"/>
    <n v="0"/>
    <s v="VC"/>
  </r>
  <r>
    <x v="0"/>
    <s v="LLAMA"/>
    <x v="10"/>
    <s v="High"/>
    <n v="0"/>
    <s v="VC"/>
  </r>
  <r>
    <x v="0"/>
    <s v="LLAMA"/>
    <x v="11"/>
    <s v="Medium"/>
    <n v="0"/>
    <s v="VC"/>
  </r>
  <r>
    <x v="0"/>
    <s v="LLAMA"/>
    <x v="12"/>
    <s v="Low"/>
    <n v="0"/>
    <s v="VC"/>
  </r>
  <r>
    <x v="0"/>
    <s v="LLAMA"/>
    <x v="13"/>
    <s v="Medium"/>
    <n v="0"/>
    <s v="VC"/>
  </r>
  <r>
    <x v="0"/>
    <s v="LLAMA"/>
    <x v="14"/>
    <s v="Medium"/>
    <n v="0"/>
    <s v="VC"/>
  </r>
  <r>
    <x v="0"/>
    <s v="LLAMA"/>
    <x v="15"/>
    <s v="High"/>
    <n v="0"/>
    <s v="VC"/>
  </r>
  <r>
    <x v="0"/>
    <s v="LLAMA"/>
    <x v="16"/>
    <s v="High"/>
    <n v="0"/>
    <m/>
  </r>
  <r>
    <x v="0"/>
    <s v="LLAMA"/>
    <x v="17"/>
    <s v="Medium"/>
    <n v="0"/>
    <s v="VC"/>
  </r>
  <r>
    <x v="1"/>
    <s v="LLAMA"/>
    <x v="0"/>
    <s v="High"/>
    <n v="0"/>
    <s v="AE"/>
  </r>
  <r>
    <x v="1"/>
    <s v="LLAMA"/>
    <x v="1"/>
    <s v="High"/>
    <n v="0"/>
    <s v="VC"/>
  </r>
  <r>
    <x v="1"/>
    <s v="LLAMA"/>
    <x v="2"/>
    <s v="Medium"/>
    <n v="1"/>
    <s v="VC"/>
  </r>
  <r>
    <x v="1"/>
    <s v="LLAMA"/>
    <x v="3"/>
    <s v="High"/>
    <n v="0"/>
    <s v="VC"/>
  </r>
  <r>
    <x v="1"/>
    <s v="LLAMA"/>
    <x v="4"/>
    <s v="Medium"/>
    <n v="0"/>
    <s v="VC"/>
  </r>
  <r>
    <x v="1"/>
    <s v="LLAMA"/>
    <x v="5"/>
    <s v="High"/>
    <n v="0"/>
    <s v="AE"/>
  </r>
  <r>
    <x v="1"/>
    <s v="LLAMA"/>
    <x v="6"/>
    <s v="Medium"/>
    <n v="0"/>
    <s v="VC"/>
  </r>
  <r>
    <x v="1"/>
    <s v="LLAMA"/>
    <x v="7"/>
    <s v="Medium"/>
    <n v="0"/>
    <s v="VC"/>
  </r>
  <r>
    <x v="1"/>
    <s v="LLAMA"/>
    <x v="8"/>
    <s v="Medium"/>
    <n v="0"/>
    <s v="VC"/>
  </r>
  <r>
    <x v="1"/>
    <s v="LLAMA"/>
    <x v="9"/>
    <s v="Medium"/>
    <n v="0"/>
    <s v="VC"/>
  </r>
  <r>
    <x v="1"/>
    <s v="LLAMA"/>
    <x v="10"/>
    <s v="High"/>
    <n v="0"/>
    <s v="VC"/>
  </r>
  <r>
    <x v="1"/>
    <s v="LLAMA"/>
    <x v="11"/>
    <s v="Medium"/>
    <n v="0"/>
    <s v="VC"/>
  </r>
  <r>
    <x v="1"/>
    <s v="LLAMA"/>
    <x v="12"/>
    <s v="Low"/>
    <n v="0"/>
    <s v="VC"/>
  </r>
  <r>
    <x v="1"/>
    <s v="LLAMA"/>
    <x v="13"/>
    <s v="Medium"/>
    <n v="0"/>
    <s v="VC"/>
  </r>
  <r>
    <x v="1"/>
    <s v="LLAMA"/>
    <x v="14"/>
    <s v="Medium"/>
    <n v="0"/>
    <s v="VC"/>
  </r>
  <r>
    <x v="1"/>
    <s v="LLAMA"/>
    <x v="15"/>
    <s v="High"/>
    <n v="0"/>
    <s v="AE"/>
  </r>
  <r>
    <x v="1"/>
    <s v="LLAMA"/>
    <x v="16"/>
    <s v="High"/>
    <n v="0"/>
    <m/>
  </r>
  <r>
    <x v="1"/>
    <s v="LLAMA"/>
    <x v="17"/>
    <s v="Medium"/>
    <n v="0"/>
    <s v="VC"/>
  </r>
  <r>
    <x v="2"/>
    <s v="LLAMA"/>
    <x v="0"/>
    <s v="High"/>
    <n v="0"/>
    <s v="AE"/>
  </r>
  <r>
    <x v="2"/>
    <s v="LLAMA"/>
    <x v="1"/>
    <s v="High"/>
    <n v="0"/>
    <s v="VC"/>
  </r>
  <r>
    <x v="2"/>
    <s v="LLAMA"/>
    <x v="2"/>
    <s v="Medium"/>
    <n v="0"/>
    <s v="MC"/>
  </r>
  <r>
    <x v="2"/>
    <s v="LLAMA"/>
    <x v="3"/>
    <s v="High"/>
    <n v="0"/>
    <s v="VC"/>
  </r>
  <r>
    <x v="2"/>
    <s v="LLAMA"/>
    <x v="4"/>
    <s v="Medium"/>
    <n v="0"/>
    <s v="VC"/>
  </r>
  <r>
    <x v="2"/>
    <s v="LLAMA"/>
    <x v="5"/>
    <s v="High"/>
    <n v="0"/>
    <s v="AE"/>
  </r>
  <r>
    <x v="2"/>
    <s v="LLAMA"/>
    <x v="6"/>
    <s v="Medium"/>
    <n v="0"/>
    <s v="VC"/>
  </r>
  <r>
    <x v="2"/>
    <s v="LLAMA"/>
    <x v="7"/>
    <s v="Medium"/>
    <n v="0"/>
    <s v="VC"/>
  </r>
  <r>
    <x v="2"/>
    <s v="LLAMA"/>
    <x v="8"/>
    <s v="Medium"/>
    <n v="0"/>
    <s v="VC"/>
  </r>
  <r>
    <x v="2"/>
    <s v="LLAMA"/>
    <x v="9"/>
    <s v="Medium"/>
    <n v="0"/>
    <s v="VC"/>
  </r>
  <r>
    <x v="2"/>
    <s v="LLAMA"/>
    <x v="10"/>
    <s v="High"/>
    <n v="0"/>
    <s v="VC"/>
  </r>
  <r>
    <x v="2"/>
    <s v="LLAMA"/>
    <x v="11"/>
    <s v="Medium"/>
    <n v="0"/>
    <s v="VC"/>
  </r>
  <r>
    <x v="2"/>
    <s v="LLAMA"/>
    <x v="12"/>
    <s v="Low"/>
    <n v="0"/>
    <s v="VC"/>
  </r>
  <r>
    <x v="2"/>
    <s v="LLAMA"/>
    <x v="13"/>
    <s v="Medium"/>
    <n v="0"/>
    <s v="VC"/>
  </r>
  <r>
    <x v="2"/>
    <s v="LLAMA"/>
    <x v="14"/>
    <s v="Medium"/>
    <n v="0"/>
    <s v="VC"/>
  </r>
  <r>
    <x v="2"/>
    <s v="LLAMA"/>
    <x v="15"/>
    <s v="High"/>
    <n v="0"/>
    <s v="VC"/>
  </r>
  <r>
    <x v="2"/>
    <s v="LLAMA"/>
    <x v="16"/>
    <s v="High"/>
    <n v="0"/>
    <m/>
  </r>
  <r>
    <x v="2"/>
    <s v="LLAMA"/>
    <x v="17"/>
    <s v="Medium"/>
    <n v="0"/>
    <s v="VC"/>
  </r>
  <r>
    <x v="3"/>
    <s v="LLAMA"/>
    <x v="0"/>
    <s v="High"/>
    <n v="0"/>
    <s v="AE"/>
  </r>
  <r>
    <x v="3"/>
    <s v="LLAMA"/>
    <x v="1"/>
    <s v="High"/>
    <n v="0"/>
    <s v="VC"/>
  </r>
  <r>
    <x v="3"/>
    <s v="LLAMA"/>
    <x v="2"/>
    <s v="Medium"/>
    <n v="1"/>
    <s v="MC"/>
  </r>
  <r>
    <x v="3"/>
    <s v="LLAMA"/>
    <x v="3"/>
    <s v="High"/>
    <n v="0"/>
    <s v="VC"/>
  </r>
  <r>
    <x v="3"/>
    <s v="LLAMA"/>
    <x v="4"/>
    <s v="Medium"/>
    <n v="0"/>
    <s v="VC"/>
  </r>
  <r>
    <x v="3"/>
    <s v="LLAMA"/>
    <x v="5"/>
    <s v="High"/>
    <n v="0"/>
    <s v="AE"/>
  </r>
  <r>
    <x v="3"/>
    <s v="LLAMA"/>
    <x v="6"/>
    <s v="Medium"/>
    <n v="0"/>
    <s v="VC"/>
  </r>
  <r>
    <x v="3"/>
    <s v="LLAMA"/>
    <x v="7"/>
    <s v="Medium"/>
    <n v="0"/>
    <s v="VC"/>
  </r>
  <r>
    <x v="3"/>
    <s v="LLAMA"/>
    <x v="8"/>
    <s v="Medium"/>
    <n v="0"/>
    <s v="VC"/>
  </r>
  <r>
    <x v="3"/>
    <s v="LLAMA"/>
    <x v="9"/>
    <s v="Medium"/>
    <n v="0"/>
    <s v="VC"/>
  </r>
  <r>
    <x v="3"/>
    <s v="LLAMA"/>
    <x v="10"/>
    <s v="High"/>
    <n v="0"/>
    <s v="VC"/>
  </r>
  <r>
    <x v="3"/>
    <s v="LLAMA"/>
    <x v="11"/>
    <s v="Medium"/>
    <n v="0"/>
    <s v="VC"/>
  </r>
  <r>
    <x v="3"/>
    <s v="LLAMA"/>
    <x v="12"/>
    <s v="Low"/>
    <n v="0"/>
    <s v="VC"/>
  </r>
  <r>
    <x v="3"/>
    <s v="LLAMA"/>
    <x v="13"/>
    <s v="Medium"/>
    <n v="0"/>
    <s v="VC"/>
  </r>
  <r>
    <x v="3"/>
    <s v="LLAMA"/>
    <x v="14"/>
    <s v="Medium"/>
    <n v="0"/>
    <s v="VC"/>
  </r>
  <r>
    <x v="3"/>
    <s v="LLAMA"/>
    <x v="15"/>
    <s v="High"/>
    <n v="0"/>
    <s v="VC"/>
  </r>
  <r>
    <x v="3"/>
    <s v="LLAMA"/>
    <x v="16"/>
    <s v="High"/>
    <n v="0"/>
    <m/>
  </r>
  <r>
    <x v="3"/>
    <s v="LLAMA"/>
    <x v="17"/>
    <s v="Medium"/>
    <n v="0"/>
    <s v="VC"/>
  </r>
  <r>
    <x v="4"/>
    <s v="LLAMA"/>
    <x v="0"/>
    <s v="High"/>
    <n v="0"/>
    <s v="AE"/>
  </r>
  <r>
    <x v="4"/>
    <s v="LLAMA"/>
    <x v="1"/>
    <s v="High"/>
    <n v="0"/>
    <s v="VC"/>
  </r>
  <r>
    <x v="4"/>
    <s v="LLAMA"/>
    <x v="2"/>
    <s v="Medium"/>
    <n v="1"/>
    <s v="VC"/>
  </r>
  <r>
    <x v="4"/>
    <s v="LLAMA"/>
    <x v="3"/>
    <s v="High"/>
    <n v="0"/>
    <s v="VC"/>
  </r>
  <r>
    <x v="4"/>
    <s v="LLAMA"/>
    <x v="4"/>
    <s v="Medium"/>
    <n v="0"/>
    <s v="VC"/>
  </r>
  <r>
    <x v="4"/>
    <s v="LLAMA"/>
    <x v="5"/>
    <s v="High"/>
    <n v="0"/>
    <s v="AE"/>
  </r>
  <r>
    <x v="4"/>
    <s v="LLAMA"/>
    <x v="6"/>
    <s v="Medium"/>
    <n v="0"/>
    <s v="VC"/>
  </r>
  <r>
    <x v="4"/>
    <s v="LLAMA"/>
    <x v="7"/>
    <s v="Medium"/>
    <n v="0"/>
    <s v="VC"/>
  </r>
  <r>
    <x v="4"/>
    <s v="LLAMA"/>
    <x v="8"/>
    <s v="Medium"/>
    <n v="0"/>
    <s v="VC"/>
  </r>
  <r>
    <x v="4"/>
    <s v="LLAMA"/>
    <x v="9"/>
    <s v="Medium"/>
    <n v="0"/>
    <s v="VC"/>
  </r>
  <r>
    <x v="4"/>
    <s v="LLAMA"/>
    <x v="10"/>
    <s v="High"/>
    <n v="0"/>
    <s v="VC"/>
  </r>
  <r>
    <x v="4"/>
    <s v="LLAMA"/>
    <x v="11"/>
    <s v="Medium"/>
    <n v="0"/>
    <s v="VC"/>
  </r>
  <r>
    <x v="4"/>
    <s v="LLAMA"/>
    <x v="12"/>
    <s v="Low"/>
    <n v="0"/>
    <s v="VC"/>
  </r>
  <r>
    <x v="4"/>
    <s v="LLAMA"/>
    <x v="13"/>
    <s v="Medium"/>
    <n v="0"/>
    <s v="VC"/>
  </r>
  <r>
    <x v="4"/>
    <s v="LLAMA"/>
    <x v="14"/>
    <s v="Medium"/>
    <n v="0"/>
    <s v="VC"/>
  </r>
  <r>
    <x v="4"/>
    <s v="LLAMA"/>
    <x v="15"/>
    <s v="High"/>
    <n v="0"/>
    <s v="VC"/>
  </r>
  <r>
    <x v="4"/>
    <s v="LLAMA"/>
    <x v="16"/>
    <s v="High"/>
    <n v="0"/>
    <m/>
  </r>
  <r>
    <x v="4"/>
    <s v="LLAMA"/>
    <x v="17"/>
    <s v="Medium"/>
    <n v="0"/>
    <s v="VC"/>
  </r>
  <r>
    <x v="5"/>
    <s v="LLAMA"/>
    <x v="0"/>
    <s v="High"/>
    <n v="0"/>
    <s v="AE"/>
  </r>
  <r>
    <x v="5"/>
    <s v="LLAMA"/>
    <x v="1"/>
    <s v="High"/>
    <n v="0"/>
    <s v="VC"/>
  </r>
  <r>
    <x v="5"/>
    <s v="LLAMA"/>
    <x v="2"/>
    <s v="Medium"/>
    <n v="1"/>
    <s v="MC"/>
  </r>
  <r>
    <x v="5"/>
    <s v="LLAMA"/>
    <x v="3"/>
    <s v="High"/>
    <n v="0"/>
    <s v="VC"/>
  </r>
  <r>
    <x v="5"/>
    <s v="LLAMA"/>
    <x v="4"/>
    <s v="Medium"/>
    <n v="0"/>
    <s v="VC"/>
  </r>
  <r>
    <x v="5"/>
    <s v="LLAMA"/>
    <x v="5"/>
    <s v="High"/>
    <n v="0"/>
    <s v="AE"/>
  </r>
  <r>
    <x v="5"/>
    <s v="LLAMA"/>
    <x v="6"/>
    <s v="Medium"/>
    <n v="0"/>
    <s v="VC"/>
  </r>
  <r>
    <x v="5"/>
    <s v="LLAMA"/>
    <x v="7"/>
    <s v="Medium"/>
    <n v="0"/>
    <s v="VC"/>
  </r>
  <r>
    <x v="5"/>
    <s v="LLAMA"/>
    <x v="8"/>
    <s v="Medium"/>
    <n v="0"/>
    <s v="VC"/>
  </r>
  <r>
    <x v="5"/>
    <s v="LLAMA"/>
    <x v="9"/>
    <s v="Medium"/>
    <n v="0"/>
    <s v="VC"/>
  </r>
  <r>
    <x v="5"/>
    <s v="LLAMA"/>
    <x v="10"/>
    <s v="High"/>
    <n v="0"/>
    <s v="VC"/>
  </r>
  <r>
    <x v="5"/>
    <s v="LLAMA"/>
    <x v="11"/>
    <s v="Medium"/>
    <n v="0"/>
    <s v="VC"/>
  </r>
  <r>
    <x v="5"/>
    <s v="LLAMA"/>
    <x v="12"/>
    <s v="Low"/>
    <n v="0"/>
    <s v="VC"/>
  </r>
  <r>
    <x v="5"/>
    <s v="LLAMA"/>
    <x v="13"/>
    <s v="Medium"/>
    <n v="0"/>
    <s v="VC"/>
  </r>
  <r>
    <x v="5"/>
    <s v="LLAMA"/>
    <x v="14"/>
    <s v="Medium"/>
    <n v="0"/>
    <s v="VC"/>
  </r>
  <r>
    <x v="5"/>
    <s v="LLAMA"/>
    <x v="15"/>
    <s v="High"/>
    <n v="0"/>
    <s v="AE"/>
  </r>
  <r>
    <x v="5"/>
    <s v="LLAMA"/>
    <x v="16"/>
    <s v="High"/>
    <n v="0"/>
    <m/>
  </r>
  <r>
    <x v="5"/>
    <s v="LLAMA"/>
    <x v="17"/>
    <s v="Medium"/>
    <n v="0"/>
    <s v="VC"/>
  </r>
  <r>
    <x v="6"/>
    <s v="LLAMA"/>
    <x v="0"/>
    <s v="High"/>
    <n v="0"/>
    <s v="AE"/>
  </r>
  <r>
    <x v="6"/>
    <s v="LLAMA"/>
    <x v="1"/>
    <s v="High"/>
    <n v="0"/>
    <s v="VC"/>
  </r>
  <r>
    <x v="6"/>
    <s v="LLAMA"/>
    <x v="2"/>
    <s v="Medium"/>
    <n v="1"/>
    <s v="VC"/>
  </r>
  <r>
    <x v="6"/>
    <s v="LLAMA"/>
    <x v="3"/>
    <s v="High"/>
    <n v="0"/>
    <s v="VC"/>
  </r>
  <r>
    <x v="6"/>
    <s v="LLAMA"/>
    <x v="4"/>
    <s v="Medium"/>
    <n v="0"/>
    <s v="VC"/>
  </r>
  <r>
    <x v="6"/>
    <s v="LLAMA"/>
    <x v="5"/>
    <s v="High"/>
    <n v="0"/>
    <s v="AE"/>
  </r>
  <r>
    <x v="6"/>
    <s v="LLAMA"/>
    <x v="6"/>
    <s v="Medium"/>
    <n v="0"/>
    <s v="VC"/>
  </r>
  <r>
    <x v="6"/>
    <s v="LLAMA"/>
    <x v="7"/>
    <s v="Medium"/>
    <n v="0"/>
    <s v="VC"/>
  </r>
  <r>
    <x v="6"/>
    <s v="LLAMA"/>
    <x v="8"/>
    <s v="Medium"/>
    <n v="0"/>
    <s v="VC"/>
  </r>
  <r>
    <x v="6"/>
    <s v="LLAMA"/>
    <x v="9"/>
    <s v="Medium"/>
    <n v="0"/>
    <s v="VC"/>
  </r>
  <r>
    <x v="6"/>
    <s v="LLAMA"/>
    <x v="10"/>
    <s v="High"/>
    <n v="0"/>
    <s v="VC"/>
  </r>
  <r>
    <x v="6"/>
    <s v="LLAMA"/>
    <x v="11"/>
    <s v="Medium"/>
    <n v="0"/>
    <s v="VC"/>
  </r>
  <r>
    <x v="6"/>
    <s v="LLAMA"/>
    <x v="12"/>
    <s v="Low"/>
    <n v="0"/>
    <s v="VC"/>
  </r>
  <r>
    <x v="6"/>
    <s v="LLAMA"/>
    <x v="13"/>
    <s v="Medium"/>
    <n v="0"/>
    <s v="VC"/>
  </r>
  <r>
    <x v="6"/>
    <s v="LLAMA"/>
    <x v="14"/>
    <s v="Medium"/>
    <n v="0"/>
    <s v="VC"/>
  </r>
  <r>
    <x v="6"/>
    <s v="LLAMA"/>
    <x v="15"/>
    <s v="High"/>
    <n v="0"/>
    <s v="AE"/>
  </r>
  <r>
    <x v="6"/>
    <s v="LLAMA"/>
    <x v="16"/>
    <s v="High"/>
    <n v="0"/>
    <m/>
  </r>
  <r>
    <x v="6"/>
    <s v="LLAMA"/>
    <x v="17"/>
    <s v="Medium"/>
    <n v="0"/>
    <s v="VC"/>
  </r>
  <r>
    <x v="7"/>
    <s v="LLAMA"/>
    <x v="0"/>
    <s v="High"/>
    <n v="0"/>
    <s v="AE"/>
  </r>
  <r>
    <x v="7"/>
    <s v="LLAMA"/>
    <x v="1"/>
    <s v="High"/>
    <n v="0"/>
    <s v="VC"/>
  </r>
  <r>
    <x v="7"/>
    <s v="LLAMA"/>
    <x v="2"/>
    <s v="Medium"/>
    <n v="1"/>
    <s v="VC"/>
  </r>
  <r>
    <x v="7"/>
    <s v="LLAMA"/>
    <x v="3"/>
    <s v="High"/>
    <n v="0"/>
    <s v="VC"/>
  </r>
  <r>
    <x v="7"/>
    <s v="LLAMA"/>
    <x v="4"/>
    <s v="Medium"/>
    <n v="0"/>
    <s v="VC"/>
  </r>
  <r>
    <x v="7"/>
    <s v="LLAMA"/>
    <x v="5"/>
    <s v="High"/>
    <n v="0"/>
    <s v="AE"/>
  </r>
  <r>
    <x v="7"/>
    <s v="LLAMA"/>
    <x v="6"/>
    <s v="Medium"/>
    <n v="0"/>
    <s v="VC"/>
  </r>
  <r>
    <x v="7"/>
    <s v="LLAMA"/>
    <x v="7"/>
    <s v="Medium"/>
    <n v="0"/>
    <s v="VC"/>
  </r>
  <r>
    <x v="7"/>
    <s v="LLAMA"/>
    <x v="8"/>
    <s v="Medium"/>
    <n v="0"/>
    <s v="VC"/>
  </r>
  <r>
    <x v="7"/>
    <s v="LLAMA"/>
    <x v="9"/>
    <s v="Medium"/>
    <n v="0"/>
    <s v="VC"/>
  </r>
  <r>
    <x v="7"/>
    <s v="LLAMA"/>
    <x v="10"/>
    <s v="High"/>
    <n v="0"/>
    <s v="VC"/>
  </r>
  <r>
    <x v="7"/>
    <s v="LLAMA"/>
    <x v="11"/>
    <s v="Medium"/>
    <n v="0"/>
    <s v="VC"/>
  </r>
  <r>
    <x v="7"/>
    <s v="LLAMA"/>
    <x v="12"/>
    <s v="Low"/>
    <n v="0"/>
    <s v="VC"/>
  </r>
  <r>
    <x v="7"/>
    <s v="LLAMA"/>
    <x v="13"/>
    <s v="Medium"/>
    <n v="0"/>
    <s v="VC"/>
  </r>
  <r>
    <x v="7"/>
    <s v="LLAMA"/>
    <x v="14"/>
    <s v="Medium"/>
    <n v="0"/>
    <s v="VC"/>
  </r>
  <r>
    <x v="7"/>
    <s v="LLAMA"/>
    <x v="15"/>
    <s v="High"/>
    <n v="0"/>
    <s v="AE"/>
  </r>
  <r>
    <x v="7"/>
    <s v="LLAMA"/>
    <x v="16"/>
    <s v="High"/>
    <n v="0"/>
    <m/>
  </r>
  <r>
    <x v="7"/>
    <s v="LLAMA"/>
    <x v="17"/>
    <s v="Medium"/>
    <n v="0"/>
    <s v="H"/>
  </r>
  <r>
    <x v="8"/>
    <s v="LLAMA"/>
    <x v="0"/>
    <s v="High"/>
    <n v="0"/>
    <s v="MC"/>
  </r>
  <r>
    <x v="8"/>
    <s v="LLAMA"/>
    <x v="1"/>
    <s v="High"/>
    <n v="0"/>
    <s v="VC"/>
  </r>
  <r>
    <x v="8"/>
    <s v="LLAMA"/>
    <x v="2"/>
    <s v="Medium"/>
    <n v="1"/>
    <s v="VC"/>
  </r>
  <r>
    <x v="8"/>
    <s v="LLAMA"/>
    <x v="3"/>
    <s v="High"/>
    <n v="0"/>
    <s v="VC"/>
  </r>
  <r>
    <x v="8"/>
    <s v="LLAMA"/>
    <x v="4"/>
    <s v="Medium"/>
    <n v="0"/>
    <s v="VC"/>
  </r>
  <r>
    <x v="8"/>
    <s v="LLAMA"/>
    <x v="5"/>
    <s v="High"/>
    <n v="0"/>
    <s v="AE"/>
  </r>
  <r>
    <x v="8"/>
    <s v="LLAMA"/>
    <x v="6"/>
    <s v="Medium"/>
    <n v="0"/>
    <s v="VC"/>
  </r>
  <r>
    <x v="8"/>
    <s v="LLAMA"/>
    <x v="7"/>
    <s v="Medium"/>
    <n v="0"/>
    <s v="VC"/>
  </r>
  <r>
    <x v="8"/>
    <s v="LLAMA"/>
    <x v="8"/>
    <s v="Medium"/>
    <n v="0"/>
    <s v="VC"/>
  </r>
  <r>
    <x v="8"/>
    <s v="LLAMA"/>
    <x v="9"/>
    <s v="Medium"/>
    <n v="0"/>
    <s v="VC"/>
  </r>
  <r>
    <x v="8"/>
    <s v="LLAMA"/>
    <x v="10"/>
    <s v="High"/>
    <n v="0"/>
    <s v="VC"/>
  </r>
  <r>
    <x v="8"/>
    <s v="LLAMA"/>
    <x v="11"/>
    <s v="Medium"/>
    <n v="0"/>
    <s v="VC"/>
  </r>
  <r>
    <x v="8"/>
    <s v="LLAMA"/>
    <x v="12"/>
    <s v="Low"/>
    <n v="0"/>
    <s v="VC"/>
  </r>
  <r>
    <x v="8"/>
    <s v="LLAMA"/>
    <x v="13"/>
    <s v="Medium"/>
    <n v="0"/>
    <s v="VC"/>
  </r>
  <r>
    <x v="8"/>
    <s v="LLAMA"/>
    <x v="14"/>
    <s v="Medium"/>
    <n v="0"/>
    <s v="VC"/>
  </r>
  <r>
    <x v="8"/>
    <s v="LLAMA"/>
    <x v="15"/>
    <s v="High"/>
    <n v="0"/>
    <s v="VC"/>
  </r>
  <r>
    <x v="8"/>
    <s v="LLAMA"/>
    <x v="16"/>
    <s v="High"/>
    <n v="0"/>
    <m/>
  </r>
  <r>
    <x v="8"/>
    <s v="LLAMA"/>
    <x v="17"/>
    <s v="Medium"/>
    <n v="0"/>
    <s v="VC"/>
  </r>
  <r>
    <x v="9"/>
    <s v="LLAMA"/>
    <x v="0"/>
    <s v="High"/>
    <n v="0"/>
    <s v="AE"/>
  </r>
  <r>
    <x v="9"/>
    <s v="LLAMA"/>
    <x v="1"/>
    <s v="High"/>
    <n v="0"/>
    <s v="VC"/>
  </r>
  <r>
    <x v="9"/>
    <s v="LLAMA"/>
    <x v="2"/>
    <s v="Medium"/>
    <n v="1"/>
    <s v="VC"/>
  </r>
  <r>
    <x v="9"/>
    <s v="LLAMA"/>
    <x v="3"/>
    <s v="High"/>
    <n v="0"/>
    <s v="VC"/>
  </r>
  <r>
    <x v="9"/>
    <s v="LLAMA"/>
    <x v="4"/>
    <s v="Medium"/>
    <n v="0"/>
    <s v="VC"/>
  </r>
  <r>
    <x v="9"/>
    <s v="LLAMA"/>
    <x v="5"/>
    <s v="High"/>
    <n v="0"/>
    <s v="AE"/>
  </r>
  <r>
    <x v="9"/>
    <s v="LLAMA"/>
    <x v="6"/>
    <s v="Medium"/>
    <n v="0"/>
    <s v="VC"/>
  </r>
  <r>
    <x v="9"/>
    <s v="LLAMA"/>
    <x v="7"/>
    <s v="Medium"/>
    <n v="0"/>
    <s v="VC"/>
  </r>
  <r>
    <x v="9"/>
    <s v="LLAMA"/>
    <x v="8"/>
    <s v="Medium"/>
    <n v="0"/>
    <s v="VC"/>
  </r>
  <r>
    <x v="9"/>
    <s v="LLAMA"/>
    <x v="9"/>
    <s v="Medium"/>
    <n v="0"/>
    <s v="VC"/>
  </r>
  <r>
    <x v="9"/>
    <s v="LLAMA"/>
    <x v="10"/>
    <s v="High"/>
    <n v="0"/>
    <s v="VC"/>
  </r>
  <r>
    <x v="9"/>
    <s v="LLAMA"/>
    <x v="11"/>
    <s v="Medium"/>
    <n v="0"/>
    <s v="VC"/>
  </r>
  <r>
    <x v="9"/>
    <s v="LLAMA"/>
    <x v="12"/>
    <s v="Low"/>
    <n v="0"/>
    <s v="VC"/>
  </r>
  <r>
    <x v="9"/>
    <s v="LLAMA"/>
    <x v="13"/>
    <s v="Medium"/>
    <n v="0"/>
    <s v="VC"/>
  </r>
  <r>
    <x v="9"/>
    <s v="LLAMA"/>
    <x v="14"/>
    <s v="Medium"/>
    <n v="0"/>
    <s v="VC"/>
  </r>
  <r>
    <x v="9"/>
    <s v="LLAMA"/>
    <x v="15"/>
    <s v="High"/>
    <n v="0"/>
    <s v="MC"/>
  </r>
  <r>
    <x v="9"/>
    <s v="LLAMA"/>
    <x v="16"/>
    <s v="High"/>
    <n v="0"/>
    <m/>
  </r>
  <r>
    <x v="9"/>
    <s v="LLAMA"/>
    <x v="17"/>
    <s v="Medium"/>
    <n v="0"/>
    <s v="VC"/>
  </r>
  <r>
    <x v="10"/>
    <s v="LLAMA"/>
    <x v="0"/>
    <s v="High"/>
    <n v="0"/>
    <s v="AE"/>
  </r>
  <r>
    <x v="10"/>
    <s v="LLAMA"/>
    <x v="1"/>
    <s v="High"/>
    <n v="0"/>
    <s v="VC"/>
  </r>
  <r>
    <x v="10"/>
    <s v="LLAMA"/>
    <x v="2"/>
    <s v="Medium"/>
    <n v="1"/>
    <s v="VC"/>
  </r>
  <r>
    <x v="10"/>
    <s v="LLAMA"/>
    <x v="3"/>
    <s v="High"/>
    <n v="0"/>
    <s v="VC"/>
  </r>
  <r>
    <x v="10"/>
    <s v="LLAMA"/>
    <x v="4"/>
    <s v="Medium"/>
    <n v="0"/>
    <s v="VC"/>
  </r>
  <r>
    <x v="10"/>
    <s v="LLAMA"/>
    <x v="5"/>
    <s v="High"/>
    <n v="0"/>
    <s v="AE"/>
  </r>
  <r>
    <x v="10"/>
    <s v="LLAMA"/>
    <x v="6"/>
    <s v="Medium"/>
    <n v="0"/>
    <s v="VC"/>
  </r>
  <r>
    <x v="10"/>
    <s v="LLAMA"/>
    <x v="7"/>
    <s v="Medium"/>
    <n v="0"/>
    <s v="VC"/>
  </r>
  <r>
    <x v="10"/>
    <s v="LLAMA"/>
    <x v="8"/>
    <s v="Medium"/>
    <n v="0"/>
    <s v="VC"/>
  </r>
  <r>
    <x v="10"/>
    <s v="LLAMA"/>
    <x v="9"/>
    <s v="Medium"/>
    <n v="0"/>
    <s v="VC"/>
  </r>
  <r>
    <x v="10"/>
    <s v="LLAMA"/>
    <x v="10"/>
    <s v="High"/>
    <n v="0"/>
    <s v="VC"/>
  </r>
  <r>
    <x v="10"/>
    <s v="LLAMA"/>
    <x v="11"/>
    <s v="Medium"/>
    <n v="0"/>
    <s v="VC"/>
  </r>
  <r>
    <x v="10"/>
    <s v="LLAMA"/>
    <x v="12"/>
    <s v="Low"/>
    <n v="0"/>
    <s v="VC"/>
  </r>
  <r>
    <x v="10"/>
    <s v="LLAMA"/>
    <x v="13"/>
    <s v="Medium"/>
    <n v="0"/>
    <s v="VC"/>
  </r>
  <r>
    <x v="10"/>
    <s v="LLAMA"/>
    <x v="14"/>
    <s v="Medium"/>
    <n v="0"/>
    <s v="VC"/>
  </r>
  <r>
    <x v="10"/>
    <s v="LLAMA"/>
    <x v="15"/>
    <s v="High"/>
    <n v="0"/>
    <s v="AE"/>
  </r>
  <r>
    <x v="10"/>
    <s v="LLAMA"/>
    <x v="16"/>
    <s v="High"/>
    <n v="0"/>
    <m/>
  </r>
  <r>
    <x v="10"/>
    <s v="LLAMA"/>
    <x v="17"/>
    <s v="Medium"/>
    <n v="0"/>
    <s v="VC"/>
  </r>
  <r>
    <x v="11"/>
    <s v="LLAMA"/>
    <x v="0"/>
    <s v="High"/>
    <n v="0"/>
    <s v="AE"/>
  </r>
  <r>
    <x v="11"/>
    <s v="LLAMA"/>
    <x v="1"/>
    <s v="High"/>
    <n v="0"/>
    <s v="VC"/>
  </r>
  <r>
    <x v="11"/>
    <s v="LLAMA"/>
    <x v="2"/>
    <s v="Medium"/>
    <n v="1"/>
    <s v="VC"/>
  </r>
  <r>
    <x v="11"/>
    <s v="LLAMA"/>
    <x v="3"/>
    <s v="High"/>
    <n v="0"/>
    <s v="VC"/>
  </r>
  <r>
    <x v="11"/>
    <s v="LLAMA"/>
    <x v="4"/>
    <s v="Medium"/>
    <n v="0"/>
    <s v="VC"/>
  </r>
  <r>
    <x v="11"/>
    <s v="LLAMA"/>
    <x v="5"/>
    <s v="High"/>
    <n v="0"/>
    <s v="AE"/>
  </r>
  <r>
    <x v="11"/>
    <s v="LLAMA"/>
    <x v="6"/>
    <s v="Medium"/>
    <n v="0"/>
    <s v="VC"/>
  </r>
  <r>
    <x v="11"/>
    <s v="LLAMA"/>
    <x v="7"/>
    <s v="Medium"/>
    <n v="0"/>
    <s v="VC"/>
  </r>
  <r>
    <x v="11"/>
    <s v="LLAMA"/>
    <x v="8"/>
    <s v="Medium"/>
    <n v="0"/>
    <s v="VC"/>
  </r>
  <r>
    <x v="11"/>
    <s v="LLAMA"/>
    <x v="9"/>
    <s v="Medium"/>
    <n v="0"/>
    <s v="VC"/>
  </r>
  <r>
    <x v="11"/>
    <s v="LLAMA"/>
    <x v="10"/>
    <s v="High"/>
    <n v="0"/>
    <s v="VC"/>
  </r>
  <r>
    <x v="11"/>
    <s v="LLAMA"/>
    <x v="11"/>
    <s v="Medium"/>
    <n v="0"/>
    <s v="VC"/>
  </r>
  <r>
    <x v="11"/>
    <s v="LLAMA"/>
    <x v="12"/>
    <s v="Low"/>
    <n v="0"/>
    <s v="VC"/>
  </r>
  <r>
    <x v="11"/>
    <s v="LLAMA"/>
    <x v="13"/>
    <s v="Medium"/>
    <n v="0"/>
    <s v="VC"/>
  </r>
  <r>
    <x v="11"/>
    <s v="LLAMA"/>
    <x v="14"/>
    <s v="Medium"/>
    <n v="0"/>
    <s v="VC"/>
  </r>
  <r>
    <x v="11"/>
    <s v="LLAMA"/>
    <x v="15"/>
    <s v="High"/>
    <n v="0"/>
    <s v="AE"/>
  </r>
  <r>
    <x v="11"/>
    <s v="LLAMA"/>
    <x v="16"/>
    <s v="High"/>
    <n v="0"/>
    <m/>
  </r>
  <r>
    <x v="11"/>
    <s v="LLAMA"/>
    <x v="17"/>
    <s v="Medium"/>
    <n v="0"/>
    <s v="VC"/>
  </r>
  <r>
    <x v="12"/>
    <s v="LLAMA"/>
    <x v="0"/>
    <s v="High"/>
    <n v="0"/>
    <s v="AE"/>
  </r>
  <r>
    <x v="12"/>
    <s v="LLAMA"/>
    <x v="1"/>
    <s v="High"/>
    <n v="0"/>
    <s v="VC"/>
  </r>
  <r>
    <x v="12"/>
    <s v="LLAMA"/>
    <x v="2"/>
    <s v="Medium"/>
    <n v="1"/>
    <s v="VC"/>
  </r>
  <r>
    <x v="12"/>
    <s v="LLAMA"/>
    <x v="3"/>
    <s v="High"/>
    <n v="0"/>
    <s v="VC"/>
  </r>
  <r>
    <x v="12"/>
    <s v="LLAMA"/>
    <x v="4"/>
    <s v="Medium"/>
    <n v="0"/>
    <s v="VC"/>
  </r>
  <r>
    <x v="12"/>
    <s v="LLAMA"/>
    <x v="5"/>
    <s v="High"/>
    <n v="0"/>
    <s v="AE"/>
  </r>
  <r>
    <x v="12"/>
    <s v="LLAMA"/>
    <x v="6"/>
    <s v="Medium"/>
    <n v="0"/>
    <s v="VC"/>
  </r>
  <r>
    <x v="12"/>
    <s v="LLAMA"/>
    <x v="7"/>
    <s v="Medium"/>
    <n v="0"/>
    <s v="VC"/>
  </r>
  <r>
    <x v="12"/>
    <s v="LLAMA"/>
    <x v="8"/>
    <s v="Medium"/>
    <n v="0"/>
    <s v="VC"/>
  </r>
  <r>
    <x v="12"/>
    <s v="LLAMA"/>
    <x v="9"/>
    <s v="Medium"/>
    <n v="0"/>
    <s v="VC"/>
  </r>
  <r>
    <x v="12"/>
    <s v="LLAMA"/>
    <x v="10"/>
    <s v="High"/>
    <n v="0"/>
    <s v="VC"/>
  </r>
  <r>
    <x v="12"/>
    <s v="LLAMA"/>
    <x v="11"/>
    <s v="Medium"/>
    <n v="0"/>
    <s v="VC"/>
  </r>
  <r>
    <x v="12"/>
    <s v="LLAMA"/>
    <x v="12"/>
    <s v="Low"/>
    <n v="0"/>
    <s v="VC"/>
  </r>
  <r>
    <x v="12"/>
    <s v="LLAMA"/>
    <x v="13"/>
    <s v="Medium"/>
    <n v="0"/>
    <s v="VC"/>
  </r>
  <r>
    <x v="12"/>
    <s v="LLAMA"/>
    <x v="14"/>
    <s v="Medium"/>
    <n v="0"/>
    <s v="VC"/>
  </r>
  <r>
    <x v="12"/>
    <s v="LLAMA"/>
    <x v="15"/>
    <s v="High"/>
    <n v="0"/>
    <s v="VC"/>
  </r>
  <r>
    <x v="12"/>
    <s v="LLAMA"/>
    <x v="16"/>
    <s v="High"/>
    <n v="0"/>
    <m/>
  </r>
  <r>
    <x v="12"/>
    <s v="LLAMA"/>
    <x v="17"/>
    <s v="Medium"/>
    <n v="0"/>
    <s v="VC"/>
  </r>
  <r>
    <x v="13"/>
    <s v="LLAMA"/>
    <x v="0"/>
    <s v="High"/>
    <n v="0"/>
    <s v="AE"/>
  </r>
  <r>
    <x v="13"/>
    <s v="LLAMA"/>
    <x v="1"/>
    <s v="High"/>
    <n v="0"/>
    <s v="VC"/>
  </r>
  <r>
    <x v="13"/>
    <s v="LLAMA"/>
    <x v="2"/>
    <s v="Medium"/>
    <n v="1"/>
    <s v="VC"/>
  </r>
  <r>
    <x v="13"/>
    <s v="LLAMA"/>
    <x v="3"/>
    <s v="High"/>
    <n v="0"/>
    <s v="VC"/>
  </r>
  <r>
    <x v="13"/>
    <s v="LLAMA"/>
    <x v="4"/>
    <s v="Medium"/>
    <n v="0"/>
    <s v="VC"/>
  </r>
  <r>
    <x v="13"/>
    <s v="LLAMA"/>
    <x v="5"/>
    <s v="High"/>
    <n v="0"/>
    <s v="AE"/>
  </r>
  <r>
    <x v="13"/>
    <s v="LLAMA"/>
    <x v="6"/>
    <s v="Medium"/>
    <n v="0"/>
    <s v="VC"/>
  </r>
  <r>
    <x v="13"/>
    <s v="LLAMA"/>
    <x v="7"/>
    <s v="Medium"/>
    <n v="0"/>
    <s v="VC"/>
  </r>
  <r>
    <x v="13"/>
    <s v="LLAMA"/>
    <x v="8"/>
    <s v="Medium"/>
    <n v="0"/>
    <s v="VC"/>
  </r>
  <r>
    <x v="13"/>
    <s v="LLAMA"/>
    <x v="9"/>
    <s v="Medium"/>
    <n v="0"/>
    <s v="VC"/>
  </r>
  <r>
    <x v="13"/>
    <s v="LLAMA"/>
    <x v="10"/>
    <s v="High"/>
    <n v="0"/>
    <s v="VC"/>
  </r>
  <r>
    <x v="13"/>
    <s v="LLAMA"/>
    <x v="11"/>
    <s v="Medium"/>
    <n v="0"/>
    <s v="VC"/>
  </r>
  <r>
    <x v="13"/>
    <s v="LLAMA"/>
    <x v="12"/>
    <s v="Low"/>
    <n v="0"/>
    <s v="MC"/>
  </r>
  <r>
    <x v="13"/>
    <s v="LLAMA"/>
    <x v="13"/>
    <s v="Medium"/>
    <n v="0"/>
    <s v="VC"/>
  </r>
  <r>
    <x v="13"/>
    <s v="LLAMA"/>
    <x v="14"/>
    <s v="Medium"/>
    <n v="0"/>
    <s v="VC"/>
  </r>
  <r>
    <x v="13"/>
    <s v="LLAMA"/>
    <x v="15"/>
    <s v="High"/>
    <n v="0"/>
    <s v="AE"/>
  </r>
  <r>
    <x v="13"/>
    <s v="LLAMA"/>
    <x v="16"/>
    <s v="High"/>
    <n v="0"/>
    <m/>
  </r>
  <r>
    <x v="13"/>
    <s v="LLAMA"/>
    <x v="17"/>
    <s v="Medium"/>
    <n v="0"/>
    <s v="VC"/>
  </r>
  <r>
    <x v="14"/>
    <s v="LLAMA"/>
    <x v="0"/>
    <s v="High"/>
    <n v="0"/>
    <s v="AE"/>
  </r>
  <r>
    <x v="14"/>
    <s v="LLAMA"/>
    <x v="1"/>
    <s v="High"/>
    <n v="0"/>
    <s v="VC"/>
  </r>
  <r>
    <x v="14"/>
    <s v="LLAMA"/>
    <x v="2"/>
    <s v="Medium"/>
    <n v="1"/>
    <s v="VC"/>
  </r>
  <r>
    <x v="14"/>
    <s v="LLAMA"/>
    <x v="3"/>
    <s v="High"/>
    <n v="0"/>
    <s v="VC"/>
  </r>
  <r>
    <x v="14"/>
    <s v="LLAMA"/>
    <x v="4"/>
    <s v="Medium"/>
    <n v="0"/>
    <s v="VC"/>
  </r>
  <r>
    <x v="14"/>
    <s v="LLAMA"/>
    <x v="5"/>
    <s v="High"/>
    <n v="0"/>
    <s v="AE"/>
  </r>
  <r>
    <x v="14"/>
    <s v="LLAMA"/>
    <x v="6"/>
    <s v="Medium"/>
    <n v="0"/>
    <s v="VC"/>
  </r>
  <r>
    <x v="14"/>
    <s v="LLAMA"/>
    <x v="7"/>
    <s v="Medium"/>
    <n v="0"/>
    <s v="VC"/>
  </r>
  <r>
    <x v="14"/>
    <s v="LLAMA"/>
    <x v="8"/>
    <s v="Medium"/>
    <n v="0"/>
    <s v="VC"/>
  </r>
  <r>
    <x v="14"/>
    <s v="LLAMA"/>
    <x v="9"/>
    <s v="Medium"/>
    <n v="0"/>
    <s v="VC"/>
  </r>
  <r>
    <x v="14"/>
    <s v="LLAMA"/>
    <x v="10"/>
    <s v="High"/>
    <n v="0"/>
    <s v="VC"/>
  </r>
  <r>
    <x v="14"/>
    <s v="LLAMA"/>
    <x v="11"/>
    <s v="Medium"/>
    <n v="0"/>
    <s v="VC"/>
  </r>
  <r>
    <x v="14"/>
    <s v="LLAMA"/>
    <x v="12"/>
    <s v="Low"/>
    <n v="0"/>
    <s v="VC"/>
  </r>
  <r>
    <x v="14"/>
    <s v="LLAMA"/>
    <x v="13"/>
    <s v="Medium"/>
    <n v="0"/>
    <s v="VC"/>
  </r>
  <r>
    <x v="14"/>
    <s v="LLAMA"/>
    <x v="14"/>
    <s v="Medium"/>
    <n v="0"/>
    <s v="VC"/>
  </r>
  <r>
    <x v="14"/>
    <s v="LLAMA"/>
    <x v="15"/>
    <s v="High"/>
    <n v="0"/>
    <s v="VC"/>
  </r>
  <r>
    <x v="14"/>
    <s v="LLAMA"/>
    <x v="16"/>
    <s v="High"/>
    <n v="0"/>
    <m/>
  </r>
  <r>
    <x v="14"/>
    <s v="LLAMA"/>
    <x v="17"/>
    <s v="Medium"/>
    <n v="0"/>
    <s v="VC"/>
  </r>
  <r>
    <x v="15"/>
    <s v="LLAMA"/>
    <x v="0"/>
    <s v="High"/>
    <n v="0"/>
    <s v="AE"/>
  </r>
  <r>
    <x v="15"/>
    <s v="LLAMA"/>
    <x v="1"/>
    <s v="High"/>
    <n v="0"/>
    <s v="VC"/>
  </r>
  <r>
    <x v="15"/>
    <s v="LLAMA"/>
    <x v="2"/>
    <s v="Medium"/>
    <n v="1"/>
    <s v="MC"/>
  </r>
  <r>
    <x v="15"/>
    <s v="LLAMA"/>
    <x v="3"/>
    <s v="High"/>
    <n v="0"/>
    <s v="VC"/>
  </r>
  <r>
    <x v="15"/>
    <s v="LLAMA"/>
    <x v="4"/>
    <s v="Medium"/>
    <n v="0"/>
    <s v="VC"/>
  </r>
  <r>
    <x v="15"/>
    <s v="LLAMA"/>
    <x v="5"/>
    <s v="High"/>
    <n v="0"/>
    <s v="AE"/>
  </r>
  <r>
    <x v="15"/>
    <s v="LLAMA"/>
    <x v="6"/>
    <s v="Medium"/>
    <n v="0"/>
    <s v="VC"/>
  </r>
  <r>
    <x v="15"/>
    <s v="LLAMA"/>
    <x v="7"/>
    <s v="Medium"/>
    <n v="0"/>
    <s v="VC"/>
  </r>
  <r>
    <x v="15"/>
    <s v="LLAMA"/>
    <x v="8"/>
    <s v="Medium"/>
    <n v="0"/>
    <s v="VC"/>
  </r>
  <r>
    <x v="15"/>
    <s v="LLAMA"/>
    <x v="9"/>
    <s v="Medium"/>
    <n v="0"/>
    <s v="VC"/>
  </r>
  <r>
    <x v="15"/>
    <s v="LLAMA"/>
    <x v="10"/>
    <s v="High"/>
    <n v="0"/>
    <s v="VC"/>
  </r>
  <r>
    <x v="15"/>
    <s v="LLAMA"/>
    <x v="11"/>
    <s v="Medium"/>
    <n v="0"/>
    <s v="VC"/>
  </r>
  <r>
    <x v="15"/>
    <s v="LLAMA"/>
    <x v="12"/>
    <s v="Low"/>
    <n v="0"/>
    <s v="VC"/>
  </r>
  <r>
    <x v="15"/>
    <s v="LLAMA"/>
    <x v="13"/>
    <s v="Medium"/>
    <n v="0"/>
    <s v="VC"/>
  </r>
  <r>
    <x v="15"/>
    <s v="LLAMA"/>
    <x v="14"/>
    <s v="Medium"/>
    <n v="0"/>
    <s v="VC"/>
  </r>
  <r>
    <x v="15"/>
    <s v="LLAMA"/>
    <x v="15"/>
    <s v="High"/>
    <n v="0"/>
    <s v="VC"/>
  </r>
  <r>
    <x v="15"/>
    <s v="LLAMA"/>
    <x v="16"/>
    <s v="High"/>
    <n v="0"/>
    <m/>
  </r>
  <r>
    <x v="15"/>
    <s v="LLAMA"/>
    <x v="17"/>
    <s v="Medium"/>
    <n v="0"/>
    <s v="VC"/>
  </r>
  <r>
    <x v="16"/>
    <s v="LLAMA"/>
    <x v="0"/>
    <s v="High"/>
    <n v="0"/>
    <s v="AE"/>
  </r>
  <r>
    <x v="16"/>
    <s v="LLAMA"/>
    <x v="1"/>
    <s v="High"/>
    <n v="0"/>
    <s v="VC"/>
  </r>
  <r>
    <x v="16"/>
    <s v="LLAMA"/>
    <x v="2"/>
    <s v="Medium"/>
    <n v="1"/>
    <s v="VC"/>
  </r>
  <r>
    <x v="16"/>
    <s v="LLAMA"/>
    <x v="3"/>
    <s v="High"/>
    <n v="0"/>
    <s v="VC"/>
  </r>
  <r>
    <x v="16"/>
    <s v="LLAMA"/>
    <x v="4"/>
    <s v="Medium"/>
    <n v="0"/>
    <s v="VC"/>
  </r>
  <r>
    <x v="16"/>
    <s v="LLAMA"/>
    <x v="5"/>
    <s v="High"/>
    <n v="0"/>
    <s v="VC"/>
  </r>
  <r>
    <x v="16"/>
    <s v="LLAMA"/>
    <x v="6"/>
    <s v="Medium"/>
    <n v="0"/>
    <s v="VC"/>
  </r>
  <r>
    <x v="16"/>
    <s v="LLAMA"/>
    <x v="7"/>
    <s v="Medium"/>
    <n v="0"/>
    <s v="VC"/>
  </r>
  <r>
    <x v="16"/>
    <s v="LLAMA"/>
    <x v="8"/>
    <s v="Medium"/>
    <n v="0"/>
    <s v="VC"/>
  </r>
  <r>
    <x v="16"/>
    <s v="LLAMA"/>
    <x v="9"/>
    <s v="Medium"/>
    <n v="0"/>
    <s v="VC"/>
  </r>
  <r>
    <x v="16"/>
    <s v="LLAMA"/>
    <x v="10"/>
    <s v="High"/>
    <n v="0"/>
    <s v="VC"/>
  </r>
  <r>
    <x v="16"/>
    <s v="LLAMA"/>
    <x v="11"/>
    <s v="Medium"/>
    <n v="0"/>
    <s v="VC"/>
  </r>
  <r>
    <x v="16"/>
    <s v="LLAMA"/>
    <x v="12"/>
    <s v="Low"/>
    <n v="0"/>
    <s v="MC"/>
  </r>
  <r>
    <x v="16"/>
    <s v="LLAMA"/>
    <x v="13"/>
    <s v="Medium"/>
    <n v="0"/>
    <s v="VC"/>
  </r>
  <r>
    <x v="16"/>
    <s v="LLAMA"/>
    <x v="14"/>
    <s v="Medium"/>
    <n v="0"/>
    <s v="VC"/>
  </r>
  <r>
    <x v="16"/>
    <s v="LLAMA"/>
    <x v="15"/>
    <s v="High"/>
    <n v="0"/>
    <s v="VC"/>
  </r>
  <r>
    <x v="16"/>
    <s v="LLAMA"/>
    <x v="16"/>
    <s v="High"/>
    <n v="0"/>
    <m/>
  </r>
  <r>
    <x v="16"/>
    <s v="LLAMA"/>
    <x v="17"/>
    <s v="Medium"/>
    <n v="0"/>
    <s v="VC"/>
  </r>
  <r>
    <x v="17"/>
    <s v="LLAMA"/>
    <x v="0"/>
    <s v="High"/>
    <n v="0"/>
    <s v="AE"/>
  </r>
  <r>
    <x v="17"/>
    <s v="LLAMA"/>
    <x v="1"/>
    <s v="High"/>
    <n v="0"/>
    <s v="VC"/>
  </r>
  <r>
    <x v="17"/>
    <s v="LLAMA"/>
    <x v="2"/>
    <s v="Medium"/>
    <n v="1"/>
    <s v="MC"/>
  </r>
  <r>
    <x v="17"/>
    <s v="LLAMA"/>
    <x v="3"/>
    <s v="High"/>
    <n v="0"/>
    <s v="VC"/>
  </r>
  <r>
    <x v="17"/>
    <s v="LLAMA"/>
    <x v="4"/>
    <s v="Medium"/>
    <n v="0"/>
    <s v="VC"/>
  </r>
  <r>
    <x v="17"/>
    <s v="LLAMA"/>
    <x v="5"/>
    <s v="High"/>
    <n v="0"/>
    <s v="AE"/>
  </r>
  <r>
    <x v="17"/>
    <s v="LLAMA"/>
    <x v="6"/>
    <s v="Medium"/>
    <n v="0"/>
    <s v="VC"/>
  </r>
  <r>
    <x v="17"/>
    <s v="LLAMA"/>
    <x v="7"/>
    <s v="Medium"/>
    <n v="0"/>
    <s v="VC"/>
  </r>
  <r>
    <x v="17"/>
    <s v="LLAMA"/>
    <x v="8"/>
    <s v="Medium"/>
    <n v="0"/>
    <s v="VC"/>
  </r>
  <r>
    <x v="17"/>
    <s v="LLAMA"/>
    <x v="9"/>
    <s v="Medium"/>
    <n v="0"/>
    <s v="VC"/>
  </r>
  <r>
    <x v="17"/>
    <s v="LLAMA"/>
    <x v="10"/>
    <s v="High"/>
    <n v="0"/>
    <s v="VC"/>
  </r>
  <r>
    <x v="17"/>
    <s v="LLAMA"/>
    <x v="11"/>
    <s v="Medium"/>
    <n v="0"/>
    <s v="VC"/>
  </r>
  <r>
    <x v="17"/>
    <s v="LLAMA"/>
    <x v="12"/>
    <s v="Low"/>
    <n v="0"/>
    <s v="VC"/>
  </r>
  <r>
    <x v="17"/>
    <s v="LLAMA"/>
    <x v="13"/>
    <s v="Medium"/>
    <n v="0"/>
    <s v="VC"/>
  </r>
  <r>
    <x v="17"/>
    <s v="LLAMA"/>
    <x v="14"/>
    <s v="Medium"/>
    <n v="0"/>
    <s v="VC"/>
  </r>
  <r>
    <x v="17"/>
    <s v="LLAMA"/>
    <x v="15"/>
    <s v="High"/>
    <n v="0"/>
    <s v="VC"/>
  </r>
  <r>
    <x v="17"/>
    <s v="LLAMA"/>
    <x v="16"/>
    <s v="High"/>
    <n v="0"/>
    <m/>
  </r>
  <r>
    <x v="17"/>
    <s v="LLAMA"/>
    <x v="17"/>
    <s v="Medium"/>
    <n v="0"/>
    <s v="VC"/>
  </r>
  <r>
    <x v="18"/>
    <s v="LLAMA"/>
    <x v="0"/>
    <s v="High"/>
    <n v="0"/>
    <s v="AE"/>
  </r>
  <r>
    <x v="18"/>
    <s v="LLAMA"/>
    <x v="1"/>
    <s v="High"/>
    <n v="0"/>
    <s v="VC"/>
  </r>
  <r>
    <x v="18"/>
    <s v="LLAMA"/>
    <x v="2"/>
    <s v="Medium"/>
    <n v="1"/>
    <s v="VC"/>
  </r>
  <r>
    <x v="18"/>
    <s v="LLAMA"/>
    <x v="3"/>
    <s v="High"/>
    <n v="0"/>
    <s v="VC"/>
  </r>
  <r>
    <x v="18"/>
    <s v="LLAMA"/>
    <x v="4"/>
    <s v="Medium"/>
    <n v="0"/>
    <s v="VC"/>
  </r>
  <r>
    <x v="18"/>
    <s v="LLAMA"/>
    <x v="5"/>
    <s v="High"/>
    <n v="0"/>
    <s v="AE"/>
  </r>
  <r>
    <x v="18"/>
    <s v="LLAMA"/>
    <x v="6"/>
    <s v="Medium"/>
    <n v="0"/>
    <s v="VC"/>
  </r>
  <r>
    <x v="18"/>
    <s v="LLAMA"/>
    <x v="7"/>
    <s v="Medium"/>
    <n v="0"/>
    <s v="VC"/>
  </r>
  <r>
    <x v="18"/>
    <s v="LLAMA"/>
    <x v="8"/>
    <s v="Medium"/>
    <n v="0"/>
    <s v="VC"/>
  </r>
  <r>
    <x v="18"/>
    <s v="LLAMA"/>
    <x v="9"/>
    <s v="Medium"/>
    <n v="0"/>
    <s v="VC"/>
  </r>
  <r>
    <x v="18"/>
    <s v="LLAMA"/>
    <x v="10"/>
    <s v="High"/>
    <n v="0"/>
    <s v="VC"/>
  </r>
  <r>
    <x v="18"/>
    <s v="LLAMA"/>
    <x v="11"/>
    <s v="Medium"/>
    <n v="0"/>
    <s v="VC"/>
  </r>
  <r>
    <x v="18"/>
    <s v="LLAMA"/>
    <x v="12"/>
    <s v="Low"/>
    <n v="0"/>
    <s v="VC"/>
  </r>
  <r>
    <x v="18"/>
    <s v="LLAMA"/>
    <x v="13"/>
    <s v="Medium"/>
    <n v="0"/>
    <s v="VC"/>
  </r>
  <r>
    <x v="18"/>
    <s v="LLAMA"/>
    <x v="14"/>
    <s v="Medium"/>
    <n v="0"/>
    <s v="VC"/>
  </r>
  <r>
    <x v="18"/>
    <s v="LLAMA"/>
    <x v="15"/>
    <s v="High"/>
    <n v="0"/>
    <s v="AE"/>
  </r>
  <r>
    <x v="18"/>
    <s v="LLAMA"/>
    <x v="16"/>
    <s v="High"/>
    <n v="0"/>
    <m/>
  </r>
  <r>
    <x v="18"/>
    <s v="LLAMA"/>
    <x v="17"/>
    <s v="Medium"/>
    <n v="0"/>
    <s v="VC"/>
  </r>
  <r>
    <x v="19"/>
    <s v="LLAMA"/>
    <x v="0"/>
    <s v="High"/>
    <n v="0"/>
    <s v="AE"/>
  </r>
  <r>
    <x v="19"/>
    <s v="LLAMA"/>
    <x v="1"/>
    <s v="High"/>
    <n v="0"/>
    <s v="VC"/>
  </r>
  <r>
    <x v="19"/>
    <s v="LLAMA"/>
    <x v="2"/>
    <s v="Medium"/>
    <n v="1"/>
    <s v="MC"/>
  </r>
  <r>
    <x v="19"/>
    <s v="LLAMA"/>
    <x v="3"/>
    <s v="High"/>
    <n v="0"/>
    <s v="VC"/>
  </r>
  <r>
    <x v="19"/>
    <s v="LLAMA"/>
    <x v="4"/>
    <s v="Medium"/>
    <n v="0"/>
    <s v="VC"/>
  </r>
  <r>
    <x v="19"/>
    <s v="LLAMA"/>
    <x v="5"/>
    <s v="High"/>
    <n v="0"/>
    <s v="AE"/>
  </r>
  <r>
    <x v="19"/>
    <s v="LLAMA"/>
    <x v="6"/>
    <s v="Medium"/>
    <n v="0"/>
    <s v="VC"/>
  </r>
  <r>
    <x v="19"/>
    <s v="LLAMA"/>
    <x v="7"/>
    <s v="Medium"/>
    <n v="0"/>
    <s v="VC"/>
  </r>
  <r>
    <x v="19"/>
    <s v="LLAMA"/>
    <x v="8"/>
    <s v="Medium"/>
    <n v="0"/>
    <s v="VC"/>
  </r>
  <r>
    <x v="19"/>
    <s v="LLAMA"/>
    <x v="9"/>
    <s v="Medium"/>
    <n v="0"/>
    <s v="VC"/>
  </r>
  <r>
    <x v="19"/>
    <s v="LLAMA"/>
    <x v="10"/>
    <s v="High"/>
    <n v="0"/>
    <s v="VC"/>
  </r>
  <r>
    <x v="19"/>
    <s v="LLAMA"/>
    <x v="11"/>
    <s v="Medium"/>
    <n v="0"/>
    <s v="VC"/>
  </r>
  <r>
    <x v="19"/>
    <s v="LLAMA"/>
    <x v="12"/>
    <s v="Low"/>
    <n v="0"/>
    <s v="VC"/>
  </r>
  <r>
    <x v="19"/>
    <s v="LLAMA"/>
    <x v="13"/>
    <s v="Medium"/>
    <n v="0"/>
    <s v="VC"/>
  </r>
  <r>
    <x v="19"/>
    <s v="LLAMA"/>
    <x v="14"/>
    <s v="Medium"/>
    <n v="0"/>
    <s v="VC"/>
  </r>
  <r>
    <x v="19"/>
    <s v="LLAMA"/>
    <x v="15"/>
    <s v="High"/>
    <n v="0"/>
    <s v="AE"/>
  </r>
  <r>
    <x v="19"/>
    <s v="LLAMA"/>
    <x v="16"/>
    <s v="High"/>
    <n v="0"/>
    <m/>
  </r>
  <r>
    <x v="19"/>
    <s v="LLAMA"/>
    <x v="17"/>
    <s v="Medium"/>
    <n v="0"/>
    <s v="VC"/>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A9D67CE-07F3-49F4-AEC6-4E6CE8E0B5F1}"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H4:AA26" firstHeaderRow="1" firstDataRow="2" firstDataCol="1"/>
  <pivotFields count="6">
    <pivotField axis="axisRow" showAll="0">
      <items count="21">
        <item x="0"/>
        <item x="1"/>
        <item x="2"/>
        <item x="3"/>
        <item x="4"/>
        <item x="5"/>
        <item x="6"/>
        <item x="7"/>
        <item x="8"/>
        <item x="9"/>
        <item x="10"/>
        <item x="11"/>
        <item x="12"/>
        <item x="13"/>
        <item x="14"/>
        <item x="15"/>
        <item x="16"/>
        <item x="17"/>
        <item x="18"/>
        <item x="19"/>
        <item t="default"/>
      </items>
    </pivotField>
    <pivotField showAll="0"/>
    <pivotField axis="axisCol" showAll="0">
      <items count="19">
        <item x="0"/>
        <item x="1"/>
        <item x="2"/>
        <item x="3"/>
        <item x="4"/>
        <item x="5"/>
        <item x="6"/>
        <item x="7"/>
        <item x="8"/>
        <item x="9"/>
        <item x="10"/>
        <item x="11"/>
        <item x="12"/>
        <item x="13"/>
        <item x="14"/>
        <item x="15"/>
        <item x="16"/>
        <item x="17"/>
        <item t="default"/>
      </items>
    </pivotField>
    <pivotField showAll="0"/>
    <pivotField dataField="1" showAll="0"/>
    <pivotField showAll="0"/>
  </pivotFields>
  <rowFields count="1">
    <field x="0"/>
  </rowFields>
  <rowItems count="21">
    <i>
      <x/>
    </i>
    <i>
      <x v="1"/>
    </i>
    <i>
      <x v="2"/>
    </i>
    <i>
      <x v="3"/>
    </i>
    <i>
      <x v="4"/>
    </i>
    <i>
      <x v="5"/>
    </i>
    <i>
      <x v="6"/>
    </i>
    <i>
      <x v="7"/>
    </i>
    <i>
      <x v="8"/>
    </i>
    <i>
      <x v="9"/>
    </i>
    <i>
      <x v="10"/>
    </i>
    <i>
      <x v="11"/>
    </i>
    <i>
      <x v="12"/>
    </i>
    <i>
      <x v="13"/>
    </i>
    <i>
      <x v="14"/>
    </i>
    <i>
      <x v="15"/>
    </i>
    <i>
      <x v="16"/>
    </i>
    <i>
      <x v="17"/>
    </i>
    <i>
      <x v="18"/>
    </i>
    <i>
      <x v="19"/>
    </i>
    <i t="grand">
      <x/>
    </i>
  </rowItems>
  <colFields count="1">
    <field x="2"/>
  </colFields>
  <colItems count="19">
    <i>
      <x/>
    </i>
    <i>
      <x v="1"/>
    </i>
    <i>
      <x v="2"/>
    </i>
    <i>
      <x v="3"/>
    </i>
    <i>
      <x v="4"/>
    </i>
    <i>
      <x v="5"/>
    </i>
    <i>
      <x v="6"/>
    </i>
    <i>
      <x v="7"/>
    </i>
    <i>
      <x v="8"/>
    </i>
    <i>
      <x v="9"/>
    </i>
    <i>
      <x v="10"/>
    </i>
    <i>
      <x v="11"/>
    </i>
    <i>
      <x v="12"/>
    </i>
    <i>
      <x v="13"/>
    </i>
    <i>
      <x v="14"/>
    </i>
    <i>
      <x v="15"/>
    </i>
    <i>
      <x v="16"/>
    </i>
    <i>
      <x v="17"/>
    </i>
    <i t="grand">
      <x/>
    </i>
  </colItems>
  <dataFields count="1">
    <dataField name="Sum of llm_score" fld="4"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4.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81"/>
  <sheetViews>
    <sheetView workbookViewId="0">
      <selection activeCell="H31" sqref="H31"/>
    </sheetView>
  </sheetViews>
  <sheetFormatPr defaultRowHeight="14.4" x14ac:dyDescent="0.3"/>
  <cols>
    <col min="1" max="1" width="8.6640625" bestFit="1" customWidth="1"/>
    <col min="2" max="2" width="7.109375" bestFit="1" customWidth="1"/>
    <col min="3" max="3" width="12.5546875" bestFit="1" customWidth="1"/>
    <col min="4" max="4" width="14.33203125" bestFit="1" customWidth="1"/>
    <col min="5" max="5" width="7.6640625" bestFit="1" customWidth="1"/>
    <col min="6" max="6" width="18.33203125" bestFit="1" customWidth="1"/>
    <col min="7" max="7" width="20.5546875" bestFit="1" customWidth="1"/>
    <col min="8" max="8" width="19" bestFit="1" customWidth="1"/>
    <col min="9" max="9" width="18" bestFit="1" customWidth="1"/>
    <col min="10" max="10" width="21.6640625" bestFit="1" customWidth="1"/>
    <col min="11" max="11" width="14.44140625" bestFit="1" customWidth="1"/>
    <col min="12" max="12" width="11.88671875" bestFit="1" customWidth="1"/>
    <col min="13" max="13" width="16.5546875" bestFit="1" customWidth="1"/>
    <col min="14" max="14" width="17.5546875" bestFit="1" customWidth="1"/>
    <col min="15" max="15" width="15" bestFit="1" customWidth="1"/>
    <col min="16" max="16" width="17.77734375" bestFit="1" customWidth="1"/>
    <col min="17" max="17" width="11.33203125" bestFit="1" customWidth="1"/>
    <col min="18" max="18" width="16.33203125" bestFit="1" customWidth="1"/>
  </cols>
  <sheetData>
    <row r="1" spans="1:18" x14ac:dyDescent="0.3">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row>
    <row r="2" spans="1:18" x14ac:dyDescent="0.3">
      <c r="A2" t="s">
        <v>18</v>
      </c>
      <c r="B2">
        <v>1</v>
      </c>
      <c r="C2" t="s">
        <v>19</v>
      </c>
      <c r="D2" t="s">
        <v>20</v>
      </c>
      <c r="E2" t="s">
        <v>21</v>
      </c>
      <c r="F2">
        <v>3</v>
      </c>
      <c r="G2">
        <v>1</v>
      </c>
      <c r="H2">
        <v>42</v>
      </c>
      <c r="I2">
        <v>0</v>
      </c>
      <c r="J2">
        <v>18</v>
      </c>
      <c r="K2">
        <v>18</v>
      </c>
      <c r="L2">
        <v>2</v>
      </c>
      <c r="M2">
        <v>2</v>
      </c>
      <c r="N2">
        <v>0</v>
      </c>
      <c r="O2">
        <v>1</v>
      </c>
      <c r="P2">
        <v>7.1428571428571425E-2</v>
      </c>
      <c r="Q2" t="s">
        <v>22</v>
      </c>
      <c r="R2">
        <v>0</v>
      </c>
    </row>
    <row r="3" spans="1:18" x14ac:dyDescent="0.3">
      <c r="A3" t="s">
        <v>18</v>
      </c>
      <c r="B3">
        <v>1</v>
      </c>
      <c r="C3" t="s">
        <v>19</v>
      </c>
      <c r="D3" t="s">
        <v>20</v>
      </c>
      <c r="E3" t="s">
        <v>23</v>
      </c>
      <c r="F3">
        <v>3</v>
      </c>
      <c r="G3">
        <v>1</v>
      </c>
      <c r="H3">
        <v>42</v>
      </c>
      <c r="I3">
        <v>0</v>
      </c>
      <c r="J3">
        <v>18</v>
      </c>
      <c r="K3">
        <v>18</v>
      </c>
      <c r="L3">
        <v>2</v>
      </c>
      <c r="M3">
        <v>2</v>
      </c>
      <c r="N3">
        <v>0</v>
      </c>
      <c r="O3">
        <v>1</v>
      </c>
      <c r="P3">
        <v>7.1428571428571425E-2</v>
      </c>
      <c r="Q3" t="s">
        <v>22</v>
      </c>
      <c r="R3">
        <v>0</v>
      </c>
    </row>
    <row r="4" spans="1:18" x14ac:dyDescent="0.3">
      <c r="A4" t="s">
        <v>18</v>
      </c>
      <c r="B4">
        <v>1</v>
      </c>
      <c r="C4" t="s">
        <v>19</v>
      </c>
      <c r="D4" t="s">
        <v>20</v>
      </c>
      <c r="E4" t="s">
        <v>24</v>
      </c>
      <c r="F4">
        <v>8</v>
      </c>
      <c r="G4">
        <v>3</v>
      </c>
      <c r="H4">
        <v>42</v>
      </c>
      <c r="I4">
        <v>1</v>
      </c>
      <c r="J4">
        <v>18</v>
      </c>
      <c r="K4">
        <v>18</v>
      </c>
      <c r="L4">
        <v>2</v>
      </c>
      <c r="M4">
        <v>2</v>
      </c>
      <c r="N4">
        <v>0</v>
      </c>
      <c r="O4">
        <v>1</v>
      </c>
      <c r="P4">
        <v>0.19047619047619049</v>
      </c>
      <c r="Q4" t="s">
        <v>22</v>
      </c>
      <c r="R4">
        <v>5.5555555555555552E-2</v>
      </c>
    </row>
    <row r="5" spans="1:18" x14ac:dyDescent="0.3">
      <c r="A5" t="s">
        <v>18</v>
      </c>
      <c r="B5">
        <v>1</v>
      </c>
      <c r="C5" t="s">
        <v>19</v>
      </c>
      <c r="D5" t="s">
        <v>20</v>
      </c>
      <c r="E5" t="s">
        <v>25</v>
      </c>
      <c r="F5">
        <v>3</v>
      </c>
      <c r="G5">
        <v>1</v>
      </c>
      <c r="H5">
        <v>39</v>
      </c>
      <c r="I5">
        <v>0</v>
      </c>
      <c r="J5">
        <v>16</v>
      </c>
      <c r="K5">
        <v>17</v>
      </c>
      <c r="L5">
        <v>2</v>
      </c>
      <c r="M5">
        <v>2</v>
      </c>
      <c r="N5">
        <v>0</v>
      </c>
      <c r="O5">
        <v>1</v>
      </c>
      <c r="P5">
        <v>7.6923076923076927E-2</v>
      </c>
      <c r="Q5" t="s">
        <v>22</v>
      </c>
      <c r="R5">
        <v>0</v>
      </c>
    </row>
    <row r="6" spans="1:18" x14ac:dyDescent="0.3">
      <c r="A6" t="s">
        <v>18</v>
      </c>
      <c r="B6">
        <v>1</v>
      </c>
      <c r="C6" t="s">
        <v>26</v>
      </c>
      <c r="D6" t="s">
        <v>27</v>
      </c>
      <c r="E6" t="s">
        <v>21</v>
      </c>
      <c r="F6">
        <v>2</v>
      </c>
      <c r="G6">
        <v>1</v>
      </c>
      <c r="H6">
        <v>42</v>
      </c>
      <c r="I6">
        <v>0</v>
      </c>
      <c r="J6">
        <v>15</v>
      </c>
      <c r="K6">
        <v>18</v>
      </c>
      <c r="L6">
        <v>4</v>
      </c>
      <c r="M6">
        <v>4</v>
      </c>
      <c r="N6">
        <v>0</v>
      </c>
      <c r="O6">
        <v>1</v>
      </c>
      <c r="P6">
        <v>4.7619047619047623E-2</v>
      </c>
      <c r="Q6" t="s">
        <v>22</v>
      </c>
      <c r="R6">
        <v>0</v>
      </c>
    </row>
    <row r="7" spans="1:18" x14ac:dyDescent="0.3">
      <c r="A7" t="s">
        <v>18</v>
      </c>
      <c r="B7">
        <v>1</v>
      </c>
      <c r="C7" t="s">
        <v>26</v>
      </c>
      <c r="D7" t="s">
        <v>27</v>
      </c>
      <c r="E7" t="s">
        <v>23</v>
      </c>
      <c r="F7">
        <v>3</v>
      </c>
      <c r="G7">
        <v>1</v>
      </c>
      <c r="H7">
        <v>42</v>
      </c>
      <c r="I7">
        <v>0</v>
      </c>
      <c r="J7">
        <v>18</v>
      </c>
      <c r="K7">
        <v>18</v>
      </c>
      <c r="L7">
        <v>4</v>
      </c>
      <c r="M7">
        <v>4</v>
      </c>
      <c r="N7">
        <v>0</v>
      </c>
      <c r="O7">
        <v>1</v>
      </c>
      <c r="P7">
        <v>7.1428571428571425E-2</v>
      </c>
      <c r="Q7" t="s">
        <v>22</v>
      </c>
      <c r="R7">
        <v>0</v>
      </c>
    </row>
    <row r="8" spans="1:18" x14ac:dyDescent="0.3">
      <c r="A8" t="s">
        <v>18</v>
      </c>
      <c r="B8">
        <v>1</v>
      </c>
      <c r="C8" t="s">
        <v>26</v>
      </c>
      <c r="D8" t="s">
        <v>27</v>
      </c>
      <c r="E8" t="s">
        <v>24</v>
      </c>
      <c r="F8">
        <v>5</v>
      </c>
      <c r="G8">
        <v>2</v>
      </c>
      <c r="H8">
        <v>42</v>
      </c>
      <c r="I8">
        <v>1</v>
      </c>
      <c r="J8">
        <v>17</v>
      </c>
      <c r="K8">
        <v>18</v>
      </c>
      <c r="L8">
        <v>4</v>
      </c>
      <c r="M8">
        <v>4</v>
      </c>
      <c r="N8">
        <v>0</v>
      </c>
      <c r="O8">
        <v>1</v>
      </c>
      <c r="P8">
        <v>0.119047619047619</v>
      </c>
      <c r="Q8" t="s">
        <v>22</v>
      </c>
      <c r="R8">
        <v>5.8823529411764712E-2</v>
      </c>
    </row>
    <row r="9" spans="1:18" x14ac:dyDescent="0.3">
      <c r="A9" t="s">
        <v>18</v>
      </c>
      <c r="B9">
        <v>1</v>
      </c>
      <c r="C9" t="s">
        <v>26</v>
      </c>
      <c r="D9" t="s">
        <v>27</v>
      </c>
      <c r="E9" t="s">
        <v>25</v>
      </c>
      <c r="F9">
        <v>2</v>
      </c>
      <c r="G9">
        <v>1</v>
      </c>
      <c r="H9">
        <v>39</v>
      </c>
      <c r="I9">
        <v>0</v>
      </c>
      <c r="J9">
        <v>14</v>
      </c>
      <c r="K9">
        <v>17</v>
      </c>
      <c r="L9">
        <v>4</v>
      </c>
      <c r="M9">
        <v>4</v>
      </c>
      <c r="N9">
        <v>0</v>
      </c>
      <c r="O9">
        <v>1</v>
      </c>
      <c r="P9">
        <v>5.128205128205128E-2</v>
      </c>
      <c r="Q9" t="s">
        <v>22</v>
      </c>
      <c r="R9">
        <v>0</v>
      </c>
    </row>
    <row r="10" spans="1:18" x14ac:dyDescent="0.3">
      <c r="A10" t="s">
        <v>18</v>
      </c>
      <c r="B10">
        <v>1</v>
      </c>
      <c r="C10" t="s">
        <v>28</v>
      </c>
      <c r="D10" t="s">
        <v>29</v>
      </c>
      <c r="E10" t="s">
        <v>21</v>
      </c>
      <c r="F10">
        <v>5</v>
      </c>
      <c r="G10">
        <v>2</v>
      </c>
      <c r="H10">
        <v>42</v>
      </c>
      <c r="I10">
        <v>0</v>
      </c>
      <c r="J10">
        <v>16</v>
      </c>
      <c r="K10">
        <v>18</v>
      </c>
      <c r="L10">
        <v>1</v>
      </c>
      <c r="M10">
        <v>1</v>
      </c>
      <c r="N10">
        <v>0</v>
      </c>
      <c r="O10">
        <v>1</v>
      </c>
      <c r="P10">
        <v>0.119047619047619</v>
      </c>
      <c r="Q10" t="s">
        <v>22</v>
      </c>
      <c r="R10">
        <v>0</v>
      </c>
    </row>
    <row r="11" spans="1:18" x14ac:dyDescent="0.3">
      <c r="A11" t="s">
        <v>18</v>
      </c>
      <c r="B11">
        <v>1</v>
      </c>
      <c r="C11" t="s">
        <v>28</v>
      </c>
      <c r="D11" t="s">
        <v>29</v>
      </c>
      <c r="E11" t="s">
        <v>23</v>
      </c>
      <c r="F11">
        <v>8</v>
      </c>
      <c r="G11">
        <v>3</v>
      </c>
      <c r="H11">
        <v>42</v>
      </c>
      <c r="I11">
        <v>0</v>
      </c>
      <c r="J11">
        <v>18</v>
      </c>
      <c r="K11">
        <v>18</v>
      </c>
      <c r="L11">
        <v>1</v>
      </c>
      <c r="M11">
        <v>1</v>
      </c>
      <c r="N11">
        <v>0</v>
      </c>
      <c r="O11">
        <v>1</v>
      </c>
      <c r="P11">
        <v>0.19047619047619049</v>
      </c>
      <c r="Q11" t="s">
        <v>22</v>
      </c>
      <c r="R11">
        <v>0</v>
      </c>
    </row>
    <row r="12" spans="1:18" x14ac:dyDescent="0.3">
      <c r="A12" t="s">
        <v>18</v>
      </c>
      <c r="B12">
        <v>1</v>
      </c>
      <c r="C12" t="s">
        <v>28</v>
      </c>
      <c r="D12" t="s">
        <v>29</v>
      </c>
      <c r="E12" t="s">
        <v>24</v>
      </c>
      <c r="F12">
        <v>5</v>
      </c>
      <c r="G12">
        <v>2</v>
      </c>
      <c r="H12">
        <v>42</v>
      </c>
      <c r="I12">
        <v>0</v>
      </c>
      <c r="J12">
        <v>17</v>
      </c>
      <c r="K12">
        <v>18</v>
      </c>
      <c r="L12">
        <v>1</v>
      </c>
      <c r="M12">
        <v>1</v>
      </c>
      <c r="N12">
        <v>0</v>
      </c>
      <c r="O12">
        <v>1</v>
      </c>
      <c r="P12">
        <v>0.119047619047619</v>
      </c>
      <c r="Q12" t="s">
        <v>22</v>
      </c>
      <c r="R12">
        <v>0</v>
      </c>
    </row>
    <row r="13" spans="1:18" x14ac:dyDescent="0.3">
      <c r="A13" t="s">
        <v>18</v>
      </c>
      <c r="B13">
        <v>1</v>
      </c>
      <c r="C13" t="s">
        <v>28</v>
      </c>
      <c r="D13" t="s">
        <v>29</v>
      </c>
      <c r="E13" t="s">
        <v>25</v>
      </c>
      <c r="F13">
        <v>0</v>
      </c>
      <c r="G13">
        <v>0</v>
      </c>
      <c r="H13">
        <v>39</v>
      </c>
      <c r="I13">
        <v>0</v>
      </c>
      <c r="J13">
        <v>15</v>
      </c>
      <c r="K13">
        <v>17</v>
      </c>
      <c r="L13">
        <v>1</v>
      </c>
      <c r="M13">
        <v>1</v>
      </c>
      <c r="N13">
        <v>0</v>
      </c>
      <c r="O13">
        <v>1</v>
      </c>
      <c r="P13">
        <v>0</v>
      </c>
      <c r="Q13" t="s">
        <v>22</v>
      </c>
      <c r="R13">
        <v>0</v>
      </c>
    </row>
    <row r="14" spans="1:18" x14ac:dyDescent="0.3">
      <c r="A14" t="s">
        <v>18</v>
      </c>
      <c r="B14">
        <v>1</v>
      </c>
      <c r="C14" t="s">
        <v>30</v>
      </c>
      <c r="D14" t="s">
        <v>31</v>
      </c>
      <c r="E14" t="s">
        <v>21</v>
      </c>
      <c r="F14">
        <v>4</v>
      </c>
      <c r="G14">
        <v>2</v>
      </c>
      <c r="H14">
        <v>42</v>
      </c>
      <c r="I14">
        <v>0</v>
      </c>
      <c r="J14">
        <v>17</v>
      </c>
      <c r="K14">
        <v>18</v>
      </c>
      <c r="L14">
        <v>2</v>
      </c>
      <c r="M14">
        <v>2</v>
      </c>
      <c r="N14">
        <v>0</v>
      </c>
      <c r="O14">
        <v>1</v>
      </c>
      <c r="P14">
        <v>9.5238095238095233E-2</v>
      </c>
      <c r="Q14" t="s">
        <v>22</v>
      </c>
      <c r="R14">
        <v>0</v>
      </c>
    </row>
    <row r="15" spans="1:18" x14ac:dyDescent="0.3">
      <c r="A15" t="s">
        <v>18</v>
      </c>
      <c r="B15">
        <v>1</v>
      </c>
      <c r="C15" t="s">
        <v>30</v>
      </c>
      <c r="D15" t="s">
        <v>31</v>
      </c>
      <c r="E15" t="s">
        <v>23</v>
      </c>
      <c r="F15">
        <v>5</v>
      </c>
      <c r="G15">
        <v>2</v>
      </c>
      <c r="H15">
        <v>42</v>
      </c>
      <c r="I15">
        <v>0</v>
      </c>
      <c r="J15">
        <v>17</v>
      </c>
      <c r="K15">
        <v>18</v>
      </c>
      <c r="L15">
        <v>2</v>
      </c>
      <c r="M15">
        <v>2</v>
      </c>
      <c r="N15">
        <v>0</v>
      </c>
      <c r="O15">
        <v>1</v>
      </c>
      <c r="P15">
        <v>0.119047619047619</v>
      </c>
      <c r="Q15" t="s">
        <v>22</v>
      </c>
      <c r="R15">
        <v>0</v>
      </c>
    </row>
    <row r="16" spans="1:18" x14ac:dyDescent="0.3">
      <c r="A16" t="s">
        <v>18</v>
      </c>
      <c r="B16">
        <v>1</v>
      </c>
      <c r="C16" t="s">
        <v>30</v>
      </c>
      <c r="D16" t="s">
        <v>31</v>
      </c>
      <c r="E16" t="s">
        <v>24</v>
      </c>
      <c r="F16">
        <v>0</v>
      </c>
      <c r="G16">
        <v>0</v>
      </c>
      <c r="H16">
        <v>42</v>
      </c>
      <c r="I16">
        <v>0</v>
      </c>
      <c r="J16">
        <v>17</v>
      </c>
      <c r="K16">
        <v>18</v>
      </c>
      <c r="L16">
        <v>2</v>
      </c>
      <c r="M16">
        <v>2</v>
      </c>
      <c r="N16">
        <v>0</v>
      </c>
      <c r="O16">
        <v>1</v>
      </c>
      <c r="P16">
        <v>0</v>
      </c>
      <c r="Q16" t="s">
        <v>22</v>
      </c>
      <c r="R16">
        <v>0</v>
      </c>
    </row>
    <row r="17" spans="1:18" x14ac:dyDescent="0.3">
      <c r="A17" t="s">
        <v>18</v>
      </c>
      <c r="B17">
        <v>1</v>
      </c>
      <c r="C17" t="s">
        <v>30</v>
      </c>
      <c r="D17" t="s">
        <v>31</v>
      </c>
      <c r="E17" t="s">
        <v>25</v>
      </c>
      <c r="F17">
        <v>2</v>
      </c>
      <c r="G17">
        <v>1</v>
      </c>
      <c r="H17">
        <v>39</v>
      </c>
      <c r="I17">
        <v>0</v>
      </c>
      <c r="J17">
        <v>15</v>
      </c>
      <c r="K17">
        <v>17</v>
      </c>
      <c r="L17">
        <v>2</v>
      </c>
      <c r="M17">
        <v>2</v>
      </c>
      <c r="N17">
        <v>0</v>
      </c>
      <c r="O17">
        <v>1</v>
      </c>
      <c r="P17">
        <v>5.128205128205128E-2</v>
      </c>
      <c r="Q17" t="s">
        <v>22</v>
      </c>
      <c r="R17">
        <v>0</v>
      </c>
    </row>
    <row r="18" spans="1:18" x14ac:dyDescent="0.3">
      <c r="A18" t="s">
        <v>18</v>
      </c>
      <c r="B18">
        <v>1</v>
      </c>
      <c r="C18" t="s">
        <v>32</v>
      </c>
      <c r="D18" t="s">
        <v>33</v>
      </c>
      <c r="E18" t="s">
        <v>21</v>
      </c>
      <c r="F18">
        <v>5</v>
      </c>
      <c r="G18">
        <v>2</v>
      </c>
      <c r="H18">
        <v>42</v>
      </c>
      <c r="I18">
        <v>0</v>
      </c>
      <c r="J18">
        <v>18</v>
      </c>
      <c r="K18">
        <v>18</v>
      </c>
      <c r="L18">
        <v>2</v>
      </c>
      <c r="M18">
        <v>2</v>
      </c>
      <c r="N18">
        <v>0</v>
      </c>
      <c r="O18">
        <v>1</v>
      </c>
      <c r="P18">
        <v>0.119047619047619</v>
      </c>
      <c r="Q18" t="s">
        <v>22</v>
      </c>
      <c r="R18">
        <v>0</v>
      </c>
    </row>
    <row r="19" spans="1:18" x14ac:dyDescent="0.3">
      <c r="A19" t="s">
        <v>18</v>
      </c>
      <c r="B19">
        <v>1</v>
      </c>
      <c r="C19" t="s">
        <v>32</v>
      </c>
      <c r="D19" t="s">
        <v>33</v>
      </c>
      <c r="E19" t="s">
        <v>23</v>
      </c>
      <c r="F19">
        <v>5</v>
      </c>
      <c r="G19">
        <v>2</v>
      </c>
      <c r="H19">
        <v>42</v>
      </c>
      <c r="I19">
        <v>0</v>
      </c>
      <c r="J19">
        <v>17</v>
      </c>
      <c r="K19">
        <v>18</v>
      </c>
      <c r="L19">
        <v>2</v>
      </c>
      <c r="M19">
        <v>2</v>
      </c>
      <c r="N19">
        <v>0</v>
      </c>
      <c r="O19">
        <v>1</v>
      </c>
      <c r="P19">
        <v>0.119047619047619</v>
      </c>
      <c r="Q19" t="s">
        <v>22</v>
      </c>
      <c r="R19">
        <v>0</v>
      </c>
    </row>
    <row r="20" spans="1:18" x14ac:dyDescent="0.3">
      <c r="A20" t="s">
        <v>18</v>
      </c>
      <c r="B20">
        <v>1</v>
      </c>
      <c r="C20" t="s">
        <v>32</v>
      </c>
      <c r="D20" t="s">
        <v>33</v>
      </c>
      <c r="E20" t="s">
        <v>24</v>
      </c>
      <c r="F20">
        <v>5</v>
      </c>
      <c r="G20">
        <v>2</v>
      </c>
      <c r="H20">
        <v>42</v>
      </c>
      <c r="I20">
        <v>0</v>
      </c>
      <c r="J20">
        <v>17</v>
      </c>
      <c r="K20">
        <v>18</v>
      </c>
      <c r="L20">
        <v>2</v>
      </c>
      <c r="M20">
        <v>2</v>
      </c>
      <c r="N20">
        <v>0</v>
      </c>
      <c r="O20">
        <v>1</v>
      </c>
      <c r="P20">
        <v>0.119047619047619</v>
      </c>
      <c r="Q20" t="s">
        <v>22</v>
      </c>
      <c r="R20">
        <v>0</v>
      </c>
    </row>
    <row r="21" spans="1:18" x14ac:dyDescent="0.3">
      <c r="A21" t="s">
        <v>18</v>
      </c>
      <c r="B21">
        <v>1</v>
      </c>
      <c r="C21" t="s">
        <v>32</v>
      </c>
      <c r="D21" t="s">
        <v>33</v>
      </c>
      <c r="E21" t="s">
        <v>25</v>
      </c>
      <c r="F21">
        <v>2</v>
      </c>
      <c r="G21">
        <v>1</v>
      </c>
      <c r="H21">
        <v>39</v>
      </c>
      <c r="I21">
        <v>0</v>
      </c>
      <c r="J21">
        <v>15</v>
      </c>
      <c r="K21">
        <v>17</v>
      </c>
      <c r="L21">
        <v>2</v>
      </c>
      <c r="M21">
        <v>2</v>
      </c>
      <c r="N21">
        <v>0</v>
      </c>
      <c r="O21">
        <v>1</v>
      </c>
      <c r="P21">
        <v>5.128205128205128E-2</v>
      </c>
      <c r="Q21" t="s">
        <v>22</v>
      </c>
      <c r="R21">
        <v>0</v>
      </c>
    </row>
    <row r="22" spans="1:18" x14ac:dyDescent="0.3">
      <c r="A22" t="s">
        <v>18</v>
      </c>
      <c r="B22">
        <v>1</v>
      </c>
      <c r="C22" t="s">
        <v>34</v>
      </c>
      <c r="D22" t="s">
        <v>35</v>
      </c>
      <c r="E22" t="s">
        <v>21</v>
      </c>
      <c r="F22">
        <v>3</v>
      </c>
      <c r="G22">
        <v>1</v>
      </c>
      <c r="H22">
        <v>42</v>
      </c>
      <c r="I22">
        <v>0</v>
      </c>
      <c r="J22">
        <v>15</v>
      </c>
      <c r="K22">
        <v>18</v>
      </c>
      <c r="L22">
        <v>2</v>
      </c>
      <c r="M22">
        <v>2</v>
      </c>
      <c r="N22">
        <v>0</v>
      </c>
      <c r="O22">
        <v>1</v>
      </c>
      <c r="P22">
        <v>7.1428571428571425E-2</v>
      </c>
      <c r="Q22" t="s">
        <v>22</v>
      </c>
      <c r="R22">
        <v>0</v>
      </c>
    </row>
    <row r="23" spans="1:18" x14ac:dyDescent="0.3">
      <c r="A23" t="s">
        <v>18</v>
      </c>
      <c r="B23">
        <v>1</v>
      </c>
      <c r="C23" t="s">
        <v>34</v>
      </c>
      <c r="D23" t="s">
        <v>35</v>
      </c>
      <c r="E23" t="s">
        <v>23</v>
      </c>
      <c r="F23">
        <v>0</v>
      </c>
      <c r="G23">
        <v>0</v>
      </c>
      <c r="H23">
        <v>42</v>
      </c>
      <c r="I23">
        <v>0</v>
      </c>
      <c r="J23">
        <v>17</v>
      </c>
      <c r="K23">
        <v>18</v>
      </c>
      <c r="L23">
        <v>2</v>
      </c>
      <c r="M23">
        <v>2</v>
      </c>
      <c r="N23">
        <v>0</v>
      </c>
      <c r="O23">
        <v>1</v>
      </c>
      <c r="P23">
        <v>0</v>
      </c>
      <c r="Q23" t="s">
        <v>22</v>
      </c>
      <c r="R23">
        <v>0</v>
      </c>
    </row>
    <row r="24" spans="1:18" x14ac:dyDescent="0.3">
      <c r="A24" t="s">
        <v>18</v>
      </c>
      <c r="B24">
        <v>1</v>
      </c>
      <c r="C24" t="s">
        <v>34</v>
      </c>
      <c r="D24" t="s">
        <v>35</v>
      </c>
      <c r="E24" t="s">
        <v>24</v>
      </c>
      <c r="F24">
        <v>2</v>
      </c>
      <c r="G24">
        <v>1</v>
      </c>
      <c r="H24">
        <v>42</v>
      </c>
      <c r="I24">
        <v>2</v>
      </c>
      <c r="J24">
        <v>17</v>
      </c>
      <c r="K24">
        <v>18</v>
      </c>
      <c r="L24">
        <v>2</v>
      </c>
      <c r="M24">
        <v>2</v>
      </c>
      <c r="N24">
        <v>0</v>
      </c>
      <c r="O24">
        <v>1</v>
      </c>
      <c r="P24">
        <v>4.7619047619047623E-2</v>
      </c>
      <c r="Q24" t="s">
        <v>22</v>
      </c>
      <c r="R24">
        <v>0.1176470588235294</v>
      </c>
    </row>
    <row r="25" spans="1:18" x14ac:dyDescent="0.3">
      <c r="A25" t="s">
        <v>18</v>
      </c>
      <c r="B25">
        <v>1</v>
      </c>
      <c r="C25" t="s">
        <v>34</v>
      </c>
      <c r="D25" t="s">
        <v>35</v>
      </c>
      <c r="E25" t="s">
        <v>25</v>
      </c>
      <c r="F25">
        <v>2</v>
      </c>
      <c r="G25">
        <v>1</v>
      </c>
      <c r="H25">
        <v>39</v>
      </c>
      <c r="I25">
        <v>0</v>
      </c>
      <c r="J25">
        <v>14</v>
      </c>
      <c r="K25">
        <v>17</v>
      </c>
      <c r="L25">
        <v>2</v>
      </c>
      <c r="M25">
        <v>2</v>
      </c>
      <c r="N25">
        <v>0</v>
      </c>
      <c r="O25">
        <v>1</v>
      </c>
      <c r="P25">
        <v>5.128205128205128E-2</v>
      </c>
      <c r="Q25" t="s">
        <v>22</v>
      </c>
      <c r="R25">
        <v>0</v>
      </c>
    </row>
    <row r="26" spans="1:18" x14ac:dyDescent="0.3">
      <c r="A26" t="s">
        <v>18</v>
      </c>
      <c r="B26">
        <v>1</v>
      </c>
      <c r="C26" t="s">
        <v>36</v>
      </c>
      <c r="D26" t="s">
        <v>37</v>
      </c>
      <c r="E26" t="s">
        <v>21</v>
      </c>
      <c r="F26">
        <v>5</v>
      </c>
      <c r="G26">
        <v>2</v>
      </c>
      <c r="H26">
        <v>42</v>
      </c>
      <c r="I26">
        <v>0</v>
      </c>
      <c r="J26">
        <v>16</v>
      </c>
      <c r="K26">
        <v>18</v>
      </c>
      <c r="L26">
        <v>2</v>
      </c>
      <c r="M26">
        <v>2</v>
      </c>
      <c r="N26">
        <v>0</v>
      </c>
      <c r="O26">
        <v>1</v>
      </c>
      <c r="P26">
        <v>0.119047619047619</v>
      </c>
      <c r="Q26" t="s">
        <v>22</v>
      </c>
      <c r="R26">
        <v>0</v>
      </c>
    </row>
    <row r="27" spans="1:18" x14ac:dyDescent="0.3">
      <c r="A27" t="s">
        <v>18</v>
      </c>
      <c r="B27">
        <v>1</v>
      </c>
      <c r="C27" t="s">
        <v>36</v>
      </c>
      <c r="D27" t="s">
        <v>37</v>
      </c>
      <c r="E27" t="s">
        <v>23</v>
      </c>
      <c r="F27">
        <v>3</v>
      </c>
      <c r="G27">
        <v>1</v>
      </c>
      <c r="H27">
        <v>42</v>
      </c>
      <c r="I27">
        <v>1</v>
      </c>
      <c r="J27">
        <v>16</v>
      </c>
      <c r="K27">
        <v>18</v>
      </c>
      <c r="L27">
        <v>2</v>
      </c>
      <c r="M27">
        <v>2</v>
      </c>
      <c r="N27">
        <v>0</v>
      </c>
      <c r="O27">
        <v>1</v>
      </c>
      <c r="P27">
        <v>7.1428571428571425E-2</v>
      </c>
      <c r="Q27" t="s">
        <v>22</v>
      </c>
      <c r="R27">
        <v>6.25E-2</v>
      </c>
    </row>
    <row r="28" spans="1:18" x14ac:dyDescent="0.3">
      <c r="A28" t="s">
        <v>18</v>
      </c>
      <c r="B28">
        <v>1</v>
      </c>
      <c r="C28" t="s">
        <v>36</v>
      </c>
      <c r="D28" t="s">
        <v>37</v>
      </c>
      <c r="E28" t="s">
        <v>24</v>
      </c>
      <c r="F28">
        <v>5</v>
      </c>
      <c r="G28">
        <v>2</v>
      </c>
      <c r="H28">
        <v>42</v>
      </c>
      <c r="I28">
        <v>0</v>
      </c>
      <c r="J28">
        <v>17</v>
      </c>
      <c r="K28">
        <v>18</v>
      </c>
      <c r="L28">
        <v>2</v>
      </c>
      <c r="M28">
        <v>2</v>
      </c>
      <c r="N28">
        <v>0</v>
      </c>
      <c r="O28">
        <v>1</v>
      </c>
      <c r="P28">
        <v>0.119047619047619</v>
      </c>
      <c r="Q28" t="s">
        <v>22</v>
      </c>
      <c r="R28">
        <v>0</v>
      </c>
    </row>
    <row r="29" spans="1:18" x14ac:dyDescent="0.3">
      <c r="A29" t="s">
        <v>18</v>
      </c>
      <c r="B29">
        <v>1</v>
      </c>
      <c r="C29" t="s">
        <v>36</v>
      </c>
      <c r="D29" t="s">
        <v>37</v>
      </c>
      <c r="E29" t="s">
        <v>25</v>
      </c>
      <c r="F29">
        <v>2</v>
      </c>
      <c r="G29">
        <v>1</v>
      </c>
      <c r="H29">
        <v>39</v>
      </c>
      <c r="I29">
        <v>0</v>
      </c>
      <c r="J29">
        <v>14</v>
      </c>
      <c r="K29">
        <v>17</v>
      </c>
      <c r="L29">
        <v>2</v>
      </c>
      <c r="M29">
        <v>2</v>
      </c>
      <c r="N29">
        <v>0</v>
      </c>
      <c r="O29">
        <v>1</v>
      </c>
      <c r="P29">
        <v>5.128205128205128E-2</v>
      </c>
      <c r="Q29" t="s">
        <v>22</v>
      </c>
      <c r="R29">
        <v>0</v>
      </c>
    </row>
    <row r="30" spans="1:18" x14ac:dyDescent="0.3">
      <c r="A30" t="s">
        <v>18</v>
      </c>
      <c r="B30">
        <v>1</v>
      </c>
      <c r="C30" t="s">
        <v>38</v>
      </c>
      <c r="D30" t="s">
        <v>39</v>
      </c>
      <c r="E30" t="s">
        <v>21</v>
      </c>
      <c r="F30">
        <v>5</v>
      </c>
      <c r="G30">
        <v>2</v>
      </c>
      <c r="H30">
        <v>42</v>
      </c>
      <c r="I30">
        <v>0</v>
      </c>
      <c r="J30">
        <v>16</v>
      </c>
      <c r="K30">
        <v>18</v>
      </c>
      <c r="L30">
        <v>2</v>
      </c>
      <c r="M30">
        <v>2</v>
      </c>
      <c r="N30">
        <v>0</v>
      </c>
      <c r="O30">
        <v>1</v>
      </c>
      <c r="P30">
        <v>0.119047619047619</v>
      </c>
      <c r="Q30" t="s">
        <v>22</v>
      </c>
      <c r="R30">
        <v>0</v>
      </c>
    </row>
    <row r="31" spans="1:18" x14ac:dyDescent="0.3">
      <c r="A31" t="s">
        <v>18</v>
      </c>
      <c r="B31">
        <v>1</v>
      </c>
      <c r="C31" t="s">
        <v>38</v>
      </c>
      <c r="D31" t="s">
        <v>39</v>
      </c>
      <c r="E31" t="s">
        <v>23</v>
      </c>
      <c r="F31">
        <v>7</v>
      </c>
      <c r="G31">
        <v>3</v>
      </c>
      <c r="H31">
        <v>42</v>
      </c>
      <c r="I31">
        <v>0</v>
      </c>
      <c r="J31">
        <v>17</v>
      </c>
      <c r="K31">
        <v>18</v>
      </c>
      <c r="L31">
        <v>2</v>
      </c>
      <c r="M31">
        <v>1</v>
      </c>
      <c r="N31">
        <v>1</v>
      </c>
      <c r="O31">
        <v>0.5</v>
      </c>
      <c r="P31">
        <v>0.16666666666666671</v>
      </c>
      <c r="Q31" t="s">
        <v>22</v>
      </c>
      <c r="R31">
        <v>0</v>
      </c>
    </row>
    <row r="32" spans="1:18" x14ac:dyDescent="0.3">
      <c r="A32" t="s">
        <v>18</v>
      </c>
      <c r="B32">
        <v>1</v>
      </c>
      <c r="C32" t="s">
        <v>38</v>
      </c>
      <c r="D32" t="s">
        <v>39</v>
      </c>
      <c r="E32" t="s">
        <v>24</v>
      </c>
      <c r="F32">
        <v>5</v>
      </c>
      <c r="G32">
        <v>2</v>
      </c>
      <c r="H32">
        <v>42</v>
      </c>
      <c r="I32">
        <v>0</v>
      </c>
      <c r="J32">
        <v>16</v>
      </c>
      <c r="K32">
        <v>18</v>
      </c>
      <c r="L32">
        <v>2</v>
      </c>
      <c r="M32">
        <v>2</v>
      </c>
      <c r="N32">
        <v>0</v>
      </c>
      <c r="O32">
        <v>1</v>
      </c>
      <c r="P32">
        <v>0.119047619047619</v>
      </c>
      <c r="Q32" t="s">
        <v>22</v>
      </c>
      <c r="R32">
        <v>0</v>
      </c>
    </row>
    <row r="33" spans="1:18" x14ac:dyDescent="0.3">
      <c r="A33" t="s">
        <v>18</v>
      </c>
      <c r="B33">
        <v>1</v>
      </c>
      <c r="C33" t="s">
        <v>38</v>
      </c>
      <c r="D33" t="s">
        <v>39</v>
      </c>
      <c r="E33" t="s">
        <v>25</v>
      </c>
      <c r="F33">
        <v>2</v>
      </c>
      <c r="G33">
        <v>1</v>
      </c>
      <c r="H33">
        <v>39</v>
      </c>
      <c r="I33">
        <v>1</v>
      </c>
      <c r="J33">
        <v>14</v>
      </c>
      <c r="K33">
        <v>17</v>
      </c>
      <c r="L33">
        <v>2</v>
      </c>
      <c r="M33">
        <v>2</v>
      </c>
      <c r="N33">
        <v>0</v>
      </c>
      <c r="O33">
        <v>1</v>
      </c>
      <c r="P33">
        <v>5.128205128205128E-2</v>
      </c>
      <c r="Q33" t="s">
        <v>22</v>
      </c>
      <c r="R33">
        <v>7.1428571428571425E-2</v>
      </c>
    </row>
    <row r="34" spans="1:18" x14ac:dyDescent="0.3">
      <c r="A34" t="s">
        <v>18</v>
      </c>
      <c r="B34">
        <v>1</v>
      </c>
      <c r="C34" t="s">
        <v>40</v>
      </c>
      <c r="D34" t="s">
        <v>41</v>
      </c>
      <c r="E34" t="s">
        <v>21</v>
      </c>
      <c r="F34">
        <v>5</v>
      </c>
      <c r="G34">
        <v>2</v>
      </c>
      <c r="H34">
        <v>42</v>
      </c>
      <c r="I34">
        <v>0</v>
      </c>
      <c r="J34">
        <v>15</v>
      </c>
      <c r="K34">
        <v>18</v>
      </c>
      <c r="L34">
        <v>3</v>
      </c>
      <c r="M34">
        <v>3</v>
      </c>
      <c r="N34">
        <v>0</v>
      </c>
      <c r="O34">
        <v>1</v>
      </c>
      <c r="P34">
        <v>0.119047619047619</v>
      </c>
      <c r="Q34" t="s">
        <v>22</v>
      </c>
      <c r="R34">
        <v>0</v>
      </c>
    </row>
    <row r="35" spans="1:18" x14ac:dyDescent="0.3">
      <c r="A35" t="s">
        <v>18</v>
      </c>
      <c r="B35">
        <v>1</v>
      </c>
      <c r="C35" t="s">
        <v>40</v>
      </c>
      <c r="D35" t="s">
        <v>41</v>
      </c>
      <c r="E35" t="s">
        <v>23</v>
      </c>
      <c r="F35">
        <v>13</v>
      </c>
      <c r="G35">
        <v>5</v>
      </c>
      <c r="H35">
        <v>42</v>
      </c>
      <c r="I35">
        <v>0</v>
      </c>
      <c r="J35">
        <v>17</v>
      </c>
      <c r="K35">
        <v>18</v>
      </c>
      <c r="L35">
        <v>3</v>
      </c>
      <c r="M35">
        <v>2</v>
      </c>
      <c r="N35">
        <v>1</v>
      </c>
      <c r="O35">
        <v>0.66666666666666663</v>
      </c>
      <c r="P35">
        <v>0.30952380952380948</v>
      </c>
      <c r="Q35" t="s">
        <v>42</v>
      </c>
      <c r="R35">
        <v>0</v>
      </c>
    </row>
    <row r="36" spans="1:18" x14ac:dyDescent="0.3">
      <c r="A36" t="s">
        <v>18</v>
      </c>
      <c r="B36">
        <v>1</v>
      </c>
      <c r="C36" t="s">
        <v>40</v>
      </c>
      <c r="D36" t="s">
        <v>41</v>
      </c>
      <c r="E36" t="s">
        <v>24</v>
      </c>
      <c r="F36">
        <v>11</v>
      </c>
      <c r="G36">
        <v>4</v>
      </c>
      <c r="H36">
        <v>42</v>
      </c>
      <c r="I36">
        <v>1</v>
      </c>
      <c r="J36">
        <v>18</v>
      </c>
      <c r="K36">
        <v>18</v>
      </c>
      <c r="L36">
        <v>3</v>
      </c>
      <c r="M36">
        <v>3</v>
      </c>
      <c r="N36">
        <v>0</v>
      </c>
      <c r="O36">
        <v>1</v>
      </c>
      <c r="P36">
        <v>0.26190476190476192</v>
      </c>
      <c r="Q36" t="s">
        <v>42</v>
      </c>
      <c r="R36">
        <v>5.5555555555555552E-2</v>
      </c>
    </row>
    <row r="37" spans="1:18" x14ac:dyDescent="0.3">
      <c r="A37" t="s">
        <v>18</v>
      </c>
      <c r="B37">
        <v>1</v>
      </c>
      <c r="C37" t="s">
        <v>40</v>
      </c>
      <c r="D37" t="s">
        <v>41</v>
      </c>
      <c r="E37" t="s">
        <v>25</v>
      </c>
      <c r="F37">
        <v>2</v>
      </c>
      <c r="G37">
        <v>1</v>
      </c>
      <c r="H37">
        <v>39</v>
      </c>
      <c r="I37">
        <v>0</v>
      </c>
      <c r="J37">
        <v>16</v>
      </c>
      <c r="K37">
        <v>17</v>
      </c>
      <c r="L37">
        <v>3</v>
      </c>
      <c r="M37">
        <v>3</v>
      </c>
      <c r="N37">
        <v>0</v>
      </c>
      <c r="O37">
        <v>1</v>
      </c>
      <c r="P37">
        <v>5.128205128205128E-2</v>
      </c>
      <c r="Q37" t="s">
        <v>22</v>
      </c>
      <c r="R37">
        <v>0</v>
      </c>
    </row>
    <row r="38" spans="1:18" x14ac:dyDescent="0.3">
      <c r="A38" t="s">
        <v>18</v>
      </c>
      <c r="B38">
        <v>1</v>
      </c>
      <c r="C38" t="s">
        <v>43</v>
      </c>
      <c r="D38" t="s">
        <v>44</v>
      </c>
      <c r="E38" t="s">
        <v>21</v>
      </c>
      <c r="F38">
        <v>8</v>
      </c>
      <c r="G38">
        <v>3</v>
      </c>
      <c r="H38">
        <v>42</v>
      </c>
      <c r="I38">
        <v>0</v>
      </c>
      <c r="J38">
        <v>18</v>
      </c>
      <c r="K38">
        <v>18</v>
      </c>
      <c r="L38">
        <v>2</v>
      </c>
      <c r="M38">
        <v>2</v>
      </c>
      <c r="N38">
        <v>0</v>
      </c>
      <c r="O38">
        <v>1</v>
      </c>
      <c r="P38">
        <v>0.19047619047619049</v>
      </c>
      <c r="Q38" t="s">
        <v>22</v>
      </c>
      <c r="R38">
        <v>0</v>
      </c>
    </row>
    <row r="39" spans="1:18" x14ac:dyDescent="0.3">
      <c r="A39" t="s">
        <v>18</v>
      </c>
      <c r="B39">
        <v>1</v>
      </c>
      <c r="C39" t="s">
        <v>43</v>
      </c>
      <c r="D39" t="s">
        <v>44</v>
      </c>
      <c r="E39" t="s">
        <v>23</v>
      </c>
      <c r="F39">
        <v>5</v>
      </c>
      <c r="G39">
        <v>2</v>
      </c>
      <c r="H39">
        <v>42</v>
      </c>
      <c r="I39">
        <v>0</v>
      </c>
      <c r="J39">
        <v>18</v>
      </c>
      <c r="K39">
        <v>18</v>
      </c>
      <c r="L39">
        <v>2</v>
      </c>
      <c r="M39">
        <v>1</v>
      </c>
      <c r="N39">
        <v>1</v>
      </c>
      <c r="O39">
        <v>0.5</v>
      </c>
      <c r="P39">
        <v>0.119047619047619</v>
      </c>
      <c r="Q39" t="s">
        <v>22</v>
      </c>
      <c r="R39">
        <v>0</v>
      </c>
    </row>
    <row r="40" spans="1:18" x14ac:dyDescent="0.3">
      <c r="A40" t="s">
        <v>18</v>
      </c>
      <c r="B40">
        <v>1</v>
      </c>
      <c r="C40" t="s">
        <v>43</v>
      </c>
      <c r="D40" t="s">
        <v>44</v>
      </c>
      <c r="E40" t="s">
        <v>24</v>
      </c>
      <c r="F40">
        <v>13</v>
      </c>
      <c r="G40">
        <v>6</v>
      </c>
      <c r="H40">
        <v>42</v>
      </c>
      <c r="I40">
        <v>2</v>
      </c>
      <c r="J40">
        <v>17</v>
      </c>
      <c r="K40">
        <v>18</v>
      </c>
      <c r="L40">
        <v>2</v>
      </c>
      <c r="M40">
        <v>2</v>
      </c>
      <c r="N40">
        <v>0</v>
      </c>
      <c r="O40">
        <v>1</v>
      </c>
      <c r="P40">
        <v>0.30952380952380948</v>
      </c>
      <c r="Q40" t="s">
        <v>42</v>
      </c>
      <c r="R40">
        <v>0.1176470588235294</v>
      </c>
    </row>
    <row r="41" spans="1:18" x14ac:dyDescent="0.3">
      <c r="A41" t="s">
        <v>18</v>
      </c>
      <c r="B41">
        <v>1</v>
      </c>
      <c r="C41" t="s">
        <v>43</v>
      </c>
      <c r="D41" t="s">
        <v>44</v>
      </c>
      <c r="E41" t="s">
        <v>25</v>
      </c>
      <c r="F41">
        <v>2</v>
      </c>
      <c r="G41">
        <v>1</v>
      </c>
      <c r="H41">
        <v>39</v>
      </c>
      <c r="I41">
        <v>0</v>
      </c>
      <c r="J41">
        <v>15</v>
      </c>
      <c r="K41">
        <v>17</v>
      </c>
      <c r="L41">
        <v>2</v>
      </c>
      <c r="M41">
        <v>2</v>
      </c>
      <c r="N41">
        <v>0</v>
      </c>
      <c r="O41">
        <v>1</v>
      </c>
      <c r="P41">
        <v>5.128205128205128E-2</v>
      </c>
      <c r="Q41" t="s">
        <v>22</v>
      </c>
      <c r="R41">
        <v>0</v>
      </c>
    </row>
    <row r="42" spans="1:18" x14ac:dyDescent="0.3">
      <c r="A42" t="s">
        <v>18</v>
      </c>
      <c r="B42">
        <v>1</v>
      </c>
      <c r="C42" t="s">
        <v>45</v>
      </c>
      <c r="D42" t="s">
        <v>46</v>
      </c>
      <c r="E42" t="s">
        <v>21</v>
      </c>
      <c r="F42">
        <v>2</v>
      </c>
      <c r="G42">
        <v>1</v>
      </c>
      <c r="H42">
        <v>42</v>
      </c>
      <c r="I42">
        <v>0</v>
      </c>
      <c r="J42">
        <v>16</v>
      </c>
      <c r="K42">
        <v>18</v>
      </c>
      <c r="L42">
        <v>2</v>
      </c>
      <c r="M42">
        <v>2</v>
      </c>
      <c r="N42">
        <v>0</v>
      </c>
      <c r="O42">
        <v>1</v>
      </c>
      <c r="P42">
        <v>4.7619047619047623E-2</v>
      </c>
      <c r="Q42" t="s">
        <v>22</v>
      </c>
      <c r="R42">
        <v>0</v>
      </c>
    </row>
    <row r="43" spans="1:18" x14ac:dyDescent="0.3">
      <c r="A43" t="s">
        <v>18</v>
      </c>
      <c r="B43">
        <v>1</v>
      </c>
      <c r="C43" t="s">
        <v>45</v>
      </c>
      <c r="D43" t="s">
        <v>46</v>
      </c>
      <c r="E43" t="s">
        <v>23</v>
      </c>
      <c r="F43">
        <v>2</v>
      </c>
      <c r="G43">
        <v>1</v>
      </c>
      <c r="H43">
        <v>42</v>
      </c>
      <c r="I43">
        <v>0</v>
      </c>
      <c r="J43">
        <v>16</v>
      </c>
      <c r="K43">
        <v>18</v>
      </c>
      <c r="L43">
        <v>2</v>
      </c>
      <c r="M43">
        <v>2</v>
      </c>
      <c r="N43">
        <v>0</v>
      </c>
      <c r="O43">
        <v>1</v>
      </c>
      <c r="P43">
        <v>4.7619047619047623E-2</v>
      </c>
      <c r="Q43" t="s">
        <v>22</v>
      </c>
      <c r="R43">
        <v>0</v>
      </c>
    </row>
    <row r="44" spans="1:18" x14ac:dyDescent="0.3">
      <c r="A44" t="s">
        <v>18</v>
      </c>
      <c r="B44">
        <v>1</v>
      </c>
      <c r="C44" t="s">
        <v>45</v>
      </c>
      <c r="D44" t="s">
        <v>46</v>
      </c>
      <c r="E44" t="s">
        <v>24</v>
      </c>
      <c r="F44">
        <v>2</v>
      </c>
      <c r="G44">
        <v>1</v>
      </c>
      <c r="H44">
        <v>42</v>
      </c>
      <c r="I44">
        <v>0</v>
      </c>
      <c r="J44">
        <v>13</v>
      </c>
      <c r="K44">
        <v>18</v>
      </c>
      <c r="L44">
        <v>2</v>
      </c>
      <c r="M44">
        <v>2</v>
      </c>
      <c r="N44">
        <v>0</v>
      </c>
      <c r="O44">
        <v>1</v>
      </c>
      <c r="P44">
        <v>4.7619047619047623E-2</v>
      </c>
      <c r="Q44" t="s">
        <v>22</v>
      </c>
      <c r="R44">
        <v>0</v>
      </c>
    </row>
    <row r="45" spans="1:18" x14ac:dyDescent="0.3">
      <c r="A45" t="s">
        <v>18</v>
      </c>
      <c r="B45">
        <v>1</v>
      </c>
      <c r="C45" t="s">
        <v>45</v>
      </c>
      <c r="D45" t="s">
        <v>46</v>
      </c>
      <c r="E45" t="s">
        <v>25</v>
      </c>
      <c r="F45">
        <v>2</v>
      </c>
      <c r="G45">
        <v>1</v>
      </c>
      <c r="H45">
        <v>39</v>
      </c>
      <c r="I45">
        <v>0</v>
      </c>
      <c r="J45">
        <v>14</v>
      </c>
      <c r="K45">
        <v>17</v>
      </c>
      <c r="L45">
        <v>2</v>
      </c>
      <c r="M45">
        <v>2</v>
      </c>
      <c r="N45">
        <v>0</v>
      </c>
      <c r="O45">
        <v>1</v>
      </c>
      <c r="P45">
        <v>5.128205128205128E-2</v>
      </c>
      <c r="Q45" t="s">
        <v>22</v>
      </c>
      <c r="R45">
        <v>0</v>
      </c>
    </row>
    <row r="46" spans="1:18" x14ac:dyDescent="0.3">
      <c r="A46" t="s">
        <v>18</v>
      </c>
      <c r="B46">
        <v>1</v>
      </c>
      <c r="C46" t="s">
        <v>47</v>
      </c>
      <c r="D46" t="s">
        <v>48</v>
      </c>
      <c r="E46" t="s">
        <v>21</v>
      </c>
      <c r="F46">
        <v>8</v>
      </c>
      <c r="G46">
        <v>3</v>
      </c>
      <c r="H46">
        <v>42</v>
      </c>
      <c r="I46">
        <v>0</v>
      </c>
      <c r="J46">
        <v>17</v>
      </c>
      <c r="K46">
        <v>18</v>
      </c>
      <c r="L46">
        <v>2</v>
      </c>
      <c r="M46">
        <v>2</v>
      </c>
      <c r="N46">
        <v>0</v>
      </c>
      <c r="O46">
        <v>1</v>
      </c>
      <c r="P46">
        <v>0.19047619047619049</v>
      </c>
      <c r="Q46" t="s">
        <v>22</v>
      </c>
      <c r="R46">
        <v>0</v>
      </c>
    </row>
    <row r="47" spans="1:18" x14ac:dyDescent="0.3">
      <c r="A47" t="s">
        <v>18</v>
      </c>
      <c r="B47">
        <v>1</v>
      </c>
      <c r="C47" t="s">
        <v>47</v>
      </c>
      <c r="D47" t="s">
        <v>48</v>
      </c>
      <c r="E47" t="s">
        <v>23</v>
      </c>
      <c r="F47">
        <v>5</v>
      </c>
      <c r="G47">
        <v>2</v>
      </c>
      <c r="H47">
        <v>42</v>
      </c>
      <c r="I47">
        <v>0</v>
      </c>
      <c r="J47">
        <v>18</v>
      </c>
      <c r="K47">
        <v>18</v>
      </c>
      <c r="L47">
        <v>2</v>
      </c>
      <c r="M47">
        <v>2</v>
      </c>
      <c r="N47">
        <v>0</v>
      </c>
      <c r="O47">
        <v>1</v>
      </c>
      <c r="P47">
        <v>0.119047619047619</v>
      </c>
      <c r="Q47" t="s">
        <v>22</v>
      </c>
      <c r="R47">
        <v>0</v>
      </c>
    </row>
    <row r="48" spans="1:18" x14ac:dyDescent="0.3">
      <c r="A48" t="s">
        <v>18</v>
      </c>
      <c r="B48">
        <v>1</v>
      </c>
      <c r="C48" t="s">
        <v>47</v>
      </c>
      <c r="D48" t="s">
        <v>48</v>
      </c>
      <c r="E48" t="s">
        <v>24</v>
      </c>
      <c r="F48">
        <v>5</v>
      </c>
      <c r="G48">
        <v>2</v>
      </c>
      <c r="H48">
        <v>42</v>
      </c>
      <c r="I48">
        <v>0</v>
      </c>
      <c r="J48">
        <v>17</v>
      </c>
      <c r="K48">
        <v>18</v>
      </c>
      <c r="L48">
        <v>2</v>
      </c>
      <c r="M48">
        <v>2</v>
      </c>
      <c r="N48">
        <v>0</v>
      </c>
      <c r="O48">
        <v>1</v>
      </c>
      <c r="P48">
        <v>0.119047619047619</v>
      </c>
      <c r="Q48" t="s">
        <v>22</v>
      </c>
      <c r="R48">
        <v>0</v>
      </c>
    </row>
    <row r="49" spans="1:18" x14ac:dyDescent="0.3">
      <c r="A49" t="s">
        <v>18</v>
      </c>
      <c r="B49">
        <v>1</v>
      </c>
      <c r="C49" t="s">
        <v>47</v>
      </c>
      <c r="D49" t="s">
        <v>48</v>
      </c>
      <c r="E49" t="s">
        <v>25</v>
      </c>
      <c r="F49">
        <v>2</v>
      </c>
      <c r="G49">
        <v>1</v>
      </c>
      <c r="H49">
        <v>39</v>
      </c>
      <c r="I49">
        <v>0</v>
      </c>
      <c r="J49">
        <v>15</v>
      </c>
      <c r="K49">
        <v>17</v>
      </c>
      <c r="L49">
        <v>2</v>
      </c>
      <c r="M49">
        <v>2</v>
      </c>
      <c r="N49">
        <v>0</v>
      </c>
      <c r="O49">
        <v>1</v>
      </c>
      <c r="P49">
        <v>5.128205128205128E-2</v>
      </c>
      <c r="Q49" t="s">
        <v>22</v>
      </c>
      <c r="R49">
        <v>0</v>
      </c>
    </row>
    <row r="50" spans="1:18" x14ac:dyDescent="0.3">
      <c r="A50" t="s">
        <v>18</v>
      </c>
      <c r="B50">
        <v>1</v>
      </c>
      <c r="C50" t="s">
        <v>49</v>
      </c>
      <c r="D50" t="s">
        <v>50</v>
      </c>
      <c r="E50" t="s">
        <v>21</v>
      </c>
      <c r="F50">
        <v>6</v>
      </c>
      <c r="G50">
        <v>3</v>
      </c>
      <c r="H50">
        <v>42</v>
      </c>
      <c r="I50">
        <v>0</v>
      </c>
      <c r="J50">
        <v>17</v>
      </c>
      <c r="K50">
        <v>18</v>
      </c>
      <c r="L50">
        <v>2</v>
      </c>
      <c r="M50">
        <v>2</v>
      </c>
      <c r="N50">
        <v>0</v>
      </c>
      <c r="O50">
        <v>1</v>
      </c>
      <c r="P50">
        <v>0.14285714285714279</v>
      </c>
      <c r="Q50" t="s">
        <v>22</v>
      </c>
      <c r="R50">
        <v>0</v>
      </c>
    </row>
    <row r="51" spans="1:18" x14ac:dyDescent="0.3">
      <c r="A51" t="s">
        <v>18</v>
      </c>
      <c r="B51">
        <v>1</v>
      </c>
      <c r="C51" t="s">
        <v>49</v>
      </c>
      <c r="D51" t="s">
        <v>50</v>
      </c>
      <c r="E51" t="s">
        <v>23</v>
      </c>
      <c r="F51">
        <v>3</v>
      </c>
      <c r="G51">
        <v>1</v>
      </c>
      <c r="H51">
        <v>42</v>
      </c>
      <c r="I51">
        <v>0</v>
      </c>
      <c r="J51">
        <v>16</v>
      </c>
      <c r="K51">
        <v>18</v>
      </c>
      <c r="L51">
        <v>2</v>
      </c>
      <c r="M51">
        <v>2</v>
      </c>
      <c r="N51">
        <v>0</v>
      </c>
      <c r="O51">
        <v>1</v>
      </c>
      <c r="P51">
        <v>7.1428571428571425E-2</v>
      </c>
      <c r="Q51" t="s">
        <v>22</v>
      </c>
      <c r="R51">
        <v>0</v>
      </c>
    </row>
    <row r="52" spans="1:18" x14ac:dyDescent="0.3">
      <c r="A52" t="s">
        <v>18</v>
      </c>
      <c r="B52">
        <v>1</v>
      </c>
      <c r="C52" t="s">
        <v>49</v>
      </c>
      <c r="D52" t="s">
        <v>50</v>
      </c>
      <c r="E52" t="s">
        <v>24</v>
      </c>
      <c r="F52">
        <v>6</v>
      </c>
      <c r="G52">
        <v>3</v>
      </c>
      <c r="H52">
        <v>42</v>
      </c>
      <c r="I52">
        <v>0</v>
      </c>
      <c r="J52">
        <v>17</v>
      </c>
      <c r="K52">
        <v>18</v>
      </c>
      <c r="L52">
        <v>2</v>
      </c>
      <c r="M52">
        <v>2</v>
      </c>
      <c r="N52">
        <v>0</v>
      </c>
      <c r="O52">
        <v>1</v>
      </c>
      <c r="P52">
        <v>0.14285714285714279</v>
      </c>
      <c r="Q52" t="s">
        <v>22</v>
      </c>
      <c r="R52">
        <v>0</v>
      </c>
    </row>
    <row r="53" spans="1:18" x14ac:dyDescent="0.3">
      <c r="A53" t="s">
        <v>18</v>
      </c>
      <c r="B53">
        <v>1</v>
      </c>
      <c r="C53" t="s">
        <v>49</v>
      </c>
      <c r="D53" t="s">
        <v>50</v>
      </c>
      <c r="E53" t="s">
        <v>25</v>
      </c>
      <c r="F53">
        <v>2</v>
      </c>
      <c r="G53">
        <v>1</v>
      </c>
      <c r="H53">
        <v>39</v>
      </c>
      <c r="I53">
        <v>0</v>
      </c>
      <c r="J53">
        <v>14</v>
      </c>
      <c r="K53">
        <v>17</v>
      </c>
      <c r="L53">
        <v>2</v>
      </c>
      <c r="M53">
        <v>2</v>
      </c>
      <c r="N53">
        <v>0</v>
      </c>
      <c r="O53">
        <v>1</v>
      </c>
      <c r="P53">
        <v>5.128205128205128E-2</v>
      </c>
      <c r="Q53" t="s">
        <v>22</v>
      </c>
      <c r="R53">
        <v>0</v>
      </c>
    </row>
    <row r="54" spans="1:18" x14ac:dyDescent="0.3">
      <c r="A54" t="s">
        <v>18</v>
      </c>
      <c r="B54">
        <v>1</v>
      </c>
      <c r="C54" t="s">
        <v>51</v>
      </c>
      <c r="D54" t="s">
        <v>52</v>
      </c>
      <c r="E54" t="s">
        <v>21</v>
      </c>
      <c r="F54">
        <v>5</v>
      </c>
      <c r="G54">
        <v>2</v>
      </c>
      <c r="H54">
        <v>42</v>
      </c>
      <c r="I54">
        <v>0</v>
      </c>
      <c r="J54">
        <v>15</v>
      </c>
      <c r="K54">
        <v>18</v>
      </c>
      <c r="L54">
        <v>2</v>
      </c>
      <c r="M54">
        <v>2</v>
      </c>
      <c r="N54">
        <v>0</v>
      </c>
      <c r="O54">
        <v>1</v>
      </c>
      <c r="P54">
        <v>0.119047619047619</v>
      </c>
      <c r="Q54" t="s">
        <v>22</v>
      </c>
      <c r="R54">
        <v>0</v>
      </c>
    </row>
    <row r="55" spans="1:18" x14ac:dyDescent="0.3">
      <c r="A55" t="s">
        <v>18</v>
      </c>
      <c r="B55">
        <v>1</v>
      </c>
      <c r="C55" t="s">
        <v>51</v>
      </c>
      <c r="D55" t="s">
        <v>52</v>
      </c>
      <c r="E55" t="s">
        <v>23</v>
      </c>
      <c r="F55">
        <v>13</v>
      </c>
      <c r="G55">
        <v>6</v>
      </c>
      <c r="H55">
        <v>42</v>
      </c>
      <c r="I55">
        <v>0</v>
      </c>
      <c r="J55">
        <v>16</v>
      </c>
      <c r="K55">
        <v>18</v>
      </c>
      <c r="L55">
        <v>2</v>
      </c>
      <c r="M55">
        <v>1</v>
      </c>
      <c r="N55">
        <v>1</v>
      </c>
      <c r="O55">
        <v>0.5</v>
      </c>
      <c r="P55">
        <v>0.30952380952380948</v>
      </c>
      <c r="Q55" t="s">
        <v>42</v>
      </c>
      <c r="R55">
        <v>0</v>
      </c>
    </row>
    <row r="56" spans="1:18" x14ac:dyDescent="0.3">
      <c r="A56" t="s">
        <v>18</v>
      </c>
      <c r="B56">
        <v>1</v>
      </c>
      <c r="C56" t="s">
        <v>51</v>
      </c>
      <c r="D56" t="s">
        <v>52</v>
      </c>
      <c r="E56" t="s">
        <v>24</v>
      </c>
      <c r="F56">
        <v>5</v>
      </c>
      <c r="G56">
        <v>2</v>
      </c>
      <c r="H56">
        <v>42</v>
      </c>
      <c r="I56">
        <v>0</v>
      </c>
      <c r="J56">
        <v>12</v>
      </c>
      <c r="K56">
        <v>18</v>
      </c>
      <c r="L56">
        <v>2</v>
      </c>
      <c r="M56">
        <v>2</v>
      </c>
      <c r="N56">
        <v>0</v>
      </c>
      <c r="O56">
        <v>1</v>
      </c>
      <c r="P56">
        <v>0.119047619047619</v>
      </c>
      <c r="Q56" t="s">
        <v>22</v>
      </c>
      <c r="R56">
        <v>0</v>
      </c>
    </row>
    <row r="57" spans="1:18" x14ac:dyDescent="0.3">
      <c r="A57" t="s">
        <v>18</v>
      </c>
      <c r="B57">
        <v>1</v>
      </c>
      <c r="C57" t="s">
        <v>51</v>
      </c>
      <c r="D57" t="s">
        <v>52</v>
      </c>
      <c r="E57" t="s">
        <v>25</v>
      </c>
      <c r="F57">
        <v>2</v>
      </c>
      <c r="G57">
        <v>1</v>
      </c>
      <c r="H57">
        <v>39</v>
      </c>
      <c r="I57">
        <v>0</v>
      </c>
      <c r="J57">
        <v>15</v>
      </c>
      <c r="K57">
        <v>17</v>
      </c>
      <c r="L57">
        <v>2</v>
      </c>
      <c r="M57">
        <v>2</v>
      </c>
      <c r="N57">
        <v>0</v>
      </c>
      <c r="O57">
        <v>1</v>
      </c>
      <c r="P57">
        <v>5.128205128205128E-2</v>
      </c>
      <c r="Q57" t="s">
        <v>22</v>
      </c>
      <c r="R57">
        <v>0</v>
      </c>
    </row>
    <row r="58" spans="1:18" x14ac:dyDescent="0.3">
      <c r="A58" t="s">
        <v>18</v>
      </c>
      <c r="B58">
        <v>1</v>
      </c>
      <c r="C58" t="s">
        <v>53</v>
      </c>
      <c r="D58" t="s">
        <v>54</v>
      </c>
      <c r="E58" t="s">
        <v>21</v>
      </c>
      <c r="F58">
        <v>3</v>
      </c>
      <c r="G58">
        <v>1</v>
      </c>
      <c r="H58">
        <v>42</v>
      </c>
      <c r="I58">
        <v>0</v>
      </c>
      <c r="J58">
        <v>17</v>
      </c>
      <c r="K58">
        <v>18</v>
      </c>
      <c r="L58">
        <v>4</v>
      </c>
      <c r="M58">
        <v>4</v>
      </c>
      <c r="N58">
        <v>0</v>
      </c>
      <c r="O58">
        <v>1</v>
      </c>
      <c r="P58">
        <v>7.1428571428571425E-2</v>
      </c>
      <c r="Q58" t="s">
        <v>22</v>
      </c>
      <c r="R58">
        <v>0</v>
      </c>
    </row>
    <row r="59" spans="1:18" x14ac:dyDescent="0.3">
      <c r="A59" t="s">
        <v>18</v>
      </c>
      <c r="B59">
        <v>1</v>
      </c>
      <c r="C59" t="s">
        <v>53</v>
      </c>
      <c r="D59" t="s">
        <v>54</v>
      </c>
      <c r="E59" t="s">
        <v>23</v>
      </c>
      <c r="F59">
        <v>8</v>
      </c>
      <c r="G59">
        <v>3</v>
      </c>
      <c r="H59">
        <v>42</v>
      </c>
      <c r="I59">
        <v>0</v>
      </c>
      <c r="J59">
        <v>17</v>
      </c>
      <c r="K59">
        <v>18</v>
      </c>
      <c r="L59">
        <v>4</v>
      </c>
      <c r="M59">
        <v>3</v>
      </c>
      <c r="N59">
        <v>1</v>
      </c>
      <c r="O59">
        <v>0.75</v>
      </c>
      <c r="P59">
        <v>0.19047619047619049</v>
      </c>
      <c r="Q59" t="s">
        <v>22</v>
      </c>
      <c r="R59">
        <v>0</v>
      </c>
    </row>
    <row r="60" spans="1:18" x14ac:dyDescent="0.3">
      <c r="A60" t="s">
        <v>18</v>
      </c>
      <c r="B60">
        <v>1</v>
      </c>
      <c r="C60" t="s">
        <v>53</v>
      </c>
      <c r="D60" t="s">
        <v>54</v>
      </c>
      <c r="E60" t="s">
        <v>24</v>
      </c>
      <c r="F60">
        <v>8</v>
      </c>
      <c r="G60">
        <v>3</v>
      </c>
      <c r="H60">
        <v>42</v>
      </c>
      <c r="I60">
        <v>1</v>
      </c>
      <c r="J60">
        <v>17</v>
      </c>
      <c r="K60">
        <v>18</v>
      </c>
      <c r="L60">
        <v>4</v>
      </c>
      <c r="M60">
        <v>4</v>
      </c>
      <c r="N60">
        <v>0</v>
      </c>
      <c r="O60">
        <v>1</v>
      </c>
      <c r="P60">
        <v>0.19047619047619049</v>
      </c>
      <c r="Q60" t="s">
        <v>22</v>
      </c>
      <c r="R60">
        <v>5.8823529411764712E-2</v>
      </c>
    </row>
    <row r="61" spans="1:18" x14ac:dyDescent="0.3">
      <c r="A61" t="s">
        <v>18</v>
      </c>
      <c r="B61">
        <v>1</v>
      </c>
      <c r="C61" t="s">
        <v>53</v>
      </c>
      <c r="D61" t="s">
        <v>54</v>
      </c>
      <c r="E61" t="s">
        <v>25</v>
      </c>
      <c r="F61">
        <v>2</v>
      </c>
      <c r="G61">
        <v>1</v>
      </c>
      <c r="H61">
        <v>39</v>
      </c>
      <c r="I61">
        <v>0</v>
      </c>
      <c r="J61">
        <v>15</v>
      </c>
      <c r="K61">
        <v>17</v>
      </c>
      <c r="L61">
        <v>4</v>
      </c>
      <c r="M61">
        <v>4</v>
      </c>
      <c r="N61">
        <v>0</v>
      </c>
      <c r="O61">
        <v>1</v>
      </c>
      <c r="P61">
        <v>5.128205128205128E-2</v>
      </c>
      <c r="Q61" t="s">
        <v>22</v>
      </c>
      <c r="R61">
        <v>0</v>
      </c>
    </row>
    <row r="62" spans="1:18" x14ac:dyDescent="0.3">
      <c r="A62" t="s">
        <v>18</v>
      </c>
      <c r="B62">
        <v>1</v>
      </c>
      <c r="C62" t="s">
        <v>55</v>
      </c>
      <c r="D62" t="s">
        <v>56</v>
      </c>
      <c r="E62" t="s">
        <v>21</v>
      </c>
      <c r="F62">
        <v>6</v>
      </c>
      <c r="G62">
        <v>3</v>
      </c>
      <c r="H62">
        <v>42</v>
      </c>
      <c r="I62">
        <v>0</v>
      </c>
      <c r="J62">
        <v>14</v>
      </c>
      <c r="K62">
        <v>18</v>
      </c>
      <c r="L62">
        <v>1</v>
      </c>
      <c r="M62">
        <v>1</v>
      </c>
      <c r="N62">
        <v>0</v>
      </c>
      <c r="O62">
        <v>1</v>
      </c>
      <c r="P62">
        <v>0.14285714285714279</v>
      </c>
      <c r="Q62" t="s">
        <v>22</v>
      </c>
      <c r="R62">
        <v>0</v>
      </c>
    </row>
    <row r="63" spans="1:18" x14ac:dyDescent="0.3">
      <c r="A63" t="s">
        <v>18</v>
      </c>
      <c r="B63">
        <v>1</v>
      </c>
      <c r="C63" t="s">
        <v>55</v>
      </c>
      <c r="D63" t="s">
        <v>56</v>
      </c>
      <c r="E63" t="s">
        <v>23</v>
      </c>
      <c r="F63">
        <v>2</v>
      </c>
      <c r="G63">
        <v>1</v>
      </c>
      <c r="H63">
        <v>42</v>
      </c>
      <c r="I63">
        <v>1</v>
      </c>
      <c r="J63">
        <v>16</v>
      </c>
      <c r="K63">
        <v>18</v>
      </c>
      <c r="L63">
        <v>1</v>
      </c>
      <c r="M63">
        <v>1</v>
      </c>
      <c r="N63">
        <v>0</v>
      </c>
      <c r="O63">
        <v>1</v>
      </c>
      <c r="P63">
        <v>4.7619047619047623E-2</v>
      </c>
      <c r="Q63" t="s">
        <v>22</v>
      </c>
      <c r="R63">
        <v>6.25E-2</v>
      </c>
    </row>
    <row r="64" spans="1:18" x14ac:dyDescent="0.3">
      <c r="A64" t="s">
        <v>18</v>
      </c>
      <c r="B64">
        <v>1</v>
      </c>
      <c r="C64" t="s">
        <v>55</v>
      </c>
      <c r="D64" t="s">
        <v>56</v>
      </c>
      <c r="E64" t="s">
        <v>24</v>
      </c>
      <c r="F64">
        <v>10</v>
      </c>
      <c r="G64">
        <v>5</v>
      </c>
      <c r="H64">
        <v>42</v>
      </c>
      <c r="I64">
        <v>1</v>
      </c>
      <c r="J64">
        <v>12</v>
      </c>
      <c r="K64">
        <v>18</v>
      </c>
      <c r="L64">
        <v>1</v>
      </c>
      <c r="M64">
        <v>1</v>
      </c>
      <c r="N64">
        <v>0</v>
      </c>
      <c r="O64">
        <v>1</v>
      </c>
      <c r="P64">
        <v>0.23809523809523811</v>
      </c>
      <c r="Q64" t="s">
        <v>42</v>
      </c>
      <c r="R64">
        <v>8.3333333333333329E-2</v>
      </c>
    </row>
    <row r="65" spans="1:18" x14ac:dyDescent="0.3">
      <c r="A65" t="s">
        <v>18</v>
      </c>
      <c r="B65">
        <v>1</v>
      </c>
      <c r="C65" t="s">
        <v>55</v>
      </c>
      <c r="D65" t="s">
        <v>56</v>
      </c>
      <c r="E65" t="s">
        <v>25</v>
      </c>
      <c r="F65">
        <v>2</v>
      </c>
      <c r="G65">
        <v>1</v>
      </c>
      <c r="H65">
        <v>39</v>
      </c>
      <c r="I65">
        <v>0</v>
      </c>
      <c r="J65">
        <v>16</v>
      </c>
      <c r="K65">
        <v>17</v>
      </c>
      <c r="L65">
        <v>1</v>
      </c>
      <c r="M65">
        <v>1</v>
      </c>
      <c r="N65">
        <v>0</v>
      </c>
      <c r="O65">
        <v>1</v>
      </c>
      <c r="P65">
        <v>5.128205128205128E-2</v>
      </c>
      <c r="Q65" t="s">
        <v>22</v>
      </c>
      <c r="R65">
        <v>0</v>
      </c>
    </row>
    <row r="66" spans="1:18" x14ac:dyDescent="0.3">
      <c r="A66" t="s">
        <v>18</v>
      </c>
      <c r="B66">
        <v>1</v>
      </c>
      <c r="C66" t="s">
        <v>57</v>
      </c>
      <c r="D66" t="s">
        <v>58</v>
      </c>
      <c r="E66" t="s">
        <v>21</v>
      </c>
      <c r="F66">
        <v>3</v>
      </c>
      <c r="G66">
        <v>1</v>
      </c>
      <c r="H66">
        <v>42</v>
      </c>
      <c r="I66">
        <v>0</v>
      </c>
      <c r="J66">
        <v>16</v>
      </c>
      <c r="K66">
        <v>18</v>
      </c>
      <c r="L66">
        <v>3</v>
      </c>
      <c r="M66">
        <v>3</v>
      </c>
      <c r="N66">
        <v>0</v>
      </c>
      <c r="O66">
        <v>1</v>
      </c>
      <c r="P66">
        <v>7.1428571428571425E-2</v>
      </c>
      <c r="Q66" t="s">
        <v>22</v>
      </c>
      <c r="R66">
        <v>0</v>
      </c>
    </row>
    <row r="67" spans="1:18" x14ac:dyDescent="0.3">
      <c r="A67" t="s">
        <v>18</v>
      </c>
      <c r="B67">
        <v>1</v>
      </c>
      <c r="C67" t="s">
        <v>57</v>
      </c>
      <c r="D67" t="s">
        <v>58</v>
      </c>
      <c r="E67" t="s">
        <v>23</v>
      </c>
      <c r="F67">
        <v>3</v>
      </c>
      <c r="G67">
        <v>1</v>
      </c>
      <c r="H67">
        <v>42</v>
      </c>
      <c r="I67">
        <v>0</v>
      </c>
      <c r="J67">
        <v>18</v>
      </c>
      <c r="K67">
        <v>18</v>
      </c>
      <c r="L67">
        <v>3</v>
      </c>
      <c r="M67">
        <v>3</v>
      </c>
      <c r="N67">
        <v>0</v>
      </c>
      <c r="O67">
        <v>1</v>
      </c>
      <c r="P67">
        <v>7.1428571428571425E-2</v>
      </c>
      <c r="Q67" t="s">
        <v>22</v>
      </c>
      <c r="R67">
        <v>0</v>
      </c>
    </row>
    <row r="68" spans="1:18" x14ac:dyDescent="0.3">
      <c r="A68" t="s">
        <v>18</v>
      </c>
      <c r="B68">
        <v>1</v>
      </c>
      <c r="C68" t="s">
        <v>57</v>
      </c>
      <c r="D68" t="s">
        <v>58</v>
      </c>
      <c r="E68" t="s">
        <v>24</v>
      </c>
      <c r="F68">
        <v>7</v>
      </c>
      <c r="G68">
        <v>3</v>
      </c>
      <c r="H68">
        <v>42</v>
      </c>
      <c r="I68">
        <v>0</v>
      </c>
      <c r="J68">
        <v>17</v>
      </c>
      <c r="K68">
        <v>18</v>
      </c>
      <c r="L68">
        <v>3</v>
      </c>
      <c r="M68">
        <v>3</v>
      </c>
      <c r="N68">
        <v>0</v>
      </c>
      <c r="O68">
        <v>1</v>
      </c>
      <c r="P68">
        <v>0.16666666666666671</v>
      </c>
      <c r="Q68" t="s">
        <v>22</v>
      </c>
      <c r="R68">
        <v>0</v>
      </c>
    </row>
    <row r="69" spans="1:18" x14ac:dyDescent="0.3">
      <c r="A69" t="s">
        <v>18</v>
      </c>
      <c r="B69">
        <v>1</v>
      </c>
      <c r="C69" t="s">
        <v>57</v>
      </c>
      <c r="D69" t="s">
        <v>58</v>
      </c>
      <c r="E69" t="s">
        <v>25</v>
      </c>
      <c r="F69">
        <v>2</v>
      </c>
      <c r="G69">
        <v>1</v>
      </c>
      <c r="H69">
        <v>39</v>
      </c>
      <c r="I69">
        <v>0</v>
      </c>
      <c r="J69">
        <v>15</v>
      </c>
      <c r="K69">
        <v>17</v>
      </c>
      <c r="L69">
        <v>3</v>
      </c>
      <c r="M69">
        <v>3</v>
      </c>
      <c r="N69">
        <v>0</v>
      </c>
      <c r="O69">
        <v>1</v>
      </c>
      <c r="P69">
        <v>5.128205128205128E-2</v>
      </c>
      <c r="Q69" t="s">
        <v>22</v>
      </c>
      <c r="R69">
        <v>0</v>
      </c>
    </row>
    <row r="70" spans="1:18" x14ac:dyDescent="0.3">
      <c r="A70" t="s">
        <v>18</v>
      </c>
      <c r="B70">
        <v>1</v>
      </c>
      <c r="C70" t="s">
        <v>59</v>
      </c>
      <c r="D70" t="s">
        <v>60</v>
      </c>
      <c r="E70" t="s">
        <v>21</v>
      </c>
      <c r="F70">
        <v>5</v>
      </c>
      <c r="G70">
        <v>2</v>
      </c>
      <c r="H70">
        <v>42</v>
      </c>
      <c r="I70">
        <v>0</v>
      </c>
      <c r="J70">
        <v>15</v>
      </c>
      <c r="K70">
        <v>18</v>
      </c>
      <c r="L70">
        <v>4</v>
      </c>
      <c r="M70">
        <v>4</v>
      </c>
      <c r="N70">
        <v>0</v>
      </c>
      <c r="O70">
        <v>1</v>
      </c>
      <c r="P70">
        <v>0.119047619047619</v>
      </c>
      <c r="Q70" t="s">
        <v>22</v>
      </c>
      <c r="R70">
        <v>0</v>
      </c>
    </row>
    <row r="71" spans="1:18" x14ac:dyDescent="0.3">
      <c r="A71" t="s">
        <v>18</v>
      </c>
      <c r="B71">
        <v>1</v>
      </c>
      <c r="C71" t="s">
        <v>59</v>
      </c>
      <c r="D71" t="s">
        <v>60</v>
      </c>
      <c r="E71" t="s">
        <v>23</v>
      </c>
      <c r="F71">
        <v>3</v>
      </c>
      <c r="G71">
        <v>1</v>
      </c>
      <c r="H71">
        <v>42</v>
      </c>
      <c r="I71">
        <v>0</v>
      </c>
      <c r="J71">
        <v>17</v>
      </c>
      <c r="K71">
        <v>18</v>
      </c>
      <c r="L71">
        <v>4</v>
      </c>
      <c r="M71">
        <v>4</v>
      </c>
      <c r="N71">
        <v>0</v>
      </c>
      <c r="O71">
        <v>1</v>
      </c>
      <c r="P71">
        <v>7.1428571428571425E-2</v>
      </c>
      <c r="Q71" t="s">
        <v>22</v>
      </c>
      <c r="R71">
        <v>0</v>
      </c>
    </row>
    <row r="72" spans="1:18" x14ac:dyDescent="0.3">
      <c r="A72" t="s">
        <v>18</v>
      </c>
      <c r="B72">
        <v>1</v>
      </c>
      <c r="C72" t="s">
        <v>59</v>
      </c>
      <c r="D72" t="s">
        <v>60</v>
      </c>
      <c r="E72" t="s">
        <v>24</v>
      </c>
      <c r="F72">
        <v>2</v>
      </c>
      <c r="G72">
        <v>1</v>
      </c>
      <c r="H72">
        <v>42</v>
      </c>
      <c r="I72">
        <v>1</v>
      </c>
      <c r="J72">
        <v>17</v>
      </c>
      <c r="K72">
        <v>18</v>
      </c>
      <c r="L72">
        <v>4</v>
      </c>
      <c r="M72">
        <v>4</v>
      </c>
      <c r="N72">
        <v>0</v>
      </c>
      <c r="O72">
        <v>1</v>
      </c>
      <c r="P72">
        <v>4.7619047619047623E-2</v>
      </c>
      <c r="Q72" t="s">
        <v>22</v>
      </c>
      <c r="R72">
        <v>5.8823529411764712E-2</v>
      </c>
    </row>
    <row r="73" spans="1:18" x14ac:dyDescent="0.3">
      <c r="A73" t="s">
        <v>18</v>
      </c>
      <c r="B73">
        <v>1</v>
      </c>
      <c r="C73" t="s">
        <v>59</v>
      </c>
      <c r="D73" t="s">
        <v>60</v>
      </c>
      <c r="E73" t="s">
        <v>25</v>
      </c>
      <c r="F73">
        <v>2</v>
      </c>
      <c r="G73">
        <v>1</v>
      </c>
      <c r="H73">
        <v>39</v>
      </c>
      <c r="I73">
        <v>0</v>
      </c>
      <c r="J73">
        <v>14</v>
      </c>
      <c r="K73">
        <v>17</v>
      </c>
      <c r="L73">
        <v>4</v>
      </c>
      <c r="M73">
        <v>4</v>
      </c>
      <c r="N73">
        <v>0</v>
      </c>
      <c r="O73">
        <v>1</v>
      </c>
      <c r="P73">
        <v>5.128205128205128E-2</v>
      </c>
      <c r="Q73" t="s">
        <v>22</v>
      </c>
      <c r="R73">
        <v>0</v>
      </c>
    </row>
    <row r="74" spans="1:18" x14ac:dyDescent="0.3">
      <c r="A74" t="s">
        <v>18</v>
      </c>
      <c r="B74">
        <v>1</v>
      </c>
      <c r="C74" t="s">
        <v>61</v>
      </c>
      <c r="D74" t="s">
        <v>62</v>
      </c>
      <c r="E74" t="s">
        <v>21</v>
      </c>
      <c r="F74">
        <v>3</v>
      </c>
      <c r="G74">
        <v>1</v>
      </c>
      <c r="H74">
        <v>42</v>
      </c>
      <c r="I74">
        <v>0</v>
      </c>
      <c r="J74">
        <v>15</v>
      </c>
      <c r="K74">
        <v>18</v>
      </c>
      <c r="L74">
        <v>1</v>
      </c>
      <c r="M74">
        <v>1</v>
      </c>
      <c r="N74">
        <v>0</v>
      </c>
      <c r="O74">
        <v>1</v>
      </c>
      <c r="P74">
        <v>7.1428571428571425E-2</v>
      </c>
      <c r="Q74" t="s">
        <v>22</v>
      </c>
      <c r="R74">
        <v>0</v>
      </c>
    </row>
    <row r="75" spans="1:18" x14ac:dyDescent="0.3">
      <c r="A75" t="s">
        <v>18</v>
      </c>
      <c r="B75">
        <v>1</v>
      </c>
      <c r="C75" t="s">
        <v>61</v>
      </c>
      <c r="D75" t="s">
        <v>62</v>
      </c>
      <c r="E75" t="s">
        <v>23</v>
      </c>
      <c r="F75">
        <v>5</v>
      </c>
      <c r="G75">
        <v>2</v>
      </c>
      <c r="H75">
        <v>42</v>
      </c>
      <c r="I75">
        <v>0</v>
      </c>
      <c r="J75">
        <v>16</v>
      </c>
      <c r="K75">
        <v>18</v>
      </c>
      <c r="L75">
        <v>1</v>
      </c>
      <c r="M75">
        <v>1</v>
      </c>
      <c r="N75">
        <v>0</v>
      </c>
      <c r="O75">
        <v>1</v>
      </c>
      <c r="P75">
        <v>0.119047619047619</v>
      </c>
      <c r="Q75" t="s">
        <v>22</v>
      </c>
      <c r="R75">
        <v>0</v>
      </c>
    </row>
    <row r="76" spans="1:18" x14ac:dyDescent="0.3">
      <c r="A76" t="s">
        <v>18</v>
      </c>
      <c r="B76">
        <v>1</v>
      </c>
      <c r="C76" t="s">
        <v>61</v>
      </c>
      <c r="D76" t="s">
        <v>62</v>
      </c>
      <c r="E76" t="s">
        <v>24</v>
      </c>
      <c r="F76">
        <v>9</v>
      </c>
      <c r="G76">
        <v>4</v>
      </c>
      <c r="H76">
        <v>42</v>
      </c>
      <c r="I76">
        <v>0</v>
      </c>
      <c r="J76">
        <v>15</v>
      </c>
      <c r="K76">
        <v>18</v>
      </c>
      <c r="L76">
        <v>1</v>
      </c>
      <c r="M76">
        <v>1</v>
      </c>
      <c r="N76">
        <v>0</v>
      </c>
      <c r="O76">
        <v>1</v>
      </c>
      <c r="P76">
        <v>0.2142857142857143</v>
      </c>
      <c r="Q76" t="s">
        <v>22</v>
      </c>
      <c r="R76">
        <v>0</v>
      </c>
    </row>
    <row r="77" spans="1:18" x14ac:dyDescent="0.3">
      <c r="A77" t="s">
        <v>18</v>
      </c>
      <c r="B77">
        <v>1</v>
      </c>
      <c r="C77" t="s">
        <v>61</v>
      </c>
      <c r="D77" t="s">
        <v>62</v>
      </c>
      <c r="E77" t="s">
        <v>25</v>
      </c>
      <c r="F77">
        <v>2</v>
      </c>
      <c r="G77">
        <v>1</v>
      </c>
      <c r="H77">
        <v>39</v>
      </c>
      <c r="I77">
        <v>0</v>
      </c>
      <c r="J77">
        <v>14</v>
      </c>
      <c r="K77">
        <v>17</v>
      </c>
      <c r="L77">
        <v>1</v>
      </c>
      <c r="M77">
        <v>1</v>
      </c>
      <c r="N77">
        <v>0</v>
      </c>
      <c r="O77">
        <v>1</v>
      </c>
      <c r="P77">
        <v>5.128205128205128E-2</v>
      </c>
      <c r="Q77" t="s">
        <v>22</v>
      </c>
      <c r="R77">
        <v>0</v>
      </c>
    </row>
    <row r="78" spans="1:18" x14ac:dyDescent="0.3">
      <c r="A78" t="s">
        <v>18</v>
      </c>
      <c r="B78">
        <v>1</v>
      </c>
      <c r="C78" t="s">
        <v>63</v>
      </c>
      <c r="D78" t="s">
        <v>64</v>
      </c>
      <c r="E78" t="s">
        <v>21</v>
      </c>
      <c r="F78">
        <v>3</v>
      </c>
      <c r="G78">
        <v>2</v>
      </c>
      <c r="H78">
        <v>42</v>
      </c>
      <c r="I78">
        <v>0</v>
      </c>
      <c r="J78">
        <v>18</v>
      </c>
      <c r="K78">
        <v>18</v>
      </c>
      <c r="L78">
        <v>2</v>
      </c>
      <c r="M78">
        <v>2</v>
      </c>
      <c r="N78">
        <v>0</v>
      </c>
      <c r="O78">
        <v>1</v>
      </c>
      <c r="P78">
        <v>7.1428571428571425E-2</v>
      </c>
      <c r="Q78" t="s">
        <v>22</v>
      </c>
      <c r="R78">
        <v>0</v>
      </c>
    </row>
    <row r="79" spans="1:18" x14ac:dyDescent="0.3">
      <c r="A79" t="s">
        <v>18</v>
      </c>
      <c r="B79">
        <v>1</v>
      </c>
      <c r="C79" t="s">
        <v>63</v>
      </c>
      <c r="D79" t="s">
        <v>64</v>
      </c>
      <c r="E79" t="s">
        <v>23</v>
      </c>
      <c r="F79">
        <v>2</v>
      </c>
      <c r="G79">
        <v>1</v>
      </c>
      <c r="H79">
        <v>42</v>
      </c>
      <c r="I79">
        <v>0</v>
      </c>
      <c r="J79">
        <v>18</v>
      </c>
      <c r="K79">
        <v>18</v>
      </c>
      <c r="L79">
        <v>2</v>
      </c>
      <c r="M79">
        <v>2</v>
      </c>
      <c r="N79">
        <v>0</v>
      </c>
      <c r="O79">
        <v>1</v>
      </c>
      <c r="P79">
        <v>4.7619047619047623E-2</v>
      </c>
      <c r="Q79" t="s">
        <v>22</v>
      </c>
      <c r="R79">
        <v>0</v>
      </c>
    </row>
    <row r="80" spans="1:18" x14ac:dyDescent="0.3">
      <c r="A80" t="s">
        <v>18</v>
      </c>
      <c r="B80">
        <v>1</v>
      </c>
      <c r="C80" t="s">
        <v>63</v>
      </c>
      <c r="D80" t="s">
        <v>64</v>
      </c>
      <c r="E80" t="s">
        <v>24</v>
      </c>
      <c r="F80">
        <v>15</v>
      </c>
      <c r="G80">
        <v>7</v>
      </c>
      <c r="H80">
        <v>42</v>
      </c>
      <c r="I80">
        <v>0</v>
      </c>
      <c r="J80">
        <v>14</v>
      </c>
      <c r="K80">
        <v>18</v>
      </c>
      <c r="L80">
        <v>2</v>
      </c>
      <c r="M80">
        <v>2</v>
      </c>
      <c r="N80">
        <v>0</v>
      </c>
      <c r="O80">
        <v>1</v>
      </c>
      <c r="P80">
        <v>0.35714285714285721</v>
      </c>
      <c r="Q80" t="s">
        <v>42</v>
      </c>
      <c r="R80">
        <v>0</v>
      </c>
    </row>
    <row r="81" spans="1:18" x14ac:dyDescent="0.3">
      <c r="A81" t="s">
        <v>18</v>
      </c>
      <c r="B81">
        <v>1</v>
      </c>
      <c r="C81" t="s">
        <v>63</v>
      </c>
      <c r="D81" t="s">
        <v>64</v>
      </c>
      <c r="E81" t="s">
        <v>25</v>
      </c>
      <c r="F81">
        <v>2</v>
      </c>
      <c r="G81">
        <v>1</v>
      </c>
      <c r="H81">
        <v>39</v>
      </c>
      <c r="I81">
        <v>0</v>
      </c>
      <c r="J81">
        <v>14</v>
      </c>
      <c r="K81">
        <v>17</v>
      </c>
      <c r="L81">
        <v>2</v>
      </c>
      <c r="M81">
        <v>2</v>
      </c>
      <c r="N81">
        <v>0</v>
      </c>
      <c r="O81">
        <v>1</v>
      </c>
      <c r="P81">
        <v>5.128205128205128E-2</v>
      </c>
      <c r="Q81" t="s">
        <v>22</v>
      </c>
      <c r="R81">
        <v>0</v>
      </c>
    </row>
  </sheetData>
  <autoFilter ref="A1:R81" xr:uid="{00000000-0001-0000-0000-000000000000}"/>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F882F3-B15F-4DF7-B7E3-FD990BC8589A}">
  <dimension ref="A1:F6"/>
  <sheetViews>
    <sheetView tabSelected="1" workbookViewId="0">
      <selection activeCell="B14" sqref="B14"/>
    </sheetView>
  </sheetViews>
  <sheetFormatPr defaultColWidth="20.44140625" defaultRowHeight="14.4" x14ac:dyDescent="0.3"/>
  <cols>
    <col min="1" max="1" width="29" bestFit="1" customWidth="1"/>
    <col min="2" max="6" width="13.109375" customWidth="1"/>
  </cols>
  <sheetData>
    <row r="1" spans="1:6" ht="15.6" x14ac:dyDescent="0.3">
      <c r="A1" s="41" t="s">
        <v>428</v>
      </c>
      <c r="B1" s="42"/>
      <c r="C1" s="42"/>
      <c r="D1" s="42"/>
      <c r="E1" s="42"/>
      <c r="F1" s="43"/>
    </row>
    <row r="2" spans="1:6" ht="15.6" x14ac:dyDescent="0.3">
      <c r="A2" s="17"/>
      <c r="B2" s="17" t="s">
        <v>24</v>
      </c>
      <c r="C2" s="17" t="s">
        <v>21</v>
      </c>
      <c r="D2" s="17" t="s">
        <v>23</v>
      </c>
      <c r="E2" s="17" t="s">
        <v>25</v>
      </c>
      <c r="F2" s="17" t="s">
        <v>431</v>
      </c>
    </row>
    <row r="3" spans="1:6" ht="15.6" x14ac:dyDescent="0.3">
      <c r="A3" s="22" t="s">
        <v>432</v>
      </c>
      <c r="B3" s="13">
        <f>SUMIFS(indicator_model!$G$2:$G$72,indicator_model!$E$2:$E$72,B$2,indicator_model!$C$2:$C$72,"&gt;=R01",indicator_model!$C$2:$C$72,"&lt;=R06")</f>
        <v>27</v>
      </c>
      <c r="C3" s="13">
        <f>SUMIFS(indicator_model!$G$2:$G$72,indicator_model!$E$2:$E$72,C$2,indicator_model!$C$2:$C$72,"&gt;=R01",indicator_model!$C$2:$C$72,"&lt;=R06")</f>
        <v>15</v>
      </c>
      <c r="D3" s="13">
        <f>SUMIFS(indicator_model!$G$2:$G$72,indicator_model!$E$2:$E$72,D$2,indicator_model!$C$2:$C$72,"&gt;=R01",indicator_model!$C$2:$C$72,"&lt;=R06")</f>
        <v>18</v>
      </c>
      <c r="E3" s="13">
        <f>SUMIFS(indicator_model!$G$2:$G$72,indicator_model!$E$2:$E$72,E$2,indicator_model!$C$2:$C$72,"&gt;=R01",indicator_model!$C$2:$C$72,"&lt;=R06")</f>
        <v>19</v>
      </c>
      <c r="F3" s="13">
        <f>SUM(B3:E3)</f>
        <v>79</v>
      </c>
    </row>
    <row r="4" spans="1:6" ht="15.6" x14ac:dyDescent="0.3">
      <c r="A4" s="22" t="s">
        <v>433</v>
      </c>
      <c r="B4" s="13">
        <f>SUMIFS(indicator_model!$G$2:$G$72,indicator_model!$E$2:$E$72,B$2,indicator_model!$C$2:$C$72,"&gt;=R07",indicator_model!$C$2:$C$72,"&lt;=R15")+SUMIFS(indicator_model!$G$2:$G$72,indicator_model!$E$2:$E$72,B$2,indicator_model!$C$2:$C$72,"R18")</f>
        <v>17</v>
      </c>
      <c r="C4" s="13">
        <f>SUMIFS(indicator_model!$G$2:$G$72,indicator_model!$E$2:$E$72,C$2,indicator_model!$C$2:$C$72,"&gt;=R07",indicator_model!$C$2:$C$72,"&lt;=R15")+SUMIFS(indicator_model!$G$2:$G$72,indicator_model!$E$2:$E$72,C$2,indicator_model!$C$2:$C$72,"R18")</f>
        <v>4</v>
      </c>
      <c r="D4" s="13">
        <f>SUMIFS(indicator_model!$G$2:$G$72,indicator_model!$E$2:$E$72,D$2,indicator_model!$C$2:$C$72,"&gt;=R07",indicator_model!$C$2:$C$72,"&lt;=R15")+SUMIFS(indicator_model!$G$2:$G$72,indicator_model!$E$2:$E$72,D$2,indicator_model!$C$2:$C$72,"R18")</f>
        <v>6</v>
      </c>
      <c r="E4" s="13">
        <f>SUMIFS(indicator_model!$G$2:$G$72,indicator_model!$E$2:$E$72,E$2,indicator_model!$C$2:$C$72,"&gt;=R07",indicator_model!$C$2:$C$72,"&lt;=R15")+SUMIFS(indicator_model!$G$2:$G$72,indicator_model!$E$2:$E$72,E$2,indicator_model!$C$2:$C$72,"R18")</f>
        <v>0</v>
      </c>
      <c r="F4" s="13">
        <f t="shared" ref="F4:F5" si="0">SUM(B4:E4)</f>
        <v>27</v>
      </c>
    </row>
    <row r="5" spans="1:6" ht="31.2" x14ac:dyDescent="0.3">
      <c r="A5" s="22" t="s">
        <v>434</v>
      </c>
      <c r="B5" s="13">
        <f>SUMIFS(indicator_model!$G$2:$G$72,indicator_model!$E$2:$E$72,B$2,indicator_model!$C$2:$C$72,"&gt;=R16",indicator_model!$C$2:$C$72,"&lt;=R17")</f>
        <v>11</v>
      </c>
      <c r="C5" s="13">
        <f>SUMIFS(indicator_model!$G$2:$G$72,indicator_model!$E$2:$E$72,C$2,indicator_model!$C$2:$C$72,"&gt;=R16",indicator_model!$C$2:$C$72,"&lt;=R17")</f>
        <v>18</v>
      </c>
      <c r="D5" s="13">
        <f>SUMIFS(indicator_model!$G$2:$G$72,indicator_model!$E$2:$E$72,D$2,indicator_model!$C$2:$C$72,"&gt;=R16",indicator_model!$C$2:$C$72,"&lt;=R17")</f>
        <v>15</v>
      </c>
      <c r="E5" s="13">
        <f>SUMIFS(indicator_model!$G$2:$G$72,indicator_model!$E$2:$E$72,E$2,indicator_model!$C$2:$C$72,"&gt;=R16",indicator_model!$C$2:$C$72,"&lt;=R17")</f>
        <v>0</v>
      </c>
      <c r="F5" s="13">
        <f t="shared" si="0"/>
        <v>44</v>
      </c>
    </row>
    <row r="6" spans="1:6" ht="15.6" x14ac:dyDescent="0.3">
      <c r="A6" s="23" t="s">
        <v>435</v>
      </c>
      <c r="B6" s="17">
        <f>SUM(B3:B5)</f>
        <v>55</v>
      </c>
      <c r="C6" s="17">
        <f t="shared" ref="C6:F6" si="1">SUM(C3:C5)</f>
        <v>37</v>
      </c>
      <c r="D6" s="17">
        <f t="shared" si="1"/>
        <v>39</v>
      </c>
      <c r="E6" s="17">
        <f t="shared" si="1"/>
        <v>19</v>
      </c>
      <c r="F6" s="17">
        <f t="shared" si="1"/>
        <v>150</v>
      </c>
    </row>
  </sheetData>
  <mergeCells count="1">
    <mergeCell ref="A1:F1"/>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9BB840-02BE-4BAC-B355-91FCC75F98E8}">
  <dimension ref="A1:E8"/>
  <sheetViews>
    <sheetView zoomScaleNormal="100" workbookViewId="0">
      <selection activeCell="D11" sqref="D11"/>
    </sheetView>
  </sheetViews>
  <sheetFormatPr defaultColWidth="12.88671875" defaultRowHeight="14.4" x14ac:dyDescent="0.3"/>
  <cols>
    <col min="1" max="1" width="9.5546875" style="2" bestFit="1" customWidth="1"/>
    <col min="2" max="2" width="8.77734375" style="2" bestFit="1" customWidth="1"/>
    <col min="3" max="3" width="22.88671875" style="2" bestFit="1" customWidth="1"/>
    <col min="4" max="4" width="20.109375" style="2" bestFit="1" customWidth="1"/>
    <col min="5" max="5" width="8.21875" style="2" bestFit="1" customWidth="1"/>
    <col min="6" max="16384" width="12.88671875" style="2"/>
  </cols>
  <sheetData>
    <row r="1" spans="1:5" ht="15.6" x14ac:dyDescent="0.3">
      <c r="A1" s="44" t="s">
        <v>443</v>
      </c>
      <c r="B1" s="44"/>
      <c r="C1" s="44"/>
      <c r="D1" s="44"/>
      <c r="E1" s="44"/>
    </row>
    <row r="2" spans="1:5" ht="15.6" x14ac:dyDescent="0.3">
      <c r="A2" s="12" t="s">
        <v>120</v>
      </c>
      <c r="B2" s="12" t="s">
        <v>121</v>
      </c>
      <c r="C2" s="12"/>
      <c r="D2" s="12" t="s">
        <v>122</v>
      </c>
      <c r="E2" s="12" t="s">
        <v>123</v>
      </c>
    </row>
    <row r="3" spans="1:5" ht="15.6" x14ac:dyDescent="0.3">
      <c r="A3" s="13" t="s">
        <v>21</v>
      </c>
      <c r="B3" s="13" t="s">
        <v>25</v>
      </c>
      <c r="C3" s="7" t="s">
        <v>444</v>
      </c>
      <c r="D3" s="14">
        <v>0.96470588235294119</v>
      </c>
      <c r="E3" s="13">
        <v>340</v>
      </c>
    </row>
    <row r="4" spans="1:5" ht="15.6" x14ac:dyDescent="0.3">
      <c r="A4" s="13" t="s">
        <v>23</v>
      </c>
      <c r="B4" s="13" t="s">
        <v>25</v>
      </c>
      <c r="C4" s="7" t="s">
        <v>445</v>
      </c>
      <c r="D4" s="14">
        <v>0.94117647058823528</v>
      </c>
      <c r="E4" s="13">
        <v>340</v>
      </c>
    </row>
    <row r="5" spans="1:5" ht="15.6" x14ac:dyDescent="0.3">
      <c r="A5" s="13" t="s">
        <v>21</v>
      </c>
      <c r="B5" s="13" t="s">
        <v>23</v>
      </c>
      <c r="C5" s="7" t="s">
        <v>446</v>
      </c>
      <c r="D5" s="14">
        <v>0.92222222222222228</v>
      </c>
      <c r="E5" s="13">
        <v>360</v>
      </c>
    </row>
    <row r="6" spans="1:5" ht="15.6" x14ac:dyDescent="0.3">
      <c r="A6" s="13" t="s">
        <v>24</v>
      </c>
      <c r="B6" s="13" t="s">
        <v>25</v>
      </c>
      <c r="C6" s="7" t="s">
        <v>447</v>
      </c>
      <c r="D6" s="14">
        <v>0.9205882352941176</v>
      </c>
      <c r="E6" s="13">
        <v>340</v>
      </c>
    </row>
    <row r="7" spans="1:5" ht="15.6" x14ac:dyDescent="0.3">
      <c r="A7" s="13" t="s">
        <v>21</v>
      </c>
      <c r="B7" s="13" t="s">
        <v>24</v>
      </c>
      <c r="C7" s="7" t="s">
        <v>448</v>
      </c>
      <c r="D7" s="14">
        <v>0.90555555555555556</v>
      </c>
      <c r="E7" s="13">
        <v>360</v>
      </c>
    </row>
    <row r="8" spans="1:5" ht="15.6" x14ac:dyDescent="0.3">
      <c r="A8" s="13" t="s">
        <v>23</v>
      </c>
      <c r="B8" s="13" t="s">
        <v>24</v>
      </c>
      <c r="C8" s="7" t="s">
        <v>449</v>
      </c>
      <c r="D8" s="14">
        <v>0.88888888888888884</v>
      </c>
      <c r="E8" s="13">
        <v>360</v>
      </c>
    </row>
  </sheetData>
  <sortState xmlns:xlrd2="http://schemas.microsoft.com/office/spreadsheetml/2017/richdata2" ref="A2:E21">
    <sortCondition descending="1" ref="D2:D21"/>
  </sortState>
  <mergeCells count="1">
    <mergeCell ref="A1:E1"/>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6DCA0B-A5D2-4410-A3FC-BB18EBD3A63E}">
  <dimension ref="A1:C20"/>
  <sheetViews>
    <sheetView zoomScaleNormal="100" workbookViewId="0">
      <selection activeCell="J18" sqref="J18"/>
    </sheetView>
  </sheetViews>
  <sheetFormatPr defaultRowHeight="14.4" x14ac:dyDescent="0.3"/>
  <cols>
    <col min="1" max="1" width="12" customWidth="1"/>
    <col min="2" max="2" width="29.6640625" customWidth="1"/>
    <col min="3" max="3" width="20.33203125" customWidth="1"/>
  </cols>
  <sheetData>
    <row r="1" spans="1:3" ht="15.6" x14ac:dyDescent="0.3">
      <c r="A1" s="44" t="s">
        <v>452</v>
      </c>
      <c r="B1" s="44"/>
      <c r="C1" s="44"/>
    </row>
    <row r="2" spans="1:3" ht="15.6" x14ac:dyDescent="0.3">
      <c r="A2" s="15" t="s">
        <v>455</v>
      </c>
      <c r="B2" s="15" t="s">
        <v>454</v>
      </c>
      <c r="C2" s="15" t="s">
        <v>453</v>
      </c>
    </row>
    <row r="3" spans="1:3" ht="15.6" x14ac:dyDescent="0.3">
      <c r="A3" s="13" t="s">
        <v>81</v>
      </c>
      <c r="B3" s="13" t="s">
        <v>82</v>
      </c>
      <c r="C3" s="16">
        <v>0.55000000000000004</v>
      </c>
    </row>
    <row r="4" spans="1:3" ht="15.6" x14ac:dyDescent="0.3">
      <c r="A4" s="13" t="s">
        <v>83</v>
      </c>
      <c r="B4" s="13" t="s">
        <v>84</v>
      </c>
      <c r="C4" s="16">
        <v>0.35</v>
      </c>
    </row>
    <row r="5" spans="1:3" ht="15.6" x14ac:dyDescent="0.3">
      <c r="A5" s="13" t="s">
        <v>101</v>
      </c>
      <c r="B5" s="13" t="s">
        <v>102</v>
      </c>
      <c r="C5" s="16">
        <v>0.35</v>
      </c>
    </row>
    <row r="6" spans="1:3" ht="15.6" x14ac:dyDescent="0.3">
      <c r="A6" s="13" t="s">
        <v>99</v>
      </c>
      <c r="B6" s="13" t="s">
        <v>100</v>
      </c>
      <c r="C6" s="16">
        <v>0.3</v>
      </c>
    </row>
    <row r="7" spans="1:3" ht="15.6" x14ac:dyDescent="0.3">
      <c r="A7" s="13" t="s">
        <v>109</v>
      </c>
      <c r="B7" s="13" t="s">
        <v>110</v>
      </c>
      <c r="C7" s="16">
        <v>0.25</v>
      </c>
    </row>
    <row r="8" spans="1:3" ht="15.6" x14ac:dyDescent="0.3">
      <c r="A8" s="13" t="s">
        <v>95</v>
      </c>
      <c r="B8" s="13" t="s">
        <v>96</v>
      </c>
      <c r="C8" s="16">
        <v>0.2</v>
      </c>
    </row>
    <row r="9" spans="1:3" ht="15.6" x14ac:dyDescent="0.3">
      <c r="A9" s="13" t="s">
        <v>97</v>
      </c>
      <c r="B9" s="13" t="s">
        <v>98</v>
      </c>
      <c r="C9" s="16">
        <v>0.15</v>
      </c>
    </row>
    <row r="10" spans="1:3" ht="15.6" x14ac:dyDescent="0.3">
      <c r="A10" s="13" t="s">
        <v>107</v>
      </c>
      <c r="B10" s="13" t="s">
        <v>450</v>
      </c>
      <c r="C10" s="16">
        <v>0.15</v>
      </c>
    </row>
    <row r="11" spans="1:3" ht="15.6" x14ac:dyDescent="0.3">
      <c r="A11" s="13" t="s">
        <v>79</v>
      </c>
      <c r="B11" s="13" t="s">
        <v>80</v>
      </c>
      <c r="C11" s="16">
        <v>0.1</v>
      </c>
    </row>
    <row r="12" spans="1:3" ht="15.6" x14ac:dyDescent="0.3">
      <c r="A12" s="13" t="s">
        <v>77</v>
      </c>
      <c r="B12" s="13" t="s">
        <v>78</v>
      </c>
      <c r="C12" s="16">
        <v>0.05</v>
      </c>
    </row>
    <row r="13" spans="1:3" ht="15.6" x14ac:dyDescent="0.3">
      <c r="A13" s="13" t="s">
        <v>93</v>
      </c>
      <c r="B13" s="13" t="s">
        <v>94</v>
      </c>
      <c r="C13" s="16">
        <v>0.05</v>
      </c>
    </row>
    <row r="14" spans="1:3" ht="15.6" x14ac:dyDescent="0.3">
      <c r="A14" s="13" t="s">
        <v>105</v>
      </c>
      <c r="B14" s="13" t="s">
        <v>106</v>
      </c>
      <c r="C14" s="16">
        <v>0.05</v>
      </c>
    </row>
    <row r="15" spans="1:3" ht="15.6" x14ac:dyDescent="0.3">
      <c r="A15" s="13" t="s">
        <v>111</v>
      </c>
      <c r="B15" s="13" t="s">
        <v>451</v>
      </c>
      <c r="C15" s="16">
        <v>0.05</v>
      </c>
    </row>
    <row r="16" spans="1:3" ht="15.6" x14ac:dyDescent="0.3">
      <c r="A16" s="13" t="s">
        <v>85</v>
      </c>
      <c r="B16" s="13" t="s">
        <v>86</v>
      </c>
      <c r="C16" s="16">
        <v>0</v>
      </c>
    </row>
    <row r="17" spans="1:3" ht="15.6" x14ac:dyDescent="0.3">
      <c r="A17" s="13" t="s">
        <v>87</v>
      </c>
      <c r="B17" s="13" t="s">
        <v>88</v>
      </c>
      <c r="C17" s="16">
        <v>0</v>
      </c>
    </row>
    <row r="18" spans="1:3" ht="15.6" x14ac:dyDescent="0.3">
      <c r="A18" s="13" t="s">
        <v>89</v>
      </c>
      <c r="B18" s="13" t="s">
        <v>90</v>
      </c>
      <c r="C18" s="16">
        <v>0</v>
      </c>
    </row>
    <row r="19" spans="1:3" ht="15.6" x14ac:dyDescent="0.3">
      <c r="A19" s="13" t="s">
        <v>91</v>
      </c>
      <c r="B19" s="13" t="s">
        <v>92</v>
      </c>
      <c r="C19" s="16">
        <v>0</v>
      </c>
    </row>
    <row r="20" spans="1:3" ht="15.6" x14ac:dyDescent="0.3">
      <c r="A20" s="13" t="s">
        <v>103</v>
      </c>
      <c r="B20" s="13" t="s">
        <v>104</v>
      </c>
      <c r="C20" s="16">
        <v>0</v>
      </c>
    </row>
  </sheetData>
  <sortState xmlns:xlrd2="http://schemas.microsoft.com/office/spreadsheetml/2017/richdata2" ref="A2:C20">
    <sortCondition descending="1" ref="C2:C20"/>
  </sortState>
  <mergeCells count="1">
    <mergeCell ref="A1:C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896FAB-769E-4C5D-B6FC-9793B43392C2}">
  <dimension ref="A1:C15"/>
  <sheetViews>
    <sheetView zoomScaleNormal="100" workbookViewId="0">
      <selection activeCell="I29" sqref="I29"/>
    </sheetView>
  </sheetViews>
  <sheetFormatPr defaultRowHeight="14.4" x14ac:dyDescent="0.3"/>
  <cols>
    <col min="1" max="1" width="15.109375" customWidth="1"/>
    <col min="2" max="2" width="36.6640625" customWidth="1"/>
    <col min="3" max="3" width="14.44140625" customWidth="1"/>
  </cols>
  <sheetData>
    <row r="1" spans="1:3" ht="15.6" x14ac:dyDescent="0.3">
      <c r="A1" s="44" t="s">
        <v>468</v>
      </c>
      <c r="B1" s="44"/>
      <c r="C1" s="44"/>
    </row>
    <row r="2" spans="1:3" ht="15.6" x14ac:dyDescent="0.3">
      <c r="A2" s="17" t="s">
        <v>73</v>
      </c>
      <c r="B2" s="17" t="s">
        <v>483</v>
      </c>
      <c r="C2" s="17" t="s">
        <v>124</v>
      </c>
    </row>
    <row r="3" spans="1:3" ht="15.6" x14ac:dyDescent="0.3">
      <c r="A3" s="13" t="s">
        <v>77</v>
      </c>
      <c r="B3" s="13" t="s">
        <v>458</v>
      </c>
      <c r="C3" s="18">
        <v>0.75975975975975885</v>
      </c>
    </row>
    <row r="4" spans="1:3" ht="15.6" x14ac:dyDescent="0.3">
      <c r="A4" s="13" t="s">
        <v>79</v>
      </c>
      <c r="B4" s="13" t="s">
        <v>456</v>
      </c>
      <c r="C4" s="18">
        <v>-2.5641025641025061E-2</v>
      </c>
    </row>
    <row r="5" spans="1:3" ht="15.6" x14ac:dyDescent="0.3">
      <c r="A5" s="13" t="s">
        <v>81</v>
      </c>
      <c r="B5" s="13" t="s">
        <v>457</v>
      </c>
      <c r="C5" s="18">
        <v>0.13978494623655871</v>
      </c>
    </row>
    <row r="6" spans="1:3" ht="15.6" x14ac:dyDescent="0.3">
      <c r="A6" s="13" t="s">
        <v>83</v>
      </c>
      <c r="B6" s="13" t="s">
        <v>459</v>
      </c>
      <c r="C6" s="18">
        <v>4.0166927490870759E-2</v>
      </c>
    </row>
    <row r="7" spans="1:3" ht="15.6" x14ac:dyDescent="0.3">
      <c r="A7" s="13" t="s">
        <v>93</v>
      </c>
      <c r="B7" s="13" t="s">
        <v>460</v>
      </c>
      <c r="C7" s="18">
        <v>-1.2658227848103261E-2</v>
      </c>
    </row>
    <row r="8" spans="1:3" ht="15.6" x14ac:dyDescent="0.3">
      <c r="A8" s="13" t="s">
        <v>95</v>
      </c>
      <c r="B8" s="13" t="s">
        <v>461</v>
      </c>
      <c r="C8" s="18">
        <v>-5.2631578947367252E-2</v>
      </c>
    </row>
    <row r="9" spans="1:3" ht="15.6" x14ac:dyDescent="0.3">
      <c r="A9" s="13" t="s">
        <v>97</v>
      </c>
      <c r="B9" s="13" t="s">
        <v>462</v>
      </c>
      <c r="C9" s="18">
        <v>-3.8961038961040521E-2</v>
      </c>
    </row>
    <row r="10" spans="1:3" ht="15.6" x14ac:dyDescent="0.3">
      <c r="A10" s="13" t="s">
        <v>99</v>
      </c>
      <c r="B10" s="13" t="s">
        <v>463</v>
      </c>
      <c r="C10" s="18">
        <v>-8.1081081081081793E-2</v>
      </c>
    </row>
    <row r="11" spans="1:3" ht="15.6" x14ac:dyDescent="0.3">
      <c r="A11" s="13" t="s">
        <v>101</v>
      </c>
      <c r="B11" s="13" t="s">
        <v>464</v>
      </c>
      <c r="C11" s="18">
        <v>8.5714285714285923E-2</v>
      </c>
    </row>
    <row r="12" spans="1:3" ht="15.6" x14ac:dyDescent="0.3">
      <c r="A12" s="13" t="s">
        <v>105</v>
      </c>
      <c r="B12" s="13" t="s">
        <v>465</v>
      </c>
      <c r="C12" s="18">
        <v>-1.2658227848103261E-2</v>
      </c>
    </row>
    <row r="13" spans="1:3" ht="15.6" x14ac:dyDescent="0.3">
      <c r="A13" s="13" t="s">
        <v>107</v>
      </c>
      <c r="B13" s="13" t="s">
        <v>466</v>
      </c>
      <c r="C13" s="18">
        <v>-3.8961038961040521E-2</v>
      </c>
    </row>
    <row r="14" spans="1:3" ht="15.6" x14ac:dyDescent="0.3">
      <c r="A14" s="13" t="s">
        <v>109</v>
      </c>
      <c r="B14" s="13" t="s">
        <v>110</v>
      </c>
      <c r="C14" s="18">
        <v>0.61499999999999999</v>
      </c>
    </row>
    <row r="15" spans="1:3" ht="15.6" x14ac:dyDescent="0.3">
      <c r="A15" s="13" t="s">
        <v>111</v>
      </c>
      <c r="B15" s="13" t="s">
        <v>467</v>
      </c>
      <c r="C15" s="18">
        <v>0.31623931623931512</v>
      </c>
    </row>
  </sheetData>
  <mergeCells count="1">
    <mergeCell ref="A1:C1"/>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8807FB-5244-4B02-8C6D-F2EBEEE27C03}">
  <dimension ref="A1:F25"/>
  <sheetViews>
    <sheetView topLeftCell="A13" workbookViewId="0">
      <selection activeCell="F23" sqref="F23"/>
    </sheetView>
  </sheetViews>
  <sheetFormatPr defaultColWidth="26.44140625" defaultRowHeight="15.6" x14ac:dyDescent="0.3"/>
  <cols>
    <col min="1" max="1" width="18.44140625" style="5" customWidth="1"/>
    <col min="2" max="6" width="16.5546875" style="5" customWidth="1"/>
    <col min="7" max="16384" width="26.44140625" style="5"/>
  </cols>
  <sheetData>
    <row r="1" spans="1:6" x14ac:dyDescent="0.3">
      <c r="A1" s="45" t="s">
        <v>472</v>
      </c>
      <c r="B1" s="46"/>
      <c r="C1" s="46"/>
      <c r="D1" s="46"/>
      <c r="E1" s="46"/>
      <c r="F1" s="47"/>
    </row>
    <row r="2" spans="1:6" x14ac:dyDescent="0.3">
      <c r="A2" s="6" t="s">
        <v>437</v>
      </c>
      <c r="B2" s="6" t="s">
        <v>438</v>
      </c>
      <c r="C2" s="6" t="s">
        <v>439</v>
      </c>
      <c r="D2" s="6" t="s">
        <v>24</v>
      </c>
      <c r="E2" s="6" t="s">
        <v>440</v>
      </c>
      <c r="F2" s="6" t="s">
        <v>469</v>
      </c>
    </row>
    <row r="3" spans="1:6" x14ac:dyDescent="0.3">
      <c r="A3" s="7" t="s">
        <v>63</v>
      </c>
      <c r="B3" s="8" cm="1">
        <f t="array" ref="B3">SUMPRODUCT((site_model_risk!$C$2:$C$500=$A3)*(site_model_risk!$E$2:$E$500=B$2)*site_model_risk!$F$2:$F$500)</f>
        <v>3</v>
      </c>
      <c r="C3" s="8" cm="1">
        <f t="array" ref="C3">SUMPRODUCT((site_model_risk!$C$2:$C$500=$A3)*(site_model_risk!$E$2:$E$500=C$2)*site_model_risk!$F$2:$F$500)</f>
        <v>2</v>
      </c>
      <c r="D3" s="8" cm="1">
        <f t="array" ref="D3">SUMPRODUCT((site_model_risk!$C$2:$C$500=$A3)*(site_model_risk!$E$2:$E$500=D$2)*site_model_risk!$F$2:$F$500)</f>
        <v>15</v>
      </c>
      <c r="E3" s="8" cm="1">
        <f t="array" ref="E3">SUMPRODUCT((site_model_risk!$C$2:$C$500=$A3)*(site_model_risk!$E$2:$E$500=E$2)*site_model_risk!$F$2:$F$500)</f>
        <v>2</v>
      </c>
      <c r="F3" s="8">
        <f>MAX(B3:E3)-MIN(B3:E3)</f>
        <v>13</v>
      </c>
    </row>
    <row r="4" spans="1:6" x14ac:dyDescent="0.3">
      <c r="A4" s="7" t="s">
        <v>43</v>
      </c>
      <c r="B4" s="8" cm="1">
        <f t="array" ref="B4">SUMPRODUCT((site_model_risk!$C$2:$C$500=$A4)*(site_model_risk!$E$2:$E$500=B$2)*site_model_risk!$F$2:$F$500)</f>
        <v>8</v>
      </c>
      <c r="C4" s="8" cm="1">
        <f t="array" ref="C4">SUMPRODUCT((site_model_risk!$C$2:$C$500=$A4)*(site_model_risk!$E$2:$E$500=C$2)*site_model_risk!$F$2:$F$500)</f>
        <v>5</v>
      </c>
      <c r="D4" s="8" cm="1">
        <f t="array" ref="D4">SUMPRODUCT((site_model_risk!$C$2:$C$500=$A4)*(site_model_risk!$E$2:$E$500=D$2)*site_model_risk!$F$2:$F$500)</f>
        <v>13</v>
      </c>
      <c r="E4" s="8" cm="1">
        <f t="array" ref="E4">SUMPRODUCT((site_model_risk!$C$2:$C$500=$A4)*(site_model_risk!$E$2:$E$500=E$2)*site_model_risk!$F$2:$F$500)</f>
        <v>2</v>
      </c>
      <c r="F4" s="8">
        <f t="shared" ref="F4:F11" si="0">MAX(B4:E4)-MIN(B4:E4)</f>
        <v>11</v>
      </c>
    </row>
    <row r="5" spans="1:6" x14ac:dyDescent="0.3">
      <c r="A5" s="7" t="s">
        <v>40</v>
      </c>
      <c r="B5" s="8" cm="1">
        <f t="array" ref="B5">SUMPRODUCT((site_model_risk!$C$2:$C$500=$A5)*(site_model_risk!$E$2:$E$500=B$2)*site_model_risk!$F$2:$F$500)</f>
        <v>5</v>
      </c>
      <c r="C5" s="8" cm="1">
        <f t="array" ref="C5">SUMPRODUCT((site_model_risk!$C$2:$C$500=$A5)*(site_model_risk!$E$2:$E$500=C$2)*site_model_risk!$F$2:$F$500)</f>
        <v>13</v>
      </c>
      <c r="D5" s="8" cm="1">
        <f t="array" ref="D5">SUMPRODUCT((site_model_risk!$C$2:$C$500=$A5)*(site_model_risk!$E$2:$E$500=D$2)*site_model_risk!$F$2:$F$500)</f>
        <v>11</v>
      </c>
      <c r="E5" s="8" cm="1">
        <f t="array" ref="E5">SUMPRODUCT((site_model_risk!$C$2:$C$500=$A5)*(site_model_risk!$E$2:$E$500=E$2)*site_model_risk!$F$2:$F$500)</f>
        <v>2</v>
      </c>
      <c r="F5" s="8">
        <f t="shared" si="0"/>
        <v>11</v>
      </c>
    </row>
    <row r="6" spans="1:6" x14ac:dyDescent="0.3">
      <c r="A6" s="7" t="s">
        <v>51</v>
      </c>
      <c r="B6" s="8" cm="1">
        <f t="array" ref="B6">SUMPRODUCT((site_model_risk!$C$2:$C$500=$A6)*(site_model_risk!$E$2:$E$500=B$2)*site_model_risk!$F$2:$F$500)</f>
        <v>5</v>
      </c>
      <c r="C6" s="8" cm="1">
        <f t="array" ref="C6">SUMPRODUCT((site_model_risk!$C$2:$C$500=$A6)*(site_model_risk!$E$2:$E$500=C$2)*site_model_risk!$F$2:$F$500)</f>
        <v>13</v>
      </c>
      <c r="D6" s="8" cm="1">
        <f t="array" ref="D6">SUMPRODUCT((site_model_risk!$C$2:$C$500=$A6)*(site_model_risk!$E$2:$E$500=D$2)*site_model_risk!$F$2:$F$500)</f>
        <v>5</v>
      </c>
      <c r="E6" s="8" cm="1">
        <f t="array" ref="E6">SUMPRODUCT((site_model_risk!$C$2:$C$500=$A6)*(site_model_risk!$E$2:$E$500=E$2)*site_model_risk!$F$2:$F$500)</f>
        <v>2</v>
      </c>
      <c r="F6" s="8">
        <f t="shared" si="0"/>
        <v>11</v>
      </c>
    </row>
    <row r="7" spans="1:6" x14ac:dyDescent="0.3">
      <c r="A7" s="7" t="s">
        <v>55</v>
      </c>
      <c r="B7" s="8" cm="1">
        <f t="array" ref="B7">SUMPRODUCT((site_model_risk!$C$2:$C$500=$A7)*(site_model_risk!$E$2:$E$500=B$2)*site_model_risk!$F$2:$F$500)</f>
        <v>6</v>
      </c>
      <c r="C7" s="8" cm="1">
        <f t="array" ref="C7">SUMPRODUCT((site_model_risk!$C$2:$C$500=$A7)*(site_model_risk!$E$2:$E$500=C$2)*site_model_risk!$F$2:$F$500)</f>
        <v>2</v>
      </c>
      <c r="D7" s="8" cm="1">
        <f t="array" ref="D7">SUMPRODUCT((site_model_risk!$C$2:$C$500=$A7)*(site_model_risk!$E$2:$E$500=D$2)*site_model_risk!$F$2:$F$500)</f>
        <v>10</v>
      </c>
      <c r="E7" s="8" cm="1">
        <f t="array" ref="E7">SUMPRODUCT((site_model_risk!$C$2:$C$500=$A7)*(site_model_risk!$E$2:$E$500=E$2)*site_model_risk!$F$2:$F$500)</f>
        <v>2</v>
      </c>
      <c r="F7" s="8">
        <f t="shared" si="0"/>
        <v>8</v>
      </c>
    </row>
    <row r="8" spans="1:6" x14ac:dyDescent="0.3">
      <c r="A8" s="7" t="s">
        <v>61</v>
      </c>
      <c r="B8" s="8" cm="1">
        <f t="array" ref="B8">SUMPRODUCT((site_model_risk!$C$2:$C$500=$A8)*(site_model_risk!$E$2:$E$500=B$2)*site_model_risk!$F$2:$F$500)</f>
        <v>3</v>
      </c>
      <c r="C8" s="8" cm="1">
        <f t="array" ref="C8">SUMPRODUCT((site_model_risk!$C$2:$C$500=$A8)*(site_model_risk!$E$2:$E$500=C$2)*site_model_risk!$F$2:$F$500)</f>
        <v>5</v>
      </c>
      <c r="D8" s="8" cm="1">
        <f t="array" ref="D8">SUMPRODUCT((site_model_risk!$C$2:$C$500=$A8)*(site_model_risk!$E$2:$E$500=D$2)*site_model_risk!$F$2:$F$500)</f>
        <v>9</v>
      </c>
      <c r="E8" s="8" cm="1">
        <f t="array" ref="E8">SUMPRODUCT((site_model_risk!$C$2:$C$500=$A8)*(site_model_risk!$E$2:$E$500=E$2)*site_model_risk!$F$2:$F$500)</f>
        <v>2</v>
      </c>
      <c r="F8" s="8">
        <f t="shared" si="0"/>
        <v>7</v>
      </c>
    </row>
    <row r="9" spans="1:6" x14ac:dyDescent="0.3">
      <c r="A9" s="7" t="s">
        <v>53</v>
      </c>
      <c r="B9" s="8" cm="1">
        <f t="array" ref="B9">SUMPRODUCT((site_model_risk!$C$2:$C$500=$A9)*(site_model_risk!$E$2:$E$500=B$2)*site_model_risk!$F$2:$F$500)</f>
        <v>3</v>
      </c>
      <c r="C9" s="8" cm="1">
        <f t="array" ref="C9">SUMPRODUCT((site_model_risk!$C$2:$C$500=$A9)*(site_model_risk!$E$2:$E$500=C$2)*site_model_risk!$F$2:$F$500)</f>
        <v>8</v>
      </c>
      <c r="D9" s="8" cm="1">
        <f t="array" ref="D9">SUMPRODUCT((site_model_risk!$C$2:$C$500=$A9)*(site_model_risk!$E$2:$E$500=D$2)*site_model_risk!$F$2:$F$500)</f>
        <v>8</v>
      </c>
      <c r="E9" s="8" cm="1">
        <f t="array" ref="E9">SUMPRODUCT((site_model_risk!$C$2:$C$500=$A9)*(site_model_risk!$E$2:$E$500=E$2)*site_model_risk!$F$2:$F$500)</f>
        <v>2</v>
      </c>
      <c r="F9" s="8">
        <f t="shared" si="0"/>
        <v>6</v>
      </c>
    </row>
    <row r="10" spans="1:6" x14ac:dyDescent="0.3">
      <c r="A10" s="7" t="s">
        <v>28</v>
      </c>
      <c r="B10" s="8" cm="1">
        <f t="array" ref="B10">SUMPRODUCT((site_model_risk!$C$2:$C$500=$A10)*(site_model_risk!$E$2:$E$500=B$2)*site_model_risk!$F$2:$F$500)</f>
        <v>5</v>
      </c>
      <c r="C10" s="8" cm="1">
        <f t="array" ref="C10">SUMPRODUCT((site_model_risk!$C$2:$C$500=$A10)*(site_model_risk!$E$2:$E$500=C$2)*site_model_risk!$F$2:$F$500)</f>
        <v>8</v>
      </c>
      <c r="D10" s="8" cm="1">
        <f t="array" ref="D10">SUMPRODUCT((site_model_risk!$C$2:$C$500=$A10)*(site_model_risk!$E$2:$E$500=D$2)*site_model_risk!$F$2:$F$500)</f>
        <v>5</v>
      </c>
      <c r="E10" s="8" cm="1">
        <f t="array" ref="E10">SUMPRODUCT((site_model_risk!$C$2:$C$500=$A10)*(site_model_risk!$E$2:$E$500=E$2)*site_model_risk!$F$2:$F$500)</f>
        <v>0</v>
      </c>
      <c r="F10" s="8">
        <f t="shared" si="0"/>
        <v>8</v>
      </c>
    </row>
    <row r="11" spans="1:6" x14ac:dyDescent="0.3">
      <c r="A11" s="7" t="s">
        <v>47</v>
      </c>
      <c r="B11" s="8" cm="1">
        <f t="array" ref="B11">SUMPRODUCT((site_model_risk!$C$2:$C$500=$A11)*(site_model_risk!$E$2:$E$500=B$2)*site_model_risk!$F$2:$F$500)</f>
        <v>8</v>
      </c>
      <c r="C11" s="8" cm="1">
        <f t="array" ref="C11">SUMPRODUCT((site_model_risk!$C$2:$C$500=$A11)*(site_model_risk!$E$2:$E$500=C$2)*site_model_risk!$F$2:$F$500)</f>
        <v>5</v>
      </c>
      <c r="D11" s="8" cm="1">
        <f t="array" ref="D11">SUMPRODUCT((site_model_risk!$C$2:$C$500=$A11)*(site_model_risk!$E$2:$E$500=D$2)*site_model_risk!$F$2:$F$500)</f>
        <v>5</v>
      </c>
      <c r="E11" s="8" cm="1">
        <f t="array" ref="E11">SUMPRODUCT((site_model_risk!$C$2:$C$500=$A11)*(site_model_risk!$E$2:$E$500=E$2)*site_model_risk!$F$2:$F$500)</f>
        <v>2</v>
      </c>
      <c r="F11" s="8">
        <f t="shared" si="0"/>
        <v>6</v>
      </c>
    </row>
    <row r="15" spans="1:6" x14ac:dyDescent="0.3">
      <c r="A15" s="45" t="s">
        <v>471</v>
      </c>
      <c r="B15" s="46"/>
      <c r="C15" s="46"/>
      <c r="D15" s="46"/>
      <c r="E15" s="46"/>
      <c r="F15" s="47"/>
    </row>
    <row r="16" spans="1:6" x14ac:dyDescent="0.3">
      <c r="A16" s="6" t="s">
        <v>437</v>
      </c>
      <c r="B16" s="6" t="s">
        <v>438</v>
      </c>
      <c r="C16" s="6" t="s">
        <v>439</v>
      </c>
      <c r="D16" s="6" t="s">
        <v>24</v>
      </c>
      <c r="E16" s="6" t="s">
        <v>440</v>
      </c>
      <c r="F16" s="6" t="s">
        <v>470</v>
      </c>
    </row>
    <row r="17" spans="1:6" x14ac:dyDescent="0.3">
      <c r="A17" s="7" t="s">
        <v>63</v>
      </c>
      <c r="B17" s="8" cm="1">
        <f t="array" ref="B17">SUMPRODUCT((site_model_risk!$C$2:$C$500=$A17)*(site_model_risk!$E$2:$E$500=B$2)*site_model_risk!$G$2:$G$500)</f>
        <v>2</v>
      </c>
      <c r="C17" s="8" cm="1">
        <f t="array" ref="C17">SUMPRODUCT((site_model_risk!$C$2:$C$500=$A17)*(site_model_risk!$E$2:$E$500=C$2)*site_model_risk!$G$2:$G$500)</f>
        <v>1</v>
      </c>
      <c r="D17" s="8" cm="1">
        <f t="array" ref="D17">SUMPRODUCT((site_model_risk!$C$2:$C$500=$A17)*(site_model_risk!$E$2:$E$500=D$2)*site_model_risk!$G$2:$G$500)</f>
        <v>7</v>
      </c>
      <c r="E17" s="8" cm="1">
        <f t="array" ref="E17">SUMPRODUCT((site_model_risk!$C$2:$C$500=$A17)*(site_model_risk!$E$2:$E$500=E$2)*site_model_risk!$G$2:$G$500)</f>
        <v>1</v>
      </c>
      <c r="F17" s="8">
        <f>MAX(B17:E17)-MIN(B17:E17)</f>
        <v>6</v>
      </c>
    </row>
    <row r="18" spans="1:6" x14ac:dyDescent="0.3">
      <c r="A18" s="7" t="s">
        <v>43</v>
      </c>
      <c r="B18" s="8" cm="1">
        <f t="array" ref="B18">SUMPRODUCT((site_model_risk!$C$2:$C$500=$A18)*(site_model_risk!$E$2:$E$500=B$2)*site_model_risk!$G$2:$G$500)</f>
        <v>3</v>
      </c>
      <c r="C18" s="8" cm="1">
        <f t="array" ref="C18">SUMPRODUCT((site_model_risk!$C$2:$C$500=$A18)*(site_model_risk!$E$2:$E$500=C$2)*site_model_risk!$G$2:$G$500)</f>
        <v>2</v>
      </c>
      <c r="D18" s="8" cm="1">
        <f t="array" ref="D18">SUMPRODUCT((site_model_risk!$C$2:$C$500=$A18)*(site_model_risk!$E$2:$E$500=D$2)*site_model_risk!$G$2:$G$500)</f>
        <v>6</v>
      </c>
      <c r="E18" s="8" cm="1">
        <f t="array" ref="E18">SUMPRODUCT((site_model_risk!$C$2:$C$500=$A18)*(site_model_risk!$E$2:$E$500=E$2)*site_model_risk!$G$2:$G$500)</f>
        <v>1</v>
      </c>
      <c r="F18" s="8">
        <f t="shared" ref="F18:F25" si="1">MAX(B18:E18)-MIN(B18:E18)</f>
        <v>5</v>
      </c>
    </row>
    <row r="19" spans="1:6" x14ac:dyDescent="0.3">
      <c r="A19" s="7" t="s">
        <v>40</v>
      </c>
      <c r="B19" s="8" cm="1">
        <f t="array" ref="B19">SUMPRODUCT((site_model_risk!$C$2:$C$500=$A19)*(site_model_risk!$E$2:$E$500=B$2)*site_model_risk!$G$2:$G$500)</f>
        <v>2</v>
      </c>
      <c r="C19" s="8" cm="1">
        <f t="array" ref="C19">SUMPRODUCT((site_model_risk!$C$2:$C$500=$A19)*(site_model_risk!$E$2:$E$500=C$2)*site_model_risk!$G$2:$G$500)</f>
        <v>5</v>
      </c>
      <c r="D19" s="8" cm="1">
        <f t="array" ref="D19">SUMPRODUCT((site_model_risk!$C$2:$C$500=$A19)*(site_model_risk!$E$2:$E$500=D$2)*site_model_risk!$G$2:$G$500)</f>
        <v>4</v>
      </c>
      <c r="E19" s="8" cm="1">
        <f t="array" ref="E19">SUMPRODUCT((site_model_risk!$C$2:$C$500=$A19)*(site_model_risk!$E$2:$E$500=E$2)*site_model_risk!$G$2:$G$500)</f>
        <v>1</v>
      </c>
      <c r="F19" s="8">
        <f t="shared" si="1"/>
        <v>4</v>
      </c>
    </row>
    <row r="20" spans="1:6" x14ac:dyDescent="0.3">
      <c r="A20" s="7" t="s">
        <v>51</v>
      </c>
      <c r="B20" s="8" cm="1">
        <f t="array" ref="B20">SUMPRODUCT((site_model_risk!$C$2:$C$500=$A20)*(site_model_risk!$E$2:$E$500=B$2)*site_model_risk!$G$2:$G$500)</f>
        <v>2</v>
      </c>
      <c r="C20" s="8" cm="1">
        <f t="array" ref="C20">SUMPRODUCT((site_model_risk!$C$2:$C$500=$A20)*(site_model_risk!$E$2:$E$500=C$2)*site_model_risk!$G$2:$G$500)</f>
        <v>6</v>
      </c>
      <c r="D20" s="8" cm="1">
        <f t="array" ref="D20">SUMPRODUCT((site_model_risk!$C$2:$C$500=$A20)*(site_model_risk!$E$2:$E$500=D$2)*site_model_risk!$G$2:$G$500)</f>
        <v>2</v>
      </c>
      <c r="E20" s="8" cm="1">
        <f t="array" ref="E20">SUMPRODUCT((site_model_risk!$C$2:$C$500=$A20)*(site_model_risk!$E$2:$E$500=E$2)*site_model_risk!$G$2:$G$500)</f>
        <v>1</v>
      </c>
      <c r="F20" s="8">
        <f t="shared" si="1"/>
        <v>5</v>
      </c>
    </row>
    <row r="21" spans="1:6" x14ac:dyDescent="0.3">
      <c r="A21" s="7" t="s">
        <v>55</v>
      </c>
      <c r="B21" s="8" cm="1">
        <f t="array" ref="B21">SUMPRODUCT((site_model_risk!$C$2:$C$500=$A21)*(site_model_risk!$E$2:$E$500=B$2)*site_model_risk!$G$2:$G$500)</f>
        <v>3</v>
      </c>
      <c r="C21" s="8" cm="1">
        <f t="array" ref="C21">SUMPRODUCT((site_model_risk!$C$2:$C$500=$A21)*(site_model_risk!$E$2:$E$500=C$2)*site_model_risk!$G$2:$G$500)</f>
        <v>1</v>
      </c>
      <c r="D21" s="8" cm="1">
        <f t="array" ref="D21">SUMPRODUCT((site_model_risk!$C$2:$C$500=$A21)*(site_model_risk!$E$2:$E$500=D$2)*site_model_risk!$G$2:$G$500)</f>
        <v>5</v>
      </c>
      <c r="E21" s="8" cm="1">
        <f t="array" ref="E21">SUMPRODUCT((site_model_risk!$C$2:$C$500=$A21)*(site_model_risk!$E$2:$E$500=E$2)*site_model_risk!$G$2:$G$500)</f>
        <v>1</v>
      </c>
      <c r="F21" s="8">
        <f t="shared" si="1"/>
        <v>4</v>
      </c>
    </row>
    <row r="22" spans="1:6" x14ac:dyDescent="0.3">
      <c r="A22" s="7" t="s">
        <v>61</v>
      </c>
      <c r="B22" s="8" cm="1">
        <f t="array" ref="B22">SUMPRODUCT((site_model_risk!$C$2:$C$500=$A22)*(site_model_risk!$E$2:$E$500=B$2)*site_model_risk!$G$2:$G$500)</f>
        <v>1</v>
      </c>
      <c r="C22" s="8" cm="1">
        <f t="array" ref="C22">SUMPRODUCT((site_model_risk!$C$2:$C$500=$A22)*(site_model_risk!$E$2:$E$500=C$2)*site_model_risk!$G$2:$G$500)</f>
        <v>2</v>
      </c>
      <c r="D22" s="8" cm="1">
        <f t="array" ref="D22">SUMPRODUCT((site_model_risk!$C$2:$C$500=$A22)*(site_model_risk!$E$2:$E$500=D$2)*site_model_risk!$G$2:$G$500)</f>
        <v>4</v>
      </c>
      <c r="E22" s="8" cm="1">
        <f t="array" ref="E22">SUMPRODUCT((site_model_risk!$C$2:$C$500=$A22)*(site_model_risk!$E$2:$E$500=E$2)*site_model_risk!$G$2:$G$500)</f>
        <v>1</v>
      </c>
      <c r="F22" s="8">
        <f t="shared" si="1"/>
        <v>3</v>
      </c>
    </row>
    <row r="23" spans="1:6" x14ac:dyDescent="0.3">
      <c r="A23" s="7" t="s">
        <v>53</v>
      </c>
      <c r="B23" s="8" cm="1">
        <f t="array" ref="B23">SUMPRODUCT((site_model_risk!$C$2:$C$500=$A23)*(site_model_risk!$E$2:$E$500=B$2)*site_model_risk!$G$2:$G$500)</f>
        <v>1</v>
      </c>
      <c r="C23" s="8" cm="1">
        <f t="array" ref="C23">SUMPRODUCT((site_model_risk!$C$2:$C$500=$A23)*(site_model_risk!$E$2:$E$500=C$2)*site_model_risk!$G$2:$G$500)</f>
        <v>3</v>
      </c>
      <c r="D23" s="8" cm="1">
        <f t="array" ref="D23">SUMPRODUCT((site_model_risk!$C$2:$C$500=$A23)*(site_model_risk!$E$2:$E$500=D$2)*site_model_risk!$G$2:$G$500)</f>
        <v>3</v>
      </c>
      <c r="E23" s="8" cm="1">
        <f t="array" ref="E23">SUMPRODUCT((site_model_risk!$C$2:$C$500=$A23)*(site_model_risk!$E$2:$E$500=E$2)*site_model_risk!$G$2:$G$500)</f>
        <v>1</v>
      </c>
      <c r="F23" s="8">
        <f t="shared" si="1"/>
        <v>2</v>
      </c>
    </row>
    <row r="24" spans="1:6" x14ac:dyDescent="0.3">
      <c r="A24" s="7" t="s">
        <v>28</v>
      </c>
      <c r="B24" s="8" cm="1">
        <f t="array" ref="B24">SUMPRODUCT((site_model_risk!$C$2:$C$500=$A24)*(site_model_risk!$E$2:$E$500=B$2)*site_model_risk!$G$2:$G$500)</f>
        <v>2</v>
      </c>
      <c r="C24" s="8" cm="1">
        <f t="array" ref="C24">SUMPRODUCT((site_model_risk!$C$2:$C$500=$A24)*(site_model_risk!$E$2:$E$500=C$2)*site_model_risk!$G$2:$G$500)</f>
        <v>3</v>
      </c>
      <c r="D24" s="8" cm="1">
        <f t="array" ref="D24">SUMPRODUCT((site_model_risk!$C$2:$C$500=$A24)*(site_model_risk!$E$2:$E$500=D$2)*site_model_risk!$G$2:$G$500)</f>
        <v>2</v>
      </c>
      <c r="E24" s="8" cm="1">
        <f t="array" ref="E24">SUMPRODUCT((site_model_risk!$C$2:$C$500=$A24)*(site_model_risk!$E$2:$E$500=E$2)*site_model_risk!$G$2:$G$500)</f>
        <v>0</v>
      </c>
      <c r="F24" s="8">
        <f t="shared" si="1"/>
        <v>3</v>
      </c>
    </row>
    <row r="25" spans="1:6" x14ac:dyDescent="0.3">
      <c r="A25" s="7" t="s">
        <v>47</v>
      </c>
      <c r="B25" s="8" cm="1">
        <f t="array" ref="B25">SUMPRODUCT((site_model_risk!$C$2:$C$500=$A25)*(site_model_risk!$E$2:$E$500=B$2)*site_model_risk!$G$2:$G$500)</f>
        <v>3</v>
      </c>
      <c r="C25" s="8" cm="1">
        <f t="array" ref="C25">SUMPRODUCT((site_model_risk!$C$2:$C$500=$A25)*(site_model_risk!$E$2:$E$500=C$2)*site_model_risk!$G$2:$G$500)</f>
        <v>2</v>
      </c>
      <c r="D25" s="8" cm="1">
        <f t="array" ref="D25">SUMPRODUCT((site_model_risk!$C$2:$C$500=$A25)*(site_model_risk!$E$2:$E$500=D$2)*site_model_risk!$G$2:$G$500)</f>
        <v>2</v>
      </c>
      <c r="E25" s="8" cm="1">
        <f t="array" ref="E25">SUMPRODUCT((site_model_risk!$C$2:$C$500=$A25)*(site_model_risk!$E$2:$E$500=E$2)*site_model_risk!$G$2:$G$500)</f>
        <v>1</v>
      </c>
      <c r="F25" s="8">
        <f t="shared" si="1"/>
        <v>2</v>
      </c>
    </row>
  </sheetData>
  <mergeCells count="2">
    <mergeCell ref="A1:F1"/>
    <mergeCell ref="A15:F15"/>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21"/>
  <sheetViews>
    <sheetView workbookViewId="0">
      <selection activeCell="C2" sqref="C2"/>
    </sheetView>
  </sheetViews>
  <sheetFormatPr defaultRowHeight="14.4" x14ac:dyDescent="0.3"/>
  <cols>
    <col min="1" max="1" width="8.6640625" bestFit="1" customWidth="1"/>
    <col min="2" max="2" width="7.109375" bestFit="1" customWidth="1"/>
    <col min="3" max="3" width="12.5546875" bestFit="1" customWidth="1"/>
    <col min="4" max="4" width="14.33203125" bestFit="1" customWidth="1"/>
    <col min="5" max="5" width="24.88671875" bestFit="1" customWidth="1"/>
    <col min="6" max="6" width="25.21875" bestFit="1" customWidth="1"/>
    <col min="7" max="7" width="22.6640625" bestFit="1" customWidth="1"/>
    <col min="8" max="8" width="23" bestFit="1" customWidth="1"/>
    <col min="9" max="9" width="9.21875" bestFit="1" customWidth="1"/>
    <col min="10" max="10" width="26.5546875" bestFit="1" customWidth="1"/>
    <col min="11" max="11" width="24.21875" bestFit="1" customWidth="1"/>
    <col min="12" max="12" width="32.33203125" bestFit="1" customWidth="1"/>
  </cols>
  <sheetData>
    <row r="1" spans="1:12" x14ac:dyDescent="0.3">
      <c r="A1" s="1" t="s">
        <v>0</v>
      </c>
      <c r="B1" s="1" t="s">
        <v>1</v>
      </c>
      <c r="C1" s="1" t="s">
        <v>2</v>
      </c>
      <c r="D1" s="1" t="s">
        <v>3</v>
      </c>
      <c r="E1" s="1" t="s">
        <v>65</v>
      </c>
      <c r="F1" s="1" t="s">
        <v>66</v>
      </c>
      <c r="G1" s="1" t="s">
        <v>67</v>
      </c>
      <c r="H1" s="1" t="s">
        <v>68</v>
      </c>
      <c r="I1" s="1" t="s">
        <v>69</v>
      </c>
      <c r="J1" s="1" t="s">
        <v>70</v>
      </c>
      <c r="K1" s="1" t="s">
        <v>71</v>
      </c>
      <c r="L1" s="1" t="s">
        <v>72</v>
      </c>
    </row>
    <row r="2" spans="1:12" x14ac:dyDescent="0.3">
      <c r="A2" t="s">
        <v>18</v>
      </c>
      <c r="B2">
        <v>1</v>
      </c>
      <c r="C2" t="s">
        <v>19</v>
      </c>
      <c r="D2" t="s">
        <v>20</v>
      </c>
      <c r="E2">
        <v>1</v>
      </c>
      <c r="F2">
        <v>3</v>
      </c>
      <c r="G2">
        <v>3</v>
      </c>
      <c r="H2">
        <v>8</v>
      </c>
      <c r="I2">
        <v>4</v>
      </c>
      <c r="J2">
        <v>2</v>
      </c>
      <c r="K2">
        <v>5</v>
      </c>
      <c r="L2" t="b">
        <v>0</v>
      </c>
    </row>
    <row r="3" spans="1:12" x14ac:dyDescent="0.3">
      <c r="A3" t="s">
        <v>18</v>
      </c>
      <c r="B3">
        <v>1</v>
      </c>
      <c r="C3" t="s">
        <v>26</v>
      </c>
      <c r="D3" t="s">
        <v>27</v>
      </c>
      <c r="E3">
        <v>1</v>
      </c>
      <c r="F3">
        <v>2</v>
      </c>
      <c r="G3">
        <v>2</v>
      </c>
      <c r="H3">
        <v>5</v>
      </c>
      <c r="I3">
        <v>4</v>
      </c>
      <c r="J3">
        <v>1</v>
      </c>
      <c r="K3">
        <v>3</v>
      </c>
      <c r="L3" t="b">
        <v>0</v>
      </c>
    </row>
    <row r="4" spans="1:12" x14ac:dyDescent="0.3">
      <c r="A4" t="s">
        <v>18</v>
      </c>
      <c r="B4">
        <v>1</v>
      </c>
      <c r="C4" t="s">
        <v>28</v>
      </c>
      <c r="D4" t="s">
        <v>29</v>
      </c>
      <c r="E4">
        <v>0</v>
      </c>
      <c r="F4">
        <v>3</v>
      </c>
      <c r="G4">
        <v>0</v>
      </c>
      <c r="H4">
        <v>8</v>
      </c>
      <c r="I4">
        <v>4</v>
      </c>
      <c r="J4">
        <v>3</v>
      </c>
      <c r="K4">
        <v>8</v>
      </c>
      <c r="L4" t="b">
        <v>0</v>
      </c>
    </row>
    <row r="5" spans="1:12" x14ac:dyDescent="0.3">
      <c r="A5" t="s">
        <v>18</v>
      </c>
      <c r="B5">
        <v>1</v>
      </c>
      <c r="C5" t="s">
        <v>30</v>
      </c>
      <c r="D5" t="s">
        <v>31</v>
      </c>
      <c r="E5">
        <v>0</v>
      </c>
      <c r="F5">
        <v>2</v>
      </c>
      <c r="G5">
        <v>0</v>
      </c>
      <c r="H5">
        <v>5</v>
      </c>
      <c r="I5">
        <v>4</v>
      </c>
      <c r="J5">
        <v>2</v>
      </c>
      <c r="K5">
        <v>5</v>
      </c>
      <c r="L5" t="b">
        <v>0</v>
      </c>
    </row>
    <row r="6" spans="1:12" x14ac:dyDescent="0.3">
      <c r="A6" t="s">
        <v>18</v>
      </c>
      <c r="B6">
        <v>1</v>
      </c>
      <c r="C6" t="s">
        <v>32</v>
      </c>
      <c r="D6" t="s">
        <v>33</v>
      </c>
      <c r="E6">
        <v>1</v>
      </c>
      <c r="F6">
        <v>2</v>
      </c>
      <c r="G6">
        <v>2</v>
      </c>
      <c r="H6">
        <v>5</v>
      </c>
      <c r="I6">
        <v>4</v>
      </c>
      <c r="J6">
        <v>1</v>
      </c>
      <c r="K6">
        <v>3</v>
      </c>
      <c r="L6" t="b">
        <v>0</v>
      </c>
    </row>
    <row r="7" spans="1:12" x14ac:dyDescent="0.3">
      <c r="A7" t="s">
        <v>18</v>
      </c>
      <c r="B7">
        <v>1</v>
      </c>
      <c r="C7" t="s">
        <v>34</v>
      </c>
      <c r="D7" t="s">
        <v>35</v>
      </c>
      <c r="E7">
        <v>0</v>
      </c>
      <c r="F7">
        <v>1</v>
      </c>
      <c r="G7">
        <v>0</v>
      </c>
      <c r="H7">
        <v>3</v>
      </c>
      <c r="I7">
        <v>4</v>
      </c>
      <c r="J7">
        <v>1</v>
      </c>
      <c r="K7">
        <v>3</v>
      </c>
      <c r="L7" t="b">
        <v>0</v>
      </c>
    </row>
    <row r="8" spans="1:12" x14ac:dyDescent="0.3">
      <c r="A8" t="s">
        <v>18</v>
      </c>
      <c r="B8">
        <v>1</v>
      </c>
      <c r="C8" t="s">
        <v>36</v>
      </c>
      <c r="D8" t="s">
        <v>37</v>
      </c>
      <c r="E8">
        <v>1</v>
      </c>
      <c r="F8">
        <v>2</v>
      </c>
      <c r="G8">
        <v>2</v>
      </c>
      <c r="H8">
        <v>5</v>
      </c>
      <c r="I8">
        <v>4</v>
      </c>
      <c r="J8">
        <v>1</v>
      </c>
      <c r="K8">
        <v>3</v>
      </c>
      <c r="L8" t="b">
        <v>0</v>
      </c>
    </row>
    <row r="9" spans="1:12" x14ac:dyDescent="0.3">
      <c r="A9" t="s">
        <v>18</v>
      </c>
      <c r="B9">
        <v>1</v>
      </c>
      <c r="C9" t="s">
        <v>38</v>
      </c>
      <c r="D9" t="s">
        <v>39</v>
      </c>
      <c r="E9">
        <v>1</v>
      </c>
      <c r="F9">
        <v>3</v>
      </c>
      <c r="G9">
        <v>2</v>
      </c>
      <c r="H9">
        <v>7</v>
      </c>
      <c r="I9">
        <v>4</v>
      </c>
      <c r="J9">
        <v>2</v>
      </c>
      <c r="K9">
        <v>5</v>
      </c>
      <c r="L9" t="b">
        <v>0</v>
      </c>
    </row>
    <row r="10" spans="1:12" x14ac:dyDescent="0.3">
      <c r="A10" t="s">
        <v>18</v>
      </c>
      <c r="B10">
        <v>1</v>
      </c>
      <c r="C10" t="s">
        <v>40</v>
      </c>
      <c r="D10" t="s">
        <v>41</v>
      </c>
      <c r="E10">
        <v>1</v>
      </c>
      <c r="F10">
        <v>5</v>
      </c>
      <c r="G10">
        <v>2</v>
      </c>
      <c r="H10">
        <v>13</v>
      </c>
      <c r="I10">
        <v>4</v>
      </c>
      <c r="J10">
        <v>4</v>
      </c>
      <c r="K10">
        <v>11</v>
      </c>
      <c r="L10" t="b">
        <v>1</v>
      </c>
    </row>
    <row r="11" spans="1:12" x14ac:dyDescent="0.3">
      <c r="A11" t="s">
        <v>18</v>
      </c>
      <c r="B11">
        <v>1</v>
      </c>
      <c r="C11" t="s">
        <v>43</v>
      </c>
      <c r="D11" t="s">
        <v>44</v>
      </c>
      <c r="E11">
        <v>1</v>
      </c>
      <c r="F11">
        <v>6</v>
      </c>
      <c r="G11">
        <v>2</v>
      </c>
      <c r="H11">
        <v>13</v>
      </c>
      <c r="I11">
        <v>4</v>
      </c>
      <c r="J11">
        <v>5</v>
      </c>
      <c r="K11">
        <v>11</v>
      </c>
      <c r="L11" t="b">
        <v>1</v>
      </c>
    </row>
    <row r="12" spans="1:12" x14ac:dyDescent="0.3">
      <c r="A12" t="s">
        <v>18</v>
      </c>
      <c r="B12">
        <v>1</v>
      </c>
      <c r="C12" t="s">
        <v>45</v>
      </c>
      <c r="D12" t="s">
        <v>46</v>
      </c>
      <c r="E12">
        <v>1</v>
      </c>
      <c r="F12">
        <v>1</v>
      </c>
      <c r="G12">
        <v>2</v>
      </c>
      <c r="H12">
        <v>2</v>
      </c>
      <c r="I12">
        <v>4</v>
      </c>
      <c r="J12">
        <v>0</v>
      </c>
      <c r="K12">
        <v>0</v>
      </c>
      <c r="L12" t="b">
        <v>0</v>
      </c>
    </row>
    <row r="13" spans="1:12" x14ac:dyDescent="0.3">
      <c r="A13" t="s">
        <v>18</v>
      </c>
      <c r="B13">
        <v>1</v>
      </c>
      <c r="C13" t="s">
        <v>63</v>
      </c>
      <c r="D13" t="s">
        <v>64</v>
      </c>
      <c r="E13">
        <v>1</v>
      </c>
      <c r="F13">
        <v>7</v>
      </c>
      <c r="G13">
        <v>2</v>
      </c>
      <c r="H13">
        <v>15</v>
      </c>
      <c r="I13">
        <v>4</v>
      </c>
      <c r="J13">
        <v>6</v>
      </c>
      <c r="K13">
        <v>13</v>
      </c>
      <c r="L13" t="b">
        <v>1</v>
      </c>
    </row>
    <row r="14" spans="1:12" x14ac:dyDescent="0.3">
      <c r="A14" t="s">
        <v>18</v>
      </c>
      <c r="B14">
        <v>1</v>
      </c>
      <c r="C14" t="s">
        <v>47</v>
      </c>
      <c r="D14" t="s">
        <v>48</v>
      </c>
      <c r="E14">
        <v>1</v>
      </c>
      <c r="F14">
        <v>3</v>
      </c>
      <c r="G14">
        <v>2</v>
      </c>
      <c r="H14">
        <v>8</v>
      </c>
      <c r="I14">
        <v>4</v>
      </c>
      <c r="J14">
        <v>2</v>
      </c>
      <c r="K14">
        <v>6</v>
      </c>
      <c r="L14" t="b">
        <v>0</v>
      </c>
    </row>
    <row r="15" spans="1:12" x14ac:dyDescent="0.3">
      <c r="A15" t="s">
        <v>18</v>
      </c>
      <c r="B15">
        <v>1</v>
      </c>
      <c r="C15" t="s">
        <v>49</v>
      </c>
      <c r="D15" t="s">
        <v>50</v>
      </c>
      <c r="E15">
        <v>1</v>
      </c>
      <c r="F15">
        <v>3</v>
      </c>
      <c r="G15">
        <v>2</v>
      </c>
      <c r="H15">
        <v>6</v>
      </c>
      <c r="I15">
        <v>4</v>
      </c>
      <c r="J15">
        <v>2</v>
      </c>
      <c r="K15">
        <v>4</v>
      </c>
      <c r="L15" t="b">
        <v>0</v>
      </c>
    </row>
    <row r="16" spans="1:12" x14ac:dyDescent="0.3">
      <c r="A16" t="s">
        <v>18</v>
      </c>
      <c r="B16">
        <v>1</v>
      </c>
      <c r="C16" t="s">
        <v>51</v>
      </c>
      <c r="D16" t="s">
        <v>52</v>
      </c>
      <c r="E16">
        <v>1</v>
      </c>
      <c r="F16">
        <v>6</v>
      </c>
      <c r="G16">
        <v>2</v>
      </c>
      <c r="H16">
        <v>13</v>
      </c>
      <c r="I16">
        <v>4</v>
      </c>
      <c r="J16">
        <v>5</v>
      </c>
      <c r="K16">
        <v>11</v>
      </c>
      <c r="L16" t="b">
        <v>1</v>
      </c>
    </row>
    <row r="17" spans="1:12" x14ac:dyDescent="0.3">
      <c r="A17" t="s">
        <v>18</v>
      </c>
      <c r="B17">
        <v>1</v>
      </c>
      <c r="C17" t="s">
        <v>53</v>
      </c>
      <c r="D17" t="s">
        <v>54</v>
      </c>
      <c r="E17">
        <v>1</v>
      </c>
      <c r="F17">
        <v>3</v>
      </c>
      <c r="G17">
        <v>2</v>
      </c>
      <c r="H17">
        <v>8</v>
      </c>
      <c r="I17">
        <v>4</v>
      </c>
      <c r="J17">
        <v>2</v>
      </c>
      <c r="K17">
        <v>6</v>
      </c>
      <c r="L17" t="b">
        <v>0</v>
      </c>
    </row>
    <row r="18" spans="1:12" x14ac:dyDescent="0.3">
      <c r="A18" t="s">
        <v>18</v>
      </c>
      <c r="B18">
        <v>1</v>
      </c>
      <c r="C18" t="s">
        <v>55</v>
      </c>
      <c r="D18" t="s">
        <v>56</v>
      </c>
      <c r="E18">
        <v>1</v>
      </c>
      <c r="F18">
        <v>5</v>
      </c>
      <c r="G18">
        <v>2</v>
      </c>
      <c r="H18">
        <v>10</v>
      </c>
      <c r="I18">
        <v>4</v>
      </c>
      <c r="J18">
        <v>4</v>
      </c>
      <c r="K18">
        <v>8</v>
      </c>
      <c r="L18" t="b">
        <v>1</v>
      </c>
    </row>
    <row r="19" spans="1:12" x14ac:dyDescent="0.3">
      <c r="A19" t="s">
        <v>18</v>
      </c>
      <c r="B19">
        <v>1</v>
      </c>
      <c r="C19" t="s">
        <v>57</v>
      </c>
      <c r="D19" t="s">
        <v>58</v>
      </c>
      <c r="E19">
        <v>1</v>
      </c>
      <c r="F19">
        <v>3</v>
      </c>
      <c r="G19">
        <v>2</v>
      </c>
      <c r="H19">
        <v>7</v>
      </c>
      <c r="I19">
        <v>4</v>
      </c>
      <c r="J19">
        <v>2</v>
      </c>
      <c r="K19">
        <v>5</v>
      </c>
      <c r="L19" t="b">
        <v>0</v>
      </c>
    </row>
    <row r="20" spans="1:12" x14ac:dyDescent="0.3">
      <c r="A20" t="s">
        <v>18</v>
      </c>
      <c r="B20">
        <v>1</v>
      </c>
      <c r="C20" t="s">
        <v>59</v>
      </c>
      <c r="D20" t="s">
        <v>60</v>
      </c>
      <c r="E20">
        <v>1</v>
      </c>
      <c r="F20">
        <v>2</v>
      </c>
      <c r="G20">
        <v>2</v>
      </c>
      <c r="H20">
        <v>5</v>
      </c>
      <c r="I20">
        <v>4</v>
      </c>
      <c r="J20">
        <v>1</v>
      </c>
      <c r="K20">
        <v>3</v>
      </c>
      <c r="L20" t="b">
        <v>0</v>
      </c>
    </row>
    <row r="21" spans="1:12" x14ac:dyDescent="0.3">
      <c r="A21" t="s">
        <v>18</v>
      </c>
      <c r="B21">
        <v>1</v>
      </c>
      <c r="C21" t="s">
        <v>61</v>
      </c>
      <c r="D21" t="s">
        <v>62</v>
      </c>
      <c r="E21">
        <v>1</v>
      </c>
      <c r="F21">
        <v>4</v>
      </c>
      <c r="G21">
        <v>2</v>
      </c>
      <c r="H21">
        <v>9</v>
      </c>
      <c r="I21">
        <v>4</v>
      </c>
      <c r="J21">
        <v>3</v>
      </c>
      <c r="K21">
        <v>7</v>
      </c>
      <c r="L21" t="b">
        <v>0</v>
      </c>
    </row>
  </sheetData>
  <sortState xmlns:xlrd2="http://schemas.microsoft.com/office/spreadsheetml/2017/richdata2" ref="A2:L21">
    <sortCondition ref="C2:C21"/>
  </sortState>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7"/>
  <sheetViews>
    <sheetView workbookViewId="0">
      <selection activeCell="D7" sqref="D7"/>
    </sheetView>
  </sheetViews>
  <sheetFormatPr defaultColWidth="13.21875" defaultRowHeight="14.4" x14ac:dyDescent="0.3"/>
  <sheetData>
    <row r="1" spans="1:6" x14ac:dyDescent="0.3">
      <c r="A1" s="1" t="s">
        <v>0</v>
      </c>
      <c r="B1" s="1" t="s">
        <v>1</v>
      </c>
      <c r="C1" s="1" t="s">
        <v>120</v>
      </c>
      <c r="D1" s="1" t="s">
        <v>121</v>
      </c>
      <c r="E1" s="1" t="s">
        <v>122</v>
      </c>
      <c r="F1" s="1" t="s">
        <v>123</v>
      </c>
    </row>
    <row r="2" spans="1:6" x14ac:dyDescent="0.3">
      <c r="A2" t="s">
        <v>18</v>
      </c>
      <c r="B2">
        <v>1</v>
      </c>
      <c r="C2" t="s">
        <v>21</v>
      </c>
      <c r="D2" t="s">
        <v>23</v>
      </c>
      <c r="E2">
        <v>0.92222222222222228</v>
      </c>
      <c r="F2">
        <v>360</v>
      </c>
    </row>
    <row r="3" spans="1:6" x14ac:dyDescent="0.3">
      <c r="A3" t="s">
        <v>18</v>
      </c>
      <c r="B3">
        <v>1</v>
      </c>
      <c r="C3" t="s">
        <v>21</v>
      </c>
      <c r="D3" t="s">
        <v>24</v>
      </c>
      <c r="E3">
        <v>0.90555555555555556</v>
      </c>
      <c r="F3">
        <v>360</v>
      </c>
    </row>
    <row r="4" spans="1:6" x14ac:dyDescent="0.3">
      <c r="A4" t="s">
        <v>18</v>
      </c>
      <c r="B4">
        <v>1</v>
      </c>
      <c r="C4" t="s">
        <v>21</v>
      </c>
      <c r="D4" t="s">
        <v>25</v>
      </c>
      <c r="E4">
        <v>0.96470588235294119</v>
      </c>
      <c r="F4">
        <v>340</v>
      </c>
    </row>
    <row r="5" spans="1:6" x14ac:dyDescent="0.3">
      <c r="A5" t="s">
        <v>18</v>
      </c>
      <c r="B5">
        <v>1</v>
      </c>
      <c r="C5" t="s">
        <v>23</v>
      </c>
      <c r="D5" t="s">
        <v>24</v>
      </c>
      <c r="E5">
        <v>0.88888888888888884</v>
      </c>
      <c r="F5">
        <v>360</v>
      </c>
    </row>
    <row r="6" spans="1:6" x14ac:dyDescent="0.3">
      <c r="A6" t="s">
        <v>18</v>
      </c>
      <c r="B6">
        <v>1</v>
      </c>
      <c r="C6" t="s">
        <v>23</v>
      </c>
      <c r="D6" t="s">
        <v>25</v>
      </c>
      <c r="E6">
        <v>0.94117647058823528</v>
      </c>
      <c r="F6">
        <v>340</v>
      </c>
    </row>
    <row r="7" spans="1:6" x14ac:dyDescent="0.3">
      <c r="A7" t="s">
        <v>18</v>
      </c>
      <c r="B7">
        <v>1</v>
      </c>
      <c r="C7" t="s">
        <v>24</v>
      </c>
      <c r="D7" t="s">
        <v>25</v>
      </c>
      <c r="E7">
        <v>0.9205882352941176</v>
      </c>
      <c r="F7">
        <v>340</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72"/>
  <sheetViews>
    <sheetView workbookViewId="0">
      <selection activeCell="M5" sqref="M5"/>
    </sheetView>
  </sheetViews>
  <sheetFormatPr defaultRowHeight="14.4" x14ac:dyDescent="0.3"/>
  <cols>
    <col min="1" max="1" width="8.6640625" bestFit="1" customWidth="1"/>
    <col min="2" max="2" width="7.109375" bestFit="1" customWidth="1"/>
    <col min="3" max="3" width="11" bestFit="1" customWidth="1"/>
    <col min="4" max="4" width="37.21875" bestFit="1" customWidth="1"/>
    <col min="5" max="5" width="7.6640625" bestFit="1" customWidth="1"/>
    <col min="6" max="6" width="11.21875" bestFit="1" customWidth="1"/>
    <col min="7" max="7" width="9.77734375" bestFit="1" customWidth="1"/>
    <col min="8" max="8" width="18" bestFit="1" customWidth="1"/>
    <col min="9" max="9" width="21.6640625" bestFit="1" customWidth="1"/>
    <col min="10" max="10" width="16.33203125" bestFit="1" customWidth="1"/>
  </cols>
  <sheetData>
    <row r="1" spans="1:13" x14ac:dyDescent="0.3">
      <c r="A1" s="1" t="s">
        <v>0</v>
      </c>
      <c r="B1" s="1" t="s">
        <v>1</v>
      </c>
      <c r="C1" s="1" t="s">
        <v>73</v>
      </c>
      <c r="D1" s="1" t="s">
        <v>74</v>
      </c>
      <c r="E1" s="1" t="s">
        <v>4</v>
      </c>
      <c r="F1" s="1" t="s">
        <v>75</v>
      </c>
      <c r="G1" s="1" t="s">
        <v>76</v>
      </c>
      <c r="H1" s="1" t="s">
        <v>8</v>
      </c>
      <c r="I1" s="1" t="s">
        <v>9</v>
      </c>
      <c r="J1" s="1" t="s">
        <v>17</v>
      </c>
    </row>
    <row r="2" spans="1:13" x14ac:dyDescent="0.3">
      <c r="A2" t="s">
        <v>18</v>
      </c>
      <c r="B2">
        <v>1</v>
      </c>
      <c r="C2" t="s">
        <v>77</v>
      </c>
      <c r="D2" t="s">
        <v>78</v>
      </c>
      <c r="E2" t="s">
        <v>21</v>
      </c>
      <c r="F2">
        <v>0.05</v>
      </c>
      <c r="G2">
        <v>1</v>
      </c>
      <c r="H2">
        <v>0</v>
      </c>
      <c r="I2">
        <v>8</v>
      </c>
      <c r="J2">
        <v>0</v>
      </c>
    </row>
    <row r="3" spans="1:13" x14ac:dyDescent="0.3">
      <c r="A3" t="s">
        <v>18</v>
      </c>
      <c r="B3">
        <v>1</v>
      </c>
      <c r="C3" t="s">
        <v>77</v>
      </c>
      <c r="D3" t="s">
        <v>78</v>
      </c>
      <c r="E3" t="s">
        <v>23</v>
      </c>
      <c r="F3">
        <v>0.1</v>
      </c>
      <c r="G3">
        <v>2</v>
      </c>
      <c r="H3">
        <v>0</v>
      </c>
      <c r="I3">
        <v>13</v>
      </c>
      <c r="J3">
        <v>0</v>
      </c>
    </row>
    <row r="4" spans="1:13" x14ac:dyDescent="0.3">
      <c r="A4" t="s">
        <v>18</v>
      </c>
      <c r="B4">
        <v>1</v>
      </c>
      <c r="C4" t="s">
        <v>77</v>
      </c>
      <c r="D4" t="s">
        <v>78</v>
      </c>
      <c r="E4" t="s">
        <v>24</v>
      </c>
      <c r="F4">
        <v>0.1</v>
      </c>
      <c r="G4">
        <v>2</v>
      </c>
      <c r="H4">
        <v>0</v>
      </c>
      <c r="I4">
        <v>2</v>
      </c>
      <c r="J4">
        <v>0</v>
      </c>
      <c r="M4">
        <f>SUMIFS($G$2:$G$72, $E$2:$E$72, "GPT", $C$2:$C$72, "&gt;=R01", $C$2:$C$72, "&lt;=R06")</f>
        <v>27</v>
      </c>
    </row>
    <row r="5" spans="1:13" x14ac:dyDescent="0.3">
      <c r="A5" t="s">
        <v>18</v>
      </c>
      <c r="B5">
        <v>1</v>
      </c>
      <c r="C5" t="s">
        <v>77</v>
      </c>
      <c r="D5" t="s">
        <v>78</v>
      </c>
      <c r="E5" t="s">
        <v>25</v>
      </c>
      <c r="F5">
        <v>0.05</v>
      </c>
      <c r="G5">
        <v>1</v>
      </c>
      <c r="H5">
        <v>0</v>
      </c>
      <c r="I5">
        <v>2</v>
      </c>
      <c r="J5">
        <v>0</v>
      </c>
    </row>
    <row r="6" spans="1:13" x14ac:dyDescent="0.3">
      <c r="A6" t="s">
        <v>18</v>
      </c>
      <c r="B6">
        <v>1</v>
      </c>
      <c r="C6" t="s">
        <v>79</v>
      </c>
      <c r="D6" t="s">
        <v>80</v>
      </c>
      <c r="E6" t="s">
        <v>21</v>
      </c>
      <c r="F6">
        <v>0</v>
      </c>
      <c r="G6">
        <v>0</v>
      </c>
      <c r="H6">
        <v>0</v>
      </c>
      <c r="I6">
        <v>20</v>
      </c>
      <c r="J6">
        <v>0</v>
      </c>
    </row>
    <row r="7" spans="1:13" x14ac:dyDescent="0.3">
      <c r="A7" t="s">
        <v>18</v>
      </c>
      <c r="B7">
        <v>1</v>
      </c>
      <c r="C7" t="s">
        <v>79</v>
      </c>
      <c r="D7" t="s">
        <v>80</v>
      </c>
      <c r="E7" t="s">
        <v>23</v>
      </c>
      <c r="F7">
        <v>0.1</v>
      </c>
      <c r="G7">
        <v>2</v>
      </c>
      <c r="H7">
        <v>0</v>
      </c>
      <c r="I7">
        <v>20</v>
      </c>
      <c r="J7">
        <v>0</v>
      </c>
    </row>
    <row r="8" spans="1:13" x14ac:dyDescent="0.3">
      <c r="A8" t="s">
        <v>18</v>
      </c>
      <c r="B8">
        <v>1</v>
      </c>
      <c r="C8" t="s">
        <v>79</v>
      </c>
      <c r="D8" t="s">
        <v>80</v>
      </c>
      <c r="E8" t="s">
        <v>24</v>
      </c>
      <c r="F8">
        <v>0</v>
      </c>
      <c r="G8">
        <v>0</v>
      </c>
      <c r="H8">
        <v>0</v>
      </c>
      <c r="I8">
        <v>16</v>
      </c>
      <c r="J8">
        <v>0</v>
      </c>
    </row>
    <row r="9" spans="1:13" x14ac:dyDescent="0.3">
      <c r="A9" t="s">
        <v>18</v>
      </c>
      <c r="B9">
        <v>1</v>
      </c>
      <c r="C9" t="s">
        <v>79</v>
      </c>
      <c r="D9" t="s">
        <v>80</v>
      </c>
      <c r="E9" t="s">
        <v>25</v>
      </c>
      <c r="F9">
        <v>0</v>
      </c>
      <c r="G9">
        <v>0</v>
      </c>
      <c r="H9">
        <v>0</v>
      </c>
      <c r="I9">
        <v>20</v>
      </c>
      <c r="J9">
        <v>0</v>
      </c>
    </row>
    <row r="10" spans="1:13" x14ac:dyDescent="0.3">
      <c r="A10" t="s">
        <v>18</v>
      </c>
      <c r="B10">
        <v>1</v>
      </c>
      <c r="C10" t="s">
        <v>81</v>
      </c>
      <c r="D10" t="s">
        <v>82</v>
      </c>
      <c r="E10" t="s">
        <v>21</v>
      </c>
      <c r="F10">
        <v>0.7</v>
      </c>
      <c r="G10">
        <v>14</v>
      </c>
      <c r="H10">
        <v>0</v>
      </c>
      <c r="I10">
        <v>20</v>
      </c>
      <c r="J10">
        <v>0</v>
      </c>
    </row>
    <row r="11" spans="1:13" x14ac:dyDescent="0.3">
      <c r="A11" t="s">
        <v>18</v>
      </c>
      <c r="B11">
        <v>1</v>
      </c>
      <c r="C11" t="s">
        <v>81</v>
      </c>
      <c r="D11" t="s">
        <v>82</v>
      </c>
      <c r="E11" t="s">
        <v>23</v>
      </c>
      <c r="F11">
        <v>0.6</v>
      </c>
      <c r="G11">
        <v>12</v>
      </c>
      <c r="H11">
        <v>0</v>
      </c>
      <c r="I11">
        <v>20</v>
      </c>
      <c r="J11">
        <v>0</v>
      </c>
    </row>
    <row r="12" spans="1:13" x14ac:dyDescent="0.3">
      <c r="A12" t="s">
        <v>18</v>
      </c>
      <c r="B12">
        <v>1</v>
      </c>
      <c r="C12" t="s">
        <v>81</v>
      </c>
      <c r="D12" t="s">
        <v>82</v>
      </c>
      <c r="E12" t="s">
        <v>24</v>
      </c>
      <c r="F12">
        <v>0.9</v>
      </c>
      <c r="G12">
        <v>18</v>
      </c>
      <c r="H12">
        <v>0</v>
      </c>
      <c r="I12">
        <v>20</v>
      </c>
      <c r="J12">
        <v>0</v>
      </c>
    </row>
    <row r="13" spans="1:13" x14ac:dyDescent="0.3">
      <c r="A13" t="s">
        <v>18</v>
      </c>
      <c r="B13">
        <v>1</v>
      </c>
      <c r="C13" t="s">
        <v>81</v>
      </c>
      <c r="D13" t="s">
        <v>82</v>
      </c>
      <c r="E13" t="s">
        <v>25</v>
      </c>
      <c r="F13">
        <v>0.9</v>
      </c>
      <c r="G13">
        <v>18</v>
      </c>
      <c r="H13">
        <v>0</v>
      </c>
      <c r="I13">
        <v>20</v>
      </c>
      <c r="J13">
        <v>0</v>
      </c>
    </row>
    <row r="14" spans="1:13" x14ac:dyDescent="0.3">
      <c r="A14" t="s">
        <v>18</v>
      </c>
      <c r="B14">
        <v>1</v>
      </c>
      <c r="C14" t="s">
        <v>83</v>
      </c>
      <c r="D14" t="s">
        <v>84</v>
      </c>
      <c r="E14" t="s">
        <v>21</v>
      </c>
      <c r="F14">
        <v>0</v>
      </c>
      <c r="G14">
        <v>0</v>
      </c>
      <c r="H14">
        <v>0</v>
      </c>
      <c r="I14">
        <v>20</v>
      </c>
      <c r="J14">
        <v>0</v>
      </c>
    </row>
    <row r="15" spans="1:13" x14ac:dyDescent="0.3">
      <c r="A15" t="s">
        <v>18</v>
      </c>
      <c r="B15">
        <v>1</v>
      </c>
      <c r="C15" t="s">
        <v>83</v>
      </c>
      <c r="D15" t="s">
        <v>84</v>
      </c>
      <c r="E15" t="s">
        <v>23</v>
      </c>
      <c r="F15">
        <v>0.1</v>
      </c>
      <c r="G15">
        <v>2</v>
      </c>
      <c r="H15">
        <v>0</v>
      </c>
      <c r="I15">
        <v>19</v>
      </c>
      <c r="J15">
        <v>0</v>
      </c>
    </row>
    <row r="16" spans="1:13" x14ac:dyDescent="0.3">
      <c r="A16" t="s">
        <v>18</v>
      </c>
      <c r="B16">
        <v>1</v>
      </c>
      <c r="C16" t="s">
        <v>83</v>
      </c>
      <c r="D16" t="s">
        <v>84</v>
      </c>
      <c r="E16" t="s">
        <v>24</v>
      </c>
      <c r="F16">
        <v>0.35</v>
      </c>
      <c r="G16">
        <v>7</v>
      </c>
      <c r="H16">
        <v>1</v>
      </c>
      <c r="I16">
        <v>16</v>
      </c>
      <c r="J16">
        <v>6.25E-2</v>
      </c>
    </row>
    <row r="17" spans="1:10" x14ac:dyDescent="0.3">
      <c r="A17" t="s">
        <v>18</v>
      </c>
      <c r="B17">
        <v>1</v>
      </c>
      <c r="C17" t="s">
        <v>83</v>
      </c>
      <c r="D17" t="s">
        <v>84</v>
      </c>
      <c r="E17" t="s">
        <v>25</v>
      </c>
      <c r="F17">
        <v>0</v>
      </c>
      <c r="G17">
        <v>0</v>
      </c>
      <c r="H17">
        <v>0</v>
      </c>
      <c r="I17">
        <v>20</v>
      </c>
      <c r="J17">
        <v>0</v>
      </c>
    </row>
    <row r="18" spans="1:10" x14ac:dyDescent="0.3">
      <c r="A18" t="s">
        <v>18</v>
      </c>
      <c r="B18">
        <v>1</v>
      </c>
      <c r="C18" t="s">
        <v>85</v>
      </c>
      <c r="D18" t="s">
        <v>86</v>
      </c>
      <c r="E18" t="s">
        <v>21</v>
      </c>
      <c r="F18">
        <v>0</v>
      </c>
      <c r="G18">
        <v>0</v>
      </c>
      <c r="H18">
        <v>0</v>
      </c>
      <c r="I18">
        <v>20</v>
      </c>
      <c r="J18">
        <v>0</v>
      </c>
    </row>
    <row r="19" spans="1:10" x14ac:dyDescent="0.3">
      <c r="A19" t="s">
        <v>18</v>
      </c>
      <c r="B19">
        <v>1</v>
      </c>
      <c r="C19" t="s">
        <v>85</v>
      </c>
      <c r="D19" t="s">
        <v>86</v>
      </c>
      <c r="E19" t="s">
        <v>23</v>
      </c>
      <c r="F19">
        <v>0</v>
      </c>
      <c r="G19">
        <v>0</v>
      </c>
      <c r="H19">
        <v>0</v>
      </c>
      <c r="I19">
        <v>20</v>
      </c>
      <c r="J19">
        <v>0</v>
      </c>
    </row>
    <row r="20" spans="1:10" x14ac:dyDescent="0.3">
      <c r="A20" t="s">
        <v>18</v>
      </c>
      <c r="B20">
        <v>1</v>
      </c>
      <c r="C20" t="s">
        <v>85</v>
      </c>
      <c r="D20" t="s">
        <v>86</v>
      </c>
      <c r="E20" t="s">
        <v>24</v>
      </c>
      <c r="F20">
        <v>0</v>
      </c>
      <c r="G20">
        <v>0</v>
      </c>
      <c r="H20">
        <v>0</v>
      </c>
      <c r="I20">
        <v>19</v>
      </c>
      <c r="J20">
        <v>0</v>
      </c>
    </row>
    <row r="21" spans="1:10" x14ac:dyDescent="0.3">
      <c r="A21" t="s">
        <v>18</v>
      </c>
      <c r="B21">
        <v>1</v>
      </c>
      <c r="C21" t="s">
        <v>85</v>
      </c>
      <c r="D21" t="s">
        <v>86</v>
      </c>
      <c r="E21" t="s">
        <v>25</v>
      </c>
      <c r="F21">
        <v>0</v>
      </c>
      <c r="G21">
        <v>0</v>
      </c>
      <c r="H21">
        <v>0</v>
      </c>
      <c r="I21">
        <v>20</v>
      </c>
      <c r="J21">
        <v>0</v>
      </c>
    </row>
    <row r="22" spans="1:10" x14ac:dyDescent="0.3">
      <c r="A22" t="s">
        <v>18</v>
      </c>
      <c r="B22">
        <v>1</v>
      </c>
      <c r="C22" t="s">
        <v>87</v>
      </c>
      <c r="D22" t="s">
        <v>88</v>
      </c>
      <c r="E22" t="s">
        <v>21</v>
      </c>
      <c r="F22">
        <v>0</v>
      </c>
      <c r="G22">
        <v>0</v>
      </c>
      <c r="H22">
        <v>0</v>
      </c>
      <c r="I22">
        <v>9</v>
      </c>
      <c r="J22">
        <v>0</v>
      </c>
    </row>
    <row r="23" spans="1:10" x14ac:dyDescent="0.3">
      <c r="A23" t="s">
        <v>18</v>
      </c>
      <c r="B23">
        <v>1</v>
      </c>
      <c r="C23" t="s">
        <v>87</v>
      </c>
      <c r="D23" t="s">
        <v>88</v>
      </c>
      <c r="E23" t="s">
        <v>23</v>
      </c>
      <c r="F23">
        <v>0</v>
      </c>
      <c r="G23">
        <v>0</v>
      </c>
      <c r="H23">
        <v>0</v>
      </c>
      <c r="I23">
        <v>17</v>
      </c>
      <c r="J23">
        <v>0</v>
      </c>
    </row>
    <row r="24" spans="1:10" x14ac:dyDescent="0.3">
      <c r="A24" t="s">
        <v>18</v>
      </c>
      <c r="B24">
        <v>1</v>
      </c>
      <c r="C24" t="s">
        <v>87</v>
      </c>
      <c r="D24" t="s">
        <v>88</v>
      </c>
      <c r="E24" t="s">
        <v>24</v>
      </c>
      <c r="F24">
        <v>0</v>
      </c>
      <c r="G24">
        <v>0</v>
      </c>
      <c r="H24">
        <v>4</v>
      </c>
      <c r="I24">
        <v>15</v>
      </c>
      <c r="J24">
        <v>0.26666666666666672</v>
      </c>
    </row>
    <row r="25" spans="1:10" x14ac:dyDescent="0.3">
      <c r="A25" t="s">
        <v>18</v>
      </c>
      <c r="B25">
        <v>1</v>
      </c>
      <c r="C25" t="s">
        <v>87</v>
      </c>
      <c r="D25" t="s">
        <v>88</v>
      </c>
      <c r="E25" t="s">
        <v>25</v>
      </c>
      <c r="F25">
        <v>0</v>
      </c>
      <c r="G25">
        <v>0</v>
      </c>
      <c r="H25">
        <v>0</v>
      </c>
      <c r="I25">
        <v>1</v>
      </c>
      <c r="J25">
        <v>0</v>
      </c>
    </row>
    <row r="26" spans="1:10" x14ac:dyDescent="0.3">
      <c r="A26" t="s">
        <v>18</v>
      </c>
      <c r="B26">
        <v>1</v>
      </c>
      <c r="C26" t="s">
        <v>89</v>
      </c>
      <c r="D26" t="s">
        <v>90</v>
      </c>
      <c r="E26" t="s">
        <v>21</v>
      </c>
      <c r="F26">
        <v>0</v>
      </c>
      <c r="G26">
        <v>0</v>
      </c>
      <c r="H26">
        <v>0</v>
      </c>
      <c r="I26">
        <v>20</v>
      </c>
      <c r="J26">
        <v>0</v>
      </c>
    </row>
    <row r="27" spans="1:10" x14ac:dyDescent="0.3">
      <c r="A27" t="s">
        <v>18</v>
      </c>
      <c r="B27">
        <v>1</v>
      </c>
      <c r="C27" t="s">
        <v>89</v>
      </c>
      <c r="D27" t="s">
        <v>90</v>
      </c>
      <c r="E27" t="s">
        <v>23</v>
      </c>
      <c r="F27">
        <v>0</v>
      </c>
      <c r="G27">
        <v>0</v>
      </c>
      <c r="H27">
        <v>0</v>
      </c>
      <c r="I27">
        <v>20</v>
      </c>
      <c r="J27">
        <v>0</v>
      </c>
    </row>
    <row r="28" spans="1:10" x14ac:dyDescent="0.3">
      <c r="A28" t="s">
        <v>18</v>
      </c>
      <c r="B28">
        <v>1</v>
      </c>
      <c r="C28" t="s">
        <v>89</v>
      </c>
      <c r="D28" t="s">
        <v>90</v>
      </c>
      <c r="E28" t="s">
        <v>24</v>
      </c>
      <c r="F28">
        <v>0</v>
      </c>
      <c r="G28">
        <v>0</v>
      </c>
      <c r="H28">
        <v>0</v>
      </c>
      <c r="I28">
        <v>20</v>
      </c>
      <c r="J28">
        <v>0</v>
      </c>
    </row>
    <row r="29" spans="1:10" x14ac:dyDescent="0.3">
      <c r="A29" t="s">
        <v>18</v>
      </c>
      <c r="B29">
        <v>1</v>
      </c>
      <c r="C29" t="s">
        <v>89</v>
      </c>
      <c r="D29" t="s">
        <v>90</v>
      </c>
      <c r="E29" t="s">
        <v>25</v>
      </c>
      <c r="F29">
        <v>0</v>
      </c>
      <c r="G29">
        <v>0</v>
      </c>
      <c r="H29">
        <v>0</v>
      </c>
      <c r="I29">
        <v>20</v>
      </c>
      <c r="J29">
        <v>0</v>
      </c>
    </row>
    <row r="30" spans="1:10" x14ac:dyDescent="0.3">
      <c r="A30" t="s">
        <v>18</v>
      </c>
      <c r="B30">
        <v>1</v>
      </c>
      <c r="C30" t="s">
        <v>91</v>
      </c>
      <c r="D30" t="s">
        <v>92</v>
      </c>
      <c r="E30" t="s">
        <v>21</v>
      </c>
      <c r="F30">
        <v>0</v>
      </c>
      <c r="G30">
        <v>0</v>
      </c>
      <c r="H30">
        <v>0</v>
      </c>
      <c r="I30">
        <v>20</v>
      </c>
      <c r="J30">
        <v>0</v>
      </c>
    </row>
    <row r="31" spans="1:10" x14ac:dyDescent="0.3">
      <c r="A31" t="s">
        <v>18</v>
      </c>
      <c r="B31">
        <v>1</v>
      </c>
      <c r="C31" t="s">
        <v>91</v>
      </c>
      <c r="D31" t="s">
        <v>92</v>
      </c>
      <c r="E31" t="s">
        <v>23</v>
      </c>
      <c r="F31">
        <v>0</v>
      </c>
      <c r="G31">
        <v>0</v>
      </c>
      <c r="H31">
        <v>0</v>
      </c>
      <c r="I31">
        <v>20</v>
      </c>
      <c r="J31">
        <v>0</v>
      </c>
    </row>
    <row r="32" spans="1:10" x14ac:dyDescent="0.3">
      <c r="A32" t="s">
        <v>18</v>
      </c>
      <c r="B32">
        <v>1</v>
      </c>
      <c r="C32" t="s">
        <v>91</v>
      </c>
      <c r="D32" t="s">
        <v>92</v>
      </c>
      <c r="E32" t="s">
        <v>24</v>
      </c>
      <c r="F32">
        <v>0</v>
      </c>
      <c r="G32">
        <v>0</v>
      </c>
      <c r="H32">
        <v>0</v>
      </c>
      <c r="I32">
        <v>20</v>
      </c>
      <c r="J32">
        <v>0</v>
      </c>
    </row>
    <row r="33" spans="1:10" x14ac:dyDescent="0.3">
      <c r="A33" t="s">
        <v>18</v>
      </c>
      <c r="B33">
        <v>1</v>
      </c>
      <c r="C33" t="s">
        <v>91</v>
      </c>
      <c r="D33" t="s">
        <v>92</v>
      </c>
      <c r="E33" t="s">
        <v>25</v>
      </c>
      <c r="F33">
        <v>0</v>
      </c>
      <c r="G33">
        <v>0</v>
      </c>
      <c r="H33">
        <v>0</v>
      </c>
      <c r="I33">
        <v>20</v>
      </c>
      <c r="J33">
        <v>0</v>
      </c>
    </row>
    <row r="34" spans="1:10" x14ac:dyDescent="0.3">
      <c r="A34" t="s">
        <v>18</v>
      </c>
      <c r="B34">
        <v>1</v>
      </c>
      <c r="C34" t="s">
        <v>93</v>
      </c>
      <c r="D34" t="s">
        <v>94</v>
      </c>
      <c r="E34" t="s">
        <v>21</v>
      </c>
      <c r="F34">
        <v>0</v>
      </c>
      <c r="G34">
        <v>0</v>
      </c>
      <c r="H34">
        <v>0</v>
      </c>
      <c r="I34">
        <v>20</v>
      </c>
      <c r="J34">
        <v>0</v>
      </c>
    </row>
    <row r="35" spans="1:10" x14ac:dyDescent="0.3">
      <c r="A35" t="s">
        <v>18</v>
      </c>
      <c r="B35">
        <v>1</v>
      </c>
      <c r="C35" t="s">
        <v>93</v>
      </c>
      <c r="D35" t="s">
        <v>94</v>
      </c>
      <c r="E35" t="s">
        <v>23</v>
      </c>
      <c r="F35">
        <v>0</v>
      </c>
      <c r="G35">
        <v>0</v>
      </c>
      <c r="H35">
        <v>0</v>
      </c>
      <c r="I35">
        <v>20</v>
      </c>
      <c r="J35">
        <v>0</v>
      </c>
    </row>
    <row r="36" spans="1:10" x14ac:dyDescent="0.3">
      <c r="A36" t="s">
        <v>18</v>
      </c>
      <c r="B36">
        <v>1</v>
      </c>
      <c r="C36" t="s">
        <v>93</v>
      </c>
      <c r="D36" t="s">
        <v>94</v>
      </c>
      <c r="E36" t="s">
        <v>24</v>
      </c>
      <c r="F36">
        <v>0.05</v>
      </c>
      <c r="G36">
        <v>1</v>
      </c>
      <c r="H36">
        <v>1</v>
      </c>
      <c r="I36">
        <v>20</v>
      </c>
      <c r="J36">
        <v>0.05</v>
      </c>
    </row>
    <row r="37" spans="1:10" x14ac:dyDescent="0.3">
      <c r="A37" t="s">
        <v>18</v>
      </c>
      <c r="B37">
        <v>1</v>
      </c>
      <c r="C37" t="s">
        <v>93</v>
      </c>
      <c r="D37" t="s">
        <v>94</v>
      </c>
      <c r="E37" t="s">
        <v>25</v>
      </c>
      <c r="F37">
        <v>0</v>
      </c>
      <c r="G37">
        <v>0</v>
      </c>
      <c r="H37">
        <v>0</v>
      </c>
      <c r="I37">
        <v>20</v>
      </c>
      <c r="J37">
        <v>0</v>
      </c>
    </row>
    <row r="38" spans="1:10" x14ac:dyDescent="0.3">
      <c r="A38" t="s">
        <v>18</v>
      </c>
      <c r="B38">
        <v>1</v>
      </c>
      <c r="C38" t="s">
        <v>95</v>
      </c>
      <c r="D38" t="s">
        <v>96</v>
      </c>
      <c r="E38" t="s">
        <v>21</v>
      </c>
      <c r="F38">
        <v>0</v>
      </c>
      <c r="G38">
        <v>0</v>
      </c>
      <c r="H38">
        <v>0</v>
      </c>
      <c r="I38">
        <v>20</v>
      </c>
      <c r="J38">
        <v>0</v>
      </c>
    </row>
    <row r="39" spans="1:10" x14ac:dyDescent="0.3">
      <c r="A39" t="s">
        <v>18</v>
      </c>
      <c r="B39">
        <v>1</v>
      </c>
      <c r="C39" t="s">
        <v>95</v>
      </c>
      <c r="D39" t="s">
        <v>96</v>
      </c>
      <c r="E39" t="s">
        <v>23</v>
      </c>
      <c r="F39">
        <v>0.05</v>
      </c>
      <c r="G39">
        <v>1</v>
      </c>
      <c r="H39">
        <v>1</v>
      </c>
      <c r="I39">
        <v>20</v>
      </c>
      <c r="J39">
        <v>0.05</v>
      </c>
    </row>
    <row r="40" spans="1:10" x14ac:dyDescent="0.3">
      <c r="A40" t="s">
        <v>18</v>
      </c>
      <c r="B40">
        <v>1</v>
      </c>
      <c r="C40" t="s">
        <v>95</v>
      </c>
      <c r="D40" t="s">
        <v>96</v>
      </c>
      <c r="E40" t="s">
        <v>24</v>
      </c>
      <c r="F40">
        <v>0.15</v>
      </c>
      <c r="G40">
        <v>3</v>
      </c>
      <c r="H40">
        <v>0</v>
      </c>
      <c r="I40">
        <v>20</v>
      </c>
      <c r="J40">
        <v>0</v>
      </c>
    </row>
    <row r="41" spans="1:10" x14ac:dyDescent="0.3">
      <c r="A41" t="s">
        <v>18</v>
      </c>
      <c r="B41">
        <v>1</v>
      </c>
      <c r="C41" t="s">
        <v>95</v>
      </c>
      <c r="D41" t="s">
        <v>96</v>
      </c>
      <c r="E41" t="s">
        <v>25</v>
      </c>
      <c r="F41">
        <v>0</v>
      </c>
      <c r="G41">
        <v>0</v>
      </c>
      <c r="H41">
        <v>0</v>
      </c>
      <c r="I41">
        <v>20</v>
      </c>
      <c r="J41">
        <v>0</v>
      </c>
    </row>
    <row r="42" spans="1:10" x14ac:dyDescent="0.3">
      <c r="A42" t="s">
        <v>18</v>
      </c>
      <c r="B42">
        <v>1</v>
      </c>
      <c r="C42" t="s">
        <v>97</v>
      </c>
      <c r="D42" t="s">
        <v>98</v>
      </c>
      <c r="E42" t="s">
        <v>21</v>
      </c>
      <c r="F42">
        <v>0</v>
      </c>
      <c r="G42">
        <v>0</v>
      </c>
      <c r="H42">
        <v>0</v>
      </c>
      <c r="I42">
        <v>20</v>
      </c>
      <c r="J42">
        <v>0</v>
      </c>
    </row>
    <row r="43" spans="1:10" x14ac:dyDescent="0.3">
      <c r="A43" t="s">
        <v>18</v>
      </c>
      <c r="B43">
        <v>1</v>
      </c>
      <c r="C43" t="s">
        <v>97</v>
      </c>
      <c r="D43" t="s">
        <v>98</v>
      </c>
      <c r="E43" t="s">
        <v>23</v>
      </c>
      <c r="F43">
        <v>0</v>
      </c>
      <c r="G43">
        <v>0</v>
      </c>
      <c r="H43">
        <v>0</v>
      </c>
      <c r="I43">
        <v>20</v>
      </c>
      <c r="J43">
        <v>0</v>
      </c>
    </row>
    <row r="44" spans="1:10" x14ac:dyDescent="0.3">
      <c r="A44" t="s">
        <v>18</v>
      </c>
      <c r="B44">
        <v>1</v>
      </c>
      <c r="C44" t="s">
        <v>97</v>
      </c>
      <c r="D44" t="s">
        <v>98</v>
      </c>
      <c r="E44" t="s">
        <v>24</v>
      </c>
      <c r="F44">
        <v>0.15</v>
      </c>
      <c r="G44">
        <v>3</v>
      </c>
      <c r="H44">
        <v>1</v>
      </c>
      <c r="I44">
        <v>20</v>
      </c>
      <c r="J44">
        <v>0.05</v>
      </c>
    </row>
    <row r="45" spans="1:10" x14ac:dyDescent="0.3">
      <c r="A45" t="s">
        <v>18</v>
      </c>
      <c r="B45">
        <v>1</v>
      </c>
      <c r="C45" t="s">
        <v>97</v>
      </c>
      <c r="D45" t="s">
        <v>98</v>
      </c>
      <c r="E45" t="s">
        <v>25</v>
      </c>
      <c r="F45">
        <v>0</v>
      </c>
      <c r="G45">
        <v>0</v>
      </c>
      <c r="H45">
        <v>0</v>
      </c>
      <c r="I45">
        <v>20</v>
      </c>
      <c r="J45">
        <v>0</v>
      </c>
    </row>
    <row r="46" spans="1:10" x14ac:dyDescent="0.3">
      <c r="A46" t="s">
        <v>18</v>
      </c>
      <c r="B46">
        <v>1</v>
      </c>
      <c r="C46" t="s">
        <v>99</v>
      </c>
      <c r="D46" t="s">
        <v>100</v>
      </c>
      <c r="E46" t="s">
        <v>21</v>
      </c>
      <c r="F46">
        <v>0</v>
      </c>
      <c r="G46">
        <v>0</v>
      </c>
      <c r="H46">
        <v>0</v>
      </c>
      <c r="I46">
        <v>20</v>
      </c>
      <c r="J46">
        <v>0</v>
      </c>
    </row>
    <row r="47" spans="1:10" x14ac:dyDescent="0.3">
      <c r="A47" t="s">
        <v>18</v>
      </c>
      <c r="B47">
        <v>1</v>
      </c>
      <c r="C47" t="s">
        <v>99</v>
      </c>
      <c r="D47" t="s">
        <v>100</v>
      </c>
      <c r="E47" t="s">
        <v>23</v>
      </c>
      <c r="F47">
        <v>0.1</v>
      </c>
      <c r="G47">
        <v>2</v>
      </c>
      <c r="H47">
        <v>0</v>
      </c>
      <c r="I47">
        <v>20</v>
      </c>
      <c r="J47">
        <v>0</v>
      </c>
    </row>
    <row r="48" spans="1:10" x14ac:dyDescent="0.3">
      <c r="A48" t="s">
        <v>18</v>
      </c>
      <c r="B48">
        <v>1</v>
      </c>
      <c r="C48" t="s">
        <v>99</v>
      </c>
      <c r="D48" t="s">
        <v>100</v>
      </c>
      <c r="E48" t="s">
        <v>24</v>
      </c>
      <c r="F48">
        <v>0.2</v>
      </c>
      <c r="G48">
        <v>4</v>
      </c>
      <c r="H48">
        <v>0</v>
      </c>
      <c r="I48">
        <v>20</v>
      </c>
      <c r="J48">
        <v>0</v>
      </c>
    </row>
    <row r="49" spans="1:10" x14ac:dyDescent="0.3">
      <c r="A49" t="s">
        <v>18</v>
      </c>
      <c r="B49">
        <v>1</v>
      </c>
      <c r="C49" t="s">
        <v>99</v>
      </c>
      <c r="D49" t="s">
        <v>100</v>
      </c>
      <c r="E49" t="s">
        <v>25</v>
      </c>
      <c r="F49">
        <v>0</v>
      </c>
      <c r="G49">
        <v>0</v>
      </c>
      <c r="H49">
        <v>0</v>
      </c>
      <c r="I49">
        <v>20</v>
      </c>
      <c r="J49">
        <v>0</v>
      </c>
    </row>
    <row r="50" spans="1:10" x14ac:dyDescent="0.3">
      <c r="A50" t="s">
        <v>18</v>
      </c>
      <c r="B50">
        <v>1</v>
      </c>
      <c r="C50" t="s">
        <v>101</v>
      </c>
      <c r="D50" t="s">
        <v>102</v>
      </c>
      <c r="E50" t="s">
        <v>21</v>
      </c>
      <c r="F50">
        <v>0.2</v>
      </c>
      <c r="G50">
        <v>4</v>
      </c>
      <c r="H50">
        <v>0</v>
      </c>
      <c r="I50">
        <v>20</v>
      </c>
      <c r="J50">
        <v>0</v>
      </c>
    </row>
    <row r="51" spans="1:10" x14ac:dyDescent="0.3">
      <c r="A51" t="s">
        <v>18</v>
      </c>
      <c r="B51">
        <v>1</v>
      </c>
      <c r="C51" t="s">
        <v>101</v>
      </c>
      <c r="D51" t="s">
        <v>102</v>
      </c>
      <c r="E51" t="s">
        <v>23</v>
      </c>
      <c r="F51">
        <v>0.05</v>
      </c>
      <c r="G51">
        <v>1</v>
      </c>
      <c r="H51">
        <v>0</v>
      </c>
      <c r="I51">
        <v>20</v>
      </c>
      <c r="J51">
        <v>0</v>
      </c>
    </row>
    <row r="52" spans="1:10" x14ac:dyDescent="0.3">
      <c r="A52" t="s">
        <v>18</v>
      </c>
      <c r="B52">
        <v>1</v>
      </c>
      <c r="C52" t="s">
        <v>101</v>
      </c>
      <c r="D52" t="s">
        <v>102</v>
      </c>
      <c r="E52" t="s">
        <v>24</v>
      </c>
      <c r="F52">
        <v>0.25</v>
      </c>
      <c r="G52">
        <v>5</v>
      </c>
      <c r="H52">
        <v>0</v>
      </c>
      <c r="I52">
        <v>20</v>
      </c>
      <c r="J52">
        <v>0</v>
      </c>
    </row>
    <row r="53" spans="1:10" x14ac:dyDescent="0.3">
      <c r="A53" t="s">
        <v>18</v>
      </c>
      <c r="B53">
        <v>1</v>
      </c>
      <c r="C53" t="s">
        <v>101</v>
      </c>
      <c r="D53" t="s">
        <v>102</v>
      </c>
      <c r="E53" t="s">
        <v>25</v>
      </c>
      <c r="F53">
        <v>0</v>
      </c>
      <c r="G53">
        <v>0</v>
      </c>
      <c r="H53">
        <v>0</v>
      </c>
      <c r="I53">
        <v>20</v>
      </c>
      <c r="J53">
        <v>0</v>
      </c>
    </row>
    <row r="54" spans="1:10" x14ac:dyDescent="0.3">
      <c r="A54" t="s">
        <v>18</v>
      </c>
      <c r="B54">
        <v>1</v>
      </c>
      <c r="C54" t="s">
        <v>103</v>
      </c>
      <c r="D54" t="s">
        <v>104</v>
      </c>
      <c r="E54" t="s">
        <v>21</v>
      </c>
      <c r="F54">
        <v>0</v>
      </c>
      <c r="G54">
        <v>0</v>
      </c>
      <c r="H54">
        <v>0</v>
      </c>
      <c r="I54">
        <v>20</v>
      </c>
      <c r="J54">
        <v>0</v>
      </c>
    </row>
    <row r="55" spans="1:10" x14ac:dyDescent="0.3">
      <c r="A55" t="s">
        <v>18</v>
      </c>
      <c r="B55">
        <v>1</v>
      </c>
      <c r="C55" t="s">
        <v>103</v>
      </c>
      <c r="D55" t="s">
        <v>104</v>
      </c>
      <c r="E55" t="s">
        <v>23</v>
      </c>
      <c r="F55">
        <v>0</v>
      </c>
      <c r="G55">
        <v>0</v>
      </c>
      <c r="H55">
        <v>0</v>
      </c>
      <c r="I55">
        <v>20</v>
      </c>
      <c r="J55">
        <v>0</v>
      </c>
    </row>
    <row r="56" spans="1:10" x14ac:dyDescent="0.3">
      <c r="A56" t="s">
        <v>18</v>
      </c>
      <c r="B56">
        <v>1</v>
      </c>
      <c r="C56" t="s">
        <v>103</v>
      </c>
      <c r="D56" t="s">
        <v>104</v>
      </c>
      <c r="E56" t="s">
        <v>24</v>
      </c>
      <c r="F56">
        <v>0</v>
      </c>
      <c r="G56">
        <v>0</v>
      </c>
      <c r="H56">
        <v>0</v>
      </c>
      <c r="I56">
        <v>20</v>
      </c>
      <c r="J56">
        <v>0</v>
      </c>
    </row>
    <row r="57" spans="1:10" x14ac:dyDescent="0.3">
      <c r="A57" t="s">
        <v>18</v>
      </c>
      <c r="B57">
        <v>1</v>
      </c>
      <c r="C57" t="s">
        <v>103</v>
      </c>
      <c r="D57" t="s">
        <v>104</v>
      </c>
      <c r="E57" t="s">
        <v>25</v>
      </c>
      <c r="F57">
        <v>0</v>
      </c>
      <c r="G57">
        <v>0</v>
      </c>
      <c r="H57">
        <v>0</v>
      </c>
      <c r="I57">
        <v>20</v>
      </c>
      <c r="J57">
        <v>0</v>
      </c>
    </row>
    <row r="58" spans="1:10" x14ac:dyDescent="0.3">
      <c r="A58" t="s">
        <v>18</v>
      </c>
      <c r="B58">
        <v>1</v>
      </c>
      <c r="C58" t="s">
        <v>105</v>
      </c>
      <c r="D58" t="s">
        <v>106</v>
      </c>
      <c r="E58" t="s">
        <v>21</v>
      </c>
      <c r="F58">
        <v>0</v>
      </c>
      <c r="G58">
        <v>0</v>
      </c>
      <c r="H58">
        <v>0</v>
      </c>
      <c r="I58">
        <v>20</v>
      </c>
      <c r="J58">
        <v>0</v>
      </c>
    </row>
    <row r="59" spans="1:10" x14ac:dyDescent="0.3">
      <c r="A59" t="s">
        <v>18</v>
      </c>
      <c r="B59">
        <v>1</v>
      </c>
      <c r="C59" t="s">
        <v>105</v>
      </c>
      <c r="D59" t="s">
        <v>106</v>
      </c>
      <c r="E59" t="s">
        <v>23</v>
      </c>
      <c r="F59">
        <v>0.05</v>
      </c>
      <c r="G59">
        <v>1</v>
      </c>
      <c r="H59">
        <v>0</v>
      </c>
      <c r="I59">
        <v>20</v>
      </c>
      <c r="J59">
        <v>0</v>
      </c>
    </row>
    <row r="60" spans="1:10" x14ac:dyDescent="0.3">
      <c r="A60" t="s">
        <v>18</v>
      </c>
      <c r="B60">
        <v>1</v>
      </c>
      <c r="C60" t="s">
        <v>105</v>
      </c>
      <c r="D60" t="s">
        <v>106</v>
      </c>
      <c r="E60" t="s">
        <v>24</v>
      </c>
      <c r="F60">
        <v>0</v>
      </c>
      <c r="G60">
        <v>0</v>
      </c>
      <c r="H60">
        <v>1</v>
      </c>
      <c r="I60">
        <v>20</v>
      </c>
      <c r="J60">
        <v>0.05</v>
      </c>
    </row>
    <row r="61" spans="1:10" x14ac:dyDescent="0.3">
      <c r="A61" t="s">
        <v>18</v>
      </c>
      <c r="B61">
        <v>1</v>
      </c>
      <c r="C61" t="s">
        <v>105</v>
      </c>
      <c r="D61" t="s">
        <v>106</v>
      </c>
      <c r="E61" t="s">
        <v>25</v>
      </c>
      <c r="F61">
        <v>0</v>
      </c>
      <c r="G61">
        <v>0</v>
      </c>
      <c r="H61">
        <v>0</v>
      </c>
      <c r="I61">
        <v>20</v>
      </c>
      <c r="J61">
        <v>0</v>
      </c>
    </row>
    <row r="62" spans="1:10" x14ac:dyDescent="0.3">
      <c r="A62" t="s">
        <v>18</v>
      </c>
      <c r="B62">
        <v>1</v>
      </c>
      <c r="C62" t="s">
        <v>107</v>
      </c>
      <c r="D62" t="s">
        <v>108</v>
      </c>
      <c r="E62" t="s">
        <v>21</v>
      </c>
      <c r="F62">
        <v>0.1</v>
      </c>
      <c r="G62">
        <v>2</v>
      </c>
      <c r="H62">
        <v>0</v>
      </c>
      <c r="I62">
        <v>10</v>
      </c>
      <c r="J62">
        <v>0</v>
      </c>
    </row>
    <row r="63" spans="1:10" x14ac:dyDescent="0.3">
      <c r="A63" t="s">
        <v>18</v>
      </c>
      <c r="B63">
        <v>1</v>
      </c>
      <c r="C63" t="s">
        <v>107</v>
      </c>
      <c r="D63" t="s">
        <v>108</v>
      </c>
      <c r="E63" t="s">
        <v>23</v>
      </c>
      <c r="F63">
        <v>0.05</v>
      </c>
      <c r="G63">
        <v>1</v>
      </c>
      <c r="H63">
        <v>0</v>
      </c>
      <c r="I63">
        <v>16</v>
      </c>
      <c r="J63">
        <v>0</v>
      </c>
    </row>
    <row r="64" spans="1:10" x14ac:dyDescent="0.3">
      <c r="A64" t="s">
        <v>18</v>
      </c>
      <c r="B64">
        <v>1</v>
      </c>
      <c r="C64" t="s">
        <v>107</v>
      </c>
      <c r="D64" t="s">
        <v>108</v>
      </c>
      <c r="E64" t="s">
        <v>24</v>
      </c>
      <c r="F64">
        <v>0</v>
      </c>
      <c r="G64">
        <v>0</v>
      </c>
      <c r="H64">
        <v>1</v>
      </c>
      <c r="I64">
        <v>15</v>
      </c>
      <c r="J64">
        <v>6.6666666666666666E-2</v>
      </c>
    </row>
    <row r="65" spans="1:10" x14ac:dyDescent="0.3">
      <c r="A65" t="s">
        <v>18</v>
      </c>
      <c r="B65">
        <v>1</v>
      </c>
      <c r="C65" t="s">
        <v>107</v>
      </c>
      <c r="D65" t="s">
        <v>108</v>
      </c>
      <c r="E65" t="s">
        <v>25</v>
      </c>
      <c r="F65">
        <v>0</v>
      </c>
      <c r="G65">
        <v>0</v>
      </c>
      <c r="H65">
        <v>0</v>
      </c>
      <c r="I65">
        <v>11</v>
      </c>
      <c r="J65">
        <v>0</v>
      </c>
    </row>
    <row r="66" spans="1:10" x14ac:dyDescent="0.3">
      <c r="A66" t="s">
        <v>18</v>
      </c>
      <c r="B66">
        <v>1</v>
      </c>
      <c r="C66" t="s">
        <v>109</v>
      </c>
      <c r="D66" t="s">
        <v>110</v>
      </c>
      <c r="E66" t="s">
        <v>21</v>
      </c>
      <c r="F66">
        <v>0.8</v>
      </c>
      <c r="G66">
        <v>16</v>
      </c>
      <c r="H66">
        <v>0</v>
      </c>
      <c r="I66">
        <v>20</v>
      </c>
      <c r="J66">
        <v>0</v>
      </c>
    </row>
    <row r="67" spans="1:10" x14ac:dyDescent="0.3">
      <c r="A67" t="s">
        <v>18</v>
      </c>
      <c r="B67">
        <v>1</v>
      </c>
      <c r="C67" t="s">
        <v>109</v>
      </c>
      <c r="D67" t="s">
        <v>110</v>
      </c>
      <c r="E67" t="s">
        <v>23</v>
      </c>
      <c r="F67">
        <v>0.7</v>
      </c>
      <c r="G67">
        <v>14</v>
      </c>
      <c r="H67">
        <v>0</v>
      </c>
      <c r="I67">
        <v>20</v>
      </c>
      <c r="J67">
        <v>0</v>
      </c>
    </row>
    <row r="68" spans="1:10" x14ac:dyDescent="0.3">
      <c r="A68" t="s">
        <v>18</v>
      </c>
      <c r="B68">
        <v>1</v>
      </c>
      <c r="C68" t="s">
        <v>109</v>
      </c>
      <c r="D68" t="s">
        <v>110</v>
      </c>
      <c r="E68" t="s">
        <v>24</v>
      </c>
      <c r="F68">
        <v>0.55000000000000004</v>
      </c>
      <c r="G68">
        <v>11</v>
      </c>
      <c r="H68">
        <v>0</v>
      </c>
      <c r="I68">
        <v>20</v>
      </c>
      <c r="J68">
        <v>0</v>
      </c>
    </row>
    <row r="69" spans="1:10" x14ac:dyDescent="0.3">
      <c r="A69" t="s">
        <v>18</v>
      </c>
      <c r="B69">
        <v>1</v>
      </c>
      <c r="C69" t="s">
        <v>111</v>
      </c>
      <c r="D69" t="s">
        <v>112</v>
      </c>
      <c r="E69" t="s">
        <v>21</v>
      </c>
      <c r="F69">
        <v>0</v>
      </c>
      <c r="G69">
        <v>0</v>
      </c>
      <c r="H69">
        <v>0</v>
      </c>
      <c r="I69">
        <v>17</v>
      </c>
      <c r="J69">
        <v>0</v>
      </c>
    </row>
    <row r="70" spans="1:10" x14ac:dyDescent="0.3">
      <c r="A70" t="s">
        <v>18</v>
      </c>
      <c r="B70">
        <v>1</v>
      </c>
      <c r="C70" t="s">
        <v>111</v>
      </c>
      <c r="D70" t="s">
        <v>112</v>
      </c>
      <c r="E70" t="s">
        <v>23</v>
      </c>
      <c r="F70">
        <v>0.05</v>
      </c>
      <c r="G70">
        <v>1</v>
      </c>
      <c r="H70">
        <v>1</v>
      </c>
      <c r="I70">
        <v>16</v>
      </c>
      <c r="J70">
        <v>6.25E-2</v>
      </c>
    </row>
    <row r="71" spans="1:10" x14ac:dyDescent="0.3">
      <c r="A71" t="s">
        <v>18</v>
      </c>
      <c r="B71">
        <v>1</v>
      </c>
      <c r="C71" t="s">
        <v>111</v>
      </c>
      <c r="D71" t="s">
        <v>112</v>
      </c>
      <c r="E71" t="s">
        <v>24</v>
      </c>
      <c r="F71">
        <v>0.05</v>
      </c>
      <c r="G71">
        <v>1</v>
      </c>
      <c r="H71">
        <v>1</v>
      </c>
      <c r="I71">
        <v>19</v>
      </c>
      <c r="J71">
        <v>5.2631578947368418E-2</v>
      </c>
    </row>
    <row r="72" spans="1:10" x14ac:dyDescent="0.3">
      <c r="A72" t="s">
        <v>18</v>
      </c>
      <c r="B72">
        <v>1</v>
      </c>
      <c r="C72" t="s">
        <v>111</v>
      </c>
      <c r="D72" t="s">
        <v>112</v>
      </c>
      <c r="E72" t="s">
        <v>25</v>
      </c>
      <c r="F72">
        <v>0</v>
      </c>
      <c r="G72">
        <v>0</v>
      </c>
      <c r="H72">
        <v>1</v>
      </c>
      <c r="I72">
        <v>20</v>
      </c>
      <c r="J72">
        <v>0.05</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5"/>
  <sheetViews>
    <sheetView workbookViewId="0">
      <selection activeCell="F40" sqref="F40"/>
    </sheetView>
  </sheetViews>
  <sheetFormatPr defaultRowHeight="14.4" x14ac:dyDescent="0.3"/>
  <cols>
    <col min="1" max="1" width="8.6640625" bestFit="1" customWidth="1"/>
    <col min="2" max="2" width="7.109375" bestFit="1" customWidth="1"/>
    <col min="3" max="3" width="7.6640625" bestFit="1" customWidth="1"/>
    <col min="4" max="4" width="16.21875" bestFit="1" customWidth="1"/>
    <col min="5" max="5" width="19.109375" bestFit="1" customWidth="1"/>
    <col min="6" max="6" width="17.77734375" bestFit="1" customWidth="1"/>
    <col min="7" max="7" width="21.6640625" bestFit="1" customWidth="1"/>
    <col min="8" max="8" width="13.5546875" bestFit="1" customWidth="1"/>
    <col min="9" max="9" width="16.33203125" bestFit="1" customWidth="1"/>
  </cols>
  <sheetData>
    <row r="1" spans="1:9" x14ac:dyDescent="0.3">
      <c r="A1" s="1" t="s">
        <v>0</v>
      </c>
      <c r="B1" s="1" t="s">
        <v>1</v>
      </c>
      <c r="C1" s="1" t="s">
        <v>4</v>
      </c>
      <c r="D1" s="1" t="s">
        <v>113</v>
      </c>
      <c r="E1" s="1" t="s">
        <v>114</v>
      </c>
      <c r="F1" s="1" t="s">
        <v>115</v>
      </c>
      <c r="G1" s="1" t="s">
        <v>9</v>
      </c>
      <c r="H1" s="1" t="s">
        <v>116</v>
      </c>
      <c r="I1" s="1" t="s">
        <v>17</v>
      </c>
    </row>
    <row r="2" spans="1:9" x14ac:dyDescent="0.3">
      <c r="A2" t="s">
        <v>18</v>
      </c>
      <c r="B2">
        <v>1</v>
      </c>
      <c r="C2" t="s">
        <v>21</v>
      </c>
      <c r="D2">
        <v>2.25</v>
      </c>
      <c r="E2">
        <v>1</v>
      </c>
      <c r="F2">
        <v>0</v>
      </c>
      <c r="G2">
        <v>324</v>
      </c>
      <c r="H2">
        <v>360</v>
      </c>
      <c r="I2">
        <v>0</v>
      </c>
    </row>
    <row r="3" spans="1:9" x14ac:dyDescent="0.3">
      <c r="A3" t="s">
        <v>18</v>
      </c>
      <c r="B3">
        <v>1</v>
      </c>
      <c r="C3" t="s">
        <v>23</v>
      </c>
      <c r="D3">
        <v>2.25</v>
      </c>
      <c r="E3">
        <v>0.89583333333333337</v>
      </c>
      <c r="F3">
        <v>2</v>
      </c>
      <c r="G3">
        <v>341</v>
      </c>
      <c r="H3">
        <v>360</v>
      </c>
      <c r="I3">
        <v>5.8651026392961877E-3</v>
      </c>
    </row>
    <row r="4" spans="1:9" x14ac:dyDescent="0.3">
      <c r="A4" t="s">
        <v>18</v>
      </c>
      <c r="B4">
        <v>1</v>
      </c>
      <c r="C4" t="s">
        <v>24</v>
      </c>
      <c r="D4">
        <v>2.25</v>
      </c>
      <c r="E4">
        <v>1</v>
      </c>
      <c r="F4">
        <v>10</v>
      </c>
      <c r="G4">
        <v>322</v>
      </c>
      <c r="H4">
        <v>360</v>
      </c>
      <c r="I4">
        <v>3.1055900621118009E-2</v>
      </c>
    </row>
    <row r="5" spans="1:9" x14ac:dyDescent="0.3">
      <c r="A5" t="s">
        <v>18</v>
      </c>
      <c r="B5">
        <v>1</v>
      </c>
      <c r="C5" t="s">
        <v>25</v>
      </c>
      <c r="D5">
        <v>2.25</v>
      </c>
      <c r="E5">
        <v>1</v>
      </c>
      <c r="F5">
        <v>1</v>
      </c>
      <c r="G5">
        <v>294</v>
      </c>
      <c r="H5">
        <v>340</v>
      </c>
      <c r="I5">
        <v>3.4013605442176869E-3</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9"/>
  <sheetViews>
    <sheetView workbookViewId="0">
      <selection activeCell="F8" sqref="F8"/>
    </sheetView>
  </sheetViews>
  <sheetFormatPr defaultRowHeight="14.4" x14ac:dyDescent="0.3"/>
  <cols>
    <col min="1" max="1" width="8.6640625" bestFit="1" customWidth="1"/>
    <col min="2" max="2" width="7.109375" bestFit="1" customWidth="1"/>
    <col min="3" max="3" width="11" bestFit="1" customWidth="1"/>
    <col min="4" max="4" width="18.109375" bestFit="1" customWidth="1"/>
    <col min="5" max="5" width="10.33203125" bestFit="1" customWidth="1"/>
    <col min="6" max="6" width="16.88671875" bestFit="1" customWidth="1"/>
  </cols>
  <sheetData>
    <row r="1" spans="1:6" x14ac:dyDescent="0.3">
      <c r="A1" s="1" t="s">
        <v>0</v>
      </c>
      <c r="B1" s="1" t="s">
        <v>1</v>
      </c>
      <c r="C1" s="1" t="s">
        <v>73</v>
      </c>
      <c r="D1" s="1" t="s">
        <v>117</v>
      </c>
      <c r="E1" s="1" t="s">
        <v>118</v>
      </c>
      <c r="F1" s="1" t="s">
        <v>119</v>
      </c>
    </row>
    <row r="2" spans="1:6" x14ac:dyDescent="0.3">
      <c r="A2" t="s">
        <v>18</v>
      </c>
      <c r="B2">
        <v>1</v>
      </c>
      <c r="C2" t="s">
        <v>77</v>
      </c>
      <c r="D2">
        <v>1</v>
      </c>
      <c r="E2">
        <v>20</v>
      </c>
      <c r="F2">
        <v>0.05</v>
      </c>
    </row>
    <row r="3" spans="1:6" x14ac:dyDescent="0.3">
      <c r="A3" t="s">
        <v>18</v>
      </c>
      <c r="B3">
        <v>1</v>
      </c>
      <c r="C3" t="s">
        <v>79</v>
      </c>
      <c r="D3">
        <v>2</v>
      </c>
      <c r="E3">
        <v>20</v>
      </c>
      <c r="F3">
        <v>0.1</v>
      </c>
    </row>
    <row r="4" spans="1:6" x14ac:dyDescent="0.3">
      <c r="A4" t="s">
        <v>18</v>
      </c>
      <c r="B4">
        <v>1</v>
      </c>
      <c r="C4" t="s">
        <v>81</v>
      </c>
      <c r="D4">
        <v>11</v>
      </c>
      <c r="E4">
        <v>20</v>
      </c>
      <c r="F4">
        <v>0.55000000000000004</v>
      </c>
    </row>
    <row r="5" spans="1:6" x14ac:dyDescent="0.3">
      <c r="A5" t="s">
        <v>18</v>
      </c>
      <c r="B5">
        <v>1</v>
      </c>
      <c r="C5" t="s">
        <v>83</v>
      </c>
      <c r="D5">
        <v>7</v>
      </c>
      <c r="E5">
        <v>20</v>
      </c>
      <c r="F5">
        <v>0.35</v>
      </c>
    </row>
    <row r="6" spans="1:6" x14ac:dyDescent="0.3">
      <c r="A6" t="s">
        <v>18</v>
      </c>
      <c r="B6">
        <v>1</v>
      </c>
      <c r="C6" t="s">
        <v>85</v>
      </c>
      <c r="D6">
        <v>0</v>
      </c>
      <c r="E6">
        <v>20</v>
      </c>
      <c r="F6">
        <v>0</v>
      </c>
    </row>
    <row r="7" spans="1:6" x14ac:dyDescent="0.3">
      <c r="A7" t="s">
        <v>18</v>
      </c>
      <c r="B7">
        <v>1</v>
      </c>
      <c r="C7" t="s">
        <v>87</v>
      </c>
      <c r="D7">
        <v>0</v>
      </c>
      <c r="E7">
        <v>20</v>
      </c>
      <c r="F7">
        <v>0</v>
      </c>
    </row>
    <row r="8" spans="1:6" x14ac:dyDescent="0.3">
      <c r="A8" t="s">
        <v>18</v>
      </c>
      <c r="B8">
        <v>1</v>
      </c>
      <c r="C8" t="s">
        <v>89</v>
      </c>
      <c r="D8">
        <v>0</v>
      </c>
      <c r="E8">
        <v>20</v>
      </c>
      <c r="F8">
        <v>0</v>
      </c>
    </row>
    <row r="9" spans="1:6" x14ac:dyDescent="0.3">
      <c r="A9" t="s">
        <v>18</v>
      </c>
      <c r="B9">
        <v>1</v>
      </c>
      <c r="C9" t="s">
        <v>91</v>
      </c>
      <c r="D9">
        <v>0</v>
      </c>
      <c r="E9">
        <v>20</v>
      </c>
      <c r="F9">
        <v>0</v>
      </c>
    </row>
    <row r="10" spans="1:6" x14ac:dyDescent="0.3">
      <c r="A10" t="s">
        <v>18</v>
      </c>
      <c r="B10">
        <v>1</v>
      </c>
      <c r="C10" t="s">
        <v>93</v>
      </c>
      <c r="D10">
        <v>1</v>
      </c>
      <c r="E10">
        <v>20</v>
      </c>
      <c r="F10">
        <v>0.05</v>
      </c>
    </row>
    <row r="11" spans="1:6" x14ac:dyDescent="0.3">
      <c r="A11" t="s">
        <v>18</v>
      </c>
      <c r="B11">
        <v>1</v>
      </c>
      <c r="C11" t="s">
        <v>95</v>
      </c>
      <c r="D11">
        <v>4</v>
      </c>
      <c r="E11">
        <v>20</v>
      </c>
      <c r="F11">
        <v>0.2</v>
      </c>
    </row>
    <row r="12" spans="1:6" x14ac:dyDescent="0.3">
      <c r="A12" t="s">
        <v>18</v>
      </c>
      <c r="B12">
        <v>1</v>
      </c>
      <c r="C12" t="s">
        <v>97</v>
      </c>
      <c r="D12">
        <v>3</v>
      </c>
      <c r="E12">
        <v>20</v>
      </c>
      <c r="F12">
        <v>0.15</v>
      </c>
    </row>
    <row r="13" spans="1:6" x14ac:dyDescent="0.3">
      <c r="A13" t="s">
        <v>18</v>
      </c>
      <c r="B13">
        <v>1</v>
      </c>
      <c r="C13" t="s">
        <v>99</v>
      </c>
      <c r="D13">
        <v>6</v>
      </c>
      <c r="E13">
        <v>20</v>
      </c>
      <c r="F13">
        <v>0.3</v>
      </c>
    </row>
    <row r="14" spans="1:6" x14ac:dyDescent="0.3">
      <c r="A14" t="s">
        <v>18</v>
      </c>
      <c r="B14">
        <v>1</v>
      </c>
      <c r="C14" t="s">
        <v>101</v>
      </c>
      <c r="D14">
        <v>7</v>
      </c>
      <c r="E14">
        <v>20</v>
      </c>
      <c r="F14">
        <v>0.35</v>
      </c>
    </row>
    <row r="15" spans="1:6" x14ac:dyDescent="0.3">
      <c r="A15" t="s">
        <v>18</v>
      </c>
      <c r="B15">
        <v>1</v>
      </c>
      <c r="C15" t="s">
        <v>103</v>
      </c>
      <c r="D15">
        <v>0</v>
      </c>
      <c r="E15">
        <v>20</v>
      </c>
      <c r="F15">
        <v>0</v>
      </c>
    </row>
    <row r="16" spans="1:6" x14ac:dyDescent="0.3">
      <c r="A16" t="s">
        <v>18</v>
      </c>
      <c r="B16">
        <v>1</v>
      </c>
      <c r="C16" t="s">
        <v>105</v>
      </c>
      <c r="D16">
        <v>1</v>
      </c>
      <c r="E16">
        <v>20</v>
      </c>
      <c r="F16">
        <v>0.05</v>
      </c>
    </row>
    <row r="17" spans="1:6" x14ac:dyDescent="0.3">
      <c r="A17" t="s">
        <v>18</v>
      </c>
      <c r="B17">
        <v>1</v>
      </c>
      <c r="C17" t="s">
        <v>107</v>
      </c>
      <c r="D17">
        <v>3</v>
      </c>
      <c r="E17">
        <v>20</v>
      </c>
      <c r="F17">
        <v>0.15</v>
      </c>
    </row>
    <row r="18" spans="1:6" x14ac:dyDescent="0.3">
      <c r="A18" t="s">
        <v>18</v>
      </c>
      <c r="B18">
        <v>1</v>
      </c>
      <c r="C18" t="s">
        <v>109</v>
      </c>
      <c r="D18">
        <v>5</v>
      </c>
      <c r="E18">
        <v>20</v>
      </c>
      <c r="F18">
        <v>0.25</v>
      </c>
    </row>
    <row r="19" spans="1:6" x14ac:dyDescent="0.3">
      <c r="A19" t="s">
        <v>18</v>
      </c>
      <c r="B19">
        <v>1</v>
      </c>
      <c r="C19" t="s">
        <v>111</v>
      </c>
      <c r="D19">
        <v>1</v>
      </c>
      <c r="E19">
        <v>20</v>
      </c>
      <c r="F19">
        <v>0.05</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19"/>
  <sheetViews>
    <sheetView workbookViewId="0">
      <selection activeCell="K21" sqref="K21"/>
    </sheetView>
  </sheetViews>
  <sheetFormatPr defaultRowHeight="14.4" x14ac:dyDescent="0.3"/>
  <cols>
    <col min="1" max="1" width="8.6640625" bestFit="1" customWidth="1"/>
    <col min="2" max="2" width="7.109375" bestFit="1" customWidth="1"/>
    <col min="3" max="3" width="11" bestFit="1" customWidth="1"/>
    <col min="4" max="4" width="12.6640625" bestFit="1" customWidth="1"/>
    <col min="5" max="5" width="6.77734375" bestFit="1" customWidth="1"/>
    <col min="6" max="6" width="9.21875" bestFit="1" customWidth="1"/>
  </cols>
  <sheetData>
    <row r="1" spans="1:6" x14ac:dyDescent="0.3">
      <c r="A1" s="1" t="s">
        <v>0</v>
      </c>
      <c r="B1" s="1" t="s">
        <v>1</v>
      </c>
      <c r="C1" s="1" t="s">
        <v>73</v>
      </c>
      <c r="D1" s="1" t="s">
        <v>124</v>
      </c>
      <c r="E1" s="1" t="s">
        <v>125</v>
      </c>
      <c r="F1" s="1" t="s">
        <v>69</v>
      </c>
    </row>
    <row r="2" spans="1:6" x14ac:dyDescent="0.3">
      <c r="A2" t="s">
        <v>18</v>
      </c>
      <c r="B2">
        <v>1</v>
      </c>
      <c r="C2" t="s">
        <v>77</v>
      </c>
      <c r="D2">
        <v>0.75975975975975885</v>
      </c>
      <c r="E2">
        <v>20</v>
      </c>
      <c r="F2">
        <v>4</v>
      </c>
    </row>
    <row r="3" spans="1:6" x14ac:dyDescent="0.3">
      <c r="A3" t="s">
        <v>18</v>
      </c>
      <c r="B3">
        <v>1</v>
      </c>
      <c r="C3" t="s">
        <v>79</v>
      </c>
      <c r="D3">
        <v>-2.5641025641025061E-2</v>
      </c>
      <c r="E3">
        <v>20</v>
      </c>
      <c r="F3">
        <v>4</v>
      </c>
    </row>
    <row r="4" spans="1:6" x14ac:dyDescent="0.3">
      <c r="A4" t="s">
        <v>18</v>
      </c>
      <c r="B4">
        <v>1</v>
      </c>
      <c r="C4" t="s">
        <v>81</v>
      </c>
      <c r="D4">
        <v>0.13978494623655871</v>
      </c>
      <c r="E4">
        <v>20</v>
      </c>
      <c r="F4">
        <v>4</v>
      </c>
    </row>
    <row r="5" spans="1:6" x14ac:dyDescent="0.3">
      <c r="A5" t="s">
        <v>18</v>
      </c>
      <c r="B5">
        <v>1</v>
      </c>
      <c r="C5" t="s">
        <v>83</v>
      </c>
      <c r="D5">
        <v>4.0166927490870759E-2</v>
      </c>
      <c r="E5">
        <v>20</v>
      </c>
      <c r="F5">
        <v>4</v>
      </c>
    </row>
    <row r="6" spans="1:6" x14ac:dyDescent="0.3">
      <c r="A6" t="s">
        <v>18</v>
      </c>
      <c r="B6">
        <v>1</v>
      </c>
      <c r="C6" t="s">
        <v>85</v>
      </c>
      <c r="E6">
        <v>20</v>
      </c>
      <c r="F6">
        <v>4</v>
      </c>
    </row>
    <row r="7" spans="1:6" x14ac:dyDescent="0.3">
      <c r="A7" t="s">
        <v>18</v>
      </c>
      <c r="B7">
        <v>1</v>
      </c>
      <c r="C7" t="s">
        <v>87</v>
      </c>
      <c r="E7">
        <v>20</v>
      </c>
      <c r="F7">
        <v>4</v>
      </c>
    </row>
    <row r="8" spans="1:6" x14ac:dyDescent="0.3">
      <c r="A8" t="s">
        <v>18</v>
      </c>
      <c r="B8">
        <v>1</v>
      </c>
      <c r="C8" t="s">
        <v>89</v>
      </c>
      <c r="E8">
        <v>20</v>
      </c>
      <c r="F8">
        <v>4</v>
      </c>
    </row>
    <row r="9" spans="1:6" x14ac:dyDescent="0.3">
      <c r="A9" t="s">
        <v>18</v>
      </c>
      <c r="B9">
        <v>1</v>
      </c>
      <c r="C9" t="s">
        <v>91</v>
      </c>
      <c r="E9">
        <v>20</v>
      </c>
      <c r="F9">
        <v>4</v>
      </c>
    </row>
    <row r="10" spans="1:6" x14ac:dyDescent="0.3">
      <c r="A10" t="s">
        <v>18</v>
      </c>
      <c r="B10">
        <v>1</v>
      </c>
      <c r="C10" t="s">
        <v>93</v>
      </c>
      <c r="D10">
        <v>-1.2658227848103261E-2</v>
      </c>
      <c r="E10">
        <v>20</v>
      </c>
      <c r="F10">
        <v>4</v>
      </c>
    </row>
    <row r="11" spans="1:6" x14ac:dyDescent="0.3">
      <c r="A11" t="s">
        <v>18</v>
      </c>
      <c r="B11">
        <v>1</v>
      </c>
      <c r="C11" t="s">
        <v>95</v>
      </c>
      <c r="D11">
        <v>-5.2631578947367252E-2</v>
      </c>
      <c r="E11">
        <v>20</v>
      </c>
      <c r="F11">
        <v>4</v>
      </c>
    </row>
    <row r="12" spans="1:6" x14ac:dyDescent="0.3">
      <c r="A12" t="s">
        <v>18</v>
      </c>
      <c r="B12">
        <v>1</v>
      </c>
      <c r="C12" t="s">
        <v>97</v>
      </c>
      <c r="D12">
        <v>-3.8961038961040521E-2</v>
      </c>
      <c r="E12">
        <v>20</v>
      </c>
      <c r="F12">
        <v>4</v>
      </c>
    </row>
    <row r="13" spans="1:6" x14ac:dyDescent="0.3">
      <c r="A13" t="s">
        <v>18</v>
      </c>
      <c r="B13">
        <v>1</v>
      </c>
      <c r="C13" t="s">
        <v>99</v>
      </c>
      <c r="D13">
        <v>-8.1081081081081793E-2</v>
      </c>
      <c r="E13">
        <v>20</v>
      </c>
      <c r="F13">
        <v>4</v>
      </c>
    </row>
    <row r="14" spans="1:6" x14ac:dyDescent="0.3">
      <c r="A14" t="s">
        <v>18</v>
      </c>
      <c r="B14">
        <v>1</v>
      </c>
      <c r="C14" t="s">
        <v>101</v>
      </c>
      <c r="D14">
        <v>8.5714285714285923E-2</v>
      </c>
      <c r="E14">
        <v>20</v>
      </c>
      <c r="F14">
        <v>4</v>
      </c>
    </row>
    <row r="15" spans="1:6" x14ac:dyDescent="0.3">
      <c r="A15" t="s">
        <v>18</v>
      </c>
      <c r="B15">
        <v>1</v>
      </c>
      <c r="C15" t="s">
        <v>103</v>
      </c>
      <c r="E15">
        <v>20</v>
      </c>
      <c r="F15">
        <v>4</v>
      </c>
    </row>
    <row r="16" spans="1:6" x14ac:dyDescent="0.3">
      <c r="A16" t="s">
        <v>18</v>
      </c>
      <c r="B16">
        <v>1</v>
      </c>
      <c r="C16" t="s">
        <v>105</v>
      </c>
      <c r="D16">
        <v>-1.2658227848103261E-2</v>
      </c>
      <c r="E16">
        <v>20</v>
      </c>
      <c r="F16">
        <v>4</v>
      </c>
    </row>
    <row r="17" spans="1:6" x14ac:dyDescent="0.3">
      <c r="A17" t="s">
        <v>18</v>
      </c>
      <c r="B17">
        <v>1</v>
      </c>
      <c r="C17" t="s">
        <v>107</v>
      </c>
      <c r="D17">
        <v>-3.8961038961040521E-2</v>
      </c>
      <c r="E17">
        <v>20</v>
      </c>
      <c r="F17">
        <v>4</v>
      </c>
    </row>
    <row r="18" spans="1:6" x14ac:dyDescent="0.3">
      <c r="A18" t="s">
        <v>18</v>
      </c>
      <c r="B18">
        <v>1</v>
      </c>
      <c r="C18" t="s">
        <v>109</v>
      </c>
      <c r="E18">
        <v>0</v>
      </c>
      <c r="F18">
        <v>4</v>
      </c>
    </row>
    <row r="19" spans="1:6" x14ac:dyDescent="0.3">
      <c r="A19" t="s">
        <v>18</v>
      </c>
      <c r="B19">
        <v>1</v>
      </c>
      <c r="C19" t="s">
        <v>111</v>
      </c>
      <c r="D19">
        <v>0.31623931623931512</v>
      </c>
      <c r="E19">
        <v>20</v>
      </c>
      <c r="F19">
        <v>4</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5"/>
  <sheetViews>
    <sheetView workbookViewId="0">
      <selection activeCell="K22" sqref="K22"/>
    </sheetView>
  </sheetViews>
  <sheetFormatPr defaultColWidth="11.77734375" defaultRowHeight="14.4" x14ac:dyDescent="0.3"/>
  <cols>
    <col min="1" max="1" width="8.6640625" bestFit="1" customWidth="1"/>
    <col min="2" max="2" width="7.109375" bestFit="1" customWidth="1"/>
    <col min="3" max="3" width="7.6640625" bestFit="1" customWidth="1"/>
    <col min="4" max="7" width="12.21875" customWidth="1"/>
    <col min="8" max="8" width="21.6640625" bestFit="1" customWidth="1"/>
    <col min="9" max="9" width="16.33203125" bestFit="1" customWidth="1"/>
    <col min="10" max="10" width="17.44140625" bestFit="1" customWidth="1"/>
  </cols>
  <sheetData>
    <row r="1" spans="1:10" x14ac:dyDescent="0.3">
      <c r="A1" s="1" t="s">
        <v>0</v>
      </c>
      <c r="B1" s="1" t="s">
        <v>1</v>
      </c>
      <c r="C1" s="1" t="s">
        <v>4</v>
      </c>
      <c r="D1" s="1" t="s">
        <v>126</v>
      </c>
      <c r="E1" s="1" t="s">
        <v>127</v>
      </c>
      <c r="F1" s="1" t="s">
        <v>128</v>
      </c>
      <c r="G1" s="1" t="s">
        <v>129</v>
      </c>
      <c r="H1" s="1" t="s">
        <v>9</v>
      </c>
      <c r="I1" s="1" t="s">
        <v>17</v>
      </c>
      <c r="J1" s="1" t="s">
        <v>130</v>
      </c>
    </row>
    <row r="2" spans="1:10" x14ac:dyDescent="0.3">
      <c r="A2" t="s">
        <v>18</v>
      </c>
      <c r="B2">
        <v>1</v>
      </c>
      <c r="C2" t="s">
        <v>21</v>
      </c>
      <c r="D2">
        <v>36</v>
      </c>
      <c r="E2">
        <v>0</v>
      </c>
      <c r="F2">
        <v>6</v>
      </c>
      <c r="G2">
        <v>318</v>
      </c>
      <c r="H2">
        <v>324</v>
      </c>
      <c r="I2">
        <v>0</v>
      </c>
      <c r="J2">
        <v>1</v>
      </c>
    </row>
    <row r="3" spans="1:10" x14ac:dyDescent="0.3">
      <c r="A3" t="s">
        <v>18</v>
      </c>
      <c r="B3">
        <v>1</v>
      </c>
      <c r="C3" t="s">
        <v>23</v>
      </c>
      <c r="D3">
        <v>19</v>
      </c>
      <c r="E3">
        <v>2</v>
      </c>
      <c r="F3">
        <v>22</v>
      </c>
      <c r="G3">
        <v>317</v>
      </c>
      <c r="H3">
        <v>341</v>
      </c>
      <c r="I3">
        <v>5.8651026392961877E-3</v>
      </c>
      <c r="J3">
        <v>0.99413489736070382</v>
      </c>
    </row>
    <row r="4" spans="1:10" x14ac:dyDescent="0.3">
      <c r="A4" t="s">
        <v>18</v>
      </c>
      <c r="B4">
        <v>1</v>
      </c>
      <c r="C4" t="s">
        <v>24</v>
      </c>
      <c r="D4">
        <v>38</v>
      </c>
      <c r="E4">
        <v>10</v>
      </c>
      <c r="F4">
        <v>28</v>
      </c>
      <c r="G4">
        <v>284</v>
      </c>
      <c r="H4">
        <v>322</v>
      </c>
      <c r="I4">
        <v>3.1055900621118009E-2</v>
      </c>
      <c r="J4">
        <v>0.96894409937888204</v>
      </c>
    </row>
    <row r="5" spans="1:10" x14ac:dyDescent="0.3">
      <c r="A5" t="s">
        <v>18</v>
      </c>
      <c r="B5">
        <v>1</v>
      </c>
      <c r="C5" t="s">
        <v>25</v>
      </c>
      <c r="D5">
        <v>46</v>
      </c>
      <c r="E5">
        <v>1</v>
      </c>
      <c r="F5">
        <v>10</v>
      </c>
      <c r="G5">
        <v>283</v>
      </c>
      <c r="H5">
        <v>294</v>
      </c>
      <c r="I5">
        <v>3.4013605442176869E-3</v>
      </c>
      <c r="J5">
        <v>0.99659863945578231</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DBFB80-29D4-463E-809F-093F91F83B5A}">
  <dimension ref="A1:G30"/>
  <sheetViews>
    <sheetView topLeftCell="A16" zoomScale="115" zoomScaleNormal="115" workbookViewId="0">
      <selection activeCell="A27" sqref="A27"/>
    </sheetView>
  </sheetViews>
  <sheetFormatPr defaultColWidth="12.77734375" defaultRowHeight="14.4" x14ac:dyDescent="0.3"/>
  <cols>
    <col min="2" max="2" width="19.33203125" customWidth="1"/>
    <col min="3" max="3" width="12.44140625" customWidth="1"/>
    <col min="5" max="5" width="10.44140625" customWidth="1"/>
  </cols>
  <sheetData>
    <row r="1" spans="1:7" x14ac:dyDescent="0.3">
      <c r="A1" s="34" t="s">
        <v>520</v>
      </c>
    </row>
    <row r="3" spans="1:7" x14ac:dyDescent="0.3">
      <c r="A3" s="25" t="s">
        <v>483</v>
      </c>
      <c r="B3" s="25" t="s">
        <v>521</v>
      </c>
      <c r="C3" s="25" t="s">
        <v>516</v>
      </c>
      <c r="D3" s="25" t="s">
        <v>522</v>
      </c>
      <c r="E3" s="25" t="s">
        <v>517</v>
      </c>
      <c r="F3" s="25" t="s">
        <v>518</v>
      </c>
      <c r="G3" s="25" t="s">
        <v>519</v>
      </c>
    </row>
    <row r="4" spans="1:7" x14ac:dyDescent="0.3">
      <c r="A4" s="24" t="s">
        <v>77</v>
      </c>
      <c r="B4" s="24">
        <v>1</v>
      </c>
      <c r="C4" s="24">
        <f>COUNTIFS(helper_counts!$B$3:$B$22,"&gt;0",helper_counts!$B$3:$B$22,"&lt;4")/20*100</f>
        <v>5</v>
      </c>
      <c r="D4" s="24">
        <f>COUNTIFS(Data!$C$2:$C$1441,A4,Data!$F$2:$F$1441,"H")</f>
        <v>0</v>
      </c>
      <c r="E4" s="24">
        <f>_xlfn.RANK.AVG(B4,$B$4:$B$21,1)</f>
        <v>1</v>
      </c>
      <c r="F4" s="24">
        <f>_xlfn.RANK.AVG(C4,$C$4:$C$21,1)</f>
        <v>7.5</v>
      </c>
      <c r="G4" s="24">
        <f>_xlfn.RANK.AVG(D4,$D$4:$D$21,1)</f>
        <v>5.5</v>
      </c>
    </row>
    <row r="5" spans="1:7" x14ac:dyDescent="0.3">
      <c r="A5" s="24" t="s">
        <v>79</v>
      </c>
      <c r="B5" s="24">
        <v>2</v>
      </c>
      <c r="C5" s="24">
        <f>COUNTIFS(helper_counts!$C$3:$C$22,"&gt;0",helper_counts!$C$3:$C$22,"&lt;4")/20*100</f>
        <v>10</v>
      </c>
      <c r="D5" s="24">
        <f>COUNTIFS(Data!$C$2:$C$1441,A5,Data!$F$2:$F$1441,"H")</f>
        <v>0</v>
      </c>
      <c r="E5" s="24">
        <f t="shared" ref="E5:E21" si="0">_xlfn.RANK.AVG(B5,$B$4:$B$21,1)</f>
        <v>2</v>
      </c>
      <c r="F5" s="24">
        <f t="shared" ref="F5:F21" si="1">_xlfn.RANK.AVG(C5,$C$4:$C$21,1)</f>
        <v>10</v>
      </c>
      <c r="G5" s="24">
        <f t="shared" ref="G5:G21" si="2">_xlfn.RANK.AVG(D5,$D$4:$D$21,1)</f>
        <v>5.5</v>
      </c>
    </row>
    <row r="6" spans="1:7" x14ac:dyDescent="0.3">
      <c r="A6" s="24" t="s">
        <v>81</v>
      </c>
      <c r="B6" s="24">
        <v>3</v>
      </c>
      <c r="C6" s="24">
        <f>COUNTIFS(helper_counts!$D$3:$D$22,"&gt;0",helper_counts!$D$3:$D$22,"&lt;4")/20*100</f>
        <v>55.000000000000007</v>
      </c>
      <c r="D6" s="24">
        <f>COUNTIFS(Data!$C$2:$C$1441,A6,Data!$F$2:$F$1441,"H")</f>
        <v>0</v>
      </c>
      <c r="E6" s="24">
        <f t="shared" si="0"/>
        <v>3</v>
      </c>
      <c r="F6" s="24">
        <f t="shared" si="1"/>
        <v>18</v>
      </c>
      <c r="G6" s="24">
        <f t="shared" si="2"/>
        <v>5.5</v>
      </c>
    </row>
    <row r="7" spans="1:7" x14ac:dyDescent="0.3">
      <c r="A7" s="24" t="s">
        <v>83</v>
      </c>
      <c r="B7" s="24">
        <v>4</v>
      </c>
      <c r="C7" s="24">
        <f>COUNTIFS(helper_counts!$E$3:$E$22,"&gt;0",helper_counts!$E$3:$E$22,"&lt;4")/20*100</f>
        <v>35</v>
      </c>
      <c r="D7" s="24">
        <f>COUNTIFS(Data!$C$2:$C$1441,A7,Data!$F$2:$F$1441,"H")</f>
        <v>1</v>
      </c>
      <c r="E7" s="24">
        <f t="shared" si="0"/>
        <v>4</v>
      </c>
      <c r="F7" s="24">
        <f t="shared" si="1"/>
        <v>16.5</v>
      </c>
      <c r="G7" s="24">
        <f t="shared" si="2"/>
        <v>13.5</v>
      </c>
    </row>
    <row r="8" spans="1:7" x14ac:dyDescent="0.3">
      <c r="A8" s="24" t="s">
        <v>85</v>
      </c>
      <c r="B8" s="24">
        <v>5</v>
      </c>
      <c r="C8" s="24">
        <f>COUNTIFS(helper_counts!$F$3:$F$22,"&gt;0",helper_counts!$F$3:$F$22,"&lt;4")/20*100</f>
        <v>0</v>
      </c>
      <c r="D8" s="24">
        <f>COUNTIFS(Data!$C$2:$C$1441,A8,Data!$F$2:$F$1441,"H")</f>
        <v>0</v>
      </c>
      <c r="E8" s="24">
        <f t="shared" si="0"/>
        <v>5</v>
      </c>
      <c r="F8" s="24">
        <f t="shared" si="1"/>
        <v>3</v>
      </c>
      <c r="G8" s="24">
        <f t="shared" si="2"/>
        <v>5.5</v>
      </c>
    </row>
    <row r="9" spans="1:7" x14ac:dyDescent="0.3">
      <c r="A9" s="24" t="s">
        <v>87</v>
      </c>
      <c r="B9" s="24">
        <v>6</v>
      </c>
      <c r="C9" s="24">
        <f>COUNTIFS(helper_counts!$G$3:$G$22,"&gt;0",helper_counts!$G$3:$G$22,"&lt;4")/20*100</f>
        <v>0</v>
      </c>
      <c r="D9" s="24">
        <f>COUNTIFS(Data!$C$2:$C$1441,A9,Data!$F$2:$F$1441,"H")</f>
        <v>4</v>
      </c>
      <c r="E9" s="24">
        <f t="shared" si="0"/>
        <v>6</v>
      </c>
      <c r="F9" s="24">
        <f t="shared" si="1"/>
        <v>3</v>
      </c>
      <c r="G9" s="24">
        <f t="shared" si="2"/>
        <v>18</v>
      </c>
    </row>
    <row r="10" spans="1:7" x14ac:dyDescent="0.3">
      <c r="A10" s="24" t="s">
        <v>89</v>
      </c>
      <c r="B10" s="24">
        <v>7</v>
      </c>
      <c r="C10" s="24">
        <f>COUNTIFS(helper_counts!$H$3:$H$22,"&gt;0",helper_counts!$H$3:$H$22,"&lt;4")/20*100</f>
        <v>0</v>
      </c>
      <c r="D10" s="24">
        <f>COUNTIFS(Data!$C$2:$C$1441,A10,Data!$F$2:$F$1441,"H")</f>
        <v>0</v>
      </c>
      <c r="E10" s="24">
        <f t="shared" si="0"/>
        <v>7</v>
      </c>
      <c r="F10" s="24">
        <f t="shared" si="1"/>
        <v>3</v>
      </c>
      <c r="G10" s="24">
        <f t="shared" si="2"/>
        <v>5.5</v>
      </c>
    </row>
    <row r="11" spans="1:7" x14ac:dyDescent="0.3">
      <c r="A11" s="24" t="s">
        <v>91</v>
      </c>
      <c r="B11" s="24">
        <v>8</v>
      </c>
      <c r="C11" s="24">
        <f>COUNTIFS(helper_counts!$I$3:$I$22,"&gt;0",helper_counts!$I$3:$I$22,"&lt;4")/20*100</f>
        <v>0</v>
      </c>
      <c r="D11" s="24">
        <f>COUNTIFS(Data!$C$2:$C$1441,A11,Data!$F$2:$F$1441,"H")</f>
        <v>0</v>
      </c>
      <c r="E11" s="24">
        <f t="shared" si="0"/>
        <v>8</v>
      </c>
      <c r="F11" s="24">
        <f t="shared" si="1"/>
        <v>3</v>
      </c>
      <c r="G11" s="24">
        <f t="shared" si="2"/>
        <v>5.5</v>
      </c>
    </row>
    <row r="12" spans="1:7" x14ac:dyDescent="0.3">
      <c r="A12" s="24" t="s">
        <v>93</v>
      </c>
      <c r="B12" s="24">
        <v>9</v>
      </c>
      <c r="C12" s="24">
        <f>COUNTIFS(helper_counts!$J$3:$J$22,"&gt;0",helper_counts!$J$3:$J$22,"&lt;4")/20*100</f>
        <v>5</v>
      </c>
      <c r="D12" s="24">
        <f>COUNTIFS(Data!$C$2:$C$1441,A12,Data!$F$2:$F$1441,"H")</f>
        <v>1</v>
      </c>
      <c r="E12" s="24">
        <f t="shared" si="0"/>
        <v>9</v>
      </c>
      <c r="F12" s="24">
        <f t="shared" si="1"/>
        <v>7.5</v>
      </c>
      <c r="G12" s="24">
        <f t="shared" si="2"/>
        <v>13.5</v>
      </c>
    </row>
    <row r="13" spans="1:7" x14ac:dyDescent="0.3">
      <c r="A13" s="24" t="s">
        <v>95</v>
      </c>
      <c r="B13" s="24">
        <v>10</v>
      </c>
      <c r="C13" s="24">
        <f>COUNTIFS(helper_counts!$K$3:$K$22,"&gt;0",helper_counts!$K$3:$K$22,"&lt;4")/20*100</f>
        <v>20</v>
      </c>
      <c r="D13" s="24">
        <f>COUNTIFS(Data!$C$2:$C$1441,A13,Data!$F$2:$F$1441,"H")</f>
        <v>1</v>
      </c>
      <c r="E13" s="24">
        <f t="shared" si="0"/>
        <v>10</v>
      </c>
      <c r="F13" s="24">
        <f t="shared" si="1"/>
        <v>13</v>
      </c>
      <c r="G13" s="24">
        <f t="shared" si="2"/>
        <v>13.5</v>
      </c>
    </row>
    <row r="14" spans="1:7" x14ac:dyDescent="0.3">
      <c r="A14" s="24" t="s">
        <v>97</v>
      </c>
      <c r="B14" s="24">
        <v>11</v>
      </c>
      <c r="C14" s="24">
        <f>COUNTIFS(helper_counts!$L$3:$L$22,"&gt;0",helper_counts!$L$3:$L$22,"&lt;4")/20*100</f>
        <v>15</v>
      </c>
      <c r="D14" s="24">
        <f>COUNTIFS(Data!$C$2:$C$1441,A14,Data!$F$2:$F$1441,"H")</f>
        <v>1</v>
      </c>
      <c r="E14" s="24">
        <f t="shared" si="0"/>
        <v>11</v>
      </c>
      <c r="F14" s="24">
        <f t="shared" si="1"/>
        <v>11.5</v>
      </c>
      <c r="G14" s="24">
        <f t="shared" si="2"/>
        <v>13.5</v>
      </c>
    </row>
    <row r="15" spans="1:7" x14ac:dyDescent="0.3">
      <c r="A15" s="24" t="s">
        <v>99</v>
      </c>
      <c r="B15" s="24">
        <v>12</v>
      </c>
      <c r="C15" s="24">
        <f>COUNTIFS(helper_counts!$M$3:$M$22,"&gt;0",helper_counts!$M$3:$M$22,"&lt;4")/20*100</f>
        <v>30</v>
      </c>
      <c r="D15" s="24">
        <f>COUNTIFS(Data!$C$2:$C$1441,A15,Data!$F$2:$F$1441,"H")</f>
        <v>0</v>
      </c>
      <c r="E15" s="24">
        <f t="shared" si="0"/>
        <v>12</v>
      </c>
      <c r="F15" s="24">
        <f t="shared" si="1"/>
        <v>15</v>
      </c>
      <c r="G15" s="24">
        <f t="shared" si="2"/>
        <v>5.5</v>
      </c>
    </row>
    <row r="16" spans="1:7" x14ac:dyDescent="0.3">
      <c r="A16" s="24" t="s">
        <v>101</v>
      </c>
      <c r="B16" s="24">
        <v>13</v>
      </c>
      <c r="C16" s="24">
        <f>COUNTIFS(helper_counts!$N$3:$N$22,"&gt;0",helper_counts!$N$3:$N$22,"&lt;4")/20*100</f>
        <v>35</v>
      </c>
      <c r="D16" s="24">
        <f>COUNTIFS(Data!$C$2:$C$1441,A16,Data!$F$2:$F$1441,"H")</f>
        <v>0</v>
      </c>
      <c r="E16" s="24">
        <f t="shared" si="0"/>
        <v>13</v>
      </c>
      <c r="F16" s="24">
        <f t="shared" si="1"/>
        <v>16.5</v>
      </c>
      <c r="G16" s="24">
        <f t="shared" si="2"/>
        <v>5.5</v>
      </c>
    </row>
    <row r="17" spans="1:7" x14ac:dyDescent="0.3">
      <c r="A17" s="24" t="s">
        <v>103</v>
      </c>
      <c r="B17" s="24">
        <v>14</v>
      </c>
      <c r="C17" s="24">
        <f>COUNTIFS(helper_counts!$O$3:$O$22,"&gt;0",helper_counts!$O$3:$O$22,"&lt;4")/20*100</f>
        <v>0</v>
      </c>
      <c r="D17" s="24">
        <f>COUNTIFS(Data!$C$2:$C$1441,A17,Data!$F$2:$F$1441,"H")</f>
        <v>0</v>
      </c>
      <c r="E17" s="24">
        <f t="shared" si="0"/>
        <v>14</v>
      </c>
      <c r="F17" s="24">
        <f t="shared" si="1"/>
        <v>3</v>
      </c>
      <c r="G17" s="24">
        <f t="shared" si="2"/>
        <v>5.5</v>
      </c>
    </row>
    <row r="18" spans="1:7" x14ac:dyDescent="0.3">
      <c r="A18" s="24" t="s">
        <v>105</v>
      </c>
      <c r="B18" s="24">
        <v>15</v>
      </c>
      <c r="C18" s="24">
        <f>COUNTIFS(helper_counts!$P$3:$P$22,"&gt;0",helper_counts!$P$3:$P$22,"&lt;4")/20*100</f>
        <v>5</v>
      </c>
      <c r="D18" s="24">
        <f>COUNTIFS(Data!$C$2:$C$1441,A18,Data!$F$2:$F$1441,"H")</f>
        <v>1</v>
      </c>
      <c r="E18" s="24">
        <f t="shared" si="0"/>
        <v>15</v>
      </c>
      <c r="F18" s="24">
        <f t="shared" si="1"/>
        <v>7.5</v>
      </c>
      <c r="G18" s="24">
        <f t="shared" si="2"/>
        <v>13.5</v>
      </c>
    </row>
    <row r="19" spans="1:7" x14ac:dyDescent="0.3">
      <c r="A19" s="24" t="s">
        <v>107</v>
      </c>
      <c r="B19" s="24">
        <v>16</v>
      </c>
      <c r="C19" s="24">
        <f>COUNTIFS(helper_counts!$Q$3:$Q$22,"&gt;0",helper_counts!$Q$3:$Q$22,"&lt;4")/20*100</f>
        <v>15</v>
      </c>
      <c r="D19" s="24">
        <f>COUNTIFS(Data!$C$2:$C$1441,A19,Data!$F$2:$F$1441,"H")</f>
        <v>1</v>
      </c>
      <c r="E19" s="24">
        <f t="shared" si="0"/>
        <v>16</v>
      </c>
      <c r="F19" s="24">
        <f t="shared" si="1"/>
        <v>11.5</v>
      </c>
      <c r="G19" s="24">
        <f t="shared" si="2"/>
        <v>13.5</v>
      </c>
    </row>
    <row r="20" spans="1:7" x14ac:dyDescent="0.3">
      <c r="A20" s="24" t="s">
        <v>109</v>
      </c>
      <c r="B20" s="24">
        <v>17</v>
      </c>
      <c r="C20" s="24">
        <f>COUNTIFS(helper_counts!$U$3:$U$22,"&gt;0",helper_counts!$U$3:$U$22,"&lt;3")/20*100</f>
        <v>25</v>
      </c>
      <c r="D20" s="24">
        <f>COUNTIFS(Data!$C$2:$C$1441,A20,Data!$F$2:$F$1441,"H")</f>
        <v>0</v>
      </c>
      <c r="E20" s="24">
        <f t="shared" si="0"/>
        <v>17</v>
      </c>
      <c r="F20" s="24">
        <f t="shared" si="1"/>
        <v>14</v>
      </c>
      <c r="G20" s="24">
        <f t="shared" si="2"/>
        <v>5.5</v>
      </c>
    </row>
    <row r="21" spans="1:7" x14ac:dyDescent="0.3">
      <c r="A21" s="24" t="s">
        <v>111</v>
      </c>
      <c r="B21" s="24">
        <v>18</v>
      </c>
      <c r="C21" s="24">
        <f>COUNTIFS(helper_counts!$S$3:$S$22,"&gt;0",helper_counts!$S$3:$S$22,"&lt;4")/20*100</f>
        <v>5</v>
      </c>
      <c r="D21" s="24">
        <f>COUNTIFS(Data!$C$2:$C$1441,A21,Data!$F$2:$F$1441,"H")</f>
        <v>3</v>
      </c>
      <c r="E21" s="24">
        <f t="shared" si="0"/>
        <v>18</v>
      </c>
      <c r="F21" s="24">
        <f t="shared" si="1"/>
        <v>7.5</v>
      </c>
      <c r="G21" s="24">
        <f t="shared" si="2"/>
        <v>17</v>
      </c>
    </row>
    <row r="23" spans="1:7" x14ac:dyDescent="0.3">
      <c r="A23" t="s">
        <v>524</v>
      </c>
      <c r="C23" s="37">
        <f>CORREL(E4:E21,F4:F21)</f>
        <v>6.5066883446501786E-2</v>
      </c>
    </row>
    <row r="24" spans="1:7" x14ac:dyDescent="0.3">
      <c r="A24" t="s">
        <v>525</v>
      </c>
      <c r="C24" s="39">
        <f>CORREL(E4:E21,G4:G21)</f>
        <v>0.27339271918693203</v>
      </c>
    </row>
    <row r="26" spans="1:7" x14ac:dyDescent="0.3">
      <c r="A26" t="s">
        <v>526</v>
      </c>
    </row>
    <row r="27" spans="1:7" x14ac:dyDescent="0.3">
      <c r="A27" t="s">
        <v>527</v>
      </c>
      <c r="C27" s="40">
        <f>AVERAGE(C4:C12)</f>
        <v>12.222222222222221</v>
      </c>
    </row>
    <row r="28" spans="1:7" x14ac:dyDescent="0.3">
      <c r="A28" t="s">
        <v>528</v>
      </c>
      <c r="C28" s="40">
        <f>AVERAGE(C13:C21)</f>
        <v>16.666666666666668</v>
      </c>
    </row>
    <row r="29" spans="1:7" x14ac:dyDescent="0.3">
      <c r="A29" t="s">
        <v>529</v>
      </c>
      <c r="C29" s="38">
        <f>SUM(D4:D12)</f>
        <v>6</v>
      </c>
    </row>
    <row r="30" spans="1:7" x14ac:dyDescent="0.3">
      <c r="A30" t="s">
        <v>530</v>
      </c>
      <c r="C30" s="38">
        <f>SUM(D13:D21)</f>
        <v>7</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3FBBAF-D2CE-4397-B176-2CD31F6CDD09}">
  <dimension ref="A1:G22"/>
  <sheetViews>
    <sheetView zoomScaleNormal="100" workbookViewId="0">
      <selection activeCell="I9" sqref="I9"/>
    </sheetView>
  </sheetViews>
  <sheetFormatPr defaultColWidth="18.109375" defaultRowHeight="15.6" x14ac:dyDescent="0.3"/>
  <cols>
    <col min="1" max="1" width="15.77734375" style="9" customWidth="1"/>
    <col min="2" max="6" width="11.21875" style="9" customWidth="1"/>
    <col min="7" max="7" width="15.5546875" style="9" customWidth="1"/>
    <col min="8" max="16384" width="18.109375" style="9"/>
  </cols>
  <sheetData>
    <row r="1" spans="1:7" x14ac:dyDescent="0.3">
      <c r="A1" s="44" t="s">
        <v>436</v>
      </c>
      <c r="B1" s="44"/>
      <c r="C1" s="44"/>
      <c r="D1" s="44"/>
      <c r="E1" s="44"/>
      <c r="F1" s="44"/>
      <c r="G1" s="44"/>
    </row>
    <row r="2" spans="1:7" x14ac:dyDescent="0.3">
      <c r="A2" s="6" t="s">
        <v>437</v>
      </c>
      <c r="B2" s="6" t="s">
        <v>21</v>
      </c>
      <c r="C2" s="6" t="s">
        <v>23</v>
      </c>
      <c r="D2" s="6" t="s">
        <v>24</v>
      </c>
      <c r="E2" s="6" t="s">
        <v>25</v>
      </c>
      <c r="F2" s="6" t="s">
        <v>441</v>
      </c>
      <c r="G2" s="6" t="s">
        <v>442</v>
      </c>
    </row>
    <row r="3" spans="1:7" x14ac:dyDescent="0.3">
      <c r="A3" s="10" t="s">
        <v>19</v>
      </c>
      <c r="B3" s="11" cm="1">
        <f t="array" ref="B3">SUMPRODUCT((site_model_risk!$C$2:$C$500=A3)*(site_model_risk!$E$2:$E$500=B$2)*site_model_risk!$F$2:$F$500)</f>
        <v>3</v>
      </c>
      <c r="C3" s="11" cm="1">
        <f t="array" ref="C3">SUMPRODUCT((site_model_risk!$C$2:$C$500=$A3)*(site_model_risk!$E$2:$E$500=C$2)*site_model_risk!$F$2:$F$500)</f>
        <v>3</v>
      </c>
      <c r="D3" s="11" cm="1">
        <f t="array" ref="D3">SUMPRODUCT((site_model_risk!$C$2:$C$500=$A3)*(site_model_risk!$E$2:$E$500=D$2)*site_model_risk!$F$2:$F$500)</f>
        <v>8</v>
      </c>
      <c r="E3" s="11" cm="1">
        <f t="array" ref="E3">SUMPRODUCT((site_model_risk!$C$2:$C$500=$A3)*(site_model_risk!$E$2:$E$500=E$2)*site_model_risk!$F$2:$F$500)</f>
        <v>3</v>
      </c>
      <c r="F3" s="11">
        <f>MAX(B3:E3)-MIN(B3:E3)</f>
        <v>5</v>
      </c>
      <c r="G3" s="11" t="str">
        <f>IF(MAX(B3:E3)&gt;=30,"Critical",IF(MAX(B3:E3)&gt;=21,"High Risk",IF(MAX(B3:E3)&gt;=10.5,"Medium Risk","Low Risk")))</f>
        <v>Low Risk</v>
      </c>
    </row>
    <row r="4" spans="1:7" x14ac:dyDescent="0.3">
      <c r="A4" s="10" t="s">
        <v>26</v>
      </c>
      <c r="B4" s="11" cm="1">
        <f t="array" ref="B4">SUMPRODUCT((site_model_risk!$C$2:$C$500=A4)*(site_model_risk!$E$2:$E$500=B$2)*site_model_risk!$F$2:$F$500)</f>
        <v>2</v>
      </c>
      <c r="C4" s="11" cm="1">
        <f t="array" ref="C4">SUMPRODUCT((site_model_risk!$C$2:$C$500=$A4)*(site_model_risk!$E$2:$E$500=C$2)*site_model_risk!$F$2:$F$500)</f>
        <v>3</v>
      </c>
      <c r="D4" s="11" cm="1">
        <f t="array" ref="D4">SUMPRODUCT((site_model_risk!$C$2:$C$500=$A4)*(site_model_risk!$E$2:$E$500=D$2)*site_model_risk!$F$2:$F$500)</f>
        <v>5</v>
      </c>
      <c r="E4" s="11" cm="1">
        <f t="array" ref="E4">SUMPRODUCT((site_model_risk!$C$2:$C$500=$A4)*(site_model_risk!$E$2:$E$500=E$2)*site_model_risk!$F$2:$F$500)</f>
        <v>2</v>
      </c>
      <c r="F4" s="11">
        <f t="shared" ref="F4:F22" si="0">MAX(B4:E4)-MIN(B4:E4)</f>
        <v>3</v>
      </c>
      <c r="G4" s="11" t="str">
        <f t="shared" ref="G4:G22" si="1">IF(MAX(B4:E4)&gt;=30,"Critical",IF(MAX(B4:E4)&gt;=21,"High Risk",IF(MAX(B4:E4)&gt;=10.5,"Medium Risk","Low Risk")))</f>
        <v>Low Risk</v>
      </c>
    </row>
    <row r="5" spans="1:7" x14ac:dyDescent="0.3">
      <c r="A5" s="10" t="s">
        <v>28</v>
      </c>
      <c r="B5" s="11" cm="1">
        <f t="array" ref="B5">SUMPRODUCT((site_model_risk!$C$2:$C$500=A5)*(site_model_risk!$E$2:$E$500=B$2)*site_model_risk!$F$2:$F$500)</f>
        <v>5</v>
      </c>
      <c r="C5" s="11" cm="1">
        <f t="array" ref="C5">SUMPRODUCT((site_model_risk!$C$2:$C$500=$A5)*(site_model_risk!$E$2:$E$500=C$2)*site_model_risk!$F$2:$F$500)</f>
        <v>8</v>
      </c>
      <c r="D5" s="11" cm="1">
        <f t="array" ref="D5">SUMPRODUCT((site_model_risk!$C$2:$C$500=$A5)*(site_model_risk!$E$2:$E$500=D$2)*site_model_risk!$F$2:$F$500)</f>
        <v>5</v>
      </c>
      <c r="E5" s="11" cm="1">
        <f t="array" ref="E5">SUMPRODUCT((site_model_risk!$C$2:$C$500=$A5)*(site_model_risk!$E$2:$E$500=E$2)*site_model_risk!$F$2:$F$500)</f>
        <v>0</v>
      </c>
      <c r="F5" s="11">
        <f t="shared" si="0"/>
        <v>8</v>
      </c>
      <c r="G5" s="11" t="str">
        <f t="shared" si="1"/>
        <v>Low Risk</v>
      </c>
    </row>
    <row r="6" spans="1:7" x14ac:dyDescent="0.3">
      <c r="A6" s="10" t="s">
        <v>30</v>
      </c>
      <c r="B6" s="11" cm="1">
        <f t="array" ref="B6">SUMPRODUCT((site_model_risk!$C$2:$C$500=A6)*(site_model_risk!$E$2:$E$500=B$2)*site_model_risk!$F$2:$F$500)</f>
        <v>4</v>
      </c>
      <c r="C6" s="11" cm="1">
        <f t="array" ref="C6">SUMPRODUCT((site_model_risk!$C$2:$C$500=$A6)*(site_model_risk!$E$2:$E$500=C$2)*site_model_risk!$F$2:$F$500)</f>
        <v>5</v>
      </c>
      <c r="D6" s="11" cm="1">
        <f t="array" ref="D6">SUMPRODUCT((site_model_risk!$C$2:$C$500=$A6)*(site_model_risk!$E$2:$E$500=D$2)*site_model_risk!$F$2:$F$500)</f>
        <v>0</v>
      </c>
      <c r="E6" s="11" cm="1">
        <f t="array" ref="E6">SUMPRODUCT((site_model_risk!$C$2:$C$500=$A6)*(site_model_risk!$E$2:$E$500=E$2)*site_model_risk!$F$2:$F$500)</f>
        <v>2</v>
      </c>
      <c r="F6" s="11">
        <f t="shared" si="0"/>
        <v>5</v>
      </c>
      <c r="G6" s="11" t="str">
        <f t="shared" si="1"/>
        <v>Low Risk</v>
      </c>
    </row>
    <row r="7" spans="1:7" x14ac:dyDescent="0.3">
      <c r="A7" s="10" t="s">
        <v>32</v>
      </c>
      <c r="B7" s="11" cm="1">
        <f t="array" ref="B7">SUMPRODUCT((site_model_risk!$C$2:$C$500=A7)*(site_model_risk!$E$2:$E$500=B$2)*site_model_risk!$F$2:$F$500)</f>
        <v>5</v>
      </c>
      <c r="C7" s="11" cm="1">
        <f t="array" ref="C7">SUMPRODUCT((site_model_risk!$C$2:$C$500=$A7)*(site_model_risk!$E$2:$E$500=C$2)*site_model_risk!$F$2:$F$500)</f>
        <v>5</v>
      </c>
      <c r="D7" s="11" cm="1">
        <f t="array" ref="D7">SUMPRODUCT((site_model_risk!$C$2:$C$500=$A7)*(site_model_risk!$E$2:$E$500=D$2)*site_model_risk!$F$2:$F$500)</f>
        <v>5</v>
      </c>
      <c r="E7" s="11" cm="1">
        <f t="array" ref="E7">SUMPRODUCT((site_model_risk!$C$2:$C$500=$A7)*(site_model_risk!$E$2:$E$500=E$2)*site_model_risk!$F$2:$F$500)</f>
        <v>2</v>
      </c>
      <c r="F7" s="11">
        <f>MAX(B7:E7)-MIN(B7:E7)</f>
        <v>3</v>
      </c>
      <c r="G7" s="11" t="str">
        <f t="shared" si="1"/>
        <v>Low Risk</v>
      </c>
    </row>
    <row r="8" spans="1:7" x14ac:dyDescent="0.3">
      <c r="A8" s="10" t="s">
        <v>34</v>
      </c>
      <c r="B8" s="11" cm="1">
        <f t="array" ref="B8">SUMPRODUCT((site_model_risk!$C$2:$C$500=A8)*(site_model_risk!$E$2:$E$500=B$2)*site_model_risk!$F$2:$F$500)</f>
        <v>3</v>
      </c>
      <c r="C8" s="11" cm="1">
        <f t="array" ref="C8">SUMPRODUCT((site_model_risk!$C$2:$C$500=$A8)*(site_model_risk!$E$2:$E$500=C$2)*site_model_risk!$F$2:$F$500)</f>
        <v>0</v>
      </c>
      <c r="D8" s="11" cm="1">
        <f t="array" ref="D8">SUMPRODUCT((site_model_risk!$C$2:$C$500=$A8)*(site_model_risk!$E$2:$E$500=D$2)*site_model_risk!$F$2:$F$500)</f>
        <v>2</v>
      </c>
      <c r="E8" s="11" cm="1">
        <f t="array" ref="E8">SUMPRODUCT((site_model_risk!$C$2:$C$500=$A8)*(site_model_risk!$E$2:$E$500=E$2)*site_model_risk!$F$2:$F$500)</f>
        <v>2</v>
      </c>
      <c r="F8" s="11">
        <f t="shared" si="0"/>
        <v>3</v>
      </c>
      <c r="G8" s="11" t="str">
        <f t="shared" si="1"/>
        <v>Low Risk</v>
      </c>
    </row>
    <row r="9" spans="1:7" x14ac:dyDescent="0.3">
      <c r="A9" s="10" t="s">
        <v>36</v>
      </c>
      <c r="B9" s="11" cm="1">
        <f t="array" ref="B9">SUMPRODUCT((site_model_risk!$C$2:$C$500=A9)*(site_model_risk!$E$2:$E$500=B$2)*site_model_risk!$F$2:$F$500)</f>
        <v>5</v>
      </c>
      <c r="C9" s="11" cm="1">
        <f t="array" ref="C9">SUMPRODUCT((site_model_risk!$C$2:$C$500=$A9)*(site_model_risk!$E$2:$E$500=C$2)*site_model_risk!$F$2:$F$500)</f>
        <v>3</v>
      </c>
      <c r="D9" s="11" cm="1">
        <f t="array" ref="D9">SUMPRODUCT((site_model_risk!$C$2:$C$500=$A9)*(site_model_risk!$E$2:$E$500=D$2)*site_model_risk!$F$2:$F$500)</f>
        <v>5</v>
      </c>
      <c r="E9" s="11" cm="1">
        <f t="array" ref="E9">SUMPRODUCT((site_model_risk!$C$2:$C$500=$A9)*(site_model_risk!$E$2:$E$500=E$2)*site_model_risk!$F$2:$F$500)</f>
        <v>2</v>
      </c>
      <c r="F9" s="11">
        <f t="shared" si="0"/>
        <v>3</v>
      </c>
      <c r="G9" s="11" t="str">
        <f t="shared" si="1"/>
        <v>Low Risk</v>
      </c>
    </row>
    <row r="10" spans="1:7" x14ac:dyDescent="0.3">
      <c r="A10" s="10" t="s">
        <v>38</v>
      </c>
      <c r="B10" s="11" cm="1">
        <f t="array" ref="B10">SUMPRODUCT((site_model_risk!$C$2:$C$500=A10)*(site_model_risk!$E$2:$E$500=B$2)*site_model_risk!$F$2:$F$500)</f>
        <v>5</v>
      </c>
      <c r="C10" s="11" cm="1">
        <f t="array" ref="C10">SUMPRODUCT((site_model_risk!$C$2:$C$500=$A10)*(site_model_risk!$E$2:$E$500=C$2)*site_model_risk!$F$2:$F$500)</f>
        <v>7</v>
      </c>
      <c r="D10" s="11" cm="1">
        <f t="array" ref="D10">SUMPRODUCT((site_model_risk!$C$2:$C$500=$A10)*(site_model_risk!$E$2:$E$500=D$2)*site_model_risk!$F$2:$F$500)</f>
        <v>5</v>
      </c>
      <c r="E10" s="11" cm="1">
        <f t="array" ref="E10">SUMPRODUCT((site_model_risk!$C$2:$C$500=$A10)*(site_model_risk!$E$2:$E$500=E$2)*site_model_risk!$F$2:$F$500)</f>
        <v>2</v>
      </c>
      <c r="F10" s="11">
        <f t="shared" si="0"/>
        <v>5</v>
      </c>
      <c r="G10" s="11" t="str">
        <f t="shared" si="1"/>
        <v>Low Risk</v>
      </c>
    </row>
    <row r="11" spans="1:7" x14ac:dyDescent="0.3">
      <c r="A11" s="10" t="s">
        <v>40</v>
      </c>
      <c r="B11" s="11" cm="1">
        <f t="array" ref="B11">SUMPRODUCT((site_model_risk!$C$2:$C$500=A11)*(site_model_risk!$E$2:$E$500=B$2)*site_model_risk!$F$2:$F$500)</f>
        <v>5</v>
      </c>
      <c r="C11" s="11" cm="1">
        <f t="array" ref="C11">SUMPRODUCT((site_model_risk!$C$2:$C$500=$A11)*(site_model_risk!$E$2:$E$500=C$2)*site_model_risk!$F$2:$F$500)</f>
        <v>13</v>
      </c>
      <c r="D11" s="11" cm="1">
        <f t="array" ref="D11">SUMPRODUCT((site_model_risk!$C$2:$C$500=$A11)*(site_model_risk!$E$2:$E$500=D$2)*site_model_risk!$F$2:$F$500)</f>
        <v>11</v>
      </c>
      <c r="E11" s="11" cm="1">
        <f t="array" ref="E11">SUMPRODUCT((site_model_risk!$C$2:$C$500=$A11)*(site_model_risk!$E$2:$E$500=E$2)*site_model_risk!$F$2:$F$500)</f>
        <v>2</v>
      </c>
      <c r="F11" s="11">
        <f t="shared" si="0"/>
        <v>11</v>
      </c>
      <c r="G11" s="11" t="str">
        <f t="shared" si="1"/>
        <v>Medium Risk</v>
      </c>
    </row>
    <row r="12" spans="1:7" x14ac:dyDescent="0.3">
      <c r="A12" s="10" t="s">
        <v>43</v>
      </c>
      <c r="B12" s="11" cm="1">
        <f t="array" ref="B12">SUMPRODUCT((site_model_risk!$C$2:$C$500=A12)*(site_model_risk!$E$2:$E$500=B$2)*site_model_risk!$F$2:$F$500)</f>
        <v>8</v>
      </c>
      <c r="C12" s="11" cm="1">
        <f t="array" ref="C12">SUMPRODUCT((site_model_risk!$C$2:$C$500=$A12)*(site_model_risk!$E$2:$E$500=C$2)*site_model_risk!$F$2:$F$500)</f>
        <v>5</v>
      </c>
      <c r="D12" s="11" cm="1">
        <f t="array" ref="D12">SUMPRODUCT((site_model_risk!$C$2:$C$500=$A12)*(site_model_risk!$E$2:$E$500=D$2)*site_model_risk!$F$2:$F$500)</f>
        <v>13</v>
      </c>
      <c r="E12" s="11" cm="1">
        <f t="array" ref="E12">SUMPRODUCT((site_model_risk!$C$2:$C$500=$A12)*(site_model_risk!$E$2:$E$500=E$2)*site_model_risk!$F$2:$F$500)</f>
        <v>2</v>
      </c>
      <c r="F12" s="11">
        <f t="shared" si="0"/>
        <v>11</v>
      </c>
      <c r="G12" s="11" t="str">
        <f t="shared" si="1"/>
        <v>Medium Risk</v>
      </c>
    </row>
    <row r="13" spans="1:7" x14ac:dyDescent="0.3">
      <c r="A13" s="10" t="s">
        <v>45</v>
      </c>
      <c r="B13" s="11" cm="1">
        <f t="array" ref="B13">SUMPRODUCT((site_model_risk!$C$2:$C$500=A13)*(site_model_risk!$E$2:$E$500=B$2)*site_model_risk!$F$2:$F$500)</f>
        <v>2</v>
      </c>
      <c r="C13" s="11" cm="1">
        <f t="array" ref="C13">SUMPRODUCT((site_model_risk!$C$2:$C$500=$A13)*(site_model_risk!$E$2:$E$500=C$2)*site_model_risk!$F$2:$F$500)</f>
        <v>2</v>
      </c>
      <c r="D13" s="11" cm="1">
        <f t="array" ref="D13">SUMPRODUCT((site_model_risk!$C$2:$C$500=$A13)*(site_model_risk!$E$2:$E$500=D$2)*site_model_risk!$F$2:$F$500)</f>
        <v>2</v>
      </c>
      <c r="E13" s="11" cm="1">
        <f t="array" ref="E13">SUMPRODUCT((site_model_risk!$C$2:$C$500=$A13)*(site_model_risk!$E$2:$E$500=E$2)*site_model_risk!$F$2:$F$500)</f>
        <v>2</v>
      </c>
      <c r="F13" s="11">
        <f t="shared" si="0"/>
        <v>0</v>
      </c>
      <c r="G13" s="11" t="str">
        <f t="shared" si="1"/>
        <v>Low Risk</v>
      </c>
    </row>
    <row r="14" spans="1:7" x14ac:dyDescent="0.3">
      <c r="A14" s="10" t="s">
        <v>63</v>
      </c>
      <c r="B14" s="11" cm="1">
        <f t="array" ref="B14">SUMPRODUCT((site_model_risk!$C$2:$C$500=A14)*(site_model_risk!$E$2:$E$500=B$2)*site_model_risk!$F$2:$F$500)</f>
        <v>3</v>
      </c>
      <c r="C14" s="11" cm="1">
        <f t="array" ref="C14">SUMPRODUCT((site_model_risk!$C$2:$C$500=$A14)*(site_model_risk!$E$2:$E$500=C$2)*site_model_risk!$F$2:$F$500)</f>
        <v>2</v>
      </c>
      <c r="D14" s="11" cm="1">
        <f t="array" ref="D14">SUMPRODUCT((site_model_risk!$C$2:$C$500=$A14)*(site_model_risk!$E$2:$E$500=D$2)*site_model_risk!$F$2:$F$500)</f>
        <v>15</v>
      </c>
      <c r="E14" s="11" cm="1">
        <f t="array" ref="E14">SUMPRODUCT((site_model_risk!$C$2:$C$500=$A14)*(site_model_risk!$E$2:$E$500=E$2)*site_model_risk!$F$2:$F$500)</f>
        <v>2</v>
      </c>
      <c r="F14" s="11">
        <f t="shared" si="0"/>
        <v>13</v>
      </c>
      <c r="G14" s="11" t="str">
        <f t="shared" si="1"/>
        <v>Medium Risk</v>
      </c>
    </row>
    <row r="15" spans="1:7" x14ac:dyDescent="0.3">
      <c r="A15" s="10" t="s">
        <v>47</v>
      </c>
      <c r="B15" s="11" cm="1">
        <f t="array" ref="B15">SUMPRODUCT((site_model_risk!$C$2:$C$500=A15)*(site_model_risk!$E$2:$E$500=B$2)*site_model_risk!$F$2:$F$500)</f>
        <v>8</v>
      </c>
      <c r="C15" s="11" cm="1">
        <f t="array" ref="C15">SUMPRODUCT((site_model_risk!$C$2:$C$500=$A15)*(site_model_risk!$E$2:$E$500=C$2)*site_model_risk!$F$2:$F$500)</f>
        <v>5</v>
      </c>
      <c r="D15" s="11" cm="1">
        <f t="array" ref="D15">SUMPRODUCT((site_model_risk!$C$2:$C$500=$A15)*(site_model_risk!$E$2:$E$500=D$2)*site_model_risk!$F$2:$F$500)</f>
        <v>5</v>
      </c>
      <c r="E15" s="11" cm="1">
        <f t="array" ref="E15">SUMPRODUCT((site_model_risk!$C$2:$C$500=$A15)*(site_model_risk!$E$2:$E$500=E$2)*site_model_risk!$F$2:$F$500)</f>
        <v>2</v>
      </c>
      <c r="F15" s="11">
        <f t="shared" si="0"/>
        <v>6</v>
      </c>
      <c r="G15" s="11" t="str">
        <f t="shared" si="1"/>
        <v>Low Risk</v>
      </c>
    </row>
    <row r="16" spans="1:7" x14ac:dyDescent="0.3">
      <c r="A16" s="10" t="s">
        <v>49</v>
      </c>
      <c r="B16" s="11" cm="1">
        <f t="array" ref="B16">SUMPRODUCT((site_model_risk!$C$2:$C$500=A16)*(site_model_risk!$E$2:$E$500=B$2)*site_model_risk!$F$2:$F$500)</f>
        <v>6</v>
      </c>
      <c r="C16" s="11" cm="1">
        <f t="array" ref="C16">SUMPRODUCT((site_model_risk!$C$2:$C$500=$A16)*(site_model_risk!$E$2:$E$500=C$2)*site_model_risk!$F$2:$F$500)</f>
        <v>3</v>
      </c>
      <c r="D16" s="11" cm="1">
        <f t="array" ref="D16">SUMPRODUCT((site_model_risk!$C$2:$C$500=$A16)*(site_model_risk!$E$2:$E$500=D$2)*site_model_risk!$F$2:$F$500)</f>
        <v>6</v>
      </c>
      <c r="E16" s="11" cm="1">
        <f t="array" ref="E16">SUMPRODUCT((site_model_risk!$C$2:$C$500=$A16)*(site_model_risk!$E$2:$E$500=E$2)*site_model_risk!$F$2:$F$500)</f>
        <v>2</v>
      </c>
      <c r="F16" s="11">
        <f t="shared" si="0"/>
        <v>4</v>
      </c>
      <c r="G16" s="11" t="str">
        <f t="shared" si="1"/>
        <v>Low Risk</v>
      </c>
    </row>
    <row r="17" spans="1:7" x14ac:dyDescent="0.3">
      <c r="A17" s="10" t="s">
        <v>51</v>
      </c>
      <c r="B17" s="11" cm="1">
        <f t="array" ref="B17">SUMPRODUCT((site_model_risk!$C$2:$C$500=A17)*(site_model_risk!$E$2:$E$500=B$2)*site_model_risk!$F$2:$F$500)</f>
        <v>5</v>
      </c>
      <c r="C17" s="11" cm="1">
        <f t="array" ref="C17">SUMPRODUCT((site_model_risk!$C$2:$C$500=$A17)*(site_model_risk!$E$2:$E$500=C$2)*site_model_risk!$F$2:$F$500)</f>
        <v>13</v>
      </c>
      <c r="D17" s="11" cm="1">
        <f t="array" ref="D17">SUMPRODUCT((site_model_risk!$C$2:$C$500=$A17)*(site_model_risk!$E$2:$E$500=D$2)*site_model_risk!$F$2:$F$500)</f>
        <v>5</v>
      </c>
      <c r="E17" s="11" cm="1">
        <f t="array" ref="E17">SUMPRODUCT((site_model_risk!$C$2:$C$500=$A17)*(site_model_risk!$E$2:$E$500=E$2)*site_model_risk!$F$2:$F$500)</f>
        <v>2</v>
      </c>
      <c r="F17" s="11">
        <f t="shared" si="0"/>
        <v>11</v>
      </c>
      <c r="G17" s="11" t="str">
        <f t="shared" si="1"/>
        <v>Medium Risk</v>
      </c>
    </row>
    <row r="18" spans="1:7" x14ac:dyDescent="0.3">
      <c r="A18" s="10" t="s">
        <v>53</v>
      </c>
      <c r="B18" s="11" cm="1">
        <f t="array" ref="B18">SUMPRODUCT((site_model_risk!$C$2:$C$500=A18)*(site_model_risk!$E$2:$E$500=B$2)*site_model_risk!$F$2:$F$500)</f>
        <v>3</v>
      </c>
      <c r="C18" s="11" cm="1">
        <f t="array" ref="C18">SUMPRODUCT((site_model_risk!$C$2:$C$500=$A18)*(site_model_risk!$E$2:$E$500=C$2)*site_model_risk!$F$2:$F$500)</f>
        <v>8</v>
      </c>
      <c r="D18" s="11" cm="1">
        <f t="array" ref="D18">SUMPRODUCT((site_model_risk!$C$2:$C$500=$A18)*(site_model_risk!$E$2:$E$500=D$2)*site_model_risk!$F$2:$F$500)</f>
        <v>8</v>
      </c>
      <c r="E18" s="11" cm="1">
        <f t="array" ref="E18">SUMPRODUCT((site_model_risk!$C$2:$C$500=$A18)*(site_model_risk!$E$2:$E$500=E$2)*site_model_risk!$F$2:$F$500)</f>
        <v>2</v>
      </c>
      <c r="F18" s="11">
        <f t="shared" si="0"/>
        <v>6</v>
      </c>
      <c r="G18" s="11" t="str">
        <f t="shared" si="1"/>
        <v>Low Risk</v>
      </c>
    </row>
    <row r="19" spans="1:7" x14ac:dyDescent="0.3">
      <c r="A19" s="10" t="s">
        <v>55</v>
      </c>
      <c r="B19" s="11" cm="1">
        <f t="array" ref="B19">SUMPRODUCT((site_model_risk!$C$2:$C$500=A19)*(site_model_risk!$E$2:$E$500=B$2)*site_model_risk!$F$2:$F$500)</f>
        <v>6</v>
      </c>
      <c r="C19" s="11" cm="1">
        <f t="array" ref="C19">SUMPRODUCT((site_model_risk!$C$2:$C$500=$A19)*(site_model_risk!$E$2:$E$500=C$2)*site_model_risk!$F$2:$F$500)</f>
        <v>2</v>
      </c>
      <c r="D19" s="11" cm="1">
        <f t="array" ref="D19">SUMPRODUCT((site_model_risk!$C$2:$C$500=$A19)*(site_model_risk!$E$2:$E$500=D$2)*site_model_risk!$F$2:$F$500)</f>
        <v>10</v>
      </c>
      <c r="E19" s="11" cm="1">
        <f t="array" ref="E19">SUMPRODUCT((site_model_risk!$C$2:$C$500=$A19)*(site_model_risk!$E$2:$E$500=E$2)*site_model_risk!$F$2:$F$500)</f>
        <v>2</v>
      </c>
      <c r="F19" s="11">
        <f t="shared" si="0"/>
        <v>8</v>
      </c>
      <c r="G19" s="11" t="str">
        <f t="shared" si="1"/>
        <v>Low Risk</v>
      </c>
    </row>
    <row r="20" spans="1:7" x14ac:dyDescent="0.3">
      <c r="A20" s="10" t="s">
        <v>57</v>
      </c>
      <c r="B20" s="11" cm="1">
        <f t="array" ref="B20">SUMPRODUCT((site_model_risk!$C$2:$C$500=A20)*(site_model_risk!$E$2:$E$500=B$2)*site_model_risk!$F$2:$F$500)</f>
        <v>3</v>
      </c>
      <c r="C20" s="11" cm="1">
        <f t="array" ref="C20">SUMPRODUCT((site_model_risk!$C$2:$C$500=$A20)*(site_model_risk!$E$2:$E$500=C$2)*site_model_risk!$F$2:$F$500)</f>
        <v>3</v>
      </c>
      <c r="D20" s="11" cm="1">
        <f t="array" ref="D20">SUMPRODUCT((site_model_risk!$C$2:$C$500=$A20)*(site_model_risk!$E$2:$E$500=D$2)*site_model_risk!$F$2:$F$500)</f>
        <v>7</v>
      </c>
      <c r="E20" s="11" cm="1">
        <f t="array" ref="E20">SUMPRODUCT((site_model_risk!$C$2:$C$500=$A20)*(site_model_risk!$E$2:$E$500=E$2)*site_model_risk!$F$2:$F$500)</f>
        <v>2</v>
      </c>
      <c r="F20" s="11">
        <f t="shared" si="0"/>
        <v>5</v>
      </c>
      <c r="G20" s="11" t="str">
        <f t="shared" si="1"/>
        <v>Low Risk</v>
      </c>
    </row>
    <row r="21" spans="1:7" x14ac:dyDescent="0.3">
      <c r="A21" s="10" t="s">
        <v>59</v>
      </c>
      <c r="B21" s="11" cm="1">
        <f t="array" ref="B21">SUMPRODUCT((site_model_risk!$C$2:$C$500=A21)*(site_model_risk!$E$2:$E$500=B$2)*site_model_risk!$F$2:$F$500)</f>
        <v>5</v>
      </c>
      <c r="C21" s="11" cm="1">
        <f t="array" ref="C21">SUMPRODUCT((site_model_risk!$C$2:$C$500=$A21)*(site_model_risk!$E$2:$E$500=C$2)*site_model_risk!$F$2:$F$500)</f>
        <v>3</v>
      </c>
      <c r="D21" s="11" cm="1">
        <f t="array" ref="D21">SUMPRODUCT((site_model_risk!$C$2:$C$500=$A21)*(site_model_risk!$E$2:$E$500=D$2)*site_model_risk!$F$2:$F$500)</f>
        <v>2</v>
      </c>
      <c r="E21" s="11" cm="1">
        <f t="array" ref="E21">SUMPRODUCT((site_model_risk!$C$2:$C$500=$A21)*(site_model_risk!$E$2:$E$500=E$2)*site_model_risk!$F$2:$F$500)</f>
        <v>2</v>
      </c>
      <c r="F21" s="11">
        <f t="shared" si="0"/>
        <v>3</v>
      </c>
      <c r="G21" s="11" t="str">
        <f t="shared" si="1"/>
        <v>Low Risk</v>
      </c>
    </row>
    <row r="22" spans="1:7" x14ac:dyDescent="0.3">
      <c r="A22" s="10" t="s">
        <v>61</v>
      </c>
      <c r="B22" s="11" cm="1">
        <f t="array" ref="B22">SUMPRODUCT((site_model_risk!$C$2:$C$500=A22)*(site_model_risk!$E$2:$E$500=B$2)*site_model_risk!$F$2:$F$500)</f>
        <v>3</v>
      </c>
      <c r="C22" s="11" cm="1">
        <f t="array" ref="C22">SUMPRODUCT((site_model_risk!$C$2:$C$500=$A22)*(site_model_risk!$E$2:$E$500=C$2)*site_model_risk!$F$2:$F$500)</f>
        <v>5</v>
      </c>
      <c r="D22" s="11" cm="1">
        <f t="array" ref="D22">SUMPRODUCT((site_model_risk!$C$2:$C$500=$A22)*(site_model_risk!$E$2:$E$500=D$2)*site_model_risk!$F$2:$F$500)</f>
        <v>9</v>
      </c>
      <c r="E22" s="11" cm="1">
        <f t="array" ref="E22">SUMPRODUCT((site_model_risk!$C$2:$C$500=$A22)*(site_model_risk!$E$2:$E$500=E$2)*site_model_risk!$F$2:$F$500)</f>
        <v>2</v>
      </c>
      <c r="F22" s="11">
        <f t="shared" si="0"/>
        <v>7</v>
      </c>
      <c r="G22" s="11" t="str">
        <f t="shared" si="1"/>
        <v>Low Risk</v>
      </c>
    </row>
  </sheetData>
  <mergeCells count="1">
    <mergeCell ref="A1:G1"/>
  </mergeCell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122656-B4BE-4658-8A8F-0C552EAE48B1}">
  <dimension ref="A1:AE37"/>
  <sheetViews>
    <sheetView zoomScale="115" zoomScaleNormal="115" workbookViewId="0"/>
  </sheetViews>
  <sheetFormatPr defaultRowHeight="14.4" x14ac:dyDescent="0.3"/>
  <cols>
    <col min="1" max="1" width="13.5546875" customWidth="1"/>
    <col min="2" max="2" width="12.5546875" customWidth="1"/>
    <col min="3" max="3" width="10.77734375" customWidth="1"/>
    <col min="6" max="6" width="13" customWidth="1"/>
    <col min="9" max="9" width="11.88671875" customWidth="1"/>
  </cols>
  <sheetData>
    <row r="1" spans="1:31" x14ac:dyDescent="0.3">
      <c r="A1" s="34" t="s">
        <v>488</v>
      </c>
      <c r="B1" s="30"/>
      <c r="C1" s="30"/>
      <c r="D1" s="30"/>
      <c r="E1" s="30"/>
      <c r="F1" s="30"/>
    </row>
    <row r="2" spans="1:31" x14ac:dyDescent="0.3">
      <c r="A2" s="30"/>
      <c r="B2" s="32" t="s">
        <v>494</v>
      </c>
      <c r="C2" s="32" t="s">
        <v>492</v>
      </c>
      <c r="D2" s="32" t="s">
        <v>493</v>
      </c>
      <c r="E2" s="32" t="s">
        <v>495</v>
      </c>
      <c r="F2" s="32" t="s">
        <v>496</v>
      </c>
    </row>
    <row r="3" spans="1:31" x14ac:dyDescent="0.3">
      <c r="A3" s="30"/>
      <c r="B3" s="31" t="s">
        <v>485</v>
      </c>
      <c r="C3" s="31">
        <v>3</v>
      </c>
      <c r="D3" s="31">
        <v>1</v>
      </c>
      <c r="E3" s="31">
        <v>5</v>
      </c>
      <c r="F3" s="31">
        <v>2</v>
      </c>
    </row>
    <row r="4" spans="1:31" x14ac:dyDescent="0.3">
      <c r="A4" s="30"/>
      <c r="B4" s="31" t="s">
        <v>486</v>
      </c>
      <c r="C4" s="31">
        <v>2</v>
      </c>
      <c r="D4" s="31">
        <v>1</v>
      </c>
      <c r="E4" s="31">
        <v>2</v>
      </c>
      <c r="F4" s="31">
        <v>1</v>
      </c>
    </row>
    <row r="5" spans="1:31" x14ac:dyDescent="0.3">
      <c r="A5" s="30"/>
      <c r="B5" s="31" t="s">
        <v>487</v>
      </c>
      <c r="C5" s="31">
        <v>1</v>
      </c>
      <c r="D5" s="31">
        <v>1</v>
      </c>
      <c r="E5" s="31">
        <v>1</v>
      </c>
      <c r="F5" s="31">
        <v>1</v>
      </c>
    </row>
    <row r="7" spans="1:31" x14ac:dyDescent="0.3">
      <c r="A7" s="48" t="s">
        <v>492</v>
      </c>
      <c r="B7" s="49"/>
      <c r="C7" s="49"/>
      <c r="D7" s="49"/>
      <c r="E7" s="49"/>
      <c r="F7" s="49"/>
      <c r="G7" s="50"/>
      <c r="I7" s="48" t="s">
        <v>493</v>
      </c>
      <c r="J7" s="49"/>
      <c r="K7" s="49"/>
      <c r="L7" s="49"/>
      <c r="M7" s="49"/>
      <c r="N7" s="49"/>
      <c r="O7" s="50"/>
      <c r="Q7" s="48" t="s">
        <v>495</v>
      </c>
      <c r="R7" s="49"/>
      <c r="S7" s="49"/>
      <c r="T7" s="49"/>
      <c r="U7" s="49"/>
      <c r="V7" s="49"/>
      <c r="W7" s="50"/>
      <c r="Y7" s="48" t="s">
        <v>496</v>
      </c>
      <c r="Z7" s="49"/>
      <c r="AA7" s="49"/>
      <c r="AB7" s="49"/>
      <c r="AC7" s="49"/>
      <c r="AD7" s="49"/>
      <c r="AE7" s="50"/>
    </row>
    <row r="8" spans="1:31" x14ac:dyDescent="0.3">
      <c r="A8" s="29" t="s">
        <v>489</v>
      </c>
      <c r="B8" s="29" t="s">
        <v>21</v>
      </c>
      <c r="C8" s="29" t="s">
        <v>23</v>
      </c>
      <c r="D8" s="29" t="s">
        <v>24</v>
      </c>
      <c r="E8" s="29" t="s">
        <v>25</v>
      </c>
      <c r="F8" s="29" t="s">
        <v>490</v>
      </c>
      <c r="G8" s="29" t="s">
        <v>491</v>
      </c>
      <c r="I8" s="29" t="s">
        <v>489</v>
      </c>
      <c r="J8" s="29" t="s">
        <v>21</v>
      </c>
      <c r="K8" s="29" t="s">
        <v>23</v>
      </c>
      <c r="L8" s="29" t="s">
        <v>24</v>
      </c>
      <c r="M8" s="29" t="s">
        <v>25</v>
      </c>
      <c r="N8" s="29" t="s">
        <v>490</v>
      </c>
      <c r="O8" s="29" t="s">
        <v>491</v>
      </c>
      <c r="Q8" s="29" t="s">
        <v>489</v>
      </c>
      <c r="R8" s="29" t="s">
        <v>21</v>
      </c>
      <c r="S8" s="29" t="s">
        <v>23</v>
      </c>
      <c r="T8" s="29" t="s">
        <v>24</v>
      </c>
      <c r="U8" s="29" t="s">
        <v>25</v>
      </c>
      <c r="V8" s="29" t="s">
        <v>490</v>
      </c>
      <c r="W8" s="29" t="s">
        <v>491</v>
      </c>
      <c r="Y8" s="29" t="s">
        <v>489</v>
      </c>
      <c r="Z8" s="29" t="s">
        <v>21</v>
      </c>
      <c r="AA8" s="29" t="s">
        <v>23</v>
      </c>
      <c r="AB8" s="29" t="s">
        <v>24</v>
      </c>
      <c r="AC8" s="29" t="s">
        <v>25</v>
      </c>
      <c r="AD8" s="29" t="s">
        <v>490</v>
      </c>
      <c r="AE8" s="29" t="s">
        <v>491</v>
      </c>
    </row>
    <row r="9" spans="1:31" x14ac:dyDescent="0.3">
      <c r="A9" s="27" t="s">
        <v>19</v>
      </c>
      <c r="B9" s="28" cm="1">
        <f t="array" ref="B9">SUMPRODUCT((Data!$A$2:$A$1441=$A9)*(Data!$B$2:$B$1441=B$8)*Data!$E$2:$E$1441*((Data!$D$2:$D$1441=$B$3)*$C$3+(Data!$D$2:$D$1441=$B$4)*$C$4+(Data!$D$2:$D$1441=$B$5)*$C$5))</f>
        <v>3</v>
      </c>
      <c r="C9" s="28" cm="1">
        <f t="array" ref="C9">SUMPRODUCT((Data!$A$2:$A$1441=$A9)*(Data!$B$2:$B$1441=C$8)*Data!$E$2:$E$1441*((Data!$D$2:$D$1441=$B$3)*$C$3+(Data!$D$2:$D$1441=$B$4)*$C$4+(Data!$D$2:$D$1441=$B$5)*$C$5))</f>
        <v>3</v>
      </c>
      <c r="D9" s="28" cm="1">
        <f t="array" ref="D9">SUMPRODUCT((Data!$A$2:$A$1441=$A9)*(Data!$B$2:$B$1441=D$8)*Data!$E$2:$E$1441*((Data!$D$2:$D$1441=$B$3)*$C$3+(Data!$D$2:$D$1441=$B$4)*$C$4+(Data!$D$2:$D$1441=$B$5)*$C$5))</f>
        <v>8</v>
      </c>
      <c r="E9" s="28" cm="1">
        <f t="array" ref="E9">SUMPRODUCT((Data!$A$2:$A$1441=$A9)*(Data!$B$2:$B$1441=E$8)*Data!$E$2:$E$1441*((Data!$D$2:$D$1441=$B$3)*$C$3+(Data!$D$2:$D$1441=$B$4)*$C$4+(Data!$D$2:$D$1441=$B$5)*$C$5))</f>
        <v>3</v>
      </c>
      <c r="F9" s="28">
        <f>MAX(B9:E9)-MIN(B9:E9)</f>
        <v>5</v>
      </c>
      <c r="G9" s="28">
        <f>_xlfn.RANK.AVG(F9,$F$9:$F$28)</f>
        <v>11.5</v>
      </c>
      <c r="I9" s="27" t="s">
        <v>19</v>
      </c>
      <c r="J9" s="28" cm="1">
        <f t="array" ref="J9">SUMPRODUCT((Data!$A$2:$A$1441=$A9)*(Data!$B$2:$B$1441=J$8)*Data!$E$2:$E$1441*((Data!$D$2:$D$1441=$B$3)*$D$3+(Data!$D$2:$D$1441=$B$4)*$D$4+(Data!$D$2:$D$1441=$B$5)*$D$5))</f>
        <v>1</v>
      </c>
      <c r="K9" s="28" cm="1">
        <f t="array" ref="K9">SUMPRODUCT((Data!$A$2:$A$1441=$A9)*(Data!$B$2:$B$1441=K$8)*Data!$E$2:$E$1441*((Data!$D$2:$D$1441=$B$3)*$D$3+(Data!$D$2:$D$1441=$B$4)*$D$4+(Data!$D$2:$D$1441=$B$5)*$D$5))</f>
        <v>1</v>
      </c>
      <c r="L9" s="28" cm="1">
        <f t="array" ref="L9">SUMPRODUCT((Data!$A$2:$A$1441=$A9)*(Data!$B$2:$B$1441=L$8)*Data!$E$2:$E$1441*((Data!$D$2:$D$1441=$B$3)*$D$3+(Data!$D$2:$D$1441=$B$4)*$D$4+(Data!$D$2:$D$1441=$B$5)*$D$5))</f>
        <v>3</v>
      </c>
      <c r="M9" s="28" cm="1">
        <f t="array" ref="M9">SUMPRODUCT((Data!$A$2:$A$1441=$A9)*(Data!$B$2:$B$1441=M$8)*Data!$E$2:$E$1441*((Data!$D$2:$D$1441=$B$3)*$D$3+(Data!$D$2:$D$1441=$B$4)*$D$4+(Data!$D$2:$D$1441=$B$5)*$D$5))</f>
        <v>1</v>
      </c>
      <c r="N9" s="28">
        <f>MAX(J9:M9)-MIN(J9:M9)</f>
        <v>2</v>
      </c>
      <c r="O9" s="28">
        <f>_xlfn.RANK.AVG(N9,$N$9:$N$28)</f>
        <v>11</v>
      </c>
      <c r="Q9" s="27" t="s">
        <v>19</v>
      </c>
      <c r="R9" s="28" cm="1">
        <f t="array" ref="R9">SUMPRODUCT((Data!$A$2:$A$1441=$A9)*(Data!$B$2:$B$1441=R$8)*Data!$E$2:$E$1441*((Data!$D$2:$D$1441=$B$3)*$E$3+(Data!$D$2:$D$1441=$B$4)*$E$4+(Data!$D$2:$D$1441=$B$5)*$E$5))</f>
        <v>5</v>
      </c>
      <c r="S9" s="28" cm="1">
        <f t="array" ref="S9">SUMPRODUCT((Data!$A$2:$A$1441=$A9)*(Data!$B$2:$B$1441=S$8)*Data!$E$2:$E$1441*((Data!$D$2:$D$1441=$B$3)*$E$3+(Data!$D$2:$D$1441=$B$4)*$E$4+(Data!$D$2:$D$1441=$B$5)*$E$5))</f>
        <v>5</v>
      </c>
      <c r="T9" s="28" cm="1">
        <f t="array" ref="T9">SUMPRODUCT((Data!$A$2:$A$1441=$A9)*(Data!$B$2:$B$1441=T$8)*Data!$E$2:$E$1441*((Data!$D$2:$D$1441=$B$3)*$E$3+(Data!$D$2:$D$1441=$B$4)*$E$4+(Data!$D$2:$D$1441=$B$5)*$E$5))</f>
        <v>12</v>
      </c>
      <c r="U9" s="28" cm="1">
        <f t="array" ref="U9">SUMPRODUCT((Data!$A$2:$A$1441=$A9)*(Data!$B$2:$B$1441=U$8)*Data!$E$2:$E$1441*((Data!$D$2:$D$1441=$B$3)*$E$3+(Data!$D$2:$D$1441=$B$4)*$E$4+(Data!$D$2:$D$1441=$B$5)*$E$5))</f>
        <v>5</v>
      </c>
      <c r="V9" s="28">
        <f>MAX(R9:U9)-MIN(R9:U9)</f>
        <v>7</v>
      </c>
      <c r="W9" s="28">
        <f>_xlfn.RANK.AVG(V9,$V$9:$V$28)</f>
        <v>11.5</v>
      </c>
      <c r="Y9" s="27" t="s">
        <v>19</v>
      </c>
      <c r="Z9" s="28" cm="1">
        <f t="array" ref="Z9">SUMPRODUCT((Data!$A$2:$A$1441=$A9)*(Data!$B$2:$B$1441=Z$8)*Data!$E$2:$E$1441*((Data!$D$2:$D$1441=$B$3)*$F$3+(Data!$D$2:$D$1441=$B$4)*$F$4+(Data!$D$2:$D$1441=$B$5)*$F$5))</f>
        <v>2</v>
      </c>
      <c r="AA9" s="28" cm="1">
        <f t="array" ref="AA9">SUMPRODUCT((Data!$A$2:$A$1441=$A9)*(Data!$B$2:$B$1441=AA$8)*Data!$E$2:$E$1441*((Data!$D$2:$D$1441=$B$3)*$F$3+(Data!$D$2:$D$1441=$B$4)*$F$4+(Data!$D$2:$D$1441=$B$5)*$F$5))</f>
        <v>2</v>
      </c>
      <c r="AB9" s="28" cm="1">
        <f t="array" ref="AB9">SUMPRODUCT((Data!$A$2:$A$1441=$A9)*(Data!$B$2:$B$1441=AB$8)*Data!$E$2:$E$1441*((Data!$D$2:$D$1441=$B$3)*$F$3+(Data!$D$2:$D$1441=$B$4)*$F$4+(Data!$D$2:$D$1441=$B$5)*$F$5))</f>
        <v>5</v>
      </c>
      <c r="AC9" s="28" cm="1">
        <f t="array" ref="AC9">SUMPRODUCT((Data!$A$2:$A$1441=$A9)*(Data!$B$2:$B$1441=AC$8)*Data!$E$2:$E$1441*((Data!$D$2:$D$1441=$B$3)*$F$3+(Data!$D$2:$D$1441=$B$4)*$F$4+(Data!$D$2:$D$1441=$B$5)*$F$5))</f>
        <v>2</v>
      </c>
      <c r="AD9" s="28">
        <f>MAX(Z9:AC9)-MIN(Z9:AC9)</f>
        <v>3</v>
      </c>
      <c r="AE9" s="28">
        <f>_xlfn.RANK.AVG(AD9,$AD$9:$AD$28)</f>
        <v>12</v>
      </c>
    </row>
    <row r="10" spans="1:31" x14ac:dyDescent="0.3">
      <c r="A10" s="27" t="s">
        <v>26</v>
      </c>
      <c r="B10" s="28" cm="1">
        <f t="array" ref="B10">SUMPRODUCT((Data!$A$2:$A$1441=$A10)*(Data!$B$2:$B$1441=B$8)*Data!$E$2:$E$1441*((Data!$D$2:$D$1441=$B$3)*$C$3+(Data!$D$2:$D$1441=$B$4)*$C$4+(Data!$D$2:$D$1441=$B$5)*$C$5))</f>
        <v>2</v>
      </c>
      <c r="C10" s="28" cm="1">
        <f t="array" ref="C10">SUMPRODUCT((Data!$A$2:$A$1441=$A10)*(Data!$B$2:$B$1441=C$8)*Data!$E$2:$E$1441*((Data!$D$2:$D$1441=$B$3)*$C$3+(Data!$D$2:$D$1441=$B$4)*$C$4+(Data!$D$2:$D$1441=$B$5)*$C$5))</f>
        <v>3</v>
      </c>
      <c r="D10" s="28" cm="1">
        <f t="array" ref="D10">SUMPRODUCT((Data!$A$2:$A$1441=$A10)*(Data!$B$2:$B$1441=D$8)*Data!$E$2:$E$1441*((Data!$D$2:$D$1441=$B$3)*$C$3+(Data!$D$2:$D$1441=$B$4)*$C$4+(Data!$D$2:$D$1441=$B$5)*$C$5))</f>
        <v>5</v>
      </c>
      <c r="E10" s="28" cm="1">
        <f t="array" ref="E10">SUMPRODUCT((Data!$A$2:$A$1441=$A10)*(Data!$B$2:$B$1441=E$8)*Data!$E$2:$E$1441*((Data!$D$2:$D$1441=$B$3)*$C$3+(Data!$D$2:$D$1441=$B$4)*$C$4+(Data!$D$2:$D$1441=$B$5)*$C$5))</f>
        <v>2</v>
      </c>
      <c r="F10" s="28">
        <f t="shared" ref="F10:F28" si="0">MAX(B10:E10)-MIN(B10:E10)</f>
        <v>3</v>
      </c>
      <c r="G10" s="28">
        <f t="shared" ref="G10:G28" si="1">_xlfn.RANK.AVG(F10,$F$9:$F$28)</f>
        <v>17</v>
      </c>
      <c r="I10" s="27" t="s">
        <v>26</v>
      </c>
      <c r="J10" s="28" cm="1">
        <f t="array" ref="J10">SUMPRODUCT((Data!$A$2:$A$1441=$A10)*(Data!$B$2:$B$1441=J$8)*Data!$E$2:$E$1441*((Data!$D$2:$D$1441=$B$3)*$D$3+(Data!$D$2:$D$1441=$B$4)*$D$4+(Data!$D$2:$D$1441=$B$5)*$D$5))</f>
        <v>1</v>
      </c>
      <c r="K10" s="28" cm="1">
        <f t="array" ref="K10">SUMPRODUCT((Data!$A$2:$A$1441=$A10)*(Data!$B$2:$B$1441=K$8)*Data!$E$2:$E$1441*((Data!$D$2:$D$1441=$B$3)*$D$3+(Data!$D$2:$D$1441=$B$4)*$D$4+(Data!$D$2:$D$1441=$B$5)*$D$5))</f>
        <v>1</v>
      </c>
      <c r="L10" s="28" cm="1">
        <f t="array" ref="L10">SUMPRODUCT((Data!$A$2:$A$1441=$A10)*(Data!$B$2:$B$1441=L$8)*Data!$E$2:$E$1441*((Data!$D$2:$D$1441=$B$3)*$D$3+(Data!$D$2:$D$1441=$B$4)*$D$4+(Data!$D$2:$D$1441=$B$5)*$D$5))</f>
        <v>2</v>
      </c>
      <c r="M10" s="28" cm="1">
        <f t="array" ref="M10">SUMPRODUCT((Data!$A$2:$A$1441=$A10)*(Data!$B$2:$B$1441=M$8)*Data!$E$2:$E$1441*((Data!$D$2:$D$1441=$B$3)*$D$3+(Data!$D$2:$D$1441=$B$4)*$D$4+(Data!$D$2:$D$1441=$B$5)*$D$5))</f>
        <v>1</v>
      </c>
      <c r="N10" s="28">
        <f t="shared" ref="N10:N28" si="2">MAX(J10:M10)-MIN(J10:M10)</f>
        <v>1</v>
      </c>
      <c r="O10" s="28">
        <f t="shared" ref="O10:O28" si="3">_xlfn.RANK.AVG(N10,$N$9:$N$28)</f>
        <v>17</v>
      </c>
      <c r="Q10" s="27" t="s">
        <v>26</v>
      </c>
      <c r="R10" s="28" cm="1">
        <f t="array" ref="R10">SUMPRODUCT((Data!$A$2:$A$1441=$A10)*(Data!$B$2:$B$1441=R$8)*Data!$E$2:$E$1441*((Data!$D$2:$D$1441=$B$3)*$E$3+(Data!$D$2:$D$1441=$B$4)*$E$4+(Data!$D$2:$D$1441=$B$5)*$E$5))</f>
        <v>2</v>
      </c>
      <c r="S10" s="28" cm="1">
        <f t="array" ref="S10">SUMPRODUCT((Data!$A$2:$A$1441=$A10)*(Data!$B$2:$B$1441=S$8)*Data!$E$2:$E$1441*((Data!$D$2:$D$1441=$B$3)*$E$3+(Data!$D$2:$D$1441=$B$4)*$E$4+(Data!$D$2:$D$1441=$B$5)*$E$5))</f>
        <v>5</v>
      </c>
      <c r="T10" s="28" cm="1">
        <f t="array" ref="T10">SUMPRODUCT((Data!$A$2:$A$1441=$A10)*(Data!$B$2:$B$1441=T$8)*Data!$E$2:$E$1441*((Data!$D$2:$D$1441=$B$3)*$E$3+(Data!$D$2:$D$1441=$B$4)*$E$4+(Data!$D$2:$D$1441=$B$5)*$E$5))</f>
        <v>7</v>
      </c>
      <c r="U10" s="28" cm="1">
        <f t="array" ref="U10">SUMPRODUCT((Data!$A$2:$A$1441=$A10)*(Data!$B$2:$B$1441=U$8)*Data!$E$2:$E$1441*((Data!$D$2:$D$1441=$B$3)*$E$3+(Data!$D$2:$D$1441=$B$4)*$E$4+(Data!$D$2:$D$1441=$B$5)*$E$5))</f>
        <v>2</v>
      </c>
      <c r="V10" s="28">
        <f t="shared" ref="V10:V28" si="4">MAX(R10:U10)-MIN(R10:U10)</f>
        <v>5</v>
      </c>
      <c r="W10" s="28">
        <f t="shared" ref="W10:W28" si="5">_xlfn.RANK.AVG(V10,$V$9:$V$28)</f>
        <v>17</v>
      </c>
      <c r="Y10" s="27" t="s">
        <v>26</v>
      </c>
      <c r="Z10" s="28" cm="1">
        <f t="array" ref="Z10">SUMPRODUCT((Data!$A$2:$A$1441=$A10)*(Data!$B$2:$B$1441=Z$8)*Data!$E$2:$E$1441*((Data!$D$2:$D$1441=$B$3)*$F$3+(Data!$D$2:$D$1441=$B$4)*$F$4+(Data!$D$2:$D$1441=$B$5)*$F$5))</f>
        <v>1</v>
      </c>
      <c r="AA10" s="28" cm="1">
        <f t="array" ref="AA10">SUMPRODUCT((Data!$A$2:$A$1441=$A10)*(Data!$B$2:$B$1441=AA$8)*Data!$E$2:$E$1441*((Data!$D$2:$D$1441=$B$3)*$F$3+(Data!$D$2:$D$1441=$B$4)*$F$4+(Data!$D$2:$D$1441=$B$5)*$F$5))</f>
        <v>2</v>
      </c>
      <c r="AB10" s="28" cm="1">
        <f t="array" ref="AB10">SUMPRODUCT((Data!$A$2:$A$1441=$A10)*(Data!$B$2:$B$1441=AB$8)*Data!$E$2:$E$1441*((Data!$D$2:$D$1441=$B$3)*$F$3+(Data!$D$2:$D$1441=$B$4)*$F$4+(Data!$D$2:$D$1441=$B$5)*$F$5))</f>
        <v>3</v>
      </c>
      <c r="AC10" s="28" cm="1">
        <f t="array" ref="AC10">SUMPRODUCT((Data!$A$2:$A$1441=$A10)*(Data!$B$2:$B$1441=AC$8)*Data!$E$2:$E$1441*((Data!$D$2:$D$1441=$B$3)*$F$3+(Data!$D$2:$D$1441=$B$4)*$F$4+(Data!$D$2:$D$1441=$B$5)*$F$5))</f>
        <v>1</v>
      </c>
      <c r="AD10" s="28">
        <f t="shared" ref="AD10:AD28" si="6">MAX(Z10:AC10)-MIN(Z10:AC10)</f>
        <v>2</v>
      </c>
      <c r="AE10" s="28">
        <f t="shared" ref="AE10:AE28" si="7">_xlfn.RANK.AVG(AD10,$AD$9:$AD$28)</f>
        <v>17</v>
      </c>
    </row>
    <row r="11" spans="1:31" x14ac:dyDescent="0.3">
      <c r="A11" s="27" t="s">
        <v>28</v>
      </c>
      <c r="B11" s="28" cm="1">
        <f t="array" ref="B11">SUMPRODUCT((Data!$A$2:$A$1441=$A11)*(Data!$B$2:$B$1441=B$8)*Data!$E$2:$E$1441*((Data!$D$2:$D$1441=$B$3)*$C$3+(Data!$D$2:$D$1441=$B$4)*$C$4+(Data!$D$2:$D$1441=$B$5)*$C$5))</f>
        <v>5</v>
      </c>
      <c r="C11" s="28" cm="1">
        <f t="array" ref="C11">SUMPRODUCT((Data!$A$2:$A$1441=$A11)*(Data!$B$2:$B$1441=C$8)*Data!$E$2:$E$1441*((Data!$D$2:$D$1441=$B$3)*$C$3+(Data!$D$2:$D$1441=$B$4)*$C$4+(Data!$D$2:$D$1441=$B$5)*$C$5))</f>
        <v>8</v>
      </c>
      <c r="D11" s="28" cm="1">
        <f t="array" ref="D11">SUMPRODUCT((Data!$A$2:$A$1441=$A11)*(Data!$B$2:$B$1441=D$8)*Data!$E$2:$E$1441*((Data!$D$2:$D$1441=$B$3)*$C$3+(Data!$D$2:$D$1441=$B$4)*$C$4+(Data!$D$2:$D$1441=$B$5)*$C$5))</f>
        <v>5</v>
      </c>
      <c r="E11" s="28" cm="1">
        <f t="array" ref="E11">SUMPRODUCT((Data!$A$2:$A$1441=$A11)*(Data!$B$2:$B$1441=E$8)*Data!$E$2:$E$1441*((Data!$D$2:$D$1441=$B$3)*$C$3+(Data!$D$2:$D$1441=$B$4)*$C$4+(Data!$D$2:$D$1441=$B$5)*$C$5))</f>
        <v>0</v>
      </c>
      <c r="F11" s="28">
        <f t="shared" si="0"/>
        <v>8</v>
      </c>
      <c r="G11" s="28">
        <f t="shared" si="1"/>
        <v>5.5</v>
      </c>
      <c r="I11" s="27" t="s">
        <v>28</v>
      </c>
      <c r="J11" s="28" cm="1">
        <f t="array" ref="J11">SUMPRODUCT((Data!$A$2:$A$1441=$A11)*(Data!$B$2:$B$1441=J$8)*Data!$E$2:$E$1441*((Data!$D$2:$D$1441=$B$3)*$D$3+(Data!$D$2:$D$1441=$B$4)*$D$4+(Data!$D$2:$D$1441=$B$5)*$D$5))</f>
        <v>2</v>
      </c>
      <c r="K11" s="28" cm="1">
        <f t="array" ref="K11">SUMPRODUCT((Data!$A$2:$A$1441=$A11)*(Data!$B$2:$B$1441=K$8)*Data!$E$2:$E$1441*((Data!$D$2:$D$1441=$B$3)*$D$3+(Data!$D$2:$D$1441=$B$4)*$D$4+(Data!$D$2:$D$1441=$B$5)*$D$5))</f>
        <v>3</v>
      </c>
      <c r="L11" s="28" cm="1">
        <f t="array" ref="L11">SUMPRODUCT((Data!$A$2:$A$1441=$A11)*(Data!$B$2:$B$1441=L$8)*Data!$E$2:$E$1441*((Data!$D$2:$D$1441=$B$3)*$D$3+(Data!$D$2:$D$1441=$B$4)*$D$4+(Data!$D$2:$D$1441=$B$5)*$D$5))</f>
        <v>2</v>
      </c>
      <c r="M11" s="28" cm="1">
        <f t="array" ref="M11">SUMPRODUCT((Data!$A$2:$A$1441=$A11)*(Data!$B$2:$B$1441=M$8)*Data!$E$2:$E$1441*((Data!$D$2:$D$1441=$B$3)*$D$3+(Data!$D$2:$D$1441=$B$4)*$D$4+(Data!$D$2:$D$1441=$B$5)*$D$5))</f>
        <v>0</v>
      </c>
      <c r="N11" s="28">
        <f t="shared" si="2"/>
        <v>3</v>
      </c>
      <c r="O11" s="28">
        <f t="shared" si="3"/>
        <v>6.5</v>
      </c>
      <c r="Q11" s="27" t="s">
        <v>28</v>
      </c>
      <c r="R11" s="28" cm="1">
        <f t="array" ref="R11">SUMPRODUCT((Data!$A$2:$A$1441=$A11)*(Data!$B$2:$B$1441=R$8)*Data!$E$2:$E$1441*((Data!$D$2:$D$1441=$B$3)*$E$3+(Data!$D$2:$D$1441=$B$4)*$E$4+(Data!$D$2:$D$1441=$B$5)*$E$5))</f>
        <v>7</v>
      </c>
      <c r="S11" s="28" cm="1">
        <f t="array" ref="S11">SUMPRODUCT((Data!$A$2:$A$1441=$A11)*(Data!$B$2:$B$1441=S$8)*Data!$E$2:$E$1441*((Data!$D$2:$D$1441=$B$3)*$E$3+(Data!$D$2:$D$1441=$B$4)*$E$4+(Data!$D$2:$D$1441=$B$5)*$E$5))</f>
        <v>12</v>
      </c>
      <c r="T11" s="28" cm="1">
        <f t="array" ref="T11">SUMPRODUCT((Data!$A$2:$A$1441=$A11)*(Data!$B$2:$B$1441=T$8)*Data!$E$2:$E$1441*((Data!$D$2:$D$1441=$B$3)*$E$3+(Data!$D$2:$D$1441=$B$4)*$E$4+(Data!$D$2:$D$1441=$B$5)*$E$5))</f>
        <v>7</v>
      </c>
      <c r="U11" s="28" cm="1">
        <f t="array" ref="U11">SUMPRODUCT((Data!$A$2:$A$1441=$A11)*(Data!$B$2:$B$1441=U$8)*Data!$E$2:$E$1441*((Data!$D$2:$D$1441=$B$3)*$E$3+(Data!$D$2:$D$1441=$B$4)*$E$4+(Data!$D$2:$D$1441=$B$5)*$E$5))</f>
        <v>0</v>
      </c>
      <c r="V11" s="28">
        <f t="shared" si="4"/>
        <v>12</v>
      </c>
      <c r="W11" s="28">
        <f t="shared" si="5"/>
        <v>5</v>
      </c>
      <c r="Y11" s="27" t="s">
        <v>28</v>
      </c>
      <c r="Z11" s="28" cm="1">
        <f t="array" ref="Z11">SUMPRODUCT((Data!$A$2:$A$1441=$A11)*(Data!$B$2:$B$1441=Z$8)*Data!$E$2:$E$1441*((Data!$D$2:$D$1441=$B$3)*$F$3+(Data!$D$2:$D$1441=$B$4)*$F$4+(Data!$D$2:$D$1441=$B$5)*$F$5))</f>
        <v>3</v>
      </c>
      <c r="AA11" s="28" cm="1">
        <f t="array" ref="AA11">SUMPRODUCT((Data!$A$2:$A$1441=$A11)*(Data!$B$2:$B$1441=AA$8)*Data!$E$2:$E$1441*((Data!$D$2:$D$1441=$B$3)*$F$3+(Data!$D$2:$D$1441=$B$4)*$F$4+(Data!$D$2:$D$1441=$B$5)*$F$5))</f>
        <v>5</v>
      </c>
      <c r="AB11" s="28" cm="1">
        <f t="array" ref="AB11">SUMPRODUCT((Data!$A$2:$A$1441=$A11)*(Data!$B$2:$B$1441=AB$8)*Data!$E$2:$E$1441*((Data!$D$2:$D$1441=$B$3)*$F$3+(Data!$D$2:$D$1441=$B$4)*$F$4+(Data!$D$2:$D$1441=$B$5)*$F$5))</f>
        <v>3</v>
      </c>
      <c r="AC11" s="28" cm="1">
        <f t="array" ref="AC11">SUMPRODUCT((Data!$A$2:$A$1441=$A11)*(Data!$B$2:$B$1441=AC$8)*Data!$E$2:$E$1441*((Data!$D$2:$D$1441=$B$3)*$F$3+(Data!$D$2:$D$1441=$B$4)*$F$4+(Data!$D$2:$D$1441=$B$5)*$F$5))</f>
        <v>0</v>
      </c>
      <c r="AD11" s="28">
        <f t="shared" si="6"/>
        <v>5</v>
      </c>
      <c r="AE11" s="28">
        <f t="shared" si="7"/>
        <v>6</v>
      </c>
    </row>
    <row r="12" spans="1:31" x14ac:dyDescent="0.3">
      <c r="A12" s="27" t="s">
        <v>30</v>
      </c>
      <c r="B12" s="28" cm="1">
        <f t="array" ref="B12">SUMPRODUCT((Data!$A$2:$A$1441=$A12)*(Data!$B$2:$B$1441=B$8)*Data!$E$2:$E$1441*((Data!$D$2:$D$1441=$B$3)*$C$3+(Data!$D$2:$D$1441=$B$4)*$C$4+(Data!$D$2:$D$1441=$B$5)*$C$5))</f>
        <v>4</v>
      </c>
      <c r="C12" s="28" cm="1">
        <f t="array" ref="C12">SUMPRODUCT((Data!$A$2:$A$1441=$A12)*(Data!$B$2:$B$1441=C$8)*Data!$E$2:$E$1441*((Data!$D$2:$D$1441=$B$3)*$C$3+(Data!$D$2:$D$1441=$B$4)*$C$4+(Data!$D$2:$D$1441=$B$5)*$C$5))</f>
        <v>5</v>
      </c>
      <c r="D12" s="28" cm="1">
        <f t="array" ref="D12">SUMPRODUCT((Data!$A$2:$A$1441=$A12)*(Data!$B$2:$B$1441=D$8)*Data!$E$2:$E$1441*((Data!$D$2:$D$1441=$B$3)*$C$3+(Data!$D$2:$D$1441=$B$4)*$C$4+(Data!$D$2:$D$1441=$B$5)*$C$5))</f>
        <v>0</v>
      </c>
      <c r="E12" s="28" cm="1">
        <f t="array" ref="E12">SUMPRODUCT((Data!$A$2:$A$1441=$A12)*(Data!$B$2:$B$1441=E$8)*Data!$E$2:$E$1441*((Data!$D$2:$D$1441=$B$3)*$C$3+(Data!$D$2:$D$1441=$B$4)*$C$4+(Data!$D$2:$D$1441=$B$5)*$C$5))</f>
        <v>2</v>
      </c>
      <c r="F12" s="28">
        <f t="shared" si="0"/>
        <v>5</v>
      </c>
      <c r="G12" s="28">
        <f t="shared" si="1"/>
        <v>11.5</v>
      </c>
      <c r="I12" s="27" t="s">
        <v>30</v>
      </c>
      <c r="J12" s="28" cm="1">
        <f t="array" ref="J12">SUMPRODUCT((Data!$A$2:$A$1441=$A12)*(Data!$B$2:$B$1441=J$8)*Data!$E$2:$E$1441*((Data!$D$2:$D$1441=$B$3)*$D$3+(Data!$D$2:$D$1441=$B$4)*$D$4+(Data!$D$2:$D$1441=$B$5)*$D$5))</f>
        <v>2</v>
      </c>
      <c r="K12" s="28" cm="1">
        <f t="array" ref="K12">SUMPRODUCT((Data!$A$2:$A$1441=$A12)*(Data!$B$2:$B$1441=K$8)*Data!$E$2:$E$1441*((Data!$D$2:$D$1441=$B$3)*$D$3+(Data!$D$2:$D$1441=$B$4)*$D$4+(Data!$D$2:$D$1441=$B$5)*$D$5))</f>
        <v>2</v>
      </c>
      <c r="L12" s="28" cm="1">
        <f t="array" ref="L12">SUMPRODUCT((Data!$A$2:$A$1441=$A12)*(Data!$B$2:$B$1441=L$8)*Data!$E$2:$E$1441*((Data!$D$2:$D$1441=$B$3)*$D$3+(Data!$D$2:$D$1441=$B$4)*$D$4+(Data!$D$2:$D$1441=$B$5)*$D$5))</f>
        <v>0</v>
      </c>
      <c r="M12" s="28" cm="1">
        <f t="array" ref="M12">SUMPRODUCT((Data!$A$2:$A$1441=$A12)*(Data!$B$2:$B$1441=M$8)*Data!$E$2:$E$1441*((Data!$D$2:$D$1441=$B$3)*$D$3+(Data!$D$2:$D$1441=$B$4)*$D$4+(Data!$D$2:$D$1441=$B$5)*$D$5))</f>
        <v>1</v>
      </c>
      <c r="N12" s="28">
        <f t="shared" si="2"/>
        <v>2</v>
      </c>
      <c r="O12" s="28">
        <f t="shared" si="3"/>
        <v>11</v>
      </c>
      <c r="Q12" s="27" t="s">
        <v>30</v>
      </c>
      <c r="R12" s="28" cm="1">
        <f t="array" ref="R12">SUMPRODUCT((Data!$A$2:$A$1441=$A12)*(Data!$B$2:$B$1441=R$8)*Data!$E$2:$E$1441*((Data!$D$2:$D$1441=$B$3)*$E$3+(Data!$D$2:$D$1441=$B$4)*$E$4+(Data!$D$2:$D$1441=$B$5)*$E$5))</f>
        <v>6</v>
      </c>
      <c r="S12" s="28" cm="1">
        <f t="array" ref="S12">SUMPRODUCT((Data!$A$2:$A$1441=$A12)*(Data!$B$2:$B$1441=S$8)*Data!$E$2:$E$1441*((Data!$D$2:$D$1441=$B$3)*$E$3+(Data!$D$2:$D$1441=$B$4)*$E$4+(Data!$D$2:$D$1441=$B$5)*$E$5))</f>
        <v>7</v>
      </c>
      <c r="T12" s="28" cm="1">
        <f t="array" ref="T12">SUMPRODUCT((Data!$A$2:$A$1441=$A12)*(Data!$B$2:$B$1441=T$8)*Data!$E$2:$E$1441*((Data!$D$2:$D$1441=$B$3)*$E$3+(Data!$D$2:$D$1441=$B$4)*$E$4+(Data!$D$2:$D$1441=$B$5)*$E$5))</f>
        <v>0</v>
      </c>
      <c r="U12" s="28" cm="1">
        <f t="array" ref="U12">SUMPRODUCT((Data!$A$2:$A$1441=$A12)*(Data!$B$2:$B$1441=U$8)*Data!$E$2:$E$1441*((Data!$D$2:$D$1441=$B$3)*$E$3+(Data!$D$2:$D$1441=$B$4)*$E$4+(Data!$D$2:$D$1441=$B$5)*$E$5))</f>
        <v>2</v>
      </c>
      <c r="V12" s="28">
        <f t="shared" si="4"/>
        <v>7</v>
      </c>
      <c r="W12" s="28">
        <f t="shared" si="5"/>
        <v>11.5</v>
      </c>
      <c r="Y12" s="27" t="s">
        <v>30</v>
      </c>
      <c r="Z12" s="28" cm="1">
        <f t="array" ref="Z12">SUMPRODUCT((Data!$A$2:$A$1441=$A12)*(Data!$B$2:$B$1441=Z$8)*Data!$E$2:$E$1441*((Data!$D$2:$D$1441=$B$3)*$F$3+(Data!$D$2:$D$1441=$B$4)*$F$4+(Data!$D$2:$D$1441=$B$5)*$F$5))</f>
        <v>3</v>
      </c>
      <c r="AA12" s="28" cm="1">
        <f t="array" ref="AA12">SUMPRODUCT((Data!$A$2:$A$1441=$A12)*(Data!$B$2:$B$1441=AA$8)*Data!$E$2:$E$1441*((Data!$D$2:$D$1441=$B$3)*$F$3+(Data!$D$2:$D$1441=$B$4)*$F$4+(Data!$D$2:$D$1441=$B$5)*$F$5))</f>
        <v>3</v>
      </c>
      <c r="AB12" s="28" cm="1">
        <f t="array" ref="AB12">SUMPRODUCT((Data!$A$2:$A$1441=$A12)*(Data!$B$2:$B$1441=AB$8)*Data!$E$2:$E$1441*((Data!$D$2:$D$1441=$B$3)*$F$3+(Data!$D$2:$D$1441=$B$4)*$F$4+(Data!$D$2:$D$1441=$B$5)*$F$5))</f>
        <v>0</v>
      </c>
      <c r="AC12" s="28" cm="1">
        <f t="array" ref="AC12">SUMPRODUCT((Data!$A$2:$A$1441=$A12)*(Data!$B$2:$B$1441=AC$8)*Data!$E$2:$E$1441*((Data!$D$2:$D$1441=$B$3)*$F$3+(Data!$D$2:$D$1441=$B$4)*$F$4+(Data!$D$2:$D$1441=$B$5)*$F$5))</f>
        <v>1</v>
      </c>
      <c r="AD12" s="28">
        <f t="shared" si="6"/>
        <v>3</v>
      </c>
      <c r="AE12" s="28">
        <f t="shared" si="7"/>
        <v>12</v>
      </c>
    </row>
    <row r="13" spans="1:31" x14ac:dyDescent="0.3">
      <c r="A13" s="27" t="s">
        <v>32</v>
      </c>
      <c r="B13" s="28" cm="1">
        <f t="array" ref="B13">SUMPRODUCT((Data!$A$2:$A$1441=$A13)*(Data!$B$2:$B$1441=B$8)*Data!$E$2:$E$1441*((Data!$D$2:$D$1441=$B$3)*$C$3+(Data!$D$2:$D$1441=$B$4)*$C$4+(Data!$D$2:$D$1441=$B$5)*$C$5))</f>
        <v>5</v>
      </c>
      <c r="C13" s="28" cm="1">
        <f t="array" ref="C13">SUMPRODUCT((Data!$A$2:$A$1441=$A13)*(Data!$B$2:$B$1441=C$8)*Data!$E$2:$E$1441*((Data!$D$2:$D$1441=$B$3)*$C$3+(Data!$D$2:$D$1441=$B$4)*$C$4+(Data!$D$2:$D$1441=$B$5)*$C$5))</f>
        <v>5</v>
      </c>
      <c r="D13" s="28" cm="1">
        <f t="array" ref="D13">SUMPRODUCT((Data!$A$2:$A$1441=$A13)*(Data!$B$2:$B$1441=D$8)*Data!$E$2:$E$1441*((Data!$D$2:$D$1441=$B$3)*$C$3+(Data!$D$2:$D$1441=$B$4)*$C$4+(Data!$D$2:$D$1441=$B$5)*$C$5))</f>
        <v>5</v>
      </c>
      <c r="E13" s="28" cm="1">
        <f t="array" ref="E13">SUMPRODUCT((Data!$A$2:$A$1441=$A13)*(Data!$B$2:$B$1441=E$8)*Data!$E$2:$E$1441*((Data!$D$2:$D$1441=$B$3)*$C$3+(Data!$D$2:$D$1441=$B$4)*$C$4+(Data!$D$2:$D$1441=$B$5)*$C$5))</f>
        <v>2</v>
      </c>
      <c r="F13" s="28">
        <f t="shared" si="0"/>
        <v>3</v>
      </c>
      <c r="G13" s="28">
        <f t="shared" si="1"/>
        <v>17</v>
      </c>
      <c r="I13" s="27" t="s">
        <v>32</v>
      </c>
      <c r="J13" s="28" cm="1">
        <f t="array" ref="J13">SUMPRODUCT((Data!$A$2:$A$1441=$A13)*(Data!$B$2:$B$1441=J$8)*Data!$E$2:$E$1441*((Data!$D$2:$D$1441=$B$3)*$D$3+(Data!$D$2:$D$1441=$B$4)*$D$4+(Data!$D$2:$D$1441=$B$5)*$D$5))</f>
        <v>2</v>
      </c>
      <c r="K13" s="28" cm="1">
        <f t="array" ref="K13">SUMPRODUCT((Data!$A$2:$A$1441=$A13)*(Data!$B$2:$B$1441=K$8)*Data!$E$2:$E$1441*((Data!$D$2:$D$1441=$B$3)*$D$3+(Data!$D$2:$D$1441=$B$4)*$D$4+(Data!$D$2:$D$1441=$B$5)*$D$5))</f>
        <v>2</v>
      </c>
      <c r="L13" s="28" cm="1">
        <f t="array" ref="L13">SUMPRODUCT((Data!$A$2:$A$1441=$A13)*(Data!$B$2:$B$1441=L$8)*Data!$E$2:$E$1441*((Data!$D$2:$D$1441=$B$3)*$D$3+(Data!$D$2:$D$1441=$B$4)*$D$4+(Data!$D$2:$D$1441=$B$5)*$D$5))</f>
        <v>2</v>
      </c>
      <c r="M13" s="28" cm="1">
        <f t="array" ref="M13">SUMPRODUCT((Data!$A$2:$A$1441=$A13)*(Data!$B$2:$B$1441=M$8)*Data!$E$2:$E$1441*((Data!$D$2:$D$1441=$B$3)*$D$3+(Data!$D$2:$D$1441=$B$4)*$D$4+(Data!$D$2:$D$1441=$B$5)*$D$5))</f>
        <v>1</v>
      </c>
      <c r="N13" s="28">
        <f t="shared" si="2"/>
        <v>1</v>
      </c>
      <c r="O13" s="28">
        <f t="shared" si="3"/>
        <v>17</v>
      </c>
      <c r="Q13" s="27" t="s">
        <v>32</v>
      </c>
      <c r="R13" s="28" cm="1">
        <f t="array" ref="R13">SUMPRODUCT((Data!$A$2:$A$1441=$A13)*(Data!$B$2:$B$1441=R$8)*Data!$E$2:$E$1441*((Data!$D$2:$D$1441=$B$3)*$E$3+(Data!$D$2:$D$1441=$B$4)*$E$4+(Data!$D$2:$D$1441=$B$5)*$E$5))</f>
        <v>7</v>
      </c>
      <c r="S13" s="28" cm="1">
        <f t="array" ref="S13">SUMPRODUCT((Data!$A$2:$A$1441=$A13)*(Data!$B$2:$B$1441=S$8)*Data!$E$2:$E$1441*((Data!$D$2:$D$1441=$B$3)*$E$3+(Data!$D$2:$D$1441=$B$4)*$E$4+(Data!$D$2:$D$1441=$B$5)*$E$5))</f>
        <v>7</v>
      </c>
      <c r="T13" s="28" cm="1">
        <f t="array" ref="T13">SUMPRODUCT((Data!$A$2:$A$1441=$A13)*(Data!$B$2:$B$1441=T$8)*Data!$E$2:$E$1441*((Data!$D$2:$D$1441=$B$3)*$E$3+(Data!$D$2:$D$1441=$B$4)*$E$4+(Data!$D$2:$D$1441=$B$5)*$E$5))</f>
        <v>7</v>
      </c>
      <c r="U13" s="28" cm="1">
        <f t="array" ref="U13">SUMPRODUCT((Data!$A$2:$A$1441=$A13)*(Data!$B$2:$B$1441=U$8)*Data!$E$2:$E$1441*((Data!$D$2:$D$1441=$B$3)*$E$3+(Data!$D$2:$D$1441=$B$4)*$E$4+(Data!$D$2:$D$1441=$B$5)*$E$5))</f>
        <v>2</v>
      </c>
      <c r="V13" s="28">
        <f t="shared" si="4"/>
        <v>5</v>
      </c>
      <c r="W13" s="28">
        <f t="shared" si="5"/>
        <v>17</v>
      </c>
      <c r="Y13" s="27" t="s">
        <v>32</v>
      </c>
      <c r="Z13" s="28" cm="1">
        <f t="array" ref="Z13">SUMPRODUCT((Data!$A$2:$A$1441=$A13)*(Data!$B$2:$B$1441=Z$8)*Data!$E$2:$E$1441*((Data!$D$2:$D$1441=$B$3)*$F$3+(Data!$D$2:$D$1441=$B$4)*$F$4+(Data!$D$2:$D$1441=$B$5)*$F$5))</f>
        <v>3</v>
      </c>
      <c r="AA13" s="28" cm="1">
        <f t="array" ref="AA13">SUMPRODUCT((Data!$A$2:$A$1441=$A13)*(Data!$B$2:$B$1441=AA$8)*Data!$E$2:$E$1441*((Data!$D$2:$D$1441=$B$3)*$F$3+(Data!$D$2:$D$1441=$B$4)*$F$4+(Data!$D$2:$D$1441=$B$5)*$F$5))</f>
        <v>3</v>
      </c>
      <c r="AB13" s="28" cm="1">
        <f t="array" ref="AB13">SUMPRODUCT((Data!$A$2:$A$1441=$A13)*(Data!$B$2:$B$1441=AB$8)*Data!$E$2:$E$1441*((Data!$D$2:$D$1441=$B$3)*$F$3+(Data!$D$2:$D$1441=$B$4)*$F$4+(Data!$D$2:$D$1441=$B$5)*$F$5))</f>
        <v>3</v>
      </c>
      <c r="AC13" s="28" cm="1">
        <f t="array" ref="AC13">SUMPRODUCT((Data!$A$2:$A$1441=$A13)*(Data!$B$2:$B$1441=AC$8)*Data!$E$2:$E$1441*((Data!$D$2:$D$1441=$B$3)*$F$3+(Data!$D$2:$D$1441=$B$4)*$F$4+(Data!$D$2:$D$1441=$B$5)*$F$5))</f>
        <v>1</v>
      </c>
      <c r="AD13" s="28">
        <f t="shared" si="6"/>
        <v>2</v>
      </c>
      <c r="AE13" s="28">
        <f t="shared" si="7"/>
        <v>17</v>
      </c>
    </row>
    <row r="14" spans="1:31" x14ac:dyDescent="0.3">
      <c r="A14" s="27" t="s">
        <v>34</v>
      </c>
      <c r="B14" s="28" cm="1">
        <f t="array" ref="B14">SUMPRODUCT((Data!$A$2:$A$1441=$A14)*(Data!$B$2:$B$1441=B$8)*Data!$E$2:$E$1441*((Data!$D$2:$D$1441=$B$3)*$C$3+(Data!$D$2:$D$1441=$B$4)*$C$4+(Data!$D$2:$D$1441=$B$5)*$C$5))</f>
        <v>3</v>
      </c>
      <c r="C14" s="28" cm="1">
        <f t="array" ref="C14">SUMPRODUCT((Data!$A$2:$A$1441=$A14)*(Data!$B$2:$B$1441=C$8)*Data!$E$2:$E$1441*((Data!$D$2:$D$1441=$B$3)*$C$3+(Data!$D$2:$D$1441=$B$4)*$C$4+(Data!$D$2:$D$1441=$B$5)*$C$5))</f>
        <v>0</v>
      </c>
      <c r="D14" s="28" cm="1">
        <f t="array" ref="D14">SUMPRODUCT((Data!$A$2:$A$1441=$A14)*(Data!$B$2:$B$1441=D$8)*Data!$E$2:$E$1441*((Data!$D$2:$D$1441=$B$3)*$C$3+(Data!$D$2:$D$1441=$B$4)*$C$4+(Data!$D$2:$D$1441=$B$5)*$C$5))</f>
        <v>2</v>
      </c>
      <c r="E14" s="28" cm="1">
        <f t="array" ref="E14">SUMPRODUCT((Data!$A$2:$A$1441=$A14)*(Data!$B$2:$B$1441=E$8)*Data!$E$2:$E$1441*((Data!$D$2:$D$1441=$B$3)*$C$3+(Data!$D$2:$D$1441=$B$4)*$C$4+(Data!$D$2:$D$1441=$B$5)*$C$5))</f>
        <v>2</v>
      </c>
      <c r="F14" s="28">
        <f t="shared" si="0"/>
        <v>3</v>
      </c>
      <c r="G14" s="28">
        <f t="shared" si="1"/>
        <v>17</v>
      </c>
      <c r="I14" s="27" t="s">
        <v>34</v>
      </c>
      <c r="J14" s="28" cm="1">
        <f t="array" ref="J14">SUMPRODUCT((Data!$A$2:$A$1441=$A14)*(Data!$B$2:$B$1441=J$8)*Data!$E$2:$E$1441*((Data!$D$2:$D$1441=$B$3)*$D$3+(Data!$D$2:$D$1441=$B$4)*$D$4+(Data!$D$2:$D$1441=$B$5)*$D$5))</f>
        <v>1</v>
      </c>
      <c r="K14" s="28" cm="1">
        <f t="array" ref="K14">SUMPRODUCT((Data!$A$2:$A$1441=$A14)*(Data!$B$2:$B$1441=K$8)*Data!$E$2:$E$1441*((Data!$D$2:$D$1441=$B$3)*$D$3+(Data!$D$2:$D$1441=$B$4)*$D$4+(Data!$D$2:$D$1441=$B$5)*$D$5))</f>
        <v>0</v>
      </c>
      <c r="L14" s="28" cm="1">
        <f t="array" ref="L14">SUMPRODUCT((Data!$A$2:$A$1441=$A14)*(Data!$B$2:$B$1441=L$8)*Data!$E$2:$E$1441*((Data!$D$2:$D$1441=$B$3)*$D$3+(Data!$D$2:$D$1441=$B$4)*$D$4+(Data!$D$2:$D$1441=$B$5)*$D$5))</f>
        <v>1</v>
      </c>
      <c r="M14" s="28" cm="1">
        <f t="array" ref="M14">SUMPRODUCT((Data!$A$2:$A$1441=$A14)*(Data!$B$2:$B$1441=M$8)*Data!$E$2:$E$1441*((Data!$D$2:$D$1441=$B$3)*$D$3+(Data!$D$2:$D$1441=$B$4)*$D$4+(Data!$D$2:$D$1441=$B$5)*$D$5))</f>
        <v>1</v>
      </c>
      <c r="N14" s="28">
        <f t="shared" si="2"/>
        <v>1</v>
      </c>
      <c r="O14" s="28">
        <f t="shared" si="3"/>
        <v>17</v>
      </c>
      <c r="Q14" s="27" t="s">
        <v>34</v>
      </c>
      <c r="R14" s="28" cm="1">
        <f t="array" ref="R14">SUMPRODUCT((Data!$A$2:$A$1441=$A14)*(Data!$B$2:$B$1441=R$8)*Data!$E$2:$E$1441*((Data!$D$2:$D$1441=$B$3)*$E$3+(Data!$D$2:$D$1441=$B$4)*$E$4+(Data!$D$2:$D$1441=$B$5)*$E$5))</f>
        <v>5</v>
      </c>
      <c r="S14" s="28" cm="1">
        <f t="array" ref="S14">SUMPRODUCT((Data!$A$2:$A$1441=$A14)*(Data!$B$2:$B$1441=S$8)*Data!$E$2:$E$1441*((Data!$D$2:$D$1441=$B$3)*$E$3+(Data!$D$2:$D$1441=$B$4)*$E$4+(Data!$D$2:$D$1441=$B$5)*$E$5))</f>
        <v>0</v>
      </c>
      <c r="T14" s="28" cm="1">
        <f t="array" ref="T14">SUMPRODUCT((Data!$A$2:$A$1441=$A14)*(Data!$B$2:$B$1441=T$8)*Data!$E$2:$E$1441*((Data!$D$2:$D$1441=$B$3)*$E$3+(Data!$D$2:$D$1441=$B$4)*$E$4+(Data!$D$2:$D$1441=$B$5)*$E$5))</f>
        <v>2</v>
      </c>
      <c r="U14" s="28" cm="1">
        <f t="array" ref="U14">SUMPRODUCT((Data!$A$2:$A$1441=$A14)*(Data!$B$2:$B$1441=U$8)*Data!$E$2:$E$1441*((Data!$D$2:$D$1441=$B$3)*$E$3+(Data!$D$2:$D$1441=$B$4)*$E$4+(Data!$D$2:$D$1441=$B$5)*$E$5))</f>
        <v>2</v>
      </c>
      <c r="V14" s="28">
        <f t="shared" si="4"/>
        <v>5</v>
      </c>
      <c r="W14" s="28">
        <f t="shared" si="5"/>
        <v>17</v>
      </c>
      <c r="Y14" s="27" t="s">
        <v>34</v>
      </c>
      <c r="Z14" s="28" cm="1">
        <f t="array" ref="Z14">SUMPRODUCT((Data!$A$2:$A$1441=$A14)*(Data!$B$2:$B$1441=Z$8)*Data!$E$2:$E$1441*((Data!$D$2:$D$1441=$B$3)*$F$3+(Data!$D$2:$D$1441=$B$4)*$F$4+(Data!$D$2:$D$1441=$B$5)*$F$5))</f>
        <v>2</v>
      </c>
      <c r="AA14" s="28" cm="1">
        <f t="array" ref="AA14">SUMPRODUCT((Data!$A$2:$A$1441=$A14)*(Data!$B$2:$B$1441=AA$8)*Data!$E$2:$E$1441*((Data!$D$2:$D$1441=$B$3)*$F$3+(Data!$D$2:$D$1441=$B$4)*$F$4+(Data!$D$2:$D$1441=$B$5)*$F$5))</f>
        <v>0</v>
      </c>
      <c r="AB14" s="28" cm="1">
        <f t="array" ref="AB14">SUMPRODUCT((Data!$A$2:$A$1441=$A14)*(Data!$B$2:$B$1441=AB$8)*Data!$E$2:$E$1441*((Data!$D$2:$D$1441=$B$3)*$F$3+(Data!$D$2:$D$1441=$B$4)*$F$4+(Data!$D$2:$D$1441=$B$5)*$F$5))</f>
        <v>1</v>
      </c>
      <c r="AC14" s="28" cm="1">
        <f t="array" ref="AC14">SUMPRODUCT((Data!$A$2:$A$1441=$A14)*(Data!$B$2:$B$1441=AC$8)*Data!$E$2:$E$1441*((Data!$D$2:$D$1441=$B$3)*$F$3+(Data!$D$2:$D$1441=$B$4)*$F$4+(Data!$D$2:$D$1441=$B$5)*$F$5))</f>
        <v>1</v>
      </c>
      <c r="AD14" s="28">
        <f t="shared" si="6"/>
        <v>2</v>
      </c>
      <c r="AE14" s="28">
        <f t="shared" si="7"/>
        <v>17</v>
      </c>
    </row>
    <row r="15" spans="1:31" x14ac:dyDescent="0.3">
      <c r="A15" s="27" t="s">
        <v>36</v>
      </c>
      <c r="B15" s="28" cm="1">
        <f t="array" ref="B15">SUMPRODUCT((Data!$A$2:$A$1441=$A15)*(Data!$B$2:$B$1441=B$8)*Data!$E$2:$E$1441*((Data!$D$2:$D$1441=$B$3)*$C$3+(Data!$D$2:$D$1441=$B$4)*$C$4+(Data!$D$2:$D$1441=$B$5)*$C$5))</f>
        <v>5</v>
      </c>
      <c r="C15" s="28" cm="1">
        <f t="array" ref="C15">SUMPRODUCT((Data!$A$2:$A$1441=$A15)*(Data!$B$2:$B$1441=C$8)*Data!$E$2:$E$1441*((Data!$D$2:$D$1441=$B$3)*$C$3+(Data!$D$2:$D$1441=$B$4)*$C$4+(Data!$D$2:$D$1441=$B$5)*$C$5))</f>
        <v>3</v>
      </c>
      <c r="D15" s="28" cm="1">
        <f t="array" ref="D15">SUMPRODUCT((Data!$A$2:$A$1441=$A15)*(Data!$B$2:$B$1441=D$8)*Data!$E$2:$E$1441*((Data!$D$2:$D$1441=$B$3)*$C$3+(Data!$D$2:$D$1441=$B$4)*$C$4+(Data!$D$2:$D$1441=$B$5)*$C$5))</f>
        <v>5</v>
      </c>
      <c r="E15" s="28" cm="1">
        <f t="array" ref="E15">SUMPRODUCT((Data!$A$2:$A$1441=$A15)*(Data!$B$2:$B$1441=E$8)*Data!$E$2:$E$1441*((Data!$D$2:$D$1441=$B$3)*$C$3+(Data!$D$2:$D$1441=$B$4)*$C$4+(Data!$D$2:$D$1441=$B$5)*$C$5))</f>
        <v>2</v>
      </c>
      <c r="F15" s="28">
        <f t="shared" si="0"/>
        <v>3</v>
      </c>
      <c r="G15" s="28">
        <f t="shared" si="1"/>
        <v>17</v>
      </c>
      <c r="I15" s="27" t="s">
        <v>36</v>
      </c>
      <c r="J15" s="28" cm="1">
        <f t="array" ref="J15">SUMPRODUCT((Data!$A$2:$A$1441=$A15)*(Data!$B$2:$B$1441=J$8)*Data!$E$2:$E$1441*((Data!$D$2:$D$1441=$B$3)*$D$3+(Data!$D$2:$D$1441=$B$4)*$D$4+(Data!$D$2:$D$1441=$B$5)*$D$5))</f>
        <v>2</v>
      </c>
      <c r="K15" s="28" cm="1">
        <f t="array" ref="K15">SUMPRODUCT((Data!$A$2:$A$1441=$A15)*(Data!$B$2:$B$1441=K$8)*Data!$E$2:$E$1441*((Data!$D$2:$D$1441=$B$3)*$D$3+(Data!$D$2:$D$1441=$B$4)*$D$4+(Data!$D$2:$D$1441=$B$5)*$D$5))</f>
        <v>1</v>
      </c>
      <c r="L15" s="28" cm="1">
        <f t="array" ref="L15">SUMPRODUCT((Data!$A$2:$A$1441=$A15)*(Data!$B$2:$B$1441=L$8)*Data!$E$2:$E$1441*((Data!$D$2:$D$1441=$B$3)*$D$3+(Data!$D$2:$D$1441=$B$4)*$D$4+(Data!$D$2:$D$1441=$B$5)*$D$5))</f>
        <v>2</v>
      </c>
      <c r="M15" s="28" cm="1">
        <f t="array" ref="M15">SUMPRODUCT((Data!$A$2:$A$1441=$A15)*(Data!$B$2:$B$1441=M$8)*Data!$E$2:$E$1441*((Data!$D$2:$D$1441=$B$3)*$D$3+(Data!$D$2:$D$1441=$B$4)*$D$4+(Data!$D$2:$D$1441=$B$5)*$D$5))</f>
        <v>1</v>
      </c>
      <c r="N15" s="28">
        <f t="shared" si="2"/>
        <v>1</v>
      </c>
      <c r="O15" s="28">
        <f t="shared" si="3"/>
        <v>17</v>
      </c>
      <c r="Q15" s="27" t="s">
        <v>36</v>
      </c>
      <c r="R15" s="28" cm="1">
        <f t="array" ref="R15">SUMPRODUCT((Data!$A$2:$A$1441=$A15)*(Data!$B$2:$B$1441=R$8)*Data!$E$2:$E$1441*((Data!$D$2:$D$1441=$B$3)*$E$3+(Data!$D$2:$D$1441=$B$4)*$E$4+(Data!$D$2:$D$1441=$B$5)*$E$5))</f>
        <v>7</v>
      </c>
      <c r="S15" s="28" cm="1">
        <f t="array" ref="S15">SUMPRODUCT((Data!$A$2:$A$1441=$A15)*(Data!$B$2:$B$1441=S$8)*Data!$E$2:$E$1441*((Data!$D$2:$D$1441=$B$3)*$E$3+(Data!$D$2:$D$1441=$B$4)*$E$4+(Data!$D$2:$D$1441=$B$5)*$E$5))</f>
        <v>5</v>
      </c>
      <c r="T15" s="28" cm="1">
        <f t="array" ref="T15">SUMPRODUCT((Data!$A$2:$A$1441=$A15)*(Data!$B$2:$B$1441=T$8)*Data!$E$2:$E$1441*((Data!$D$2:$D$1441=$B$3)*$E$3+(Data!$D$2:$D$1441=$B$4)*$E$4+(Data!$D$2:$D$1441=$B$5)*$E$5))</f>
        <v>7</v>
      </c>
      <c r="U15" s="28" cm="1">
        <f t="array" ref="U15">SUMPRODUCT((Data!$A$2:$A$1441=$A15)*(Data!$B$2:$B$1441=U$8)*Data!$E$2:$E$1441*((Data!$D$2:$D$1441=$B$3)*$E$3+(Data!$D$2:$D$1441=$B$4)*$E$4+(Data!$D$2:$D$1441=$B$5)*$E$5))</f>
        <v>2</v>
      </c>
      <c r="V15" s="28">
        <f t="shared" si="4"/>
        <v>5</v>
      </c>
      <c r="W15" s="28">
        <f t="shared" si="5"/>
        <v>17</v>
      </c>
      <c r="Y15" s="27" t="s">
        <v>36</v>
      </c>
      <c r="Z15" s="28" cm="1">
        <f t="array" ref="Z15">SUMPRODUCT((Data!$A$2:$A$1441=$A15)*(Data!$B$2:$B$1441=Z$8)*Data!$E$2:$E$1441*((Data!$D$2:$D$1441=$B$3)*$F$3+(Data!$D$2:$D$1441=$B$4)*$F$4+(Data!$D$2:$D$1441=$B$5)*$F$5))</f>
        <v>3</v>
      </c>
      <c r="AA15" s="28" cm="1">
        <f t="array" ref="AA15">SUMPRODUCT((Data!$A$2:$A$1441=$A15)*(Data!$B$2:$B$1441=AA$8)*Data!$E$2:$E$1441*((Data!$D$2:$D$1441=$B$3)*$F$3+(Data!$D$2:$D$1441=$B$4)*$F$4+(Data!$D$2:$D$1441=$B$5)*$F$5))</f>
        <v>2</v>
      </c>
      <c r="AB15" s="28" cm="1">
        <f t="array" ref="AB15">SUMPRODUCT((Data!$A$2:$A$1441=$A15)*(Data!$B$2:$B$1441=AB$8)*Data!$E$2:$E$1441*((Data!$D$2:$D$1441=$B$3)*$F$3+(Data!$D$2:$D$1441=$B$4)*$F$4+(Data!$D$2:$D$1441=$B$5)*$F$5))</f>
        <v>3</v>
      </c>
      <c r="AC15" s="28" cm="1">
        <f t="array" ref="AC15">SUMPRODUCT((Data!$A$2:$A$1441=$A15)*(Data!$B$2:$B$1441=AC$8)*Data!$E$2:$E$1441*((Data!$D$2:$D$1441=$B$3)*$F$3+(Data!$D$2:$D$1441=$B$4)*$F$4+(Data!$D$2:$D$1441=$B$5)*$F$5))</f>
        <v>1</v>
      </c>
      <c r="AD15" s="28">
        <f t="shared" si="6"/>
        <v>2</v>
      </c>
      <c r="AE15" s="28">
        <f t="shared" si="7"/>
        <v>17</v>
      </c>
    </row>
    <row r="16" spans="1:31" x14ac:dyDescent="0.3">
      <c r="A16" s="27" t="s">
        <v>38</v>
      </c>
      <c r="B16" s="28" cm="1">
        <f t="array" ref="B16">SUMPRODUCT((Data!$A$2:$A$1441=$A16)*(Data!$B$2:$B$1441=B$8)*Data!$E$2:$E$1441*((Data!$D$2:$D$1441=$B$3)*$C$3+(Data!$D$2:$D$1441=$B$4)*$C$4+(Data!$D$2:$D$1441=$B$5)*$C$5))</f>
        <v>5</v>
      </c>
      <c r="C16" s="28" cm="1">
        <f t="array" ref="C16">SUMPRODUCT((Data!$A$2:$A$1441=$A16)*(Data!$B$2:$B$1441=C$8)*Data!$E$2:$E$1441*((Data!$D$2:$D$1441=$B$3)*$C$3+(Data!$D$2:$D$1441=$B$4)*$C$4+(Data!$D$2:$D$1441=$B$5)*$C$5))</f>
        <v>7</v>
      </c>
      <c r="D16" s="28" cm="1">
        <f t="array" ref="D16">SUMPRODUCT((Data!$A$2:$A$1441=$A16)*(Data!$B$2:$B$1441=D$8)*Data!$E$2:$E$1441*((Data!$D$2:$D$1441=$B$3)*$C$3+(Data!$D$2:$D$1441=$B$4)*$C$4+(Data!$D$2:$D$1441=$B$5)*$C$5))</f>
        <v>5</v>
      </c>
      <c r="E16" s="28" cm="1">
        <f t="array" ref="E16">SUMPRODUCT((Data!$A$2:$A$1441=$A16)*(Data!$B$2:$B$1441=E$8)*Data!$E$2:$E$1441*((Data!$D$2:$D$1441=$B$3)*$C$3+(Data!$D$2:$D$1441=$B$4)*$C$4+(Data!$D$2:$D$1441=$B$5)*$C$5))</f>
        <v>2</v>
      </c>
      <c r="F16" s="28">
        <f t="shared" si="0"/>
        <v>5</v>
      </c>
      <c r="G16" s="28">
        <f t="shared" si="1"/>
        <v>11.5</v>
      </c>
      <c r="I16" s="27" t="s">
        <v>38</v>
      </c>
      <c r="J16" s="28" cm="1">
        <f t="array" ref="J16">SUMPRODUCT((Data!$A$2:$A$1441=$A16)*(Data!$B$2:$B$1441=J$8)*Data!$E$2:$E$1441*((Data!$D$2:$D$1441=$B$3)*$D$3+(Data!$D$2:$D$1441=$B$4)*$D$4+(Data!$D$2:$D$1441=$B$5)*$D$5))</f>
        <v>2</v>
      </c>
      <c r="K16" s="28" cm="1">
        <f t="array" ref="K16">SUMPRODUCT((Data!$A$2:$A$1441=$A16)*(Data!$B$2:$B$1441=K$8)*Data!$E$2:$E$1441*((Data!$D$2:$D$1441=$B$3)*$D$3+(Data!$D$2:$D$1441=$B$4)*$D$4+(Data!$D$2:$D$1441=$B$5)*$D$5))</f>
        <v>3</v>
      </c>
      <c r="L16" s="28" cm="1">
        <f t="array" ref="L16">SUMPRODUCT((Data!$A$2:$A$1441=$A16)*(Data!$B$2:$B$1441=L$8)*Data!$E$2:$E$1441*((Data!$D$2:$D$1441=$B$3)*$D$3+(Data!$D$2:$D$1441=$B$4)*$D$4+(Data!$D$2:$D$1441=$B$5)*$D$5))</f>
        <v>2</v>
      </c>
      <c r="M16" s="28" cm="1">
        <f t="array" ref="M16">SUMPRODUCT((Data!$A$2:$A$1441=$A16)*(Data!$B$2:$B$1441=M$8)*Data!$E$2:$E$1441*((Data!$D$2:$D$1441=$B$3)*$D$3+(Data!$D$2:$D$1441=$B$4)*$D$4+(Data!$D$2:$D$1441=$B$5)*$D$5))</f>
        <v>1</v>
      </c>
      <c r="N16" s="28">
        <f t="shared" si="2"/>
        <v>2</v>
      </c>
      <c r="O16" s="28">
        <f t="shared" si="3"/>
        <v>11</v>
      </c>
      <c r="Q16" s="27" t="s">
        <v>38</v>
      </c>
      <c r="R16" s="28" cm="1">
        <f t="array" ref="R16">SUMPRODUCT((Data!$A$2:$A$1441=$A16)*(Data!$B$2:$B$1441=R$8)*Data!$E$2:$E$1441*((Data!$D$2:$D$1441=$B$3)*$E$3+(Data!$D$2:$D$1441=$B$4)*$E$4+(Data!$D$2:$D$1441=$B$5)*$E$5))</f>
        <v>7</v>
      </c>
      <c r="S16" s="28" cm="1">
        <f t="array" ref="S16">SUMPRODUCT((Data!$A$2:$A$1441=$A16)*(Data!$B$2:$B$1441=S$8)*Data!$E$2:$E$1441*((Data!$D$2:$D$1441=$B$3)*$E$3+(Data!$D$2:$D$1441=$B$4)*$E$4+(Data!$D$2:$D$1441=$B$5)*$E$5))</f>
        <v>9</v>
      </c>
      <c r="T16" s="28" cm="1">
        <f t="array" ref="T16">SUMPRODUCT((Data!$A$2:$A$1441=$A16)*(Data!$B$2:$B$1441=T$8)*Data!$E$2:$E$1441*((Data!$D$2:$D$1441=$B$3)*$E$3+(Data!$D$2:$D$1441=$B$4)*$E$4+(Data!$D$2:$D$1441=$B$5)*$E$5))</f>
        <v>7</v>
      </c>
      <c r="U16" s="28" cm="1">
        <f t="array" ref="U16">SUMPRODUCT((Data!$A$2:$A$1441=$A16)*(Data!$B$2:$B$1441=U$8)*Data!$E$2:$E$1441*((Data!$D$2:$D$1441=$B$3)*$E$3+(Data!$D$2:$D$1441=$B$4)*$E$4+(Data!$D$2:$D$1441=$B$5)*$E$5))</f>
        <v>2</v>
      </c>
      <c r="V16" s="28">
        <f t="shared" si="4"/>
        <v>7</v>
      </c>
      <c r="W16" s="28">
        <f t="shared" si="5"/>
        <v>11.5</v>
      </c>
      <c r="Y16" s="27" t="s">
        <v>38</v>
      </c>
      <c r="Z16" s="28" cm="1">
        <f t="array" ref="Z16">SUMPRODUCT((Data!$A$2:$A$1441=$A16)*(Data!$B$2:$B$1441=Z$8)*Data!$E$2:$E$1441*((Data!$D$2:$D$1441=$B$3)*$F$3+(Data!$D$2:$D$1441=$B$4)*$F$4+(Data!$D$2:$D$1441=$B$5)*$F$5))</f>
        <v>3</v>
      </c>
      <c r="AA16" s="28" cm="1">
        <f t="array" ref="AA16">SUMPRODUCT((Data!$A$2:$A$1441=$A16)*(Data!$B$2:$B$1441=AA$8)*Data!$E$2:$E$1441*((Data!$D$2:$D$1441=$B$3)*$F$3+(Data!$D$2:$D$1441=$B$4)*$F$4+(Data!$D$2:$D$1441=$B$5)*$F$5))</f>
        <v>4</v>
      </c>
      <c r="AB16" s="28" cm="1">
        <f t="array" ref="AB16">SUMPRODUCT((Data!$A$2:$A$1441=$A16)*(Data!$B$2:$B$1441=AB$8)*Data!$E$2:$E$1441*((Data!$D$2:$D$1441=$B$3)*$F$3+(Data!$D$2:$D$1441=$B$4)*$F$4+(Data!$D$2:$D$1441=$B$5)*$F$5))</f>
        <v>3</v>
      </c>
      <c r="AC16" s="28" cm="1">
        <f t="array" ref="AC16">SUMPRODUCT((Data!$A$2:$A$1441=$A16)*(Data!$B$2:$B$1441=AC$8)*Data!$E$2:$E$1441*((Data!$D$2:$D$1441=$B$3)*$F$3+(Data!$D$2:$D$1441=$B$4)*$F$4+(Data!$D$2:$D$1441=$B$5)*$F$5))</f>
        <v>1</v>
      </c>
      <c r="AD16" s="28">
        <f t="shared" si="6"/>
        <v>3</v>
      </c>
      <c r="AE16" s="28">
        <f t="shared" si="7"/>
        <v>12</v>
      </c>
    </row>
    <row r="17" spans="1:31" x14ac:dyDescent="0.3">
      <c r="A17" s="27" t="s">
        <v>40</v>
      </c>
      <c r="B17" s="28" cm="1">
        <f t="array" ref="B17">SUMPRODUCT((Data!$A$2:$A$1441=$A17)*(Data!$B$2:$B$1441=B$8)*Data!$E$2:$E$1441*((Data!$D$2:$D$1441=$B$3)*$C$3+(Data!$D$2:$D$1441=$B$4)*$C$4+(Data!$D$2:$D$1441=$B$5)*$C$5))</f>
        <v>5</v>
      </c>
      <c r="C17" s="28" cm="1">
        <f t="array" ref="C17">SUMPRODUCT((Data!$A$2:$A$1441=$A17)*(Data!$B$2:$B$1441=C$8)*Data!$E$2:$E$1441*((Data!$D$2:$D$1441=$B$3)*$C$3+(Data!$D$2:$D$1441=$B$4)*$C$4+(Data!$D$2:$D$1441=$B$5)*$C$5))</f>
        <v>13</v>
      </c>
      <c r="D17" s="28" cm="1">
        <f t="array" ref="D17">SUMPRODUCT((Data!$A$2:$A$1441=$A17)*(Data!$B$2:$B$1441=D$8)*Data!$E$2:$E$1441*((Data!$D$2:$D$1441=$B$3)*$C$3+(Data!$D$2:$D$1441=$B$4)*$C$4+(Data!$D$2:$D$1441=$B$5)*$C$5))</f>
        <v>11</v>
      </c>
      <c r="E17" s="28" cm="1">
        <f t="array" ref="E17">SUMPRODUCT((Data!$A$2:$A$1441=$A17)*(Data!$B$2:$B$1441=E$8)*Data!$E$2:$E$1441*((Data!$D$2:$D$1441=$B$3)*$C$3+(Data!$D$2:$D$1441=$B$4)*$C$4+(Data!$D$2:$D$1441=$B$5)*$C$5))</f>
        <v>2</v>
      </c>
      <c r="F17" s="28">
        <f t="shared" si="0"/>
        <v>11</v>
      </c>
      <c r="G17" s="28">
        <f t="shared" si="1"/>
        <v>3</v>
      </c>
      <c r="I17" s="27" t="s">
        <v>40</v>
      </c>
      <c r="J17" s="28" cm="1">
        <f t="array" ref="J17">SUMPRODUCT((Data!$A$2:$A$1441=$A17)*(Data!$B$2:$B$1441=J$8)*Data!$E$2:$E$1441*((Data!$D$2:$D$1441=$B$3)*$D$3+(Data!$D$2:$D$1441=$B$4)*$D$4+(Data!$D$2:$D$1441=$B$5)*$D$5))</f>
        <v>2</v>
      </c>
      <c r="K17" s="28" cm="1">
        <f t="array" ref="K17">SUMPRODUCT((Data!$A$2:$A$1441=$A17)*(Data!$B$2:$B$1441=K$8)*Data!$E$2:$E$1441*((Data!$D$2:$D$1441=$B$3)*$D$3+(Data!$D$2:$D$1441=$B$4)*$D$4+(Data!$D$2:$D$1441=$B$5)*$D$5))</f>
        <v>5</v>
      </c>
      <c r="L17" s="28" cm="1">
        <f t="array" ref="L17">SUMPRODUCT((Data!$A$2:$A$1441=$A17)*(Data!$B$2:$B$1441=L$8)*Data!$E$2:$E$1441*((Data!$D$2:$D$1441=$B$3)*$D$3+(Data!$D$2:$D$1441=$B$4)*$D$4+(Data!$D$2:$D$1441=$B$5)*$D$5))</f>
        <v>4</v>
      </c>
      <c r="M17" s="28" cm="1">
        <f t="array" ref="M17">SUMPRODUCT((Data!$A$2:$A$1441=$A17)*(Data!$B$2:$B$1441=M$8)*Data!$E$2:$E$1441*((Data!$D$2:$D$1441=$B$3)*$D$3+(Data!$D$2:$D$1441=$B$4)*$D$4+(Data!$D$2:$D$1441=$B$5)*$D$5))</f>
        <v>1</v>
      </c>
      <c r="N17" s="28">
        <f t="shared" si="2"/>
        <v>4</v>
      </c>
      <c r="O17" s="28">
        <f t="shared" si="3"/>
        <v>4.5</v>
      </c>
      <c r="Q17" s="27" t="s">
        <v>40</v>
      </c>
      <c r="R17" s="28" cm="1">
        <f t="array" ref="R17">SUMPRODUCT((Data!$A$2:$A$1441=$A17)*(Data!$B$2:$B$1441=R$8)*Data!$E$2:$E$1441*((Data!$D$2:$D$1441=$B$3)*$E$3+(Data!$D$2:$D$1441=$B$4)*$E$4+(Data!$D$2:$D$1441=$B$5)*$E$5))</f>
        <v>7</v>
      </c>
      <c r="S17" s="28" cm="1">
        <f t="array" ref="S17">SUMPRODUCT((Data!$A$2:$A$1441=$A17)*(Data!$B$2:$B$1441=S$8)*Data!$E$2:$E$1441*((Data!$D$2:$D$1441=$B$3)*$E$3+(Data!$D$2:$D$1441=$B$4)*$E$4+(Data!$D$2:$D$1441=$B$5)*$E$5))</f>
        <v>19</v>
      </c>
      <c r="T17" s="28" cm="1">
        <f t="array" ref="T17">SUMPRODUCT((Data!$A$2:$A$1441=$A17)*(Data!$B$2:$B$1441=T$8)*Data!$E$2:$E$1441*((Data!$D$2:$D$1441=$B$3)*$E$3+(Data!$D$2:$D$1441=$B$4)*$E$4+(Data!$D$2:$D$1441=$B$5)*$E$5))</f>
        <v>17</v>
      </c>
      <c r="U17" s="28" cm="1">
        <f t="array" ref="U17">SUMPRODUCT((Data!$A$2:$A$1441=$A17)*(Data!$B$2:$B$1441=U$8)*Data!$E$2:$E$1441*((Data!$D$2:$D$1441=$B$3)*$E$3+(Data!$D$2:$D$1441=$B$4)*$E$4+(Data!$D$2:$D$1441=$B$5)*$E$5))</f>
        <v>2</v>
      </c>
      <c r="V17" s="28">
        <f t="shared" si="4"/>
        <v>17</v>
      </c>
      <c r="W17" s="28">
        <f t="shared" si="5"/>
        <v>1.5</v>
      </c>
      <c r="Y17" s="27" t="s">
        <v>40</v>
      </c>
      <c r="Z17" s="28" cm="1">
        <f t="array" ref="Z17">SUMPRODUCT((Data!$A$2:$A$1441=$A17)*(Data!$B$2:$B$1441=Z$8)*Data!$E$2:$E$1441*((Data!$D$2:$D$1441=$B$3)*$F$3+(Data!$D$2:$D$1441=$B$4)*$F$4+(Data!$D$2:$D$1441=$B$5)*$F$5))</f>
        <v>3</v>
      </c>
      <c r="AA17" s="28" cm="1">
        <f t="array" ref="AA17">SUMPRODUCT((Data!$A$2:$A$1441=$A17)*(Data!$B$2:$B$1441=AA$8)*Data!$E$2:$E$1441*((Data!$D$2:$D$1441=$B$3)*$F$3+(Data!$D$2:$D$1441=$B$4)*$F$4+(Data!$D$2:$D$1441=$B$5)*$F$5))</f>
        <v>8</v>
      </c>
      <c r="AB17" s="28" cm="1">
        <f t="array" ref="AB17">SUMPRODUCT((Data!$A$2:$A$1441=$A17)*(Data!$B$2:$B$1441=AB$8)*Data!$E$2:$E$1441*((Data!$D$2:$D$1441=$B$3)*$F$3+(Data!$D$2:$D$1441=$B$4)*$F$4+(Data!$D$2:$D$1441=$B$5)*$F$5))</f>
        <v>7</v>
      </c>
      <c r="AC17" s="28" cm="1">
        <f t="array" ref="AC17">SUMPRODUCT((Data!$A$2:$A$1441=$A17)*(Data!$B$2:$B$1441=AC$8)*Data!$E$2:$E$1441*((Data!$D$2:$D$1441=$B$3)*$F$3+(Data!$D$2:$D$1441=$B$4)*$F$4+(Data!$D$2:$D$1441=$B$5)*$F$5))</f>
        <v>1</v>
      </c>
      <c r="AD17" s="28">
        <f t="shared" si="6"/>
        <v>7</v>
      </c>
      <c r="AE17" s="28">
        <f t="shared" si="7"/>
        <v>3</v>
      </c>
    </row>
    <row r="18" spans="1:31" x14ac:dyDescent="0.3">
      <c r="A18" s="27" t="s">
        <v>43</v>
      </c>
      <c r="B18" s="28" cm="1">
        <f t="array" ref="B18">SUMPRODUCT((Data!$A$2:$A$1441=$A18)*(Data!$B$2:$B$1441=B$8)*Data!$E$2:$E$1441*((Data!$D$2:$D$1441=$B$3)*$C$3+(Data!$D$2:$D$1441=$B$4)*$C$4+(Data!$D$2:$D$1441=$B$5)*$C$5))</f>
        <v>8</v>
      </c>
      <c r="C18" s="28" cm="1">
        <f t="array" ref="C18">SUMPRODUCT((Data!$A$2:$A$1441=$A18)*(Data!$B$2:$B$1441=C$8)*Data!$E$2:$E$1441*((Data!$D$2:$D$1441=$B$3)*$C$3+(Data!$D$2:$D$1441=$B$4)*$C$4+(Data!$D$2:$D$1441=$B$5)*$C$5))</f>
        <v>5</v>
      </c>
      <c r="D18" s="28" cm="1">
        <f t="array" ref="D18">SUMPRODUCT((Data!$A$2:$A$1441=$A18)*(Data!$B$2:$B$1441=D$8)*Data!$E$2:$E$1441*((Data!$D$2:$D$1441=$B$3)*$C$3+(Data!$D$2:$D$1441=$B$4)*$C$4+(Data!$D$2:$D$1441=$B$5)*$C$5))</f>
        <v>13</v>
      </c>
      <c r="E18" s="28" cm="1">
        <f t="array" ref="E18">SUMPRODUCT((Data!$A$2:$A$1441=$A18)*(Data!$B$2:$B$1441=E$8)*Data!$E$2:$E$1441*((Data!$D$2:$D$1441=$B$3)*$C$3+(Data!$D$2:$D$1441=$B$4)*$C$4+(Data!$D$2:$D$1441=$B$5)*$C$5))</f>
        <v>2</v>
      </c>
      <c r="F18" s="28">
        <f t="shared" si="0"/>
        <v>11</v>
      </c>
      <c r="G18" s="28">
        <f t="shared" si="1"/>
        <v>3</v>
      </c>
      <c r="I18" s="27" t="s">
        <v>43</v>
      </c>
      <c r="J18" s="28" cm="1">
        <f t="array" ref="J18">SUMPRODUCT((Data!$A$2:$A$1441=$A18)*(Data!$B$2:$B$1441=J$8)*Data!$E$2:$E$1441*((Data!$D$2:$D$1441=$B$3)*$D$3+(Data!$D$2:$D$1441=$B$4)*$D$4+(Data!$D$2:$D$1441=$B$5)*$D$5))</f>
        <v>3</v>
      </c>
      <c r="K18" s="28" cm="1">
        <f t="array" ref="K18">SUMPRODUCT((Data!$A$2:$A$1441=$A18)*(Data!$B$2:$B$1441=K$8)*Data!$E$2:$E$1441*((Data!$D$2:$D$1441=$B$3)*$D$3+(Data!$D$2:$D$1441=$B$4)*$D$4+(Data!$D$2:$D$1441=$B$5)*$D$5))</f>
        <v>2</v>
      </c>
      <c r="L18" s="28" cm="1">
        <f t="array" ref="L18">SUMPRODUCT((Data!$A$2:$A$1441=$A18)*(Data!$B$2:$B$1441=L$8)*Data!$E$2:$E$1441*((Data!$D$2:$D$1441=$B$3)*$D$3+(Data!$D$2:$D$1441=$B$4)*$D$4+(Data!$D$2:$D$1441=$B$5)*$D$5))</f>
        <v>6</v>
      </c>
      <c r="M18" s="28" cm="1">
        <f t="array" ref="M18">SUMPRODUCT((Data!$A$2:$A$1441=$A18)*(Data!$B$2:$B$1441=M$8)*Data!$E$2:$E$1441*((Data!$D$2:$D$1441=$B$3)*$D$3+(Data!$D$2:$D$1441=$B$4)*$D$4+(Data!$D$2:$D$1441=$B$5)*$D$5))</f>
        <v>1</v>
      </c>
      <c r="N18" s="28">
        <f t="shared" si="2"/>
        <v>5</v>
      </c>
      <c r="O18" s="28">
        <f t="shared" si="3"/>
        <v>2.5</v>
      </c>
      <c r="Q18" s="27" t="s">
        <v>43</v>
      </c>
      <c r="R18" s="28" cm="1">
        <f t="array" ref="R18">SUMPRODUCT((Data!$A$2:$A$1441=$A18)*(Data!$B$2:$B$1441=R$8)*Data!$E$2:$E$1441*((Data!$D$2:$D$1441=$B$3)*$E$3+(Data!$D$2:$D$1441=$B$4)*$E$4+(Data!$D$2:$D$1441=$B$5)*$E$5))</f>
        <v>12</v>
      </c>
      <c r="S18" s="28" cm="1">
        <f t="array" ref="S18">SUMPRODUCT((Data!$A$2:$A$1441=$A18)*(Data!$B$2:$B$1441=S$8)*Data!$E$2:$E$1441*((Data!$D$2:$D$1441=$B$3)*$E$3+(Data!$D$2:$D$1441=$B$4)*$E$4+(Data!$D$2:$D$1441=$B$5)*$E$5))</f>
        <v>7</v>
      </c>
      <c r="T18" s="28" cm="1">
        <f t="array" ref="T18">SUMPRODUCT((Data!$A$2:$A$1441=$A18)*(Data!$B$2:$B$1441=T$8)*Data!$E$2:$E$1441*((Data!$D$2:$D$1441=$B$3)*$E$3+(Data!$D$2:$D$1441=$B$4)*$E$4+(Data!$D$2:$D$1441=$B$5)*$E$5))</f>
        <v>17</v>
      </c>
      <c r="U18" s="28" cm="1">
        <f t="array" ref="U18">SUMPRODUCT((Data!$A$2:$A$1441=$A18)*(Data!$B$2:$B$1441=U$8)*Data!$E$2:$E$1441*((Data!$D$2:$D$1441=$B$3)*$E$3+(Data!$D$2:$D$1441=$B$4)*$E$4+(Data!$D$2:$D$1441=$B$5)*$E$5))</f>
        <v>2</v>
      </c>
      <c r="V18" s="28">
        <f t="shared" si="4"/>
        <v>15</v>
      </c>
      <c r="W18" s="28">
        <f t="shared" si="5"/>
        <v>3.5</v>
      </c>
      <c r="Y18" s="27" t="s">
        <v>43</v>
      </c>
      <c r="Z18" s="28" cm="1">
        <f t="array" ref="Z18">SUMPRODUCT((Data!$A$2:$A$1441=$A18)*(Data!$B$2:$B$1441=Z$8)*Data!$E$2:$E$1441*((Data!$D$2:$D$1441=$B$3)*$F$3+(Data!$D$2:$D$1441=$B$4)*$F$4+(Data!$D$2:$D$1441=$B$5)*$F$5))</f>
        <v>5</v>
      </c>
      <c r="AA18" s="28" cm="1">
        <f t="array" ref="AA18">SUMPRODUCT((Data!$A$2:$A$1441=$A18)*(Data!$B$2:$B$1441=AA$8)*Data!$E$2:$E$1441*((Data!$D$2:$D$1441=$B$3)*$F$3+(Data!$D$2:$D$1441=$B$4)*$F$4+(Data!$D$2:$D$1441=$B$5)*$F$5))</f>
        <v>3</v>
      </c>
      <c r="AB18" s="28" cm="1">
        <f t="array" ref="AB18">SUMPRODUCT((Data!$A$2:$A$1441=$A18)*(Data!$B$2:$B$1441=AB$8)*Data!$E$2:$E$1441*((Data!$D$2:$D$1441=$B$3)*$F$3+(Data!$D$2:$D$1441=$B$4)*$F$4+(Data!$D$2:$D$1441=$B$5)*$F$5))</f>
        <v>8</v>
      </c>
      <c r="AC18" s="28" cm="1">
        <f t="array" ref="AC18">SUMPRODUCT((Data!$A$2:$A$1441=$A18)*(Data!$B$2:$B$1441=AC$8)*Data!$E$2:$E$1441*((Data!$D$2:$D$1441=$B$3)*$F$3+(Data!$D$2:$D$1441=$B$4)*$F$4+(Data!$D$2:$D$1441=$B$5)*$F$5))</f>
        <v>1</v>
      </c>
      <c r="AD18" s="28">
        <f t="shared" si="6"/>
        <v>7</v>
      </c>
      <c r="AE18" s="28">
        <f t="shared" si="7"/>
        <v>3</v>
      </c>
    </row>
    <row r="19" spans="1:31" x14ac:dyDescent="0.3">
      <c r="A19" s="27" t="s">
        <v>45</v>
      </c>
      <c r="B19" s="28" cm="1">
        <f t="array" ref="B19">SUMPRODUCT((Data!$A$2:$A$1441=$A19)*(Data!$B$2:$B$1441=B$8)*Data!$E$2:$E$1441*((Data!$D$2:$D$1441=$B$3)*$C$3+(Data!$D$2:$D$1441=$B$4)*$C$4+(Data!$D$2:$D$1441=$B$5)*$C$5))</f>
        <v>2</v>
      </c>
      <c r="C19" s="28" cm="1">
        <f t="array" ref="C19">SUMPRODUCT((Data!$A$2:$A$1441=$A19)*(Data!$B$2:$B$1441=C$8)*Data!$E$2:$E$1441*((Data!$D$2:$D$1441=$B$3)*$C$3+(Data!$D$2:$D$1441=$B$4)*$C$4+(Data!$D$2:$D$1441=$B$5)*$C$5))</f>
        <v>2</v>
      </c>
      <c r="D19" s="28" cm="1">
        <f t="array" ref="D19">SUMPRODUCT((Data!$A$2:$A$1441=$A19)*(Data!$B$2:$B$1441=D$8)*Data!$E$2:$E$1441*((Data!$D$2:$D$1441=$B$3)*$C$3+(Data!$D$2:$D$1441=$B$4)*$C$4+(Data!$D$2:$D$1441=$B$5)*$C$5))</f>
        <v>2</v>
      </c>
      <c r="E19" s="28" cm="1">
        <f t="array" ref="E19">SUMPRODUCT((Data!$A$2:$A$1441=$A19)*(Data!$B$2:$B$1441=E$8)*Data!$E$2:$E$1441*((Data!$D$2:$D$1441=$B$3)*$C$3+(Data!$D$2:$D$1441=$B$4)*$C$4+(Data!$D$2:$D$1441=$B$5)*$C$5))</f>
        <v>2</v>
      </c>
      <c r="F19" s="28">
        <f t="shared" si="0"/>
        <v>0</v>
      </c>
      <c r="G19" s="28">
        <f t="shared" si="1"/>
        <v>20</v>
      </c>
      <c r="I19" s="27" t="s">
        <v>45</v>
      </c>
      <c r="J19" s="28" cm="1">
        <f t="array" ref="J19">SUMPRODUCT((Data!$A$2:$A$1441=$A19)*(Data!$B$2:$B$1441=J$8)*Data!$E$2:$E$1441*((Data!$D$2:$D$1441=$B$3)*$D$3+(Data!$D$2:$D$1441=$B$4)*$D$4+(Data!$D$2:$D$1441=$B$5)*$D$5))</f>
        <v>1</v>
      </c>
      <c r="K19" s="28" cm="1">
        <f t="array" ref="K19">SUMPRODUCT((Data!$A$2:$A$1441=$A19)*(Data!$B$2:$B$1441=K$8)*Data!$E$2:$E$1441*((Data!$D$2:$D$1441=$B$3)*$D$3+(Data!$D$2:$D$1441=$B$4)*$D$4+(Data!$D$2:$D$1441=$B$5)*$D$5))</f>
        <v>1</v>
      </c>
      <c r="L19" s="28" cm="1">
        <f t="array" ref="L19">SUMPRODUCT((Data!$A$2:$A$1441=$A19)*(Data!$B$2:$B$1441=L$8)*Data!$E$2:$E$1441*((Data!$D$2:$D$1441=$B$3)*$D$3+(Data!$D$2:$D$1441=$B$4)*$D$4+(Data!$D$2:$D$1441=$B$5)*$D$5))</f>
        <v>1</v>
      </c>
      <c r="M19" s="28" cm="1">
        <f t="array" ref="M19">SUMPRODUCT((Data!$A$2:$A$1441=$A19)*(Data!$B$2:$B$1441=M$8)*Data!$E$2:$E$1441*((Data!$D$2:$D$1441=$B$3)*$D$3+(Data!$D$2:$D$1441=$B$4)*$D$4+(Data!$D$2:$D$1441=$B$5)*$D$5))</f>
        <v>1</v>
      </c>
      <c r="N19" s="28">
        <f t="shared" si="2"/>
        <v>0</v>
      </c>
      <c r="O19" s="28">
        <f t="shared" si="3"/>
        <v>20</v>
      </c>
      <c r="Q19" s="27" t="s">
        <v>45</v>
      </c>
      <c r="R19" s="28" cm="1">
        <f t="array" ref="R19">SUMPRODUCT((Data!$A$2:$A$1441=$A19)*(Data!$B$2:$B$1441=R$8)*Data!$E$2:$E$1441*((Data!$D$2:$D$1441=$B$3)*$E$3+(Data!$D$2:$D$1441=$B$4)*$E$4+(Data!$D$2:$D$1441=$B$5)*$E$5))</f>
        <v>2</v>
      </c>
      <c r="S19" s="28" cm="1">
        <f t="array" ref="S19">SUMPRODUCT((Data!$A$2:$A$1441=$A19)*(Data!$B$2:$B$1441=S$8)*Data!$E$2:$E$1441*((Data!$D$2:$D$1441=$B$3)*$E$3+(Data!$D$2:$D$1441=$B$4)*$E$4+(Data!$D$2:$D$1441=$B$5)*$E$5))</f>
        <v>2</v>
      </c>
      <c r="T19" s="28" cm="1">
        <f t="array" ref="T19">SUMPRODUCT((Data!$A$2:$A$1441=$A19)*(Data!$B$2:$B$1441=T$8)*Data!$E$2:$E$1441*((Data!$D$2:$D$1441=$B$3)*$E$3+(Data!$D$2:$D$1441=$B$4)*$E$4+(Data!$D$2:$D$1441=$B$5)*$E$5))</f>
        <v>2</v>
      </c>
      <c r="U19" s="28" cm="1">
        <f t="array" ref="U19">SUMPRODUCT((Data!$A$2:$A$1441=$A19)*(Data!$B$2:$B$1441=U$8)*Data!$E$2:$E$1441*((Data!$D$2:$D$1441=$B$3)*$E$3+(Data!$D$2:$D$1441=$B$4)*$E$4+(Data!$D$2:$D$1441=$B$5)*$E$5))</f>
        <v>2</v>
      </c>
      <c r="V19" s="28">
        <f t="shared" si="4"/>
        <v>0</v>
      </c>
      <c r="W19" s="28">
        <f t="shared" si="5"/>
        <v>20</v>
      </c>
      <c r="Y19" s="27" t="s">
        <v>45</v>
      </c>
      <c r="Z19" s="28" cm="1">
        <f t="array" ref="Z19">SUMPRODUCT((Data!$A$2:$A$1441=$A19)*(Data!$B$2:$B$1441=Z$8)*Data!$E$2:$E$1441*((Data!$D$2:$D$1441=$B$3)*$F$3+(Data!$D$2:$D$1441=$B$4)*$F$4+(Data!$D$2:$D$1441=$B$5)*$F$5))</f>
        <v>1</v>
      </c>
      <c r="AA19" s="28" cm="1">
        <f t="array" ref="AA19">SUMPRODUCT((Data!$A$2:$A$1441=$A19)*(Data!$B$2:$B$1441=AA$8)*Data!$E$2:$E$1441*((Data!$D$2:$D$1441=$B$3)*$F$3+(Data!$D$2:$D$1441=$B$4)*$F$4+(Data!$D$2:$D$1441=$B$5)*$F$5))</f>
        <v>1</v>
      </c>
      <c r="AB19" s="28" cm="1">
        <f t="array" ref="AB19">SUMPRODUCT((Data!$A$2:$A$1441=$A19)*(Data!$B$2:$B$1441=AB$8)*Data!$E$2:$E$1441*((Data!$D$2:$D$1441=$B$3)*$F$3+(Data!$D$2:$D$1441=$B$4)*$F$4+(Data!$D$2:$D$1441=$B$5)*$F$5))</f>
        <v>1</v>
      </c>
      <c r="AC19" s="28" cm="1">
        <f t="array" ref="AC19">SUMPRODUCT((Data!$A$2:$A$1441=$A19)*(Data!$B$2:$B$1441=AC$8)*Data!$E$2:$E$1441*((Data!$D$2:$D$1441=$B$3)*$F$3+(Data!$D$2:$D$1441=$B$4)*$F$4+(Data!$D$2:$D$1441=$B$5)*$F$5))</f>
        <v>1</v>
      </c>
      <c r="AD19" s="28">
        <f t="shared" si="6"/>
        <v>0</v>
      </c>
      <c r="AE19" s="28">
        <f t="shared" si="7"/>
        <v>20</v>
      </c>
    </row>
    <row r="20" spans="1:31" x14ac:dyDescent="0.3">
      <c r="A20" s="27" t="s">
        <v>47</v>
      </c>
      <c r="B20" s="28" cm="1">
        <f t="array" ref="B20">SUMPRODUCT((Data!$A$2:$A$1441=$A20)*(Data!$B$2:$B$1441=B$8)*Data!$E$2:$E$1441*((Data!$D$2:$D$1441=$B$3)*$C$3+(Data!$D$2:$D$1441=$B$4)*$C$4+(Data!$D$2:$D$1441=$B$5)*$C$5))</f>
        <v>8</v>
      </c>
      <c r="C20" s="28" cm="1">
        <f t="array" ref="C20">SUMPRODUCT((Data!$A$2:$A$1441=$A20)*(Data!$B$2:$B$1441=C$8)*Data!$E$2:$E$1441*((Data!$D$2:$D$1441=$B$3)*$C$3+(Data!$D$2:$D$1441=$B$4)*$C$4+(Data!$D$2:$D$1441=$B$5)*$C$5))</f>
        <v>5</v>
      </c>
      <c r="D20" s="28" cm="1">
        <f t="array" ref="D20">SUMPRODUCT((Data!$A$2:$A$1441=$A20)*(Data!$B$2:$B$1441=D$8)*Data!$E$2:$E$1441*((Data!$D$2:$D$1441=$B$3)*$C$3+(Data!$D$2:$D$1441=$B$4)*$C$4+(Data!$D$2:$D$1441=$B$5)*$C$5))</f>
        <v>5</v>
      </c>
      <c r="E20" s="28" cm="1">
        <f t="array" ref="E20">SUMPRODUCT((Data!$A$2:$A$1441=$A20)*(Data!$B$2:$B$1441=E$8)*Data!$E$2:$E$1441*((Data!$D$2:$D$1441=$B$3)*$C$3+(Data!$D$2:$D$1441=$B$4)*$C$4+(Data!$D$2:$D$1441=$B$5)*$C$5))</f>
        <v>2</v>
      </c>
      <c r="F20" s="28">
        <f t="shared" si="0"/>
        <v>6</v>
      </c>
      <c r="G20" s="28">
        <f t="shared" si="1"/>
        <v>8.5</v>
      </c>
      <c r="I20" s="27" t="s">
        <v>47</v>
      </c>
      <c r="J20" s="28" cm="1">
        <f t="array" ref="J20">SUMPRODUCT((Data!$A$2:$A$1441=$A20)*(Data!$B$2:$B$1441=J$8)*Data!$E$2:$E$1441*((Data!$D$2:$D$1441=$B$3)*$D$3+(Data!$D$2:$D$1441=$B$4)*$D$4+(Data!$D$2:$D$1441=$B$5)*$D$5))</f>
        <v>3</v>
      </c>
      <c r="K20" s="28" cm="1">
        <f t="array" ref="K20">SUMPRODUCT((Data!$A$2:$A$1441=$A20)*(Data!$B$2:$B$1441=K$8)*Data!$E$2:$E$1441*((Data!$D$2:$D$1441=$B$3)*$D$3+(Data!$D$2:$D$1441=$B$4)*$D$4+(Data!$D$2:$D$1441=$B$5)*$D$5))</f>
        <v>2</v>
      </c>
      <c r="L20" s="28" cm="1">
        <f t="array" ref="L20">SUMPRODUCT((Data!$A$2:$A$1441=$A20)*(Data!$B$2:$B$1441=L$8)*Data!$E$2:$E$1441*((Data!$D$2:$D$1441=$B$3)*$D$3+(Data!$D$2:$D$1441=$B$4)*$D$4+(Data!$D$2:$D$1441=$B$5)*$D$5))</f>
        <v>2</v>
      </c>
      <c r="M20" s="28" cm="1">
        <f t="array" ref="M20">SUMPRODUCT((Data!$A$2:$A$1441=$A20)*(Data!$B$2:$B$1441=M$8)*Data!$E$2:$E$1441*((Data!$D$2:$D$1441=$B$3)*$D$3+(Data!$D$2:$D$1441=$B$4)*$D$4+(Data!$D$2:$D$1441=$B$5)*$D$5))</f>
        <v>1</v>
      </c>
      <c r="N20" s="28">
        <f t="shared" si="2"/>
        <v>2</v>
      </c>
      <c r="O20" s="28">
        <f t="shared" si="3"/>
        <v>11</v>
      </c>
      <c r="Q20" s="27" t="s">
        <v>47</v>
      </c>
      <c r="R20" s="28" cm="1">
        <f t="array" ref="R20">SUMPRODUCT((Data!$A$2:$A$1441=$A20)*(Data!$B$2:$B$1441=R$8)*Data!$E$2:$E$1441*((Data!$D$2:$D$1441=$B$3)*$E$3+(Data!$D$2:$D$1441=$B$4)*$E$4+(Data!$D$2:$D$1441=$B$5)*$E$5))</f>
        <v>12</v>
      </c>
      <c r="S20" s="28" cm="1">
        <f t="array" ref="S20">SUMPRODUCT((Data!$A$2:$A$1441=$A20)*(Data!$B$2:$B$1441=S$8)*Data!$E$2:$E$1441*((Data!$D$2:$D$1441=$B$3)*$E$3+(Data!$D$2:$D$1441=$B$4)*$E$4+(Data!$D$2:$D$1441=$B$5)*$E$5))</f>
        <v>7</v>
      </c>
      <c r="T20" s="28" cm="1">
        <f t="array" ref="T20">SUMPRODUCT((Data!$A$2:$A$1441=$A20)*(Data!$B$2:$B$1441=T$8)*Data!$E$2:$E$1441*((Data!$D$2:$D$1441=$B$3)*$E$3+(Data!$D$2:$D$1441=$B$4)*$E$4+(Data!$D$2:$D$1441=$B$5)*$E$5))</f>
        <v>7</v>
      </c>
      <c r="U20" s="28" cm="1">
        <f t="array" ref="U20">SUMPRODUCT((Data!$A$2:$A$1441=$A20)*(Data!$B$2:$B$1441=U$8)*Data!$E$2:$E$1441*((Data!$D$2:$D$1441=$B$3)*$E$3+(Data!$D$2:$D$1441=$B$4)*$E$4+(Data!$D$2:$D$1441=$B$5)*$E$5))</f>
        <v>2</v>
      </c>
      <c r="V20" s="28">
        <f t="shared" si="4"/>
        <v>10</v>
      </c>
      <c r="W20" s="28">
        <f t="shared" si="5"/>
        <v>8</v>
      </c>
      <c r="Y20" s="27" t="s">
        <v>47</v>
      </c>
      <c r="Z20" s="28" cm="1">
        <f t="array" ref="Z20">SUMPRODUCT((Data!$A$2:$A$1441=$A20)*(Data!$B$2:$B$1441=Z$8)*Data!$E$2:$E$1441*((Data!$D$2:$D$1441=$B$3)*$F$3+(Data!$D$2:$D$1441=$B$4)*$F$4+(Data!$D$2:$D$1441=$B$5)*$F$5))</f>
        <v>5</v>
      </c>
      <c r="AA20" s="28" cm="1">
        <f t="array" ref="AA20">SUMPRODUCT((Data!$A$2:$A$1441=$A20)*(Data!$B$2:$B$1441=AA$8)*Data!$E$2:$E$1441*((Data!$D$2:$D$1441=$B$3)*$F$3+(Data!$D$2:$D$1441=$B$4)*$F$4+(Data!$D$2:$D$1441=$B$5)*$F$5))</f>
        <v>3</v>
      </c>
      <c r="AB20" s="28" cm="1">
        <f t="array" ref="AB20">SUMPRODUCT((Data!$A$2:$A$1441=$A20)*(Data!$B$2:$B$1441=AB$8)*Data!$E$2:$E$1441*((Data!$D$2:$D$1441=$B$3)*$F$3+(Data!$D$2:$D$1441=$B$4)*$F$4+(Data!$D$2:$D$1441=$B$5)*$F$5))</f>
        <v>3</v>
      </c>
      <c r="AC20" s="28" cm="1">
        <f t="array" ref="AC20">SUMPRODUCT((Data!$A$2:$A$1441=$A20)*(Data!$B$2:$B$1441=AC$8)*Data!$E$2:$E$1441*((Data!$D$2:$D$1441=$B$3)*$F$3+(Data!$D$2:$D$1441=$B$4)*$F$4+(Data!$D$2:$D$1441=$B$5)*$F$5))</f>
        <v>1</v>
      </c>
      <c r="AD20" s="28">
        <f t="shared" si="6"/>
        <v>4</v>
      </c>
      <c r="AE20" s="28">
        <f t="shared" si="7"/>
        <v>8.5</v>
      </c>
    </row>
    <row r="21" spans="1:31" x14ac:dyDescent="0.3">
      <c r="A21" s="27" t="s">
        <v>49</v>
      </c>
      <c r="B21" s="28" cm="1">
        <f t="array" ref="B21">SUMPRODUCT((Data!$A$2:$A$1441=$A21)*(Data!$B$2:$B$1441=B$8)*Data!$E$2:$E$1441*((Data!$D$2:$D$1441=$B$3)*$C$3+(Data!$D$2:$D$1441=$B$4)*$C$4+(Data!$D$2:$D$1441=$B$5)*$C$5))</f>
        <v>6</v>
      </c>
      <c r="C21" s="28" cm="1">
        <f t="array" ref="C21">SUMPRODUCT((Data!$A$2:$A$1441=$A21)*(Data!$B$2:$B$1441=C$8)*Data!$E$2:$E$1441*((Data!$D$2:$D$1441=$B$3)*$C$3+(Data!$D$2:$D$1441=$B$4)*$C$4+(Data!$D$2:$D$1441=$B$5)*$C$5))</f>
        <v>3</v>
      </c>
      <c r="D21" s="28" cm="1">
        <f t="array" ref="D21">SUMPRODUCT((Data!$A$2:$A$1441=$A21)*(Data!$B$2:$B$1441=D$8)*Data!$E$2:$E$1441*((Data!$D$2:$D$1441=$B$3)*$C$3+(Data!$D$2:$D$1441=$B$4)*$C$4+(Data!$D$2:$D$1441=$B$5)*$C$5))</f>
        <v>6</v>
      </c>
      <c r="E21" s="28" cm="1">
        <f t="array" ref="E21">SUMPRODUCT((Data!$A$2:$A$1441=$A21)*(Data!$B$2:$B$1441=E$8)*Data!$E$2:$E$1441*((Data!$D$2:$D$1441=$B$3)*$C$3+(Data!$D$2:$D$1441=$B$4)*$C$4+(Data!$D$2:$D$1441=$B$5)*$C$5))</f>
        <v>2</v>
      </c>
      <c r="F21" s="28">
        <f t="shared" si="0"/>
        <v>4</v>
      </c>
      <c r="G21" s="28">
        <f t="shared" si="1"/>
        <v>14</v>
      </c>
      <c r="I21" s="27" t="s">
        <v>49</v>
      </c>
      <c r="J21" s="28" cm="1">
        <f t="array" ref="J21">SUMPRODUCT((Data!$A$2:$A$1441=$A21)*(Data!$B$2:$B$1441=J$8)*Data!$E$2:$E$1441*((Data!$D$2:$D$1441=$B$3)*$D$3+(Data!$D$2:$D$1441=$B$4)*$D$4+(Data!$D$2:$D$1441=$B$5)*$D$5))</f>
        <v>3</v>
      </c>
      <c r="K21" s="28" cm="1">
        <f t="array" ref="K21">SUMPRODUCT((Data!$A$2:$A$1441=$A21)*(Data!$B$2:$B$1441=K$8)*Data!$E$2:$E$1441*((Data!$D$2:$D$1441=$B$3)*$D$3+(Data!$D$2:$D$1441=$B$4)*$D$4+(Data!$D$2:$D$1441=$B$5)*$D$5))</f>
        <v>1</v>
      </c>
      <c r="L21" s="28" cm="1">
        <f t="array" ref="L21">SUMPRODUCT((Data!$A$2:$A$1441=$A21)*(Data!$B$2:$B$1441=L$8)*Data!$E$2:$E$1441*((Data!$D$2:$D$1441=$B$3)*$D$3+(Data!$D$2:$D$1441=$B$4)*$D$4+(Data!$D$2:$D$1441=$B$5)*$D$5))</f>
        <v>3</v>
      </c>
      <c r="M21" s="28" cm="1">
        <f t="array" ref="M21">SUMPRODUCT((Data!$A$2:$A$1441=$A21)*(Data!$B$2:$B$1441=M$8)*Data!$E$2:$E$1441*((Data!$D$2:$D$1441=$B$3)*$D$3+(Data!$D$2:$D$1441=$B$4)*$D$4+(Data!$D$2:$D$1441=$B$5)*$D$5))</f>
        <v>1</v>
      </c>
      <c r="N21" s="28">
        <f t="shared" si="2"/>
        <v>2</v>
      </c>
      <c r="O21" s="28">
        <f t="shared" si="3"/>
        <v>11</v>
      </c>
      <c r="Q21" s="27" t="s">
        <v>49</v>
      </c>
      <c r="R21" s="28" cm="1">
        <f t="array" ref="R21">SUMPRODUCT((Data!$A$2:$A$1441=$A21)*(Data!$B$2:$B$1441=R$8)*Data!$E$2:$E$1441*((Data!$D$2:$D$1441=$B$3)*$E$3+(Data!$D$2:$D$1441=$B$4)*$E$4+(Data!$D$2:$D$1441=$B$5)*$E$5))</f>
        <v>8</v>
      </c>
      <c r="S21" s="28" cm="1">
        <f t="array" ref="S21">SUMPRODUCT((Data!$A$2:$A$1441=$A21)*(Data!$B$2:$B$1441=S$8)*Data!$E$2:$E$1441*((Data!$D$2:$D$1441=$B$3)*$E$3+(Data!$D$2:$D$1441=$B$4)*$E$4+(Data!$D$2:$D$1441=$B$5)*$E$5))</f>
        <v>5</v>
      </c>
      <c r="T21" s="28" cm="1">
        <f t="array" ref="T21">SUMPRODUCT((Data!$A$2:$A$1441=$A21)*(Data!$B$2:$B$1441=T$8)*Data!$E$2:$E$1441*((Data!$D$2:$D$1441=$B$3)*$E$3+(Data!$D$2:$D$1441=$B$4)*$E$4+(Data!$D$2:$D$1441=$B$5)*$E$5))</f>
        <v>8</v>
      </c>
      <c r="U21" s="28" cm="1">
        <f t="array" ref="U21">SUMPRODUCT((Data!$A$2:$A$1441=$A21)*(Data!$B$2:$B$1441=U$8)*Data!$E$2:$E$1441*((Data!$D$2:$D$1441=$B$3)*$E$3+(Data!$D$2:$D$1441=$B$4)*$E$4+(Data!$D$2:$D$1441=$B$5)*$E$5))</f>
        <v>2</v>
      </c>
      <c r="V21" s="28">
        <f t="shared" si="4"/>
        <v>6</v>
      </c>
      <c r="W21" s="28">
        <f t="shared" si="5"/>
        <v>14</v>
      </c>
      <c r="Y21" s="27" t="s">
        <v>49</v>
      </c>
      <c r="Z21" s="28" cm="1">
        <f t="array" ref="Z21">SUMPRODUCT((Data!$A$2:$A$1441=$A21)*(Data!$B$2:$B$1441=Z$8)*Data!$E$2:$E$1441*((Data!$D$2:$D$1441=$B$3)*$F$3+(Data!$D$2:$D$1441=$B$4)*$F$4+(Data!$D$2:$D$1441=$B$5)*$F$5))</f>
        <v>4</v>
      </c>
      <c r="AA21" s="28" cm="1">
        <f t="array" ref="AA21">SUMPRODUCT((Data!$A$2:$A$1441=$A21)*(Data!$B$2:$B$1441=AA$8)*Data!$E$2:$E$1441*((Data!$D$2:$D$1441=$B$3)*$F$3+(Data!$D$2:$D$1441=$B$4)*$F$4+(Data!$D$2:$D$1441=$B$5)*$F$5))</f>
        <v>2</v>
      </c>
      <c r="AB21" s="28" cm="1">
        <f t="array" ref="AB21">SUMPRODUCT((Data!$A$2:$A$1441=$A21)*(Data!$B$2:$B$1441=AB$8)*Data!$E$2:$E$1441*((Data!$D$2:$D$1441=$B$3)*$F$3+(Data!$D$2:$D$1441=$B$4)*$F$4+(Data!$D$2:$D$1441=$B$5)*$F$5))</f>
        <v>4</v>
      </c>
      <c r="AC21" s="28" cm="1">
        <f t="array" ref="AC21">SUMPRODUCT((Data!$A$2:$A$1441=$A21)*(Data!$B$2:$B$1441=AC$8)*Data!$E$2:$E$1441*((Data!$D$2:$D$1441=$B$3)*$F$3+(Data!$D$2:$D$1441=$B$4)*$F$4+(Data!$D$2:$D$1441=$B$5)*$F$5))</f>
        <v>1</v>
      </c>
      <c r="AD21" s="28">
        <f t="shared" si="6"/>
        <v>3</v>
      </c>
      <c r="AE21" s="28">
        <f t="shared" si="7"/>
        <v>12</v>
      </c>
    </row>
    <row r="22" spans="1:31" x14ac:dyDescent="0.3">
      <c r="A22" s="27" t="s">
        <v>51</v>
      </c>
      <c r="B22" s="28" cm="1">
        <f t="array" ref="B22">SUMPRODUCT((Data!$A$2:$A$1441=$A22)*(Data!$B$2:$B$1441=B$8)*Data!$E$2:$E$1441*((Data!$D$2:$D$1441=$B$3)*$C$3+(Data!$D$2:$D$1441=$B$4)*$C$4+(Data!$D$2:$D$1441=$B$5)*$C$5))</f>
        <v>5</v>
      </c>
      <c r="C22" s="28" cm="1">
        <f t="array" ref="C22">SUMPRODUCT((Data!$A$2:$A$1441=$A22)*(Data!$B$2:$B$1441=C$8)*Data!$E$2:$E$1441*((Data!$D$2:$D$1441=$B$3)*$C$3+(Data!$D$2:$D$1441=$B$4)*$C$4+(Data!$D$2:$D$1441=$B$5)*$C$5))</f>
        <v>13</v>
      </c>
      <c r="D22" s="28" cm="1">
        <f t="array" ref="D22">SUMPRODUCT((Data!$A$2:$A$1441=$A22)*(Data!$B$2:$B$1441=D$8)*Data!$E$2:$E$1441*((Data!$D$2:$D$1441=$B$3)*$C$3+(Data!$D$2:$D$1441=$B$4)*$C$4+(Data!$D$2:$D$1441=$B$5)*$C$5))</f>
        <v>5</v>
      </c>
      <c r="E22" s="28" cm="1">
        <f t="array" ref="E22">SUMPRODUCT((Data!$A$2:$A$1441=$A22)*(Data!$B$2:$B$1441=E$8)*Data!$E$2:$E$1441*((Data!$D$2:$D$1441=$B$3)*$C$3+(Data!$D$2:$D$1441=$B$4)*$C$4+(Data!$D$2:$D$1441=$B$5)*$C$5))</f>
        <v>2</v>
      </c>
      <c r="F22" s="28">
        <f t="shared" si="0"/>
        <v>11</v>
      </c>
      <c r="G22" s="28">
        <f t="shared" si="1"/>
        <v>3</v>
      </c>
      <c r="I22" s="27" t="s">
        <v>51</v>
      </c>
      <c r="J22" s="28" cm="1">
        <f t="array" ref="J22">SUMPRODUCT((Data!$A$2:$A$1441=$A22)*(Data!$B$2:$B$1441=J$8)*Data!$E$2:$E$1441*((Data!$D$2:$D$1441=$B$3)*$D$3+(Data!$D$2:$D$1441=$B$4)*$D$4+(Data!$D$2:$D$1441=$B$5)*$D$5))</f>
        <v>2</v>
      </c>
      <c r="K22" s="28" cm="1">
        <f t="array" ref="K22">SUMPRODUCT((Data!$A$2:$A$1441=$A22)*(Data!$B$2:$B$1441=K$8)*Data!$E$2:$E$1441*((Data!$D$2:$D$1441=$B$3)*$D$3+(Data!$D$2:$D$1441=$B$4)*$D$4+(Data!$D$2:$D$1441=$B$5)*$D$5))</f>
        <v>6</v>
      </c>
      <c r="L22" s="28" cm="1">
        <f t="array" ref="L22">SUMPRODUCT((Data!$A$2:$A$1441=$A22)*(Data!$B$2:$B$1441=L$8)*Data!$E$2:$E$1441*((Data!$D$2:$D$1441=$B$3)*$D$3+(Data!$D$2:$D$1441=$B$4)*$D$4+(Data!$D$2:$D$1441=$B$5)*$D$5))</f>
        <v>2</v>
      </c>
      <c r="M22" s="28" cm="1">
        <f t="array" ref="M22">SUMPRODUCT((Data!$A$2:$A$1441=$A22)*(Data!$B$2:$B$1441=M$8)*Data!$E$2:$E$1441*((Data!$D$2:$D$1441=$B$3)*$D$3+(Data!$D$2:$D$1441=$B$4)*$D$4+(Data!$D$2:$D$1441=$B$5)*$D$5))</f>
        <v>1</v>
      </c>
      <c r="N22" s="28">
        <f t="shared" si="2"/>
        <v>5</v>
      </c>
      <c r="O22" s="28">
        <f t="shared" si="3"/>
        <v>2.5</v>
      </c>
      <c r="Q22" s="27" t="s">
        <v>51</v>
      </c>
      <c r="R22" s="28" cm="1">
        <f t="array" ref="R22">SUMPRODUCT((Data!$A$2:$A$1441=$A22)*(Data!$B$2:$B$1441=R$8)*Data!$E$2:$E$1441*((Data!$D$2:$D$1441=$B$3)*$E$3+(Data!$D$2:$D$1441=$B$4)*$E$4+(Data!$D$2:$D$1441=$B$5)*$E$5))</f>
        <v>7</v>
      </c>
      <c r="S22" s="28" cm="1">
        <f t="array" ref="S22">SUMPRODUCT((Data!$A$2:$A$1441=$A22)*(Data!$B$2:$B$1441=S$8)*Data!$E$2:$E$1441*((Data!$D$2:$D$1441=$B$3)*$E$3+(Data!$D$2:$D$1441=$B$4)*$E$4+(Data!$D$2:$D$1441=$B$5)*$E$5))</f>
        <v>17</v>
      </c>
      <c r="T22" s="28" cm="1">
        <f t="array" ref="T22">SUMPRODUCT((Data!$A$2:$A$1441=$A22)*(Data!$B$2:$B$1441=T$8)*Data!$E$2:$E$1441*((Data!$D$2:$D$1441=$B$3)*$E$3+(Data!$D$2:$D$1441=$B$4)*$E$4+(Data!$D$2:$D$1441=$B$5)*$E$5))</f>
        <v>7</v>
      </c>
      <c r="U22" s="28" cm="1">
        <f t="array" ref="U22">SUMPRODUCT((Data!$A$2:$A$1441=$A22)*(Data!$B$2:$B$1441=U$8)*Data!$E$2:$E$1441*((Data!$D$2:$D$1441=$B$3)*$E$3+(Data!$D$2:$D$1441=$B$4)*$E$4+(Data!$D$2:$D$1441=$B$5)*$E$5))</f>
        <v>2</v>
      </c>
      <c r="V22" s="28">
        <f t="shared" si="4"/>
        <v>15</v>
      </c>
      <c r="W22" s="28">
        <f t="shared" si="5"/>
        <v>3.5</v>
      </c>
      <c r="Y22" s="27" t="s">
        <v>51</v>
      </c>
      <c r="Z22" s="28" cm="1">
        <f t="array" ref="Z22">SUMPRODUCT((Data!$A$2:$A$1441=$A22)*(Data!$B$2:$B$1441=Z$8)*Data!$E$2:$E$1441*((Data!$D$2:$D$1441=$B$3)*$F$3+(Data!$D$2:$D$1441=$B$4)*$F$4+(Data!$D$2:$D$1441=$B$5)*$F$5))</f>
        <v>3</v>
      </c>
      <c r="AA22" s="28" cm="1">
        <f t="array" ref="AA22">SUMPRODUCT((Data!$A$2:$A$1441=$A22)*(Data!$B$2:$B$1441=AA$8)*Data!$E$2:$E$1441*((Data!$D$2:$D$1441=$B$3)*$F$3+(Data!$D$2:$D$1441=$B$4)*$F$4+(Data!$D$2:$D$1441=$B$5)*$F$5))</f>
        <v>8</v>
      </c>
      <c r="AB22" s="28" cm="1">
        <f t="array" ref="AB22">SUMPRODUCT((Data!$A$2:$A$1441=$A22)*(Data!$B$2:$B$1441=AB$8)*Data!$E$2:$E$1441*((Data!$D$2:$D$1441=$B$3)*$F$3+(Data!$D$2:$D$1441=$B$4)*$F$4+(Data!$D$2:$D$1441=$B$5)*$F$5))</f>
        <v>3</v>
      </c>
      <c r="AC22" s="28" cm="1">
        <f t="array" ref="AC22">SUMPRODUCT((Data!$A$2:$A$1441=$A22)*(Data!$B$2:$B$1441=AC$8)*Data!$E$2:$E$1441*((Data!$D$2:$D$1441=$B$3)*$F$3+(Data!$D$2:$D$1441=$B$4)*$F$4+(Data!$D$2:$D$1441=$B$5)*$F$5))</f>
        <v>1</v>
      </c>
      <c r="AD22" s="28">
        <f t="shared" si="6"/>
        <v>7</v>
      </c>
      <c r="AE22" s="28">
        <f t="shared" si="7"/>
        <v>3</v>
      </c>
    </row>
    <row r="23" spans="1:31" x14ac:dyDescent="0.3">
      <c r="A23" s="27" t="s">
        <v>53</v>
      </c>
      <c r="B23" s="28" cm="1">
        <f t="array" ref="B23">SUMPRODUCT((Data!$A$2:$A$1441=$A23)*(Data!$B$2:$B$1441=B$8)*Data!$E$2:$E$1441*((Data!$D$2:$D$1441=$B$3)*$C$3+(Data!$D$2:$D$1441=$B$4)*$C$4+(Data!$D$2:$D$1441=$B$5)*$C$5))</f>
        <v>3</v>
      </c>
      <c r="C23" s="28" cm="1">
        <f t="array" ref="C23">SUMPRODUCT((Data!$A$2:$A$1441=$A23)*(Data!$B$2:$B$1441=C$8)*Data!$E$2:$E$1441*((Data!$D$2:$D$1441=$B$3)*$C$3+(Data!$D$2:$D$1441=$B$4)*$C$4+(Data!$D$2:$D$1441=$B$5)*$C$5))</f>
        <v>8</v>
      </c>
      <c r="D23" s="28" cm="1">
        <f t="array" ref="D23">SUMPRODUCT((Data!$A$2:$A$1441=$A23)*(Data!$B$2:$B$1441=D$8)*Data!$E$2:$E$1441*((Data!$D$2:$D$1441=$B$3)*$C$3+(Data!$D$2:$D$1441=$B$4)*$C$4+(Data!$D$2:$D$1441=$B$5)*$C$5))</f>
        <v>8</v>
      </c>
      <c r="E23" s="28" cm="1">
        <f t="array" ref="E23">SUMPRODUCT((Data!$A$2:$A$1441=$A23)*(Data!$B$2:$B$1441=E$8)*Data!$E$2:$E$1441*((Data!$D$2:$D$1441=$B$3)*$C$3+(Data!$D$2:$D$1441=$B$4)*$C$4+(Data!$D$2:$D$1441=$B$5)*$C$5))</f>
        <v>2</v>
      </c>
      <c r="F23" s="28">
        <f t="shared" si="0"/>
        <v>6</v>
      </c>
      <c r="G23" s="28">
        <f t="shared" si="1"/>
        <v>8.5</v>
      </c>
      <c r="I23" s="27" t="s">
        <v>53</v>
      </c>
      <c r="J23" s="28" cm="1">
        <f t="array" ref="J23">SUMPRODUCT((Data!$A$2:$A$1441=$A23)*(Data!$B$2:$B$1441=J$8)*Data!$E$2:$E$1441*((Data!$D$2:$D$1441=$B$3)*$D$3+(Data!$D$2:$D$1441=$B$4)*$D$4+(Data!$D$2:$D$1441=$B$5)*$D$5))</f>
        <v>1</v>
      </c>
      <c r="K23" s="28" cm="1">
        <f t="array" ref="K23">SUMPRODUCT((Data!$A$2:$A$1441=$A23)*(Data!$B$2:$B$1441=K$8)*Data!$E$2:$E$1441*((Data!$D$2:$D$1441=$B$3)*$D$3+(Data!$D$2:$D$1441=$B$4)*$D$4+(Data!$D$2:$D$1441=$B$5)*$D$5))</f>
        <v>3</v>
      </c>
      <c r="L23" s="28" cm="1">
        <f t="array" ref="L23">SUMPRODUCT((Data!$A$2:$A$1441=$A23)*(Data!$B$2:$B$1441=L$8)*Data!$E$2:$E$1441*((Data!$D$2:$D$1441=$B$3)*$D$3+(Data!$D$2:$D$1441=$B$4)*$D$4+(Data!$D$2:$D$1441=$B$5)*$D$5))</f>
        <v>3</v>
      </c>
      <c r="M23" s="28" cm="1">
        <f t="array" ref="M23">SUMPRODUCT((Data!$A$2:$A$1441=$A23)*(Data!$B$2:$B$1441=M$8)*Data!$E$2:$E$1441*((Data!$D$2:$D$1441=$B$3)*$D$3+(Data!$D$2:$D$1441=$B$4)*$D$4+(Data!$D$2:$D$1441=$B$5)*$D$5))</f>
        <v>1</v>
      </c>
      <c r="N23" s="28">
        <f t="shared" si="2"/>
        <v>2</v>
      </c>
      <c r="O23" s="28">
        <f t="shared" si="3"/>
        <v>11</v>
      </c>
      <c r="Q23" s="27" t="s">
        <v>53</v>
      </c>
      <c r="R23" s="28" cm="1">
        <f t="array" ref="R23">SUMPRODUCT((Data!$A$2:$A$1441=$A23)*(Data!$B$2:$B$1441=R$8)*Data!$E$2:$E$1441*((Data!$D$2:$D$1441=$B$3)*$E$3+(Data!$D$2:$D$1441=$B$4)*$E$4+(Data!$D$2:$D$1441=$B$5)*$E$5))</f>
        <v>5</v>
      </c>
      <c r="S23" s="28" cm="1">
        <f t="array" ref="S23">SUMPRODUCT((Data!$A$2:$A$1441=$A23)*(Data!$B$2:$B$1441=S$8)*Data!$E$2:$E$1441*((Data!$D$2:$D$1441=$B$3)*$E$3+(Data!$D$2:$D$1441=$B$4)*$E$4+(Data!$D$2:$D$1441=$B$5)*$E$5))</f>
        <v>12</v>
      </c>
      <c r="T23" s="28" cm="1">
        <f t="array" ref="T23">SUMPRODUCT((Data!$A$2:$A$1441=$A23)*(Data!$B$2:$B$1441=T$8)*Data!$E$2:$E$1441*((Data!$D$2:$D$1441=$B$3)*$E$3+(Data!$D$2:$D$1441=$B$4)*$E$4+(Data!$D$2:$D$1441=$B$5)*$E$5))</f>
        <v>12</v>
      </c>
      <c r="U23" s="28" cm="1">
        <f t="array" ref="U23">SUMPRODUCT((Data!$A$2:$A$1441=$A23)*(Data!$B$2:$B$1441=U$8)*Data!$E$2:$E$1441*((Data!$D$2:$D$1441=$B$3)*$E$3+(Data!$D$2:$D$1441=$B$4)*$E$4+(Data!$D$2:$D$1441=$B$5)*$E$5))</f>
        <v>2</v>
      </c>
      <c r="V23" s="28">
        <f t="shared" si="4"/>
        <v>10</v>
      </c>
      <c r="W23" s="28">
        <f t="shared" si="5"/>
        <v>8</v>
      </c>
      <c r="Y23" s="27" t="s">
        <v>53</v>
      </c>
      <c r="Z23" s="28" cm="1">
        <f t="array" ref="Z23">SUMPRODUCT((Data!$A$2:$A$1441=$A23)*(Data!$B$2:$B$1441=Z$8)*Data!$E$2:$E$1441*((Data!$D$2:$D$1441=$B$3)*$F$3+(Data!$D$2:$D$1441=$B$4)*$F$4+(Data!$D$2:$D$1441=$B$5)*$F$5))</f>
        <v>2</v>
      </c>
      <c r="AA23" s="28" cm="1">
        <f t="array" ref="AA23">SUMPRODUCT((Data!$A$2:$A$1441=$A23)*(Data!$B$2:$B$1441=AA$8)*Data!$E$2:$E$1441*((Data!$D$2:$D$1441=$B$3)*$F$3+(Data!$D$2:$D$1441=$B$4)*$F$4+(Data!$D$2:$D$1441=$B$5)*$F$5))</f>
        <v>5</v>
      </c>
      <c r="AB23" s="28" cm="1">
        <f t="array" ref="AB23">SUMPRODUCT((Data!$A$2:$A$1441=$A23)*(Data!$B$2:$B$1441=AB$8)*Data!$E$2:$E$1441*((Data!$D$2:$D$1441=$B$3)*$F$3+(Data!$D$2:$D$1441=$B$4)*$F$4+(Data!$D$2:$D$1441=$B$5)*$F$5))</f>
        <v>5</v>
      </c>
      <c r="AC23" s="28" cm="1">
        <f t="array" ref="AC23">SUMPRODUCT((Data!$A$2:$A$1441=$A23)*(Data!$B$2:$B$1441=AC$8)*Data!$E$2:$E$1441*((Data!$D$2:$D$1441=$B$3)*$F$3+(Data!$D$2:$D$1441=$B$4)*$F$4+(Data!$D$2:$D$1441=$B$5)*$F$5))</f>
        <v>1</v>
      </c>
      <c r="AD23" s="28">
        <f t="shared" si="6"/>
        <v>4</v>
      </c>
      <c r="AE23" s="28">
        <f t="shared" si="7"/>
        <v>8.5</v>
      </c>
    </row>
    <row r="24" spans="1:31" x14ac:dyDescent="0.3">
      <c r="A24" s="27" t="s">
        <v>55</v>
      </c>
      <c r="B24" s="28" cm="1">
        <f t="array" ref="B24">SUMPRODUCT((Data!$A$2:$A$1441=$A24)*(Data!$B$2:$B$1441=B$8)*Data!$E$2:$E$1441*((Data!$D$2:$D$1441=$B$3)*$C$3+(Data!$D$2:$D$1441=$B$4)*$C$4+(Data!$D$2:$D$1441=$B$5)*$C$5))</f>
        <v>6</v>
      </c>
      <c r="C24" s="28" cm="1">
        <f t="array" ref="C24">SUMPRODUCT((Data!$A$2:$A$1441=$A24)*(Data!$B$2:$B$1441=C$8)*Data!$E$2:$E$1441*((Data!$D$2:$D$1441=$B$3)*$C$3+(Data!$D$2:$D$1441=$B$4)*$C$4+(Data!$D$2:$D$1441=$B$5)*$C$5))</f>
        <v>2</v>
      </c>
      <c r="D24" s="28" cm="1">
        <f t="array" ref="D24">SUMPRODUCT((Data!$A$2:$A$1441=$A24)*(Data!$B$2:$B$1441=D$8)*Data!$E$2:$E$1441*((Data!$D$2:$D$1441=$B$3)*$C$3+(Data!$D$2:$D$1441=$B$4)*$C$4+(Data!$D$2:$D$1441=$B$5)*$C$5))</f>
        <v>10</v>
      </c>
      <c r="E24" s="28" cm="1">
        <f t="array" ref="E24">SUMPRODUCT((Data!$A$2:$A$1441=$A24)*(Data!$B$2:$B$1441=E$8)*Data!$E$2:$E$1441*((Data!$D$2:$D$1441=$B$3)*$C$3+(Data!$D$2:$D$1441=$B$4)*$C$4+(Data!$D$2:$D$1441=$B$5)*$C$5))</f>
        <v>2</v>
      </c>
      <c r="F24" s="28">
        <f t="shared" si="0"/>
        <v>8</v>
      </c>
      <c r="G24" s="28">
        <f t="shared" si="1"/>
        <v>5.5</v>
      </c>
      <c r="I24" s="27" t="s">
        <v>55</v>
      </c>
      <c r="J24" s="28" cm="1">
        <f t="array" ref="J24">SUMPRODUCT((Data!$A$2:$A$1441=$A24)*(Data!$B$2:$B$1441=J$8)*Data!$E$2:$E$1441*((Data!$D$2:$D$1441=$B$3)*$D$3+(Data!$D$2:$D$1441=$B$4)*$D$4+(Data!$D$2:$D$1441=$B$5)*$D$5))</f>
        <v>3</v>
      </c>
      <c r="K24" s="28" cm="1">
        <f t="array" ref="K24">SUMPRODUCT((Data!$A$2:$A$1441=$A24)*(Data!$B$2:$B$1441=K$8)*Data!$E$2:$E$1441*((Data!$D$2:$D$1441=$B$3)*$D$3+(Data!$D$2:$D$1441=$B$4)*$D$4+(Data!$D$2:$D$1441=$B$5)*$D$5))</f>
        <v>1</v>
      </c>
      <c r="L24" s="28" cm="1">
        <f t="array" ref="L24">SUMPRODUCT((Data!$A$2:$A$1441=$A24)*(Data!$B$2:$B$1441=L$8)*Data!$E$2:$E$1441*((Data!$D$2:$D$1441=$B$3)*$D$3+(Data!$D$2:$D$1441=$B$4)*$D$4+(Data!$D$2:$D$1441=$B$5)*$D$5))</f>
        <v>5</v>
      </c>
      <c r="M24" s="28" cm="1">
        <f t="array" ref="M24">SUMPRODUCT((Data!$A$2:$A$1441=$A24)*(Data!$B$2:$B$1441=M$8)*Data!$E$2:$E$1441*((Data!$D$2:$D$1441=$B$3)*$D$3+(Data!$D$2:$D$1441=$B$4)*$D$4+(Data!$D$2:$D$1441=$B$5)*$D$5))</f>
        <v>1</v>
      </c>
      <c r="N24" s="28">
        <f t="shared" si="2"/>
        <v>4</v>
      </c>
      <c r="O24" s="28">
        <f t="shared" si="3"/>
        <v>4.5</v>
      </c>
      <c r="Q24" s="27" t="s">
        <v>55</v>
      </c>
      <c r="R24" s="28" cm="1">
        <f t="array" ref="R24">SUMPRODUCT((Data!$A$2:$A$1441=$A24)*(Data!$B$2:$B$1441=R$8)*Data!$E$2:$E$1441*((Data!$D$2:$D$1441=$B$3)*$E$3+(Data!$D$2:$D$1441=$B$4)*$E$4+(Data!$D$2:$D$1441=$B$5)*$E$5))</f>
        <v>8</v>
      </c>
      <c r="S24" s="28" cm="1">
        <f t="array" ref="S24">SUMPRODUCT((Data!$A$2:$A$1441=$A24)*(Data!$B$2:$B$1441=S$8)*Data!$E$2:$E$1441*((Data!$D$2:$D$1441=$B$3)*$E$3+(Data!$D$2:$D$1441=$B$4)*$E$4+(Data!$D$2:$D$1441=$B$5)*$E$5))</f>
        <v>2</v>
      </c>
      <c r="T24" s="28" cm="1">
        <f t="array" ref="T24">SUMPRODUCT((Data!$A$2:$A$1441=$A24)*(Data!$B$2:$B$1441=T$8)*Data!$E$2:$E$1441*((Data!$D$2:$D$1441=$B$3)*$E$3+(Data!$D$2:$D$1441=$B$4)*$E$4+(Data!$D$2:$D$1441=$B$5)*$E$5))</f>
        <v>12</v>
      </c>
      <c r="U24" s="28" cm="1">
        <f t="array" ref="U24">SUMPRODUCT((Data!$A$2:$A$1441=$A24)*(Data!$B$2:$B$1441=U$8)*Data!$E$2:$E$1441*((Data!$D$2:$D$1441=$B$3)*$E$3+(Data!$D$2:$D$1441=$B$4)*$E$4+(Data!$D$2:$D$1441=$B$5)*$E$5))</f>
        <v>2</v>
      </c>
      <c r="V24" s="28">
        <f t="shared" si="4"/>
        <v>10</v>
      </c>
      <c r="W24" s="28">
        <f t="shared" si="5"/>
        <v>8</v>
      </c>
      <c r="Y24" s="27" t="s">
        <v>55</v>
      </c>
      <c r="Z24" s="28" cm="1">
        <f t="array" ref="Z24">SUMPRODUCT((Data!$A$2:$A$1441=$A24)*(Data!$B$2:$B$1441=Z$8)*Data!$E$2:$E$1441*((Data!$D$2:$D$1441=$B$3)*$F$3+(Data!$D$2:$D$1441=$B$4)*$F$4+(Data!$D$2:$D$1441=$B$5)*$F$5))</f>
        <v>4</v>
      </c>
      <c r="AA24" s="28" cm="1">
        <f t="array" ref="AA24">SUMPRODUCT((Data!$A$2:$A$1441=$A24)*(Data!$B$2:$B$1441=AA$8)*Data!$E$2:$E$1441*((Data!$D$2:$D$1441=$B$3)*$F$3+(Data!$D$2:$D$1441=$B$4)*$F$4+(Data!$D$2:$D$1441=$B$5)*$F$5))</f>
        <v>1</v>
      </c>
      <c r="AB24" s="28" cm="1">
        <f t="array" ref="AB24">SUMPRODUCT((Data!$A$2:$A$1441=$A24)*(Data!$B$2:$B$1441=AB$8)*Data!$E$2:$E$1441*((Data!$D$2:$D$1441=$B$3)*$F$3+(Data!$D$2:$D$1441=$B$4)*$F$4+(Data!$D$2:$D$1441=$B$5)*$F$5))</f>
        <v>6</v>
      </c>
      <c r="AC24" s="28" cm="1">
        <f t="array" ref="AC24">SUMPRODUCT((Data!$A$2:$A$1441=$A24)*(Data!$B$2:$B$1441=AC$8)*Data!$E$2:$E$1441*((Data!$D$2:$D$1441=$B$3)*$F$3+(Data!$D$2:$D$1441=$B$4)*$F$4+(Data!$D$2:$D$1441=$B$5)*$F$5))</f>
        <v>1</v>
      </c>
      <c r="AD24" s="28">
        <f t="shared" si="6"/>
        <v>5</v>
      </c>
      <c r="AE24" s="28">
        <f t="shared" si="7"/>
        <v>6</v>
      </c>
    </row>
    <row r="25" spans="1:31" x14ac:dyDescent="0.3">
      <c r="A25" s="27" t="s">
        <v>57</v>
      </c>
      <c r="B25" s="28" cm="1">
        <f t="array" ref="B25">SUMPRODUCT((Data!$A$2:$A$1441=$A25)*(Data!$B$2:$B$1441=B$8)*Data!$E$2:$E$1441*((Data!$D$2:$D$1441=$B$3)*$C$3+(Data!$D$2:$D$1441=$B$4)*$C$4+(Data!$D$2:$D$1441=$B$5)*$C$5))</f>
        <v>3</v>
      </c>
      <c r="C25" s="28" cm="1">
        <f t="array" ref="C25">SUMPRODUCT((Data!$A$2:$A$1441=$A25)*(Data!$B$2:$B$1441=C$8)*Data!$E$2:$E$1441*((Data!$D$2:$D$1441=$B$3)*$C$3+(Data!$D$2:$D$1441=$B$4)*$C$4+(Data!$D$2:$D$1441=$B$5)*$C$5))</f>
        <v>3</v>
      </c>
      <c r="D25" s="28" cm="1">
        <f t="array" ref="D25">SUMPRODUCT((Data!$A$2:$A$1441=$A25)*(Data!$B$2:$B$1441=D$8)*Data!$E$2:$E$1441*((Data!$D$2:$D$1441=$B$3)*$C$3+(Data!$D$2:$D$1441=$B$4)*$C$4+(Data!$D$2:$D$1441=$B$5)*$C$5))</f>
        <v>7</v>
      </c>
      <c r="E25" s="28" cm="1">
        <f t="array" ref="E25">SUMPRODUCT((Data!$A$2:$A$1441=$A25)*(Data!$B$2:$B$1441=E$8)*Data!$E$2:$E$1441*((Data!$D$2:$D$1441=$B$3)*$C$3+(Data!$D$2:$D$1441=$B$4)*$C$4+(Data!$D$2:$D$1441=$B$5)*$C$5))</f>
        <v>2</v>
      </c>
      <c r="F25" s="28">
        <f t="shared" si="0"/>
        <v>5</v>
      </c>
      <c r="G25" s="28">
        <f t="shared" si="1"/>
        <v>11.5</v>
      </c>
      <c r="I25" s="27" t="s">
        <v>57</v>
      </c>
      <c r="J25" s="28" cm="1">
        <f t="array" ref="J25">SUMPRODUCT((Data!$A$2:$A$1441=$A25)*(Data!$B$2:$B$1441=J$8)*Data!$E$2:$E$1441*((Data!$D$2:$D$1441=$B$3)*$D$3+(Data!$D$2:$D$1441=$B$4)*$D$4+(Data!$D$2:$D$1441=$B$5)*$D$5))</f>
        <v>1</v>
      </c>
      <c r="K25" s="28" cm="1">
        <f t="array" ref="K25">SUMPRODUCT((Data!$A$2:$A$1441=$A25)*(Data!$B$2:$B$1441=K$8)*Data!$E$2:$E$1441*((Data!$D$2:$D$1441=$B$3)*$D$3+(Data!$D$2:$D$1441=$B$4)*$D$4+(Data!$D$2:$D$1441=$B$5)*$D$5))</f>
        <v>1</v>
      </c>
      <c r="L25" s="28" cm="1">
        <f t="array" ref="L25">SUMPRODUCT((Data!$A$2:$A$1441=$A25)*(Data!$B$2:$B$1441=L$8)*Data!$E$2:$E$1441*((Data!$D$2:$D$1441=$B$3)*$D$3+(Data!$D$2:$D$1441=$B$4)*$D$4+(Data!$D$2:$D$1441=$B$5)*$D$5))</f>
        <v>3</v>
      </c>
      <c r="M25" s="28" cm="1">
        <f t="array" ref="M25">SUMPRODUCT((Data!$A$2:$A$1441=$A25)*(Data!$B$2:$B$1441=M$8)*Data!$E$2:$E$1441*((Data!$D$2:$D$1441=$B$3)*$D$3+(Data!$D$2:$D$1441=$B$4)*$D$4+(Data!$D$2:$D$1441=$B$5)*$D$5))</f>
        <v>1</v>
      </c>
      <c r="N25" s="28">
        <f t="shared" si="2"/>
        <v>2</v>
      </c>
      <c r="O25" s="28">
        <f t="shared" si="3"/>
        <v>11</v>
      </c>
      <c r="Q25" s="27" t="s">
        <v>57</v>
      </c>
      <c r="R25" s="28" cm="1">
        <f t="array" ref="R25">SUMPRODUCT((Data!$A$2:$A$1441=$A25)*(Data!$B$2:$B$1441=R$8)*Data!$E$2:$E$1441*((Data!$D$2:$D$1441=$B$3)*$E$3+(Data!$D$2:$D$1441=$B$4)*$E$4+(Data!$D$2:$D$1441=$B$5)*$E$5))</f>
        <v>5</v>
      </c>
      <c r="S25" s="28" cm="1">
        <f t="array" ref="S25">SUMPRODUCT((Data!$A$2:$A$1441=$A25)*(Data!$B$2:$B$1441=S$8)*Data!$E$2:$E$1441*((Data!$D$2:$D$1441=$B$3)*$E$3+(Data!$D$2:$D$1441=$B$4)*$E$4+(Data!$D$2:$D$1441=$B$5)*$E$5))</f>
        <v>5</v>
      </c>
      <c r="T25" s="28" cm="1">
        <f t="array" ref="T25">SUMPRODUCT((Data!$A$2:$A$1441=$A25)*(Data!$B$2:$B$1441=T$8)*Data!$E$2:$E$1441*((Data!$D$2:$D$1441=$B$3)*$E$3+(Data!$D$2:$D$1441=$B$4)*$E$4+(Data!$D$2:$D$1441=$B$5)*$E$5))</f>
        <v>9</v>
      </c>
      <c r="U25" s="28" cm="1">
        <f t="array" ref="U25">SUMPRODUCT((Data!$A$2:$A$1441=$A25)*(Data!$B$2:$B$1441=U$8)*Data!$E$2:$E$1441*((Data!$D$2:$D$1441=$B$3)*$E$3+(Data!$D$2:$D$1441=$B$4)*$E$4+(Data!$D$2:$D$1441=$B$5)*$E$5))</f>
        <v>2</v>
      </c>
      <c r="V25" s="28">
        <f t="shared" si="4"/>
        <v>7</v>
      </c>
      <c r="W25" s="28">
        <f t="shared" si="5"/>
        <v>11.5</v>
      </c>
      <c r="Y25" s="27" t="s">
        <v>57</v>
      </c>
      <c r="Z25" s="28" cm="1">
        <f t="array" ref="Z25">SUMPRODUCT((Data!$A$2:$A$1441=$A25)*(Data!$B$2:$B$1441=Z$8)*Data!$E$2:$E$1441*((Data!$D$2:$D$1441=$B$3)*$F$3+(Data!$D$2:$D$1441=$B$4)*$F$4+(Data!$D$2:$D$1441=$B$5)*$F$5))</f>
        <v>2</v>
      </c>
      <c r="AA25" s="28" cm="1">
        <f t="array" ref="AA25">SUMPRODUCT((Data!$A$2:$A$1441=$A25)*(Data!$B$2:$B$1441=AA$8)*Data!$E$2:$E$1441*((Data!$D$2:$D$1441=$B$3)*$F$3+(Data!$D$2:$D$1441=$B$4)*$F$4+(Data!$D$2:$D$1441=$B$5)*$F$5))</f>
        <v>2</v>
      </c>
      <c r="AB25" s="28" cm="1">
        <f t="array" ref="AB25">SUMPRODUCT((Data!$A$2:$A$1441=$A25)*(Data!$B$2:$B$1441=AB$8)*Data!$E$2:$E$1441*((Data!$D$2:$D$1441=$B$3)*$F$3+(Data!$D$2:$D$1441=$B$4)*$F$4+(Data!$D$2:$D$1441=$B$5)*$F$5))</f>
        <v>4</v>
      </c>
      <c r="AC25" s="28" cm="1">
        <f t="array" ref="AC25">SUMPRODUCT((Data!$A$2:$A$1441=$A25)*(Data!$B$2:$B$1441=AC$8)*Data!$E$2:$E$1441*((Data!$D$2:$D$1441=$B$3)*$F$3+(Data!$D$2:$D$1441=$B$4)*$F$4+(Data!$D$2:$D$1441=$B$5)*$F$5))</f>
        <v>1</v>
      </c>
      <c r="AD25" s="28">
        <f t="shared" si="6"/>
        <v>3</v>
      </c>
      <c r="AE25" s="28">
        <f t="shared" si="7"/>
        <v>12</v>
      </c>
    </row>
    <row r="26" spans="1:31" x14ac:dyDescent="0.3">
      <c r="A26" s="27" t="s">
        <v>59</v>
      </c>
      <c r="B26" s="28" cm="1">
        <f t="array" ref="B26">SUMPRODUCT((Data!$A$2:$A$1441=$A26)*(Data!$B$2:$B$1441=B$8)*Data!$E$2:$E$1441*((Data!$D$2:$D$1441=$B$3)*$C$3+(Data!$D$2:$D$1441=$B$4)*$C$4+(Data!$D$2:$D$1441=$B$5)*$C$5))</f>
        <v>5</v>
      </c>
      <c r="C26" s="28" cm="1">
        <f t="array" ref="C26">SUMPRODUCT((Data!$A$2:$A$1441=$A26)*(Data!$B$2:$B$1441=C$8)*Data!$E$2:$E$1441*((Data!$D$2:$D$1441=$B$3)*$C$3+(Data!$D$2:$D$1441=$B$4)*$C$4+(Data!$D$2:$D$1441=$B$5)*$C$5))</f>
        <v>3</v>
      </c>
      <c r="D26" s="28" cm="1">
        <f t="array" ref="D26">SUMPRODUCT((Data!$A$2:$A$1441=$A26)*(Data!$B$2:$B$1441=D$8)*Data!$E$2:$E$1441*((Data!$D$2:$D$1441=$B$3)*$C$3+(Data!$D$2:$D$1441=$B$4)*$C$4+(Data!$D$2:$D$1441=$B$5)*$C$5))</f>
        <v>2</v>
      </c>
      <c r="E26" s="28" cm="1">
        <f t="array" ref="E26">SUMPRODUCT((Data!$A$2:$A$1441=$A26)*(Data!$B$2:$B$1441=E$8)*Data!$E$2:$E$1441*((Data!$D$2:$D$1441=$B$3)*$C$3+(Data!$D$2:$D$1441=$B$4)*$C$4+(Data!$D$2:$D$1441=$B$5)*$C$5))</f>
        <v>2</v>
      </c>
      <c r="F26" s="28">
        <f t="shared" si="0"/>
        <v>3</v>
      </c>
      <c r="G26" s="28">
        <f t="shared" si="1"/>
        <v>17</v>
      </c>
      <c r="I26" s="27" t="s">
        <v>59</v>
      </c>
      <c r="J26" s="28" cm="1">
        <f t="array" ref="J26">SUMPRODUCT((Data!$A$2:$A$1441=$A26)*(Data!$B$2:$B$1441=J$8)*Data!$E$2:$E$1441*((Data!$D$2:$D$1441=$B$3)*$D$3+(Data!$D$2:$D$1441=$B$4)*$D$4+(Data!$D$2:$D$1441=$B$5)*$D$5))</f>
        <v>2</v>
      </c>
      <c r="K26" s="28" cm="1">
        <f t="array" ref="K26">SUMPRODUCT((Data!$A$2:$A$1441=$A26)*(Data!$B$2:$B$1441=K$8)*Data!$E$2:$E$1441*((Data!$D$2:$D$1441=$B$3)*$D$3+(Data!$D$2:$D$1441=$B$4)*$D$4+(Data!$D$2:$D$1441=$B$5)*$D$5))</f>
        <v>1</v>
      </c>
      <c r="L26" s="28" cm="1">
        <f t="array" ref="L26">SUMPRODUCT((Data!$A$2:$A$1441=$A26)*(Data!$B$2:$B$1441=L$8)*Data!$E$2:$E$1441*((Data!$D$2:$D$1441=$B$3)*$D$3+(Data!$D$2:$D$1441=$B$4)*$D$4+(Data!$D$2:$D$1441=$B$5)*$D$5))</f>
        <v>1</v>
      </c>
      <c r="M26" s="28" cm="1">
        <f t="array" ref="M26">SUMPRODUCT((Data!$A$2:$A$1441=$A26)*(Data!$B$2:$B$1441=M$8)*Data!$E$2:$E$1441*((Data!$D$2:$D$1441=$B$3)*$D$3+(Data!$D$2:$D$1441=$B$4)*$D$4+(Data!$D$2:$D$1441=$B$5)*$D$5))</f>
        <v>1</v>
      </c>
      <c r="N26" s="28">
        <f t="shared" si="2"/>
        <v>1</v>
      </c>
      <c r="O26" s="28">
        <f t="shared" si="3"/>
        <v>17</v>
      </c>
      <c r="Q26" s="27" t="s">
        <v>59</v>
      </c>
      <c r="R26" s="28" cm="1">
        <f t="array" ref="R26">SUMPRODUCT((Data!$A$2:$A$1441=$A26)*(Data!$B$2:$B$1441=R$8)*Data!$E$2:$E$1441*((Data!$D$2:$D$1441=$B$3)*$E$3+(Data!$D$2:$D$1441=$B$4)*$E$4+(Data!$D$2:$D$1441=$B$5)*$E$5))</f>
        <v>7</v>
      </c>
      <c r="S26" s="28" cm="1">
        <f t="array" ref="S26">SUMPRODUCT((Data!$A$2:$A$1441=$A26)*(Data!$B$2:$B$1441=S$8)*Data!$E$2:$E$1441*((Data!$D$2:$D$1441=$B$3)*$E$3+(Data!$D$2:$D$1441=$B$4)*$E$4+(Data!$D$2:$D$1441=$B$5)*$E$5))</f>
        <v>5</v>
      </c>
      <c r="T26" s="28" cm="1">
        <f t="array" ref="T26">SUMPRODUCT((Data!$A$2:$A$1441=$A26)*(Data!$B$2:$B$1441=T$8)*Data!$E$2:$E$1441*((Data!$D$2:$D$1441=$B$3)*$E$3+(Data!$D$2:$D$1441=$B$4)*$E$4+(Data!$D$2:$D$1441=$B$5)*$E$5))</f>
        <v>2</v>
      </c>
      <c r="U26" s="28" cm="1">
        <f t="array" ref="U26">SUMPRODUCT((Data!$A$2:$A$1441=$A26)*(Data!$B$2:$B$1441=U$8)*Data!$E$2:$E$1441*((Data!$D$2:$D$1441=$B$3)*$E$3+(Data!$D$2:$D$1441=$B$4)*$E$4+(Data!$D$2:$D$1441=$B$5)*$E$5))</f>
        <v>2</v>
      </c>
      <c r="V26" s="28">
        <f t="shared" si="4"/>
        <v>5</v>
      </c>
      <c r="W26" s="28">
        <f t="shared" si="5"/>
        <v>17</v>
      </c>
      <c r="Y26" s="27" t="s">
        <v>59</v>
      </c>
      <c r="Z26" s="28" cm="1">
        <f t="array" ref="Z26">SUMPRODUCT((Data!$A$2:$A$1441=$A26)*(Data!$B$2:$B$1441=Z$8)*Data!$E$2:$E$1441*((Data!$D$2:$D$1441=$B$3)*$F$3+(Data!$D$2:$D$1441=$B$4)*$F$4+(Data!$D$2:$D$1441=$B$5)*$F$5))</f>
        <v>3</v>
      </c>
      <c r="AA26" s="28" cm="1">
        <f t="array" ref="AA26">SUMPRODUCT((Data!$A$2:$A$1441=$A26)*(Data!$B$2:$B$1441=AA$8)*Data!$E$2:$E$1441*((Data!$D$2:$D$1441=$B$3)*$F$3+(Data!$D$2:$D$1441=$B$4)*$F$4+(Data!$D$2:$D$1441=$B$5)*$F$5))</f>
        <v>2</v>
      </c>
      <c r="AB26" s="28" cm="1">
        <f t="array" ref="AB26">SUMPRODUCT((Data!$A$2:$A$1441=$A26)*(Data!$B$2:$B$1441=AB$8)*Data!$E$2:$E$1441*((Data!$D$2:$D$1441=$B$3)*$F$3+(Data!$D$2:$D$1441=$B$4)*$F$4+(Data!$D$2:$D$1441=$B$5)*$F$5))</f>
        <v>1</v>
      </c>
      <c r="AC26" s="28" cm="1">
        <f t="array" ref="AC26">SUMPRODUCT((Data!$A$2:$A$1441=$A26)*(Data!$B$2:$B$1441=AC$8)*Data!$E$2:$E$1441*((Data!$D$2:$D$1441=$B$3)*$F$3+(Data!$D$2:$D$1441=$B$4)*$F$4+(Data!$D$2:$D$1441=$B$5)*$F$5))</f>
        <v>1</v>
      </c>
      <c r="AD26" s="28">
        <f t="shared" si="6"/>
        <v>2</v>
      </c>
      <c r="AE26" s="28">
        <f t="shared" si="7"/>
        <v>17</v>
      </c>
    </row>
    <row r="27" spans="1:31" x14ac:dyDescent="0.3">
      <c r="A27" s="27" t="s">
        <v>61</v>
      </c>
      <c r="B27" s="28" cm="1">
        <f t="array" ref="B27">SUMPRODUCT((Data!$A$2:$A$1441=$A27)*(Data!$B$2:$B$1441=B$8)*Data!$E$2:$E$1441*((Data!$D$2:$D$1441=$B$3)*$C$3+(Data!$D$2:$D$1441=$B$4)*$C$4+(Data!$D$2:$D$1441=$B$5)*$C$5))</f>
        <v>3</v>
      </c>
      <c r="C27" s="28" cm="1">
        <f t="array" ref="C27">SUMPRODUCT((Data!$A$2:$A$1441=$A27)*(Data!$B$2:$B$1441=C$8)*Data!$E$2:$E$1441*((Data!$D$2:$D$1441=$B$3)*$C$3+(Data!$D$2:$D$1441=$B$4)*$C$4+(Data!$D$2:$D$1441=$B$5)*$C$5))</f>
        <v>5</v>
      </c>
      <c r="D27" s="28" cm="1">
        <f t="array" ref="D27">SUMPRODUCT((Data!$A$2:$A$1441=$A27)*(Data!$B$2:$B$1441=D$8)*Data!$E$2:$E$1441*((Data!$D$2:$D$1441=$B$3)*$C$3+(Data!$D$2:$D$1441=$B$4)*$C$4+(Data!$D$2:$D$1441=$B$5)*$C$5))</f>
        <v>9</v>
      </c>
      <c r="E27" s="28" cm="1">
        <f t="array" ref="E27">SUMPRODUCT((Data!$A$2:$A$1441=$A27)*(Data!$B$2:$B$1441=E$8)*Data!$E$2:$E$1441*((Data!$D$2:$D$1441=$B$3)*$C$3+(Data!$D$2:$D$1441=$B$4)*$C$4+(Data!$D$2:$D$1441=$B$5)*$C$5))</f>
        <v>2</v>
      </c>
      <c r="F27" s="28">
        <f t="shared" si="0"/>
        <v>7</v>
      </c>
      <c r="G27" s="28">
        <f t="shared" si="1"/>
        <v>7</v>
      </c>
      <c r="I27" s="27" t="s">
        <v>61</v>
      </c>
      <c r="J27" s="28" cm="1">
        <f t="array" ref="J27">SUMPRODUCT((Data!$A$2:$A$1441=$A27)*(Data!$B$2:$B$1441=J$8)*Data!$E$2:$E$1441*((Data!$D$2:$D$1441=$B$3)*$D$3+(Data!$D$2:$D$1441=$B$4)*$D$4+(Data!$D$2:$D$1441=$B$5)*$D$5))</f>
        <v>1</v>
      </c>
      <c r="K27" s="28" cm="1">
        <f t="array" ref="K27">SUMPRODUCT((Data!$A$2:$A$1441=$A27)*(Data!$B$2:$B$1441=K$8)*Data!$E$2:$E$1441*((Data!$D$2:$D$1441=$B$3)*$D$3+(Data!$D$2:$D$1441=$B$4)*$D$4+(Data!$D$2:$D$1441=$B$5)*$D$5))</f>
        <v>2</v>
      </c>
      <c r="L27" s="28" cm="1">
        <f t="array" ref="L27">SUMPRODUCT((Data!$A$2:$A$1441=$A27)*(Data!$B$2:$B$1441=L$8)*Data!$E$2:$E$1441*((Data!$D$2:$D$1441=$B$3)*$D$3+(Data!$D$2:$D$1441=$B$4)*$D$4+(Data!$D$2:$D$1441=$B$5)*$D$5))</f>
        <v>4</v>
      </c>
      <c r="M27" s="28" cm="1">
        <f t="array" ref="M27">SUMPRODUCT((Data!$A$2:$A$1441=$A27)*(Data!$B$2:$B$1441=M$8)*Data!$E$2:$E$1441*((Data!$D$2:$D$1441=$B$3)*$D$3+(Data!$D$2:$D$1441=$B$4)*$D$4+(Data!$D$2:$D$1441=$B$5)*$D$5))</f>
        <v>1</v>
      </c>
      <c r="N27" s="28">
        <f t="shared" si="2"/>
        <v>3</v>
      </c>
      <c r="O27" s="28">
        <f t="shared" si="3"/>
        <v>6.5</v>
      </c>
      <c r="Q27" s="27" t="s">
        <v>61</v>
      </c>
      <c r="R27" s="28" cm="1">
        <f t="array" ref="R27">SUMPRODUCT((Data!$A$2:$A$1441=$A27)*(Data!$B$2:$B$1441=R$8)*Data!$E$2:$E$1441*((Data!$D$2:$D$1441=$B$3)*$E$3+(Data!$D$2:$D$1441=$B$4)*$E$4+(Data!$D$2:$D$1441=$B$5)*$E$5))</f>
        <v>5</v>
      </c>
      <c r="S27" s="28" cm="1">
        <f t="array" ref="S27">SUMPRODUCT((Data!$A$2:$A$1441=$A27)*(Data!$B$2:$B$1441=S$8)*Data!$E$2:$E$1441*((Data!$D$2:$D$1441=$B$3)*$E$3+(Data!$D$2:$D$1441=$B$4)*$E$4+(Data!$D$2:$D$1441=$B$5)*$E$5))</f>
        <v>7</v>
      </c>
      <c r="T27" s="28" cm="1">
        <f t="array" ref="T27">SUMPRODUCT((Data!$A$2:$A$1441=$A27)*(Data!$B$2:$B$1441=T$8)*Data!$E$2:$E$1441*((Data!$D$2:$D$1441=$B$3)*$E$3+(Data!$D$2:$D$1441=$B$4)*$E$4+(Data!$D$2:$D$1441=$B$5)*$E$5))</f>
        <v>13</v>
      </c>
      <c r="U27" s="28" cm="1">
        <f t="array" ref="U27">SUMPRODUCT((Data!$A$2:$A$1441=$A27)*(Data!$B$2:$B$1441=U$8)*Data!$E$2:$E$1441*((Data!$D$2:$D$1441=$B$3)*$E$3+(Data!$D$2:$D$1441=$B$4)*$E$4+(Data!$D$2:$D$1441=$B$5)*$E$5))</f>
        <v>2</v>
      </c>
      <c r="V27" s="28">
        <f t="shared" si="4"/>
        <v>11</v>
      </c>
      <c r="W27" s="28">
        <f t="shared" si="5"/>
        <v>6</v>
      </c>
      <c r="Y27" s="27" t="s">
        <v>61</v>
      </c>
      <c r="Z27" s="28" cm="1">
        <f t="array" ref="Z27">SUMPRODUCT((Data!$A$2:$A$1441=$A27)*(Data!$B$2:$B$1441=Z$8)*Data!$E$2:$E$1441*((Data!$D$2:$D$1441=$B$3)*$F$3+(Data!$D$2:$D$1441=$B$4)*$F$4+(Data!$D$2:$D$1441=$B$5)*$F$5))</f>
        <v>2</v>
      </c>
      <c r="AA27" s="28" cm="1">
        <f t="array" ref="AA27">SUMPRODUCT((Data!$A$2:$A$1441=$A27)*(Data!$B$2:$B$1441=AA$8)*Data!$E$2:$E$1441*((Data!$D$2:$D$1441=$B$3)*$F$3+(Data!$D$2:$D$1441=$B$4)*$F$4+(Data!$D$2:$D$1441=$B$5)*$F$5))</f>
        <v>3</v>
      </c>
      <c r="AB27" s="28" cm="1">
        <f t="array" ref="AB27">SUMPRODUCT((Data!$A$2:$A$1441=$A27)*(Data!$B$2:$B$1441=AB$8)*Data!$E$2:$E$1441*((Data!$D$2:$D$1441=$B$3)*$F$3+(Data!$D$2:$D$1441=$B$4)*$F$4+(Data!$D$2:$D$1441=$B$5)*$F$5))</f>
        <v>6</v>
      </c>
      <c r="AC27" s="28" cm="1">
        <f t="array" ref="AC27">SUMPRODUCT((Data!$A$2:$A$1441=$A27)*(Data!$B$2:$B$1441=AC$8)*Data!$E$2:$E$1441*((Data!$D$2:$D$1441=$B$3)*$F$3+(Data!$D$2:$D$1441=$B$4)*$F$4+(Data!$D$2:$D$1441=$B$5)*$F$5))</f>
        <v>1</v>
      </c>
      <c r="AD27" s="28">
        <f t="shared" si="6"/>
        <v>5</v>
      </c>
      <c r="AE27" s="28">
        <f t="shared" si="7"/>
        <v>6</v>
      </c>
    </row>
    <row r="28" spans="1:31" x14ac:dyDescent="0.3">
      <c r="A28" s="27" t="s">
        <v>63</v>
      </c>
      <c r="B28" s="28" cm="1">
        <f t="array" ref="B28">SUMPRODUCT((Data!$A$2:$A$1441=$A28)*(Data!$B$2:$B$1441=B$8)*Data!$E$2:$E$1441*((Data!$D$2:$D$1441=$B$3)*$C$3+(Data!$D$2:$D$1441=$B$4)*$C$4+(Data!$D$2:$D$1441=$B$5)*$C$5))</f>
        <v>3</v>
      </c>
      <c r="C28" s="28" cm="1">
        <f t="array" ref="C28">SUMPRODUCT((Data!$A$2:$A$1441=$A28)*(Data!$B$2:$B$1441=C$8)*Data!$E$2:$E$1441*((Data!$D$2:$D$1441=$B$3)*$C$3+(Data!$D$2:$D$1441=$B$4)*$C$4+(Data!$D$2:$D$1441=$B$5)*$C$5))</f>
        <v>2</v>
      </c>
      <c r="D28" s="28" cm="1">
        <f t="array" ref="D28">SUMPRODUCT((Data!$A$2:$A$1441=$A28)*(Data!$B$2:$B$1441=D$8)*Data!$E$2:$E$1441*((Data!$D$2:$D$1441=$B$3)*$C$3+(Data!$D$2:$D$1441=$B$4)*$C$4+(Data!$D$2:$D$1441=$B$5)*$C$5))</f>
        <v>15</v>
      </c>
      <c r="E28" s="28" cm="1">
        <f t="array" ref="E28">SUMPRODUCT((Data!$A$2:$A$1441=$A28)*(Data!$B$2:$B$1441=E$8)*Data!$E$2:$E$1441*((Data!$D$2:$D$1441=$B$3)*$C$3+(Data!$D$2:$D$1441=$B$4)*$C$4+(Data!$D$2:$D$1441=$B$5)*$C$5))</f>
        <v>2</v>
      </c>
      <c r="F28" s="28">
        <f t="shared" si="0"/>
        <v>13</v>
      </c>
      <c r="G28" s="28">
        <f t="shared" si="1"/>
        <v>1</v>
      </c>
      <c r="I28" s="27" t="s">
        <v>63</v>
      </c>
      <c r="J28" s="28" cm="1">
        <f t="array" ref="J28">SUMPRODUCT((Data!$A$2:$A$1441=$A28)*(Data!$B$2:$B$1441=J$8)*Data!$E$2:$E$1441*((Data!$D$2:$D$1441=$B$3)*$D$3+(Data!$D$2:$D$1441=$B$4)*$D$4+(Data!$D$2:$D$1441=$B$5)*$D$5))</f>
        <v>2</v>
      </c>
      <c r="K28" s="28" cm="1">
        <f t="array" ref="K28">SUMPRODUCT((Data!$A$2:$A$1441=$A28)*(Data!$B$2:$B$1441=K$8)*Data!$E$2:$E$1441*((Data!$D$2:$D$1441=$B$3)*$D$3+(Data!$D$2:$D$1441=$B$4)*$D$4+(Data!$D$2:$D$1441=$B$5)*$D$5))</f>
        <v>1</v>
      </c>
      <c r="L28" s="28" cm="1">
        <f t="array" ref="L28">SUMPRODUCT((Data!$A$2:$A$1441=$A28)*(Data!$B$2:$B$1441=L$8)*Data!$E$2:$E$1441*((Data!$D$2:$D$1441=$B$3)*$D$3+(Data!$D$2:$D$1441=$B$4)*$D$4+(Data!$D$2:$D$1441=$B$5)*$D$5))</f>
        <v>7</v>
      </c>
      <c r="M28" s="28" cm="1">
        <f t="array" ref="M28">SUMPRODUCT((Data!$A$2:$A$1441=$A28)*(Data!$B$2:$B$1441=M$8)*Data!$E$2:$E$1441*((Data!$D$2:$D$1441=$B$3)*$D$3+(Data!$D$2:$D$1441=$B$4)*$D$4+(Data!$D$2:$D$1441=$B$5)*$D$5))</f>
        <v>1</v>
      </c>
      <c r="N28" s="28">
        <f t="shared" si="2"/>
        <v>6</v>
      </c>
      <c r="O28" s="28">
        <f t="shared" si="3"/>
        <v>1</v>
      </c>
      <c r="Q28" s="27" t="s">
        <v>63</v>
      </c>
      <c r="R28" s="28" cm="1">
        <f t="array" ref="R28">SUMPRODUCT((Data!$A$2:$A$1441=$A28)*(Data!$B$2:$B$1441=R$8)*Data!$E$2:$E$1441*((Data!$D$2:$D$1441=$B$3)*$E$3+(Data!$D$2:$D$1441=$B$4)*$E$4+(Data!$D$2:$D$1441=$B$5)*$E$5))</f>
        <v>3</v>
      </c>
      <c r="S28" s="28" cm="1">
        <f t="array" ref="S28">SUMPRODUCT((Data!$A$2:$A$1441=$A28)*(Data!$B$2:$B$1441=S$8)*Data!$E$2:$E$1441*((Data!$D$2:$D$1441=$B$3)*$E$3+(Data!$D$2:$D$1441=$B$4)*$E$4+(Data!$D$2:$D$1441=$B$5)*$E$5))</f>
        <v>2</v>
      </c>
      <c r="T28" s="28" cm="1">
        <f t="array" ref="T28">SUMPRODUCT((Data!$A$2:$A$1441=$A28)*(Data!$B$2:$B$1441=T$8)*Data!$E$2:$E$1441*((Data!$D$2:$D$1441=$B$3)*$E$3+(Data!$D$2:$D$1441=$B$4)*$E$4+(Data!$D$2:$D$1441=$B$5)*$E$5))</f>
        <v>19</v>
      </c>
      <c r="U28" s="28" cm="1">
        <f t="array" ref="U28">SUMPRODUCT((Data!$A$2:$A$1441=$A28)*(Data!$B$2:$B$1441=U$8)*Data!$E$2:$E$1441*((Data!$D$2:$D$1441=$B$3)*$E$3+(Data!$D$2:$D$1441=$B$4)*$E$4+(Data!$D$2:$D$1441=$B$5)*$E$5))</f>
        <v>2</v>
      </c>
      <c r="V28" s="28">
        <f t="shared" si="4"/>
        <v>17</v>
      </c>
      <c r="W28" s="28">
        <f t="shared" si="5"/>
        <v>1.5</v>
      </c>
      <c r="Y28" s="27" t="s">
        <v>63</v>
      </c>
      <c r="Z28" s="28" cm="1">
        <f t="array" ref="Z28">SUMPRODUCT((Data!$A$2:$A$1441=$A28)*(Data!$B$2:$B$1441=Z$8)*Data!$E$2:$E$1441*((Data!$D$2:$D$1441=$B$3)*$F$3+(Data!$D$2:$D$1441=$B$4)*$F$4+(Data!$D$2:$D$1441=$B$5)*$F$5))</f>
        <v>2</v>
      </c>
      <c r="AA28" s="28" cm="1">
        <f t="array" ref="AA28">SUMPRODUCT((Data!$A$2:$A$1441=$A28)*(Data!$B$2:$B$1441=AA$8)*Data!$E$2:$E$1441*((Data!$D$2:$D$1441=$B$3)*$F$3+(Data!$D$2:$D$1441=$B$4)*$F$4+(Data!$D$2:$D$1441=$B$5)*$F$5))</f>
        <v>1</v>
      </c>
      <c r="AB28" s="28" cm="1">
        <f t="array" ref="AB28">SUMPRODUCT((Data!$A$2:$A$1441=$A28)*(Data!$B$2:$B$1441=AB$8)*Data!$E$2:$E$1441*((Data!$D$2:$D$1441=$B$3)*$F$3+(Data!$D$2:$D$1441=$B$4)*$F$4+(Data!$D$2:$D$1441=$B$5)*$F$5))</f>
        <v>9</v>
      </c>
      <c r="AC28" s="28" cm="1">
        <f t="array" ref="AC28">SUMPRODUCT((Data!$A$2:$A$1441=$A28)*(Data!$B$2:$B$1441=AC$8)*Data!$E$2:$E$1441*((Data!$D$2:$D$1441=$B$3)*$F$3+(Data!$D$2:$D$1441=$B$4)*$F$4+(Data!$D$2:$D$1441=$B$5)*$F$5))</f>
        <v>1</v>
      </c>
      <c r="AD28" s="28">
        <f t="shared" si="6"/>
        <v>8</v>
      </c>
      <c r="AE28" s="28">
        <f t="shared" si="7"/>
        <v>1</v>
      </c>
    </row>
    <row r="31" spans="1:31" x14ac:dyDescent="0.3">
      <c r="A31" s="25" t="s">
        <v>498</v>
      </c>
      <c r="B31" s="25" t="s">
        <v>499</v>
      </c>
      <c r="C31" s="25" t="s">
        <v>497</v>
      </c>
    </row>
    <row r="32" spans="1:31" x14ac:dyDescent="0.3">
      <c r="A32" s="24" t="s">
        <v>492</v>
      </c>
      <c r="B32" s="24" t="s">
        <v>493</v>
      </c>
      <c r="C32" s="33">
        <f>CORREL(G9:G28,O9:O28)</f>
        <v>0.97852867857315329</v>
      </c>
    </row>
    <row r="33" spans="1:3" x14ac:dyDescent="0.3">
      <c r="A33" s="24" t="s">
        <v>492</v>
      </c>
      <c r="B33" s="24" t="s">
        <v>495</v>
      </c>
      <c r="C33" s="33">
        <f>CORREL(G9:G28,W9:W28)</f>
        <v>0.99149922720247297</v>
      </c>
    </row>
    <row r="34" spans="1:3" x14ac:dyDescent="0.3">
      <c r="A34" s="24" t="s">
        <v>492</v>
      </c>
      <c r="B34" s="24" t="s">
        <v>496</v>
      </c>
      <c r="C34" s="33">
        <f>CORREL(G9:G28,AE9:AE28)</f>
        <v>0.99496413611163737</v>
      </c>
    </row>
    <row r="35" spans="1:3" x14ac:dyDescent="0.3">
      <c r="A35" s="24" t="s">
        <v>493</v>
      </c>
      <c r="B35" s="24" t="s">
        <v>495</v>
      </c>
      <c r="C35" s="33">
        <f>CORREL(O9:O28,W9:W28)</f>
        <v>0.9577005581055319</v>
      </c>
    </row>
    <row r="36" spans="1:3" x14ac:dyDescent="0.3">
      <c r="A36" s="24" t="s">
        <v>493</v>
      </c>
      <c r="B36" s="24" t="s">
        <v>496</v>
      </c>
      <c r="C36" s="33">
        <f>CORREL(O9:O28,AE9:AE28)</f>
        <v>0.9819014670930194</v>
      </c>
    </row>
    <row r="37" spans="1:3" x14ac:dyDescent="0.3">
      <c r="A37" s="24" t="s">
        <v>495</v>
      </c>
      <c r="B37" s="24" t="s">
        <v>496</v>
      </c>
      <c r="C37" s="33">
        <f>CORREL(W9:W28,AE9:AE28)</f>
        <v>0.98952717361922404</v>
      </c>
    </row>
  </sheetData>
  <mergeCells count="4">
    <mergeCell ref="A7:G7"/>
    <mergeCell ref="I7:O7"/>
    <mergeCell ref="Q7:W7"/>
    <mergeCell ref="Y7:AE7"/>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4B1FA1-B03A-44C0-95B1-9218B630B591}">
  <dimension ref="A1:J121"/>
  <sheetViews>
    <sheetView topLeftCell="A28" workbookViewId="0">
      <selection activeCell="A56" sqref="A56:J56"/>
    </sheetView>
  </sheetViews>
  <sheetFormatPr defaultRowHeight="14.4" x14ac:dyDescent="0.3"/>
  <cols>
    <col min="1" max="1" width="15.33203125" customWidth="1"/>
    <col min="2" max="2" width="12.5546875" customWidth="1"/>
    <col min="3" max="3" width="14.6640625" customWidth="1"/>
    <col min="5" max="5" width="18.6640625" customWidth="1"/>
    <col min="6" max="6" width="10.88671875" bestFit="1" customWidth="1"/>
    <col min="7" max="7" width="12.5546875" customWidth="1"/>
    <col min="8" max="8" width="10.5546875" customWidth="1"/>
    <col min="9" max="9" width="9.88671875" bestFit="1" customWidth="1"/>
    <col min="10" max="10" width="14.21875" customWidth="1"/>
  </cols>
  <sheetData>
    <row r="1" spans="1:10" x14ac:dyDescent="0.3">
      <c r="A1" s="34" t="s">
        <v>500</v>
      </c>
    </row>
    <row r="2" spans="1:10" x14ac:dyDescent="0.3">
      <c r="B2" s="32" t="s">
        <v>494</v>
      </c>
      <c r="C2" s="32" t="s">
        <v>492</v>
      </c>
      <c r="E2" s="32" t="s">
        <v>501</v>
      </c>
      <c r="F2" s="32"/>
    </row>
    <row r="3" spans="1:10" x14ac:dyDescent="0.3">
      <c r="B3" s="31" t="s">
        <v>485</v>
      </c>
      <c r="C3" s="31">
        <v>3</v>
      </c>
      <c r="E3" s="31" t="s">
        <v>502</v>
      </c>
      <c r="F3" s="31">
        <f>42*0.75</f>
        <v>31.5</v>
      </c>
      <c r="G3" s="26"/>
    </row>
    <row r="4" spans="1:10" x14ac:dyDescent="0.3">
      <c r="B4" s="31" t="s">
        <v>486</v>
      </c>
      <c r="C4" s="31">
        <v>2</v>
      </c>
      <c r="E4" s="31" t="s">
        <v>503</v>
      </c>
      <c r="F4" s="31">
        <f>42*0.5</f>
        <v>21</v>
      </c>
    </row>
    <row r="5" spans="1:10" x14ac:dyDescent="0.3">
      <c r="B5" s="31" t="s">
        <v>487</v>
      </c>
      <c r="C5" s="31">
        <v>1</v>
      </c>
      <c r="E5" s="31" t="s">
        <v>504</v>
      </c>
      <c r="F5" s="31">
        <f>42*0.25</f>
        <v>10.5</v>
      </c>
    </row>
    <row r="6" spans="1:10" x14ac:dyDescent="0.3">
      <c r="E6" s="31" t="s">
        <v>505</v>
      </c>
      <c r="F6" s="31">
        <v>10.5</v>
      </c>
    </row>
    <row r="9" spans="1:10" x14ac:dyDescent="0.3">
      <c r="A9" s="25" t="s">
        <v>489</v>
      </c>
      <c r="B9" s="25" t="s">
        <v>21</v>
      </c>
      <c r="C9" s="25" t="s">
        <v>23</v>
      </c>
      <c r="D9" s="25" t="s">
        <v>24</v>
      </c>
      <c r="E9" s="25" t="s">
        <v>25</v>
      </c>
      <c r="F9" s="25" t="s">
        <v>506</v>
      </c>
      <c r="G9" s="25" t="s">
        <v>507</v>
      </c>
      <c r="H9" s="25" t="s">
        <v>508</v>
      </c>
      <c r="I9" s="25" t="s">
        <v>509</v>
      </c>
      <c r="J9" s="25" t="s">
        <v>510</v>
      </c>
    </row>
    <row r="10" spans="1:10" x14ac:dyDescent="0.3">
      <c r="A10" s="24" t="s">
        <v>19</v>
      </c>
      <c r="B10" s="24" cm="1">
        <f t="array" ref="B10">SUMPRODUCT((Data!$A$2:$A$1441=$A10)*(Data!$B$2:$B$1441=B$9)*Data!$E$2:$E$1441*((Data!$D$2:$D$1441=$B$3)*$C$3+(Data!$D$2:$D$1441=$B$4)*$C$4+(Data!$D$2:$D$1441=$B$5)*$C$5))</f>
        <v>3</v>
      </c>
      <c r="C10" s="24" cm="1">
        <f t="array" ref="C10">SUMPRODUCT((Data!$A$2:$A$1441=$A10)*(Data!$B$2:$B$1441=C$9)*Data!$E$2:$E$1441*((Data!$D$2:$D$1441=$B$3)*$C$3+(Data!$D$2:$D$1441=$B$4)*$C$4+(Data!$D$2:$D$1441=$B$5)*$C$5))</f>
        <v>3</v>
      </c>
      <c r="D10" s="24" cm="1">
        <f t="array" ref="D10">SUMPRODUCT((Data!$A$2:$A$1441=$A10)*(Data!$B$2:$B$1441=D$9)*Data!$E$2:$E$1441*((Data!$D$2:$D$1441=$B$3)*$C$3+(Data!$D$2:$D$1441=$B$4)*$C$4+(Data!$D$2:$D$1441=$B$5)*$C$5))</f>
        <v>8</v>
      </c>
      <c r="E10" s="24" cm="1">
        <f t="array" ref="E10">SUMPRODUCT((Data!$A$2:$A$1441=$A10)*(Data!$B$2:$B$1441=E$9)*Data!$E$2:$E$1441*((Data!$D$2:$D$1441=$B$3)*$C$3+(Data!$D$2:$D$1441=$B$4)*$C$4+(Data!$D$2:$D$1441=$B$5)*$C$5))</f>
        <v>3</v>
      </c>
      <c r="F10" s="24" t="str">
        <f>IF(B10&gt;=$F$3,"Critical",IF(B10&gt;=$F$4,"High",IF(B10&gt;=$F$5,"Medium","Low")))</f>
        <v>Low</v>
      </c>
      <c r="G10" s="24" t="str">
        <f t="shared" ref="G10:I25" si="0">IF(C10&gt;=$F$3,"Critical",IF(C10&gt;=$F$4,"High",IF(C10&gt;=$F$5,"Medium","Low")))</f>
        <v>Low</v>
      </c>
      <c r="H10" s="24" t="str">
        <f t="shared" si="0"/>
        <v>Low</v>
      </c>
      <c r="I10" s="24" t="str">
        <f t="shared" si="0"/>
        <v>Low</v>
      </c>
      <c r="J10" s="24">
        <f>IF(AND(F10=G10,G10=H10,H10=I10),0,1)</f>
        <v>0</v>
      </c>
    </row>
    <row r="11" spans="1:10" x14ac:dyDescent="0.3">
      <c r="A11" s="24" t="s">
        <v>26</v>
      </c>
      <c r="B11" s="24" cm="1">
        <f t="array" ref="B11">SUMPRODUCT((Data!$A$2:$A$1441=$A11)*(Data!$B$2:$B$1441=B$9)*Data!$E$2:$E$1441*((Data!$D$2:$D$1441=$B$3)*$C$3+(Data!$D$2:$D$1441=$B$4)*$C$4+(Data!$D$2:$D$1441=$B$5)*$C$5))</f>
        <v>2</v>
      </c>
      <c r="C11" s="24" cm="1">
        <f t="array" ref="C11">SUMPRODUCT((Data!$A$2:$A$1441=$A11)*(Data!$B$2:$B$1441=C$9)*Data!$E$2:$E$1441*((Data!$D$2:$D$1441=$B$3)*$C$3+(Data!$D$2:$D$1441=$B$4)*$C$4+(Data!$D$2:$D$1441=$B$5)*$C$5))</f>
        <v>3</v>
      </c>
      <c r="D11" s="24" cm="1">
        <f t="array" ref="D11">SUMPRODUCT((Data!$A$2:$A$1441=$A11)*(Data!$B$2:$B$1441=D$9)*Data!$E$2:$E$1441*((Data!$D$2:$D$1441=$B$3)*$C$3+(Data!$D$2:$D$1441=$B$4)*$C$4+(Data!$D$2:$D$1441=$B$5)*$C$5))</f>
        <v>5</v>
      </c>
      <c r="E11" s="24" cm="1">
        <f t="array" ref="E11">SUMPRODUCT((Data!$A$2:$A$1441=$A11)*(Data!$B$2:$B$1441=E$9)*Data!$E$2:$E$1441*((Data!$D$2:$D$1441=$B$3)*$C$3+(Data!$D$2:$D$1441=$B$4)*$C$4+(Data!$D$2:$D$1441=$B$5)*$C$5))</f>
        <v>2</v>
      </c>
      <c r="F11" s="24" t="str">
        <f t="shared" ref="F11:F29" si="1">IF(B11&gt;=$F$3,"Critical",IF(B11&gt;=$F$4,"High",IF(B11&gt;=$F$5,"Medium","Low")))</f>
        <v>Low</v>
      </c>
      <c r="G11" s="24" t="str">
        <f t="shared" si="0"/>
        <v>Low</v>
      </c>
      <c r="H11" s="24" t="str">
        <f t="shared" si="0"/>
        <v>Low</v>
      </c>
      <c r="I11" s="24" t="str">
        <f t="shared" si="0"/>
        <v>Low</v>
      </c>
      <c r="J11" s="24">
        <f t="shared" ref="J11:J29" si="2">IF(AND(F11=G11,G11=H11,H11=I11),0,1)</f>
        <v>0</v>
      </c>
    </row>
    <row r="12" spans="1:10" x14ac:dyDescent="0.3">
      <c r="A12" s="24" t="s">
        <v>28</v>
      </c>
      <c r="B12" s="24" cm="1">
        <f t="array" ref="B12">SUMPRODUCT((Data!$A$2:$A$1441=$A12)*(Data!$B$2:$B$1441=B$9)*Data!$E$2:$E$1441*((Data!$D$2:$D$1441=$B$3)*$C$3+(Data!$D$2:$D$1441=$B$4)*$C$4+(Data!$D$2:$D$1441=$B$5)*$C$5))</f>
        <v>5</v>
      </c>
      <c r="C12" s="24" cm="1">
        <f t="array" ref="C12">SUMPRODUCT((Data!$A$2:$A$1441=$A12)*(Data!$B$2:$B$1441=C$9)*Data!$E$2:$E$1441*((Data!$D$2:$D$1441=$B$3)*$C$3+(Data!$D$2:$D$1441=$B$4)*$C$4+(Data!$D$2:$D$1441=$B$5)*$C$5))</f>
        <v>8</v>
      </c>
      <c r="D12" s="24" cm="1">
        <f t="array" ref="D12">SUMPRODUCT((Data!$A$2:$A$1441=$A12)*(Data!$B$2:$B$1441=D$9)*Data!$E$2:$E$1441*((Data!$D$2:$D$1441=$B$3)*$C$3+(Data!$D$2:$D$1441=$B$4)*$C$4+(Data!$D$2:$D$1441=$B$5)*$C$5))</f>
        <v>5</v>
      </c>
      <c r="E12" s="24" cm="1">
        <f t="array" ref="E12">SUMPRODUCT((Data!$A$2:$A$1441=$A12)*(Data!$B$2:$B$1441=E$9)*Data!$E$2:$E$1441*((Data!$D$2:$D$1441=$B$3)*$C$3+(Data!$D$2:$D$1441=$B$4)*$C$4+(Data!$D$2:$D$1441=$B$5)*$C$5))</f>
        <v>0</v>
      </c>
      <c r="F12" s="24" t="str">
        <f t="shared" si="1"/>
        <v>Low</v>
      </c>
      <c r="G12" s="24" t="str">
        <f t="shared" si="0"/>
        <v>Low</v>
      </c>
      <c r="H12" s="24" t="str">
        <f t="shared" si="0"/>
        <v>Low</v>
      </c>
      <c r="I12" s="24" t="str">
        <f t="shared" si="0"/>
        <v>Low</v>
      </c>
      <c r="J12" s="24">
        <f t="shared" si="2"/>
        <v>0</v>
      </c>
    </row>
    <row r="13" spans="1:10" x14ac:dyDescent="0.3">
      <c r="A13" s="24" t="s">
        <v>30</v>
      </c>
      <c r="B13" s="24" cm="1">
        <f t="array" ref="B13">SUMPRODUCT((Data!$A$2:$A$1441=$A13)*(Data!$B$2:$B$1441=B$9)*Data!$E$2:$E$1441*((Data!$D$2:$D$1441=$B$3)*$C$3+(Data!$D$2:$D$1441=$B$4)*$C$4+(Data!$D$2:$D$1441=$B$5)*$C$5))</f>
        <v>4</v>
      </c>
      <c r="C13" s="24" cm="1">
        <f t="array" ref="C13">SUMPRODUCT((Data!$A$2:$A$1441=$A13)*(Data!$B$2:$B$1441=C$9)*Data!$E$2:$E$1441*((Data!$D$2:$D$1441=$B$3)*$C$3+(Data!$D$2:$D$1441=$B$4)*$C$4+(Data!$D$2:$D$1441=$B$5)*$C$5))</f>
        <v>5</v>
      </c>
      <c r="D13" s="24" cm="1">
        <f t="array" ref="D13">SUMPRODUCT((Data!$A$2:$A$1441=$A13)*(Data!$B$2:$B$1441=D$9)*Data!$E$2:$E$1441*((Data!$D$2:$D$1441=$B$3)*$C$3+(Data!$D$2:$D$1441=$B$4)*$C$4+(Data!$D$2:$D$1441=$B$5)*$C$5))</f>
        <v>0</v>
      </c>
      <c r="E13" s="24" cm="1">
        <f t="array" ref="E13">SUMPRODUCT((Data!$A$2:$A$1441=$A13)*(Data!$B$2:$B$1441=E$9)*Data!$E$2:$E$1441*((Data!$D$2:$D$1441=$B$3)*$C$3+(Data!$D$2:$D$1441=$B$4)*$C$4+(Data!$D$2:$D$1441=$B$5)*$C$5))</f>
        <v>2</v>
      </c>
      <c r="F13" s="24" t="str">
        <f t="shared" si="1"/>
        <v>Low</v>
      </c>
      <c r="G13" s="24" t="str">
        <f t="shared" si="0"/>
        <v>Low</v>
      </c>
      <c r="H13" s="24" t="str">
        <f t="shared" si="0"/>
        <v>Low</v>
      </c>
      <c r="I13" s="24" t="str">
        <f t="shared" si="0"/>
        <v>Low</v>
      </c>
      <c r="J13" s="24">
        <f t="shared" si="2"/>
        <v>0</v>
      </c>
    </row>
    <row r="14" spans="1:10" x14ac:dyDescent="0.3">
      <c r="A14" s="24" t="s">
        <v>32</v>
      </c>
      <c r="B14" s="24" cm="1">
        <f t="array" ref="B14">SUMPRODUCT((Data!$A$2:$A$1441=$A14)*(Data!$B$2:$B$1441=B$9)*Data!$E$2:$E$1441*((Data!$D$2:$D$1441=$B$3)*$C$3+(Data!$D$2:$D$1441=$B$4)*$C$4+(Data!$D$2:$D$1441=$B$5)*$C$5))</f>
        <v>5</v>
      </c>
      <c r="C14" s="24" cm="1">
        <f t="array" ref="C14">SUMPRODUCT((Data!$A$2:$A$1441=$A14)*(Data!$B$2:$B$1441=C$9)*Data!$E$2:$E$1441*((Data!$D$2:$D$1441=$B$3)*$C$3+(Data!$D$2:$D$1441=$B$4)*$C$4+(Data!$D$2:$D$1441=$B$5)*$C$5))</f>
        <v>5</v>
      </c>
      <c r="D14" s="24" cm="1">
        <f t="array" ref="D14">SUMPRODUCT((Data!$A$2:$A$1441=$A14)*(Data!$B$2:$B$1441=D$9)*Data!$E$2:$E$1441*((Data!$D$2:$D$1441=$B$3)*$C$3+(Data!$D$2:$D$1441=$B$4)*$C$4+(Data!$D$2:$D$1441=$B$5)*$C$5))</f>
        <v>5</v>
      </c>
      <c r="E14" s="24" cm="1">
        <f t="array" ref="E14">SUMPRODUCT((Data!$A$2:$A$1441=$A14)*(Data!$B$2:$B$1441=E$9)*Data!$E$2:$E$1441*((Data!$D$2:$D$1441=$B$3)*$C$3+(Data!$D$2:$D$1441=$B$4)*$C$4+(Data!$D$2:$D$1441=$B$5)*$C$5))</f>
        <v>2</v>
      </c>
      <c r="F14" s="24" t="str">
        <f t="shared" si="1"/>
        <v>Low</v>
      </c>
      <c r="G14" s="24" t="str">
        <f t="shared" si="0"/>
        <v>Low</v>
      </c>
      <c r="H14" s="24" t="str">
        <f t="shared" si="0"/>
        <v>Low</v>
      </c>
      <c r="I14" s="24" t="str">
        <f t="shared" si="0"/>
        <v>Low</v>
      </c>
      <c r="J14" s="24">
        <f t="shared" si="2"/>
        <v>0</v>
      </c>
    </row>
    <row r="15" spans="1:10" x14ac:dyDescent="0.3">
      <c r="A15" s="24" t="s">
        <v>34</v>
      </c>
      <c r="B15" s="24" cm="1">
        <f t="array" ref="B15">SUMPRODUCT((Data!$A$2:$A$1441=$A15)*(Data!$B$2:$B$1441=B$9)*Data!$E$2:$E$1441*((Data!$D$2:$D$1441=$B$3)*$C$3+(Data!$D$2:$D$1441=$B$4)*$C$4+(Data!$D$2:$D$1441=$B$5)*$C$5))</f>
        <v>3</v>
      </c>
      <c r="C15" s="24" cm="1">
        <f t="array" ref="C15">SUMPRODUCT((Data!$A$2:$A$1441=$A15)*(Data!$B$2:$B$1441=C$9)*Data!$E$2:$E$1441*((Data!$D$2:$D$1441=$B$3)*$C$3+(Data!$D$2:$D$1441=$B$4)*$C$4+(Data!$D$2:$D$1441=$B$5)*$C$5))</f>
        <v>0</v>
      </c>
      <c r="D15" s="24" cm="1">
        <f t="array" ref="D15">SUMPRODUCT((Data!$A$2:$A$1441=$A15)*(Data!$B$2:$B$1441=D$9)*Data!$E$2:$E$1441*((Data!$D$2:$D$1441=$B$3)*$C$3+(Data!$D$2:$D$1441=$B$4)*$C$4+(Data!$D$2:$D$1441=$B$5)*$C$5))</f>
        <v>2</v>
      </c>
      <c r="E15" s="24" cm="1">
        <f t="array" ref="E15">SUMPRODUCT((Data!$A$2:$A$1441=$A15)*(Data!$B$2:$B$1441=E$9)*Data!$E$2:$E$1441*((Data!$D$2:$D$1441=$B$3)*$C$3+(Data!$D$2:$D$1441=$B$4)*$C$4+(Data!$D$2:$D$1441=$B$5)*$C$5))</f>
        <v>2</v>
      </c>
      <c r="F15" s="24" t="str">
        <f t="shared" si="1"/>
        <v>Low</v>
      </c>
      <c r="G15" s="24" t="str">
        <f t="shared" si="0"/>
        <v>Low</v>
      </c>
      <c r="H15" s="24" t="str">
        <f t="shared" si="0"/>
        <v>Low</v>
      </c>
      <c r="I15" s="24" t="str">
        <f t="shared" si="0"/>
        <v>Low</v>
      </c>
      <c r="J15" s="24">
        <f t="shared" si="2"/>
        <v>0</v>
      </c>
    </row>
    <row r="16" spans="1:10" x14ac:dyDescent="0.3">
      <c r="A16" s="24" t="s">
        <v>36</v>
      </c>
      <c r="B16" s="24" cm="1">
        <f t="array" ref="B16">SUMPRODUCT((Data!$A$2:$A$1441=$A16)*(Data!$B$2:$B$1441=B$9)*Data!$E$2:$E$1441*((Data!$D$2:$D$1441=$B$3)*$C$3+(Data!$D$2:$D$1441=$B$4)*$C$4+(Data!$D$2:$D$1441=$B$5)*$C$5))</f>
        <v>5</v>
      </c>
      <c r="C16" s="24" cm="1">
        <f t="array" ref="C16">SUMPRODUCT((Data!$A$2:$A$1441=$A16)*(Data!$B$2:$B$1441=C$9)*Data!$E$2:$E$1441*((Data!$D$2:$D$1441=$B$3)*$C$3+(Data!$D$2:$D$1441=$B$4)*$C$4+(Data!$D$2:$D$1441=$B$5)*$C$5))</f>
        <v>3</v>
      </c>
      <c r="D16" s="24" cm="1">
        <f t="array" ref="D16">SUMPRODUCT((Data!$A$2:$A$1441=$A16)*(Data!$B$2:$B$1441=D$9)*Data!$E$2:$E$1441*((Data!$D$2:$D$1441=$B$3)*$C$3+(Data!$D$2:$D$1441=$B$4)*$C$4+(Data!$D$2:$D$1441=$B$5)*$C$5))</f>
        <v>5</v>
      </c>
      <c r="E16" s="24" cm="1">
        <f t="array" ref="E16">SUMPRODUCT((Data!$A$2:$A$1441=$A16)*(Data!$B$2:$B$1441=E$9)*Data!$E$2:$E$1441*((Data!$D$2:$D$1441=$B$3)*$C$3+(Data!$D$2:$D$1441=$B$4)*$C$4+(Data!$D$2:$D$1441=$B$5)*$C$5))</f>
        <v>2</v>
      </c>
      <c r="F16" s="24" t="str">
        <f t="shared" si="1"/>
        <v>Low</v>
      </c>
      <c r="G16" s="24" t="str">
        <f t="shared" si="0"/>
        <v>Low</v>
      </c>
      <c r="H16" s="24" t="str">
        <f t="shared" si="0"/>
        <v>Low</v>
      </c>
      <c r="I16" s="24" t="str">
        <f t="shared" si="0"/>
        <v>Low</v>
      </c>
      <c r="J16" s="24">
        <f t="shared" si="2"/>
        <v>0</v>
      </c>
    </row>
    <row r="17" spans="1:10" x14ac:dyDescent="0.3">
      <c r="A17" s="24" t="s">
        <v>38</v>
      </c>
      <c r="B17" s="24" cm="1">
        <f t="array" ref="B17">SUMPRODUCT((Data!$A$2:$A$1441=$A17)*(Data!$B$2:$B$1441=B$9)*Data!$E$2:$E$1441*((Data!$D$2:$D$1441=$B$3)*$C$3+(Data!$D$2:$D$1441=$B$4)*$C$4+(Data!$D$2:$D$1441=$B$5)*$C$5))</f>
        <v>5</v>
      </c>
      <c r="C17" s="24" cm="1">
        <f t="array" ref="C17">SUMPRODUCT((Data!$A$2:$A$1441=$A17)*(Data!$B$2:$B$1441=C$9)*Data!$E$2:$E$1441*((Data!$D$2:$D$1441=$B$3)*$C$3+(Data!$D$2:$D$1441=$B$4)*$C$4+(Data!$D$2:$D$1441=$B$5)*$C$5))</f>
        <v>7</v>
      </c>
      <c r="D17" s="24" cm="1">
        <f t="array" ref="D17">SUMPRODUCT((Data!$A$2:$A$1441=$A17)*(Data!$B$2:$B$1441=D$9)*Data!$E$2:$E$1441*((Data!$D$2:$D$1441=$B$3)*$C$3+(Data!$D$2:$D$1441=$B$4)*$C$4+(Data!$D$2:$D$1441=$B$5)*$C$5))</f>
        <v>5</v>
      </c>
      <c r="E17" s="24" cm="1">
        <f t="array" ref="E17">SUMPRODUCT((Data!$A$2:$A$1441=$A17)*(Data!$B$2:$B$1441=E$9)*Data!$E$2:$E$1441*((Data!$D$2:$D$1441=$B$3)*$C$3+(Data!$D$2:$D$1441=$B$4)*$C$4+(Data!$D$2:$D$1441=$B$5)*$C$5))</f>
        <v>2</v>
      </c>
      <c r="F17" s="24" t="str">
        <f t="shared" si="1"/>
        <v>Low</v>
      </c>
      <c r="G17" s="24" t="str">
        <f t="shared" si="0"/>
        <v>Low</v>
      </c>
      <c r="H17" s="24" t="str">
        <f t="shared" si="0"/>
        <v>Low</v>
      </c>
      <c r="I17" s="24" t="str">
        <f t="shared" si="0"/>
        <v>Low</v>
      </c>
      <c r="J17" s="24">
        <f t="shared" si="2"/>
        <v>0</v>
      </c>
    </row>
    <row r="18" spans="1:10" x14ac:dyDescent="0.3">
      <c r="A18" s="24" t="s">
        <v>40</v>
      </c>
      <c r="B18" s="24" cm="1">
        <f t="array" ref="B18">SUMPRODUCT((Data!$A$2:$A$1441=$A18)*(Data!$B$2:$B$1441=B$9)*Data!$E$2:$E$1441*((Data!$D$2:$D$1441=$B$3)*$C$3+(Data!$D$2:$D$1441=$B$4)*$C$4+(Data!$D$2:$D$1441=$B$5)*$C$5))</f>
        <v>5</v>
      </c>
      <c r="C18" s="24" cm="1">
        <f t="array" ref="C18">SUMPRODUCT((Data!$A$2:$A$1441=$A18)*(Data!$B$2:$B$1441=C$9)*Data!$E$2:$E$1441*((Data!$D$2:$D$1441=$B$3)*$C$3+(Data!$D$2:$D$1441=$B$4)*$C$4+(Data!$D$2:$D$1441=$B$5)*$C$5))</f>
        <v>13</v>
      </c>
      <c r="D18" s="24" cm="1">
        <f t="array" ref="D18">SUMPRODUCT((Data!$A$2:$A$1441=$A18)*(Data!$B$2:$B$1441=D$9)*Data!$E$2:$E$1441*((Data!$D$2:$D$1441=$B$3)*$C$3+(Data!$D$2:$D$1441=$B$4)*$C$4+(Data!$D$2:$D$1441=$B$5)*$C$5))</f>
        <v>11</v>
      </c>
      <c r="E18" s="24" cm="1">
        <f t="array" ref="E18">SUMPRODUCT((Data!$A$2:$A$1441=$A18)*(Data!$B$2:$B$1441=E$9)*Data!$E$2:$E$1441*((Data!$D$2:$D$1441=$B$3)*$C$3+(Data!$D$2:$D$1441=$B$4)*$C$4+(Data!$D$2:$D$1441=$B$5)*$C$5))</f>
        <v>2</v>
      </c>
      <c r="F18" s="24" t="str">
        <f t="shared" si="1"/>
        <v>Low</v>
      </c>
      <c r="G18" s="24" t="str">
        <f t="shared" si="0"/>
        <v>Medium</v>
      </c>
      <c r="H18" s="24" t="str">
        <f t="shared" si="0"/>
        <v>Medium</v>
      </c>
      <c r="I18" s="24" t="str">
        <f t="shared" si="0"/>
        <v>Low</v>
      </c>
      <c r="J18" s="24">
        <f t="shared" si="2"/>
        <v>1</v>
      </c>
    </row>
    <row r="19" spans="1:10" x14ac:dyDescent="0.3">
      <c r="A19" s="24" t="s">
        <v>43</v>
      </c>
      <c r="B19" s="24" cm="1">
        <f t="array" ref="B19">SUMPRODUCT((Data!$A$2:$A$1441=$A19)*(Data!$B$2:$B$1441=B$9)*Data!$E$2:$E$1441*((Data!$D$2:$D$1441=$B$3)*$C$3+(Data!$D$2:$D$1441=$B$4)*$C$4+(Data!$D$2:$D$1441=$B$5)*$C$5))</f>
        <v>8</v>
      </c>
      <c r="C19" s="24" cm="1">
        <f t="array" ref="C19">SUMPRODUCT((Data!$A$2:$A$1441=$A19)*(Data!$B$2:$B$1441=C$9)*Data!$E$2:$E$1441*((Data!$D$2:$D$1441=$B$3)*$C$3+(Data!$D$2:$D$1441=$B$4)*$C$4+(Data!$D$2:$D$1441=$B$5)*$C$5))</f>
        <v>5</v>
      </c>
      <c r="D19" s="24" cm="1">
        <f t="array" ref="D19">SUMPRODUCT((Data!$A$2:$A$1441=$A19)*(Data!$B$2:$B$1441=D$9)*Data!$E$2:$E$1441*((Data!$D$2:$D$1441=$B$3)*$C$3+(Data!$D$2:$D$1441=$B$4)*$C$4+(Data!$D$2:$D$1441=$B$5)*$C$5))</f>
        <v>13</v>
      </c>
      <c r="E19" s="24" cm="1">
        <f t="array" ref="E19">SUMPRODUCT((Data!$A$2:$A$1441=$A19)*(Data!$B$2:$B$1441=E$9)*Data!$E$2:$E$1441*((Data!$D$2:$D$1441=$B$3)*$C$3+(Data!$D$2:$D$1441=$B$4)*$C$4+(Data!$D$2:$D$1441=$B$5)*$C$5))</f>
        <v>2</v>
      </c>
      <c r="F19" s="24" t="str">
        <f t="shared" si="1"/>
        <v>Low</v>
      </c>
      <c r="G19" s="24" t="str">
        <f t="shared" si="0"/>
        <v>Low</v>
      </c>
      <c r="H19" s="24" t="str">
        <f t="shared" si="0"/>
        <v>Medium</v>
      </c>
      <c r="I19" s="24" t="str">
        <f t="shared" si="0"/>
        <v>Low</v>
      </c>
      <c r="J19" s="24">
        <f t="shared" si="2"/>
        <v>1</v>
      </c>
    </row>
    <row r="20" spans="1:10" x14ac:dyDescent="0.3">
      <c r="A20" s="24" t="s">
        <v>45</v>
      </c>
      <c r="B20" s="24" cm="1">
        <f t="array" ref="B20">SUMPRODUCT((Data!$A$2:$A$1441=$A20)*(Data!$B$2:$B$1441=B$9)*Data!$E$2:$E$1441*((Data!$D$2:$D$1441=$B$3)*$C$3+(Data!$D$2:$D$1441=$B$4)*$C$4+(Data!$D$2:$D$1441=$B$5)*$C$5))</f>
        <v>2</v>
      </c>
      <c r="C20" s="24" cm="1">
        <f t="array" ref="C20">SUMPRODUCT((Data!$A$2:$A$1441=$A20)*(Data!$B$2:$B$1441=C$9)*Data!$E$2:$E$1441*((Data!$D$2:$D$1441=$B$3)*$C$3+(Data!$D$2:$D$1441=$B$4)*$C$4+(Data!$D$2:$D$1441=$B$5)*$C$5))</f>
        <v>2</v>
      </c>
      <c r="D20" s="24" cm="1">
        <f t="array" ref="D20">SUMPRODUCT((Data!$A$2:$A$1441=$A20)*(Data!$B$2:$B$1441=D$9)*Data!$E$2:$E$1441*((Data!$D$2:$D$1441=$B$3)*$C$3+(Data!$D$2:$D$1441=$B$4)*$C$4+(Data!$D$2:$D$1441=$B$5)*$C$5))</f>
        <v>2</v>
      </c>
      <c r="E20" s="24" cm="1">
        <f t="array" ref="E20">SUMPRODUCT((Data!$A$2:$A$1441=$A20)*(Data!$B$2:$B$1441=E$9)*Data!$E$2:$E$1441*((Data!$D$2:$D$1441=$B$3)*$C$3+(Data!$D$2:$D$1441=$B$4)*$C$4+(Data!$D$2:$D$1441=$B$5)*$C$5))</f>
        <v>2</v>
      </c>
      <c r="F20" s="24" t="str">
        <f t="shared" si="1"/>
        <v>Low</v>
      </c>
      <c r="G20" s="24" t="str">
        <f t="shared" si="0"/>
        <v>Low</v>
      </c>
      <c r="H20" s="24" t="str">
        <f t="shared" si="0"/>
        <v>Low</v>
      </c>
      <c r="I20" s="24" t="str">
        <f t="shared" si="0"/>
        <v>Low</v>
      </c>
      <c r="J20" s="24">
        <f t="shared" si="2"/>
        <v>0</v>
      </c>
    </row>
    <row r="21" spans="1:10" x14ac:dyDescent="0.3">
      <c r="A21" s="24" t="s">
        <v>47</v>
      </c>
      <c r="B21" s="24" cm="1">
        <f t="array" ref="B21">SUMPRODUCT((Data!$A$2:$A$1441=$A21)*(Data!$B$2:$B$1441=B$9)*Data!$E$2:$E$1441*((Data!$D$2:$D$1441=$B$3)*$C$3+(Data!$D$2:$D$1441=$B$4)*$C$4+(Data!$D$2:$D$1441=$B$5)*$C$5))</f>
        <v>8</v>
      </c>
      <c r="C21" s="24" cm="1">
        <f t="array" ref="C21">SUMPRODUCT((Data!$A$2:$A$1441=$A21)*(Data!$B$2:$B$1441=C$9)*Data!$E$2:$E$1441*((Data!$D$2:$D$1441=$B$3)*$C$3+(Data!$D$2:$D$1441=$B$4)*$C$4+(Data!$D$2:$D$1441=$B$5)*$C$5))</f>
        <v>5</v>
      </c>
      <c r="D21" s="24" cm="1">
        <f t="array" ref="D21">SUMPRODUCT((Data!$A$2:$A$1441=$A21)*(Data!$B$2:$B$1441=D$9)*Data!$E$2:$E$1441*((Data!$D$2:$D$1441=$B$3)*$C$3+(Data!$D$2:$D$1441=$B$4)*$C$4+(Data!$D$2:$D$1441=$B$5)*$C$5))</f>
        <v>5</v>
      </c>
      <c r="E21" s="24" cm="1">
        <f t="array" ref="E21">SUMPRODUCT((Data!$A$2:$A$1441=$A21)*(Data!$B$2:$B$1441=E$9)*Data!$E$2:$E$1441*((Data!$D$2:$D$1441=$B$3)*$C$3+(Data!$D$2:$D$1441=$B$4)*$C$4+(Data!$D$2:$D$1441=$B$5)*$C$5))</f>
        <v>2</v>
      </c>
      <c r="F21" s="24" t="str">
        <f t="shared" si="1"/>
        <v>Low</v>
      </c>
      <c r="G21" s="24" t="str">
        <f t="shared" si="0"/>
        <v>Low</v>
      </c>
      <c r="H21" s="24" t="str">
        <f t="shared" si="0"/>
        <v>Low</v>
      </c>
      <c r="I21" s="24" t="str">
        <f t="shared" si="0"/>
        <v>Low</v>
      </c>
      <c r="J21" s="24">
        <f t="shared" si="2"/>
        <v>0</v>
      </c>
    </row>
    <row r="22" spans="1:10" x14ac:dyDescent="0.3">
      <c r="A22" s="24" t="s">
        <v>49</v>
      </c>
      <c r="B22" s="24" cm="1">
        <f t="array" ref="B22">SUMPRODUCT((Data!$A$2:$A$1441=$A22)*(Data!$B$2:$B$1441=B$9)*Data!$E$2:$E$1441*((Data!$D$2:$D$1441=$B$3)*$C$3+(Data!$D$2:$D$1441=$B$4)*$C$4+(Data!$D$2:$D$1441=$B$5)*$C$5))</f>
        <v>6</v>
      </c>
      <c r="C22" s="24" cm="1">
        <f t="array" ref="C22">SUMPRODUCT((Data!$A$2:$A$1441=$A22)*(Data!$B$2:$B$1441=C$9)*Data!$E$2:$E$1441*((Data!$D$2:$D$1441=$B$3)*$C$3+(Data!$D$2:$D$1441=$B$4)*$C$4+(Data!$D$2:$D$1441=$B$5)*$C$5))</f>
        <v>3</v>
      </c>
      <c r="D22" s="24" cm="1">
        <f t="array" ref="D22">SUMPRODUCT((Data!$A$2:$A$1441=$A22)*(Data!$B$2:$B$1441=D$9)*Data!$E$2:$E$1441*((Data!$D$2:$D$1441=$B$3)*$C$3+(Data!$D$2:$D$1441=$B$4)*$C$4+(Data!$D$2:$D$1441=$B$5)*$C$5))</f>
        <v>6</v>
      </c>
      <c r="E22" s="24" cm="1">
        <f t="array" ref="E22">SUMPRODUCT((Data!$A$2:$A$1441=$A22)*(Data!$B$2:$B$1441=E$9)*Data!$E$2:$E$1441*((Data!$D$2:$D$1441=$B$3)*$C$3+(Data!$D$2:$D$1441=$B$4)*$C$4+(Data!$D$2:$D$1441=$B$5)*$C$5))</f>
        <v>2</v>
      </c>
      <c r="F22" s="24" t="str">
        <f t="shared" si="1"/>
        <v>Low</v>
      </c>
      <c r="G22" s="24" t="str">
        <f t="shared" si="0"/>
        <v>Low</v>
      </c>
      <c r="H22" s="24" t="str">
        <f t="shared" si="0"/>
        <v>Low</v>
      </c>
      <c r="I22" s="24" t="str">
        <f t="shared" si="0"/>
        <v>Low</v>
      </c>
      <c r="J22" s="24">
        <f t="shared" si="2"/>
        <v>0</v>
      </c>
    </row>
    <row r="23" spans="1:10" x14ac:dyDescent="0.3">
      <c r="A23" s="24" t="s">
        <v>51</v>
      </c>
      <c r="B23" s="24" cm="1">
        <f t="array" ref="B23">SUMPRODUCT((Data!$A$2:$A$1441=$A23)*(Data!$B$2:$B$1441=B$9)*Data!$E$2:$E$1441*((Data!$D$2:$D$1441=$B$3)*$C$3+(Data!$D$2:$D$1441=$B$4)*$C$4+(Data!$D$2:$D$1441=$B$5)*$C$5))</f>
        <v>5</v>
      </c>
      <c r="C23" s="24" cm="1">
        <f t="array" ref="C23">SUMPRODUCT((Data!$A$2:$A$1441=$A23)*(Data!$B$2:$B$1441=C$9)*Data!$E$2:$E$1441*((Data!$D$2:$D$1441=$B$3)*$C$3+(Data!$D$2:$D$1441=$B$4)*$C$4+(Data!$D$2:$D$1441=$B$5)*$C$5))</f>
        <v>13</v>
      </c>
      <c r="D23" s="24" cm="1">
        <f t="array" ref="D23">SUMPRODUCT((Data!$A$2:$A$1441=$A23)*(Data!$B$2:$B$1441=D$9)*Data!$E$2:$E$1441*((Data!$D$2:$D$1441=$B$3)*$C$3+(Data!$D$2:$D$1441=$B$4)*$C$4+(Data!$D$2:$D$1441=$B$5)*$C$5))</f>
        <v>5</v>
      </c>
      <c r="E23" s="24" cm="1">
        <f t="array" ref="E23">SUMPRODUCT((Data!$A$2:$A$1441=$A23)*(Data!$B$2:$B$1441=E$9)*Data!$E$2:$E$1441*((Data!$D$2:$D$1441=$B$3)*$C$3+(Data!$D$2:$D$1441=$B$4)*$C$4+(Data!$D$2:$D$1441=$B$5)*$C$5))</f>
        <v>2</v>
      </c>
      <c r="F23" s="24" t="str">
        <f t="shared" si="1"/>
        <v>Low</v>
      </c>
      <c r="G23" s="24" t="str">
        <f t="shared" si="0"/>
        <v>Medium</v>
      </c>
      <c r="H23" s="24" t="str">
        <f t="shared" si="0"/>
        <v>Low</v>
      </c>
      <c r="I23" s="24" t="str">
        <f t="shared" si="0"/>
        <v>Low</v>
      </c>
      <c r="J23" s="24">
        <f t="shared" si="2"/>
        <v>1</v>
      </c>
    </row>
    <row r="24" spans="1:10" x14ac:dyDescent="0.3">
      <c r="A24" s="24" t="s">
        <v>53</v>
      </c>
      <c r="B24" s="24" cm="1">
        <f t="array" ref="B24">SUMPRODUCT((Data!$A$2:$A$1441=$A24)*(Data!$B$2:$B$1441=B$9)*Data!$E$2:$E$1441*((Data!$D$2:$D$1441=$B$3)*$C$3+(Data!$D$2:$D$1441=$B$4)*$C$4+(Data!$D$2:$D$1441=$B$5)*$C$5))</f>
        <v>3</v>
      </c>
      <c r="C24" s="24" cm="1">
        <f t="array" ref="C24">SUMPRODUCT((Data!$A$2:$A$1441=$A24)*(Data!$B$2:$B$1441=C$9)*Data!$E$2:$E$1441*((Data!$D$2:$D$1441=$B$3)*$C$3+(Data!$D$2:$D$1441=$B$4)*$C$4+(Data!$D$2:$D$1441=$B$5)*$C$5))</f>
        <v>8</v>
      </c>
      <c r="D24" s="24" cm="1">
        <f t="array" ref="D24">SUMPRODUCT((Data!$A$2:$A$1441=$A24)*(Data!$B$2:$B$1441=D$9)*Data!$E$2:$E$1441*((Data!$D$2:$D$1441=$B$3)*$C$3+(Data!$D$2:$D$1441=$B$4)*$C$4+(Data!$D$2:$D$1441=$B$5)*$C$5))</f>
        <v>8</v>
      </c>
      <c r="E24" s="24" cm="1">
        <f t="array" ref="E24">SUMPRODUCT((Data!$A$2:$A$1441=$A24)*(Data!$B$2:$B$1441=E$9)*Data!$E$2:$E$1441*((Data!$D$2:$D$1441=$B$3)*$C$3+(Data!$D$2:$D$1441=$B$4)*$C$4+(Data!$D$2:$D$1441=$B$5)*$C$5))</f>
        <v>2</v>
      </c>
      <c r="F24" s="24" t="str">
        <f t="shared" si="1"/>
        <v>Low</v>
      </c>
      <c r="G24" s="24" t="str">
        <f t="shared" si="0"/>
        <v>Low</v>
      </c>
      <c r="H24" s="24" t="str">
        <f t="shared" si="0"/>
        <v>Low</v>
      </c>
      <c r="I24" s="24" t="str">
        <f t="shared" si="0"/>
        <v>Low</v>
      </c>
      <c r="J24" s="24">
        <f t="shared" si="2"/>
        <v>0</v>
      </c>
    </row>
    <row r="25" spans="1:10" x14ac:dyDescent="0.3">
      <c r="A25" s="24" t="s">
        <v>55</v>
      </c>
      <c r="B25" s="24" cm="1">
        <f t="array" ref="B25">SUMPRODUCT((Data!$A$2:$A$1441=$A25)*(Data!$B$2:$B$1441=B$9)*Data!$E$2:$E$1441*((Data!$D$2:$D$1441=$B$3)*$C$3+(Data!$D$2:$D$1441=$B$4)*$C$4+(Data!$D$2:$D$1441=$B$5)*$C$5))</f>
        <v>6</v>
      </c>
      <c r="C25" s="24" cm="1">
        <f t="array" ref="C25">SUMPRODUCT((Data!$A$2:$A$1441=$A25)*(Data!$B$2:$B$1441=C$9)*Data!$E$2:$E$1441*((Data!$D$2:$D$1441=$B$3)*$C$3+(Data!$D$2:$D$1441=$B$4)*$C$4+(Data!$D$2:$D$1441=$B$5)*$C$5))</f>
        <v>2</v>
      </c>
      <c r="D25" s="24" cm="1">
        <f t="array" ref="D25">SUMPRODUCT((Data!$A$2:$A$1441=$A25)*(Data!$B$2:$B$1441=D$9)*Data!$E$2:$E$1441*((Data!$D$2:$D$1441=$B$3)*$C$3+(Data!$D$2:$D$1441=$B$4)*$C$4+(Data!$D$2:$D$1441=$B$5)*$C$5))</f>
        <v>10</v>
      </c>
      <c r="E25" s="24" cm="1">
        <f t="array" ref="E25">SUMPRODUCT((Data!$A$2:$A$1441=$A25)*(Data!$B$2:$B$1441=E$9)*Data!$E$2:$E$1441*((Data!$D$2:$D$1441=$B$3)*$C$3+(Data!$D$2:$D$1441=$B$4)*$C$4+(Data!$D$2:$D$1441=$B$5)*$C$5))</f>
        <v>2</v>
      </c>
      <c r="F25" s="24" t="str">
        <f t="shared" si="1"/>
        <v>Low</v>
      </c>
      <c r="G25" s="24" t="str">
        <f t="shared" si="0"/>
        <v>Low</v>
      </c>
      <c r="H25" s="24" t="str">
        <f t="shared" si="0"/>
        <v>Low</v>
      </c>
      <c r="I25" s="24" t="str">
        <f t="shared" si="0"/>
        <v>Low</v>
      </c>
      <c r="J25" s="24">
        <f t="shared" si="2"/>
        <v>0</v>
      </c>
    </row>
    <row r="26" spans="1:10" x14ac:dyDescent="0.3">
      <c r="A26" s="24" t="s">
        <v>57</v>
      </c>
      <c r="B26" s="24" cm="1">
        <f t="array" ref="B26">SUMPRODUCT((Data!$A$2:$A$1441=$A26)*(Data!$B$2:$B$1441=B$9)*Data!$E$2:$E$1441*((Data!$D$2:$D$1441=$B$3)*$C$3+(Data!$D$2:$D$1441=$B$4)*$C$4+(Data!$D$2:$D$1441=$B$5)*$C$5))</f>
        <v>3</v>
      </c>
      <c r="C26" s="24" cm="1">
        <f t="array" ref="C26">SUMPRODUCT((Data!$A$2:$A$1441=$A26)*(Data!$B$2:$B$1441=C$9)*Data!$E$2:$E$1441*((Data!$D$2:$D$1441=$B$3)*$C$3+(Data!$D$2:$D$1441=$B$4)*$C$4+(Data!$D$2:$D$1441=$B$5)*$C$5))</f>
        <v>3</v>
      </c>
      <c r="D26" s="24" cm="1">
        <f t="array" ref="D26">SUMPRODUCT((Data!$A$2:$A$1441=$A26)*(Data!$B$2:$B$1441=D$9)*Data!$E$2:$E$1441*((Data!$D$2:$D$1441=$B$3)*$C$3+(Data!$D$2:$D$1441=$B$4)*$C$4+(Data!$D$2:$D$1441=$B$5)*$C$5))</f>
        <v>7</v>
      </c>
      <c r="E26" s="24" cm="1">
        <f t="array" ref="E26">SUMPRODUCT((Data!$A$2:$A$1441=$A26)*(Data!$B$2:$B$1441=E$9)*Data!$E$2:$E$1441*((Data!$D$2:$D$1441=$B$3)*$C$3+(Data!$D$2:$D$1441=$B$4)*$C$4+(Data!$D$2:$D$1441=$B$5)*$C$5))</f>
        <v>2</v>
      </c>
      <c r="F26" s="24" t="str">
        <f t="shared" si="1"/>
        <v>Low</v>
      </c>
      <c r="G26" s="24" t="str">
        <f t="shared" ref="G26:G29" si="3">IF(C26&gt;=$F$3,"Critical",IF(C26&gt;=$F$4,"High",IF(C26&gt;=$F$5,"Medium","Low")))</f>
        <v>Low</v>
      </c>
      <c r="H26" s="24" t="str">
        <f t="shared" ref="H26:H29" si="4">IF(D26&gt;=$F$3,"Critical",IF(D26&gt;=$F$4,"High",IF(D26&gt;=$F$5,"Medium","Low")))</f>
        <v>Low</v>
      </c>
      <c r="I26" s="24" t="str">
        <f t="shared" ref="I26:I29" si="5">IF(E26&gt;=$F$3,"Critical",IF(E26&gt;=$F$4,"High",IF(E26&gt;=$F$5,"Medium","Low")))</f>
        <v>Low</v>
      </c>
      <c r="J26" s="24">
        <f t="shared" si="2"/>
        <v>0</v>
      </c>
    </row>
    <row r="27" spans="1:10" x14ac:dyDescent="0.3">
      <c r="A27" s="24" t="s">
        <v>59</v>
      </c>
      <c r="B27" s="24" cm="1">
        <f t="array" ref="B27">SUMPRODUCT((Data!$A$2:$A$1441=$A27)*(Data!$B$2:$B$1441=B$9)*Data!$E$2:$E$1441*((Data!$D$2:$D$1441=$B$3)*$C$3+(Data!$D$2:$D$1441=$B$4)*$C$4+(Data!$D$2:$D$1441=$B$5)*$C$5))</f>
        <v>5</v>
      </c>
      <c r="C27" s="24" cm="1">
        <f t="array" ref="C27">SUMPRODUCT((Data!$A$2:$A$1441=$A27)*(Data!$B$2:$B$1441=C$9)*Data!$E$2:$E$1441*((Data!$D$2:$D$1441=$B$3)*$C$3+(Data!$D$2:$D$1441=$B$4)*$C$4+(Data!$D$2:$D$1441=$B$5)*$C$5))</f>
        <v>3</v>
      </c>
      <c r="D27" s="24" cm="1">
        <f t="array" ref="D27">SUMPRODUCT((Data!$A$2:$A$1441=$A27)*(Data!$B$2:$B$1441=D$9)*Data!$E$2:$E$1441*((Data!$D$2:$D$1441=$B$3)*$C$3+(Data!$D$2:$D$1441=$B$4)*$C$4+(Data!$D$2:$D$1441=$B$5)*$C$5))</f>
        <v>2</v>
      </c>
      <c r="E27" s="24" cm="1">
        <f t="array" ref="E27">SUMPRODUCT((Data!$A$2:$A$1441=$A27)*(Data!$B$2:$B$1441=E$9)*Data!$E$2:$E$1441*((Data!$D$2:$D$1441=$B$3)*$C$3+(Data!$D$2:$D$1441=$B$4)*$C$4+(Data!$D$2:$D$1441=$B$5)*$C$5))</f>
        <v>2</v>
      </c>
      <c r="F27" s="24" t="str">
        <f t="shared" si="1"/>
        <v>Low</v>
      </c>
      <c r="G27" s="24" t="str">
        <f t="shared" si="3"/>
        <v>Low</v>
      </c>
      <c r="H27" s="24" t="str">
        <f t="shared" si="4"/>
        <v>Low</v>
      </c>
      <c r="I27" s="24" t="str">
        <f t="shared" si="5"/>
        <v>Low</v>
      </c>
      <c r="J27" s="24">
        <f t="shared" si="2"/>
        <v>0</v>
      </c>
    </row>
    <row r="28" spans="1:10" x14ac:dyDescent="0.3">
      <c r="A28" s="24" t="s">
        <v>61</v>
      </c>
      <c r="B28" s="24" cm="1">
        <f t="array" ref="B28">SUMPRODUCT((Data!$A$2:$A$1441=$A28)*(Data!$B$2:$B$1441=B$9)*Data!$E$2:$E$1441*((Data!$D$2:$D$1441=$B$3)*$C$3+(Data!$D$2:$D$1441=$B$4)*$C$4+(Data!$D$2:$D$1441=$B$5)*$C$5))</f>
        <v>3</v>
      </c>
      <c r="C28" s="24" cm="1">
        <f t="array" ref="C28">SUMPRODUCT((Data!$A$2:$A$1441=$A28)*(Data!$B$2:$B$1441=C$9)*Data!$E$2:$E$1441*((Data!$D$2:$D$1441=$B$3)*$C$3+(Data!$D$2:$D$1441=$B$4)*$C$4+(Data!$D$2:$D$1441=$B$5)*$C$5))</f>
        <v>5</v>
      </c>
      <c r="D28" s="24" cm="1">
        <f t="array" ref="D28">SUMPRODUCT((Data!$A$2:$A$1441=$A28)*(Data!$B$2:$B$1441=D$9)*Data!$E$2:$E$1441*((Data!$D$2:$D$1441=$B$3)*$C$3+(Data!$D$2:$D$1441=$B$4)*$C$4+(Data!$D$2:$D$1441=$B$5)*$C$5))</f>
        <v>9</v>
      </c>
      <c r="E28" s="24" cm="1">
        <f t="array" ref="E28">SUMPRODUCT((Data!$A$2:$A$1441=$A28)*(Data!$B$2:$B$1441=E$9)*Data!$E$2:$E$1441*((Data!$D$2:$D$1441=$B$3)*$C$3+(Data!$D$2:$D$1441=$B$4)*$C$4+(Data!$D$2:$D$1441=$B$5)*$C$5))</f>
        <v>2</v>
      </c>
      <c r="F28" s="24" t="str">
        <f t="shared" si="1"/>
        <v>Low</v>
      </c>
      <c r="G28" s="24" t="str">
        <f t="shared" si="3"/>
        <v>Low</v>
      </c>
      <c r="H28" s="24" t="str">
        <f t="shared" si="4"/>
        <v>Low</v>
      </c>
      <c r="I28" s="24" t="str">
        <f t="shared" si="5"/>
        <v>Low</v>
      </c>
      <c r="J28" s="24">
        <f t="shared" si="2"/>
        <v>0</v>
      </c>
    </row>
    <row r="29" spans="1:10" x14ac:dyDescent="0.3">
      <c r="A29" s="24" t="s">
        <v>63</v>
      </c>
      <c r="B29" s="24" cm="1">
        <f t="array" ref="B29">SUMPRODUCT((Data!$A$2:$A$1441=$A29)*(Data!$B$2:$B$1441=B$9)*Data!$E$2:$E$1441*((Data!$D$2:$D$1441=$B$3)*$C$3+(Data!$D$2:$D$1441=$B$4)*$C$4+(Data!$D$2:$D$1441=$B$5)*$C$5))</f>
        <v>3</v>
      </c>
      <c r="C29" s="24" cm="1">
        <f t="array" ref="C29">SUMPRODUCT((Data!$A$2:$A$1441=$A29)*(Data!$B$2:$B$1441=C$9)*Data!$E$2:$E$1441*((Data!$D$2:$D$1441=$B$3)*$C$3+(Data!$D$2:$D$1441=$B$4)*$C$4+(Data!$D$2:$D$1441=$B$5)*$C$5))</f>
        <v>2</v>
      </c>
      <c r="D29" s="24" cm="1">
        <f t="array" ref="D29">SUMPRODUCT((Data!$A$2:$A$1441=$A29)*(Data!$B$2:$B$1441=D$9)*Data!$E$2:$E$1441*((Data!$D$2:$D$1441=$B$3)*$C$3+(Data!$D$2:$D$1441=$B$4)*$C$4+(Data!$D$2:$D$1441=$B$5)*$C$5))</f>
        <v>15</v>
      </c>
      <c r="E29" s="24" cm="1">
        <f t="array" ref="E29">SUMPRODUCT((Data!$A$2:$A$1441=$A29)*(Data!$B$2:$B$1441=E$9)*Data!$E$2:$E$1441*((Data!$D$2:$D$1441=$B$3)*$C$3+(Data!$D$2:$D$1441=$B$4)*$C$4+(Data!$D$2:$D$1441=$B$5)*$C$5))</f>
        <v>2</v>
      </c>
      <c r="F29" s="24" t="str">
        <f t="shared" si="1"/>
        <v>Low</v>
      </c>
      <c r="G29" s="24" t="str">
        <f t="shared" si="3"/>
        <v>Low</v>
      </c>
      <c r="H29" s="24" t="str">
        <f t="shared" si="4"/>
        <v>Medium</v>
      </c>
      <c r="I29" s="24" t="str">
        <f t="shared" si="5"/>
        <v>Low</v>
      </c>
      <c r="J29" s="24">
        <f t="shared" si="2"/>
        <v>1</v>
      </c>
    </row>
    <row r="30" spans="1:10" x14ac:dyDescent="0.3">
      <c r="A30" s="25"/>
      <c r="B30" s="25"/>
      <c r="C30" s="25"/>
      <c r="D30" s="25"/>
      <c r="E30" s="25"/>
      <c r="F30" s="25"/>
      <c r="G30" s="25"/>
      <c r="H30" s="25"/>
      <c r="I30" s="25"/>
      <c r="J30" s="25">
        <f>SUM(J10:J29)</f>
        <v>4</v>
      </c>
    </row>
    <row r="33" spans="1:10" x14ac:dyDescent="0.3">
      <c r="B33" s="32" t="s">
        <v>494</v>
      </c>
      <c r="C33" s="32" t="s">
        <v>493</v>
      </c>
      <c r="E33" s="32" t="s">
        <v>501</v>
      </c>
      <c r="F33" s="32"/>
    </row>
    <row r="34" spans="1:10" x14ac:dyDescent="0.3">
      <c r="B34" s="31" t="s">
        <v>485</v>
      </c>
      <c r="C34" s="31">
        <v>1</v>
      </c>
      <c r="E34" s="31" t="s">
        <v>502</v>
      </c>
      <c r="F34" s="31">
        <f>18*0.75</f>
        <v>13.5</v>
      </c>
      <c r="G34" s="26"/>
    </row>
    <row r="35" spans="1:10" x14ac:dyDescent="0.3">
      <c r="B35" s="31" t="s">
        <v>486</v>
      </c>
      <c r="C35" s="31">
        <v>1</v>
      </c>
      <c r="E35" s="31" t="s">
        <v>503</v>
      </c>
      <c r="F35" s="31">
        <f>18*0.5</f>
        <v>9</v>
      </c>
    </row>
    <row r="36" spans="1:10" x14ac:dyDescent="0.3">
      <c r="B36" s="31" t="s">
        <v>487</v>
      </c>
      <c r="C36" s="31">
        <v>1</v>
      </c>
      <c r="E36" s="31" t="s">
        <v>504</v>
      </c>
      <c r="F36" s="31">
        <f>18*0.25</f>
        <v>4.5</v>
      </c>
    </row>
    <row r="37" spans="1:10" x14ac:dyDescent="0.3">
      <c r="E37" s="31" t="s">
        <v>505</v>
      </c>
      <c r="F37" s="31">
        <f>18*0.25</f>
        <v>4.5</v>
      </c>
    </row>
    <row r="40" spans="1:10" x14ac:dyDescent="0.3">
      <c r="A40" s="25" t="s">
        <v>489</v>
      </c>
      <c r="B40" s="25" t="s">
        <v>21</v>
      </c>
      <c r="C40" s="25" t="s">
        <v>23</v>
      </c>
      <c r="D40" s="25" t="s">
        <v>24</v>
      </c>
      <c r="E40" s="25" t="s">
        <v>25</v>
      </c>
      <c r="F40" s="25" t="s">
        <v>506</v>
      </c>
      <c r="G40" s="25" t="s">
        <v>507</v>
      </c>
      <c r="H40" s="25" t="s">
        <v>508</v>
      </c>
      <c r="I40" s="25" t="s">
        <v>509</v>
      </c>
      <c r="J40" s="25" t="s">
        <v>510</v>
      </c>
    </row>
    <row r="41" spans="1:10" x14ac:dyDescent="0.3">
      <c r="A41" s="24" t="s">
        <v>19</v>
      </c>
      <c r="B41" s="24" cm="1">
        <f t="array" ref="B41">SUMPRODUCT((Data!$A$2:$A$1441=$A41)*(Data!$B$2:$B$1441=B$9)*Data!$E$2:$E$1441*((Data!$D$2:$D$1441=$B$3)*$C$34+(Data!$D$2:$D$1441=$B$4)*$C$35+(Data!$D$2:$D$1441=$B$5)*$C$36))</f>
        <v>1</v>
      </c>
      <c r="C41" s="24" cm="1">
        <f t="array" ref="C41">SUMPRODUCT((Data!$A$2:$A$1441=$A41)*(Data!$B$2:$B$1441=C$9)*Data!$E$2:$E$1441*((Data!$D$2:$D$1441=$B$3)*$C$34+(Data!$D$2:$D$1441=$B$4)*$C$35+(Data!$D$2:$D$1441=$B$5)*$C$36))</f>
        <v>1</v>
      </c>
      <c r="D41" s="24" cm="1">
        <f t="array" ref="D41">SUMPRODUCT((Data!$A$2:$A$1441=$A41)*(Data!$B$2:$B$1441=D$9)*Data!$E$2:$E$1441*((Data!$D$2:$D$1441=$B$3)*$C$34+(Data!$D$2:$D$1441=$B$4)*$C$35+(Data!$D$2:$D$1441=$B$5)*$C$36))</f>
        <v>3</v>
      </c>
      <c r="E41" s="24" cm="1">
        <f t="array" ref="E41">SUMPRODUCT((Data!$A$2:$A$1441=$A41)*(Data!$B$2:$B$1441=E$9)*Data!$E$2:$E$1441*((Data!$D$2:$D$1441=$B$3)*$C$34+(Data!$D$2:$D$1441=$B$4)*$C$35+(Data!$D$2:$D$1441=$B$5)*$C$36))</f>
        <v>1</v>
      </c>
      <c r="F41" s="24" t="str">
        <f>IF(B41&gt;=$F$34,"Critical",IF(B41&gt;=$F$35,"High",IF(B41&gt;=$F$36,"Medium","Low")))</f>
        <v>Low</v>
      </c>
      <c r="G41" s="24" t="str">
        <f t="shared" ref="G41:I56" si="6">IF(C41&gt;=$F$34,"Critical",IF(C41&gt;=$F$35,"High",IF(C41&gt;=$F$36,"Medium","Low")))</f>
        <v>Low</v>
      </c>
      <c r="H41" s="24" t="str">
        <f t="shared" si="6"/>
        <v>Low</v>
      </c>
      <c r="I41" s="24" t="str">
        <f t="shared" si="6"/>
        <v>Low</v>
      </c>
      <c r="J41" s="24">
        <f>IF(AND(F41=G41,G41=H41,H41=I41),0,1)</f>
        <v>0</v>
      </c>
    </row>
    <row r="42" spans="1:10" x14ac:dyDescent="0.3">
      <c r="A42" s="24" t="s">
        <v>26</v>
      </c>
      <c r="B42" s="24" cm="1">
        <f t="array" ref="B42">SUMPRODUCT((Data!$A$2:$A$1441=$A42)*(Data!$B$2:$B$1441=B$9)*Data!$E$2:$E$1441*((Data!$D$2:$D$1441=$B$3)*$C$34+(Data!$D$2:$D$1441=$B$4)*$C$35+(Data!$D$2:$D$1441=$B$5)*$C$36))</f>
        <v>1</v>
      </c>
      <c r="C42" s="24" cm="1">
        <f t="array" ref="C42">SUMPRODUCT((Data!$A$2:$A$1441=$A42)*(Data!$B$2:$B$1441=C$9)*Data!$E$2:$E$1441*((Data!$D$2:$D$1441=$B$3)*$C$34+(Data!$D$2:$D$1441=$B$4)*$C$35+(Data!$D$2:$D$1441=$B$5)*$C$36))</f>
        <v>1</v>
      </c>
      <c r="D42" s="24" cm="1">
        <f t="array" ref="D42">SUMPRODUCT((Data!$A$2:$A$1441=$A42)*(Data!$B$2:$B$1441=D$9)*Data!$E$2:$E$1441*((Data!$D$2:$D$1441=$B$3)*$C$34+(Data!$D$2:$D$1441=$B$4)*$C$35+(Data!$D$2:$D$1441=$B$5)*$C$36))</f>
        <v>2</v>
      </c>
      <c r="E42" s="24" cm="1">
        <f t="array" ref="E42">SUMPRODUCT((Data!$A$2:$A$1441=$A42)*(Data!$B$2:$B$1441=E$9)*Data!$E$2:$E$1441*((Data!$D$2:$D$1441=$B$3)*$C$34+(Data!$D$2:$D$1441=$B$4)*$C$35+(Data!$D$2:$D$1441=$B$5)*$C$36))</f>
        <v>1</v>
      </c>
      <c r="F42" s="24" t="str">
        <f t="shared" ref="F42:F60" si="7">IF(B42&gt;=$F$34,"Critical",IF(B42&gt;=$F$35,"High",IF(B42&gt;=$F$36,"Medium","Low")))</f>
        <v>Low</v>
      </c>
      <c r="G42" s="24" t="str">
        <f t="shared" si="6"/>
        <v>Low</v>
      </c>
      <c r="H42" s="24" t="str">
        <f t="shared" si="6"/>
        <v>Low</v>
      </c>
      <c r="I42" s="24" t="str">
        <f t="shared" si="6"/>
        <v>Low</v>
      </c>
      <c r="J42" s="24">
        <f t="shared" ref="J42:J60" si="8">IF(AND(F42=G42,G42=H42,H42=I42),0,1)</f>
        <v>0</v>
      </c>
    </row>
    <row r="43" spans="1:10" x14ac:dyDescent="0.3">
      <c r="A43" s="24" t="s">
        <v>28</v>
      </c>
      <c r="B43" s="24" cm="1">
        <f t="array" ref="B43">SUMPRODUCT((Data!$A$2:$A$1441=$A43)*(Data!$B$2:$B$1441=B$9)*Data!$E$2:$E$1441*((Data!$D$2:$D$1441=$B$3)*$C$34+(Data!$D$2:$D$1441=$B$4)*$C$35+(Data!$D$2:$D$1441=$B$5)*$C$36))</f>
        <v>2</v>
      </c>
      <c r="C43" s="24" cm="1">
        <f t="array" ref="C43">SUMPRODUCT((Data!$A$2:$A$1441=$A43)*(Data!$B$2:$B$1441=C$9)*Data!$E$2:$E$1441*((Data!$D$2:$D$1441=$B$3)*$C$34+(Data!$D$2:$D$1441=$B$4)*$C$35+(Data!$D$2:$D$1441=$B$5)*$C$36))</f>
        <v>3</v>
      </c>
      <c r="D43" s="24" cm="1">
        <f t="array" ref="D43">SUMPRODUCT((Data!$A$2:$A$1441=$A43)*(Data!$B$2:$B$1441=D$9)*Data!$E$2:$E$1441*((Data!$D$2:$D$1441=$B$3)*$C$34+(Data!$D$2:$D$1441=$B$4)*$C$35+(Data!$D$2:$D$1441=$B$5)*$C$36))</f>
        <v>2</v>
      </c>
      <c r="E43" s="24" cm="1">
        <f t="array" ref="E43">SUMPRODUCT((Data!$A$2:$A$1441=$A43)*(Data!$B$2:$B$1441=E$9)*Data!$E$2:$E$1441*((Data!$D$2:$D$1441=$B$3)*$C$34+(Data!$D$2:$D$1441=$B$4)*$C$35+(Data!$D$2:$D$1441=$B$5)*$C$36))</f>
        <v>0</v>
      </c>
      <c r="F43" s="24" t="str">
        <f t="shared" si="7"/>
        <v>Low</v>
      </c>
      <c r="G43" s="24" t="str">
        <f t="shared" si="6"/>
        <v>Low</v>
      </c>
      <c r="H43" s="24" t="str">
        <f t="shared" si="6"/>
        <v>Low</v>
      </c>
      <c r="I43" s="24" t="str">
        <f t="shared" si="6"/>
        <v>Low</v>
      </c>
      <c r="J43" s="24">
        <f t="shared" si="8"/>
        <v>0</v>
      </c>
    </row>
    <row r="44" spans="1:10" x14ac:dyDescent="0.3">
      <c r="A44" s="24" t="s">
        <v>30</v>
      </c>
      <c r="B44" s="24" cm="1">
        <f t="array" ref="B44">SUMPRODUCT((Data!$A$2:$A$1441=$A44)*(Data!$B$2:$B$1441=B$9)*Data!$E$2:$E$1441*((Data!$D$2:$D$1441=$B$3)*$C$34+(Data!$D$2:$D$1441=$B$4)*$C$35+(Data!$D$2:$D$1441=$B$5)*$C$36))</f>
        <v>2</v>
      </c>
      <c r="C44" s="24" cm="1">
        <f t="array" ref="C44">SUMPRODUCT((Data!$A$2:$A$1441=$A44)*(Data!$B$2:$B$1441=C$9)*Data!$E$2:$E$1441*((Data!$D$2:$D$1441=$B$3)*$C$34+(Data!$D$2:$D$1441=$B$4)*$C$35+(Data!$D$2:$D$1441=$B$5)*$C$36))</f>
        <v>2</v>
      </c>
      <c r="D44" s="24" cm="1">
        <f t="array" ref="D44">SUMPRODUCT((Data!$A$2:$A$1441=$A44)*(Data!$B$2:$B$1441=D$9)*Data!$E$2:$E$1441*((Data!$D$2:$D$1441=$B$3)*$C$34+(Data!$D$2:$D$1441=$B$4)*$C$35+(Data!$D$2:$D$1441=$B$5)*$C$36))</f>
        <v>0</v>
      </c>
      <c r="E44" s="24" cm="1">
        <f t="array" ref="E44">SUMPRODUCT((Data!$A$2:$A$1441=$A44)*(Data!$B$2:$B$1441=E$9)*Data!$E$2:$E$1441*((Data!$D$2:$D$1441=$B$3)*$C$34+(Data!$D$2:$D$1441=$B$4)*$C$35+(Data!$D$2:$D$1441=$B$5)*$C$36))</f>
        <v>1</v>
      </c>
      <c r="F44" s="24" t="str">
        <f t="shared" si="7"/>
        <v>Low</v>
      </c>
      <c r="G44" s="24" t="str">
        <f t="shared" si="6"/>
        <v>Low</v>
      </c>
      <c r="H44" s="24" t="str">
        <f t="shared" si="6"/>
        <v>Low</v>
      </c>
      <c r="I44" s="24" t="str">
        <f t="shared" si="6"/>
        <v>Low</v>
      </c>
      <c r="J44" s="24">
        <f t="shared" si="8"/>
        <v>0</v>
      </c>
    </row>
    <row r="45" spans="1:10" x14ac:dyDescent="0.3">
      <c r="A45" s="24" t="s">
        <v>32</v>
      </c>
      <c r="B45" s="24" cm="1">
        <f t="array" ref="B45">SUMPRODUCT((Data!$A$2:$A$1441=$A45)*(Data!$B$2:$B$1441=B$9)*Data!$E$2:$E$1441*((Data!$D$2:$D$1441=$B$3)*$C$34+(Data!$D$2:$D$1441=$B$4)*$C$35+(Data!$D$2:$D$1441=$B$5)*$C$36))</f>
        <v>2</v>
      </c>
      <c r="C45" s="24" cm="1">
        <f t="array" ref="C45">SUMPRODUCT((Data!$A$2:$A$1441=$A45)*(Data!$B$2:$B$1441=C$9)*Data!$E$2:$E$1441*((Data!$D$2:$D$1441=$B$3)*$C$34+(Data!$D$2:$D$1441=$B$4)*$C$35+(Data!$D$2:$D$1441=$B$5)*$C$36))</f>
        <v>2</v>
      </c>
      <c r="D45" s="24" cm="1">
        <f t="array" ref="D45">SUMPRODUCT((Data!$A$2:$A$1441=$A45)*(Data!$B$2:$B$1441=D$9)*Data!$E$2:$E$1441*((Data!$D$2:$D$1441=$B$3)*$C$34+(Data!$D$2:$D$1441=$B$4)*$C$35+(Data!$D$2:$D$1441=$B$5)*$C$36))</f>
        <v>2</v>
      </c>
      <c r="E45" s="24" cm="1">
        <f t="array" ref="E45">SUMPRODUCT((Data!$A$2:$A$1441=$A45)*(Data!$B$2:$B$1441=E$9)*Data!$E$2:$E$1441*((Data!$D$2:$D$1441=$B$3)*$C$34+(Data!$D$2:$D$1441=$B$4)*$C$35+(Data!$D$2:$D$1441=$B$5)*$C$36))</f>
        <v>1</v>
      </c>
      <c r="F45" s="24" t="str">
        <f t="shared" si="7"/>
        <v>Low</v>
      </c>
      <c r="G45" s="24" t="str">
        <f t="shared" si="6"/>
        <v>Low</v>
      </c>
      <c r="H45" s="24" t="str">
        <f t="shared" si="6"/>
        <v>Low</v>
      </c>
      <c r="I45" s="24" t="str">
        <f t="shared" si="6"/>
        <v>Low</v>
      </c>
      <c r="J45" s="24">
        <f t="shared" si="8"/>
        <v>0</v>
      </c>
    </row>
    <row r="46" spans="1:10" x14ac:dyDescent="0.3">
      <c r="A46" s="24" t="s">
        <v>34</v>
      </c>
      <c r="B46" s="24" cm="1">
        <f t="array" ref="B46">SUMPRODUCT((Data!$A$2:$A$1441=$A46)*(Data!$B$2:$B$1441=B$9)*Data!$E$2:$E$1441*((Data!$D$2:$D$1441=$B$3)*$C$34+(Data!$D$2:$D$1441=$B$4)*$C$35+(Data!$D$2:$D$1441=$B$5)*$C$36))</f>
        <v>1</v>
      </c>
      <c r="C46" s="24" cm="1">
        <f t="array" ref="C46">SUMPRODUCT((Data!$A$2:$A$1441=$A46)*(Data!$B$2:$B$1441=C$9)*Data!$E$2:$E$1441*((Data!$D$2:$D$1441=$B$3)*$C$34+(Data!$D$2:$D$1441=$B$4)*$C$35+(Data!$D$2:$D$1441=$B$5)*$C$36))</f>
        <v>0</v>
      </c>
      <c r="D46" s="24" cm="1">
        <f t="array" ref="D46">SUMPRODUCT((Data!$A$2:$A$1441=$A46)*(Data!$B$2:$B$1441=D$9)*Data!$E$2:$E$1441*((Data!$D$2:$D$1441=$B$3)*$C$34+(Data!$D$2:$D$1441=$B$4)*$C$35+(Data!$D$2:$D$1441=$B$5)*$C$36))</f>
        <v>1</v>
      </c>
      <c r="E46" s="24" cm="1">
        <f t="array" ref="E46">SUMPRODUCT((Data!$A$2:$A$1441=$A46)*(Data!$B$2:$B$1441=E$9)*Data!$E$2:$E$1441*((Data!$D$2:$D$1441=$B$3)*$C$34+(Data!$D$2:$D$1441=$B$4)*$C$35+(Data!$D$2:$D$1441=$B$5)*$C$36))</f>
        <v>1</v>
      </c>
      <c r="F46" s="24" t="str">
        <f t="shared" si="7"/>
        <v>Low</v>
      </c>
      <c r="G46" s="24" t="str">
        <f t="shared" si="6"/>
        <v>Low</v>
      </c>
      <c r="H46" s="24" t="str">
        <f t="shared" si="6"/>
        <v>Low</v>
      </c>
      <c r="I46" s="24" t="str">
        <f t="shared" si="6"/>
        <v>Low</v>
      </c>
      <c r="J46" s="24">
        <f t="shared" si="8"/>
        <v>0</v>
      </c>
    </row>
    <row r="47" spans="1:10" x14ac:dyDescent="0.3">
      <c r="A47" s="24" t="s">
        <v>36</v>
      </c>
      <c r="B47" s="24" cm="1">
        <f t="array" ref="B47">SUMPRODUCT((Data!$A$2:$A$1441=$A47)*(Data!$B$2:$B$1441=B$9)*Data!$E$2:$E$1441*((Data!$D$2:$D$1441=$B$3)*$C$34+(Data!$D$2:$D$1441=$B$4)*$C$35+(Data!$D$2:$D$1441=$B$5)*$C$36))</f>
        <v>2</v>
      </c>
      <c r="C47" s="24" cm="1">
        <f t="array" ref="C47">SUMPRODUCT((Data!$A$2:$A$1441=$A47)*(Data!$B$2:$B$1441=C$9)*Data!$E$2:$E$1441*((Data!$D$2:$D$1441=$B$3)*$C$34+(Data!$D$2:$D$1441=$B$4)*$C$35+(Data!$D$2:$D$1441=$B$5)*$C$36))</f>
        <v>1</v>
      </c>
      <c r="D47" s="24" cm="1">
        <f t="array" ref="D47">SUMPRODUCT((Data!$A$2:$A$1441=$A47)*(Data!$B$2:$B$1441=D$9)*Data!$E$2:$E$1441*((Data!$D$2:$D$1441=$B$3)*$C$34+(Data!$D$2:$D$1441=$B$4)*$C$35+(Data!$D$2:$D$1441=$B$5)*$C$36))</f>
        <v>2</v>
      </c>
      <c r="E47" s="24" cm="1">
        <f t="array" ref="E47">SUMPRODUCT((Data!$A$2:$A$1441=$A47)*(Data!$B$2:$B$1441=E$9)*Data!$E$2:$E$1441*((Data!$D$2:$D$1441=$B$3)*$C$34+(Data!$D$2:$D$1441=$B$4)*$C$35+(Data!$D$2:$D$1441=$B$5)*$C$36))</f>
        <v>1</v>
      </c>
      <c r="F47" s="24" t="str">
        <f t="shared" si="7"/>
        <v>Low</v>
      </c>
      <c r="G47" s="24" t="str">
        <f t="shared" si="6"/>
        <v>Low</v>
      </c>
      <c r="H47" s="24" t="str">
        <f t="shared" si="6"/>
        <v>Low</v>
      </c>
      <c r="I47" s="24" t="str">
        <f t="shared" si="6"/>
        <v>Low</v>
      </c>
      <c r="J47" s="24">
        <f t="shared" si="8"/>
        <v>0</v>
      </c>
    </row>
    <row r="48" spans="1:10" x14ac:dyDescent="0.3">
      <c r="A48" s="24" t="s">
        <v>38</v>
      </c>
      <c r="B48" s="24" cm="1">
        <f t="array" ref="B48">SUMPRODUCT((Data!$A$2:$A$1441=$A48)*(Data!$B$2:$B$1441=B$9)*Data!$E$2:$E$1441*((Data!$D$2:$D$1441=$B$3)*$C$34+(Data!$D$2:$D$1441=$B$4)*$C$35+(Data!$D$2:$D$1441=$B$5)*$C$36))</f>
        <v>2</v>
      </c>
      <c r="C48" s="24" cm="1">
        <f t="array" ref="C48">SUMPRODUCT((Data!$A$2:$A$1441=$A48)*(Data!$B$2:$B$1441=C$9)*Data!$E$2:$E$1441*((Data!$D$2:$D$1441=$B$3)*$C$34+(Data!$D$2:$D$1441=$B$4)*$C$35+(Data!$D$2:$D$1441=$B$5)*$C$36))</f>
        <v>3</v>
      </c>
      <c r="D48" s="24" cm="1">
        <f t="array" ref="D48">SUMPRODUCT((Data!$A$2:$A$1441=$A48)*(Data!$B$2:$B$1441=D$9)*Data!$E$2:$E$1441*((Data!$D$2:$D$1441=$B$3)*$C$34+(Data!$D$2:$D$1441=$B$4)*$C$35+(Data!$D$2:$D$1441=$B$5)*$C$36))</f>
        <v>2</v>
      </c>
      <c r="E48" s="24" cm="1">
        <f t="array" ref="E48">SUMPRODUCT((Data!$A$2:$A$1441=$A48)*(Data!$B$2:$B$1441=E$9)*Data!$E$2:$E$1441*((Data!$D$2:$D$1441=$B$3)*$C$34+(Data!$D$2:$D$1441=$B$4)*$C$35+(Data!$D$2:$D$1441=$B$5)*$C$36))</f>
        <v>1</v>
      </c>
      <c r="F48" s="24" t="str">
        <f t="shared" si="7"/>
        <v>Low</v>
      </c>
      <c r="G48" s="24" t="str">
        <f t="shared" si="6"/>
        <v>Low</v>
      </c>
      <c r="H48" s="24" t="str">
        <f t="shared" si="6"/>
        <v>Low</v>
      </c>
      <c r="I48" s="24" t="str">
        <f t="shared" si="6"/>
        <v>Low</v>
      </c>
      <c r="J48" s="24">
        <f t="shared" si="8"/>
        <v>0</v>
      </c>
    </row>
    <row r="49" spans="1:10" x14ac:dyDescent="0.3">
      <c r="A49" s="24" t="s">
        <v>40</v>
      </c>
      <c r="B49" s="24" cm="1">
        <f t="array" ref="B49">SUMPRODUCT((Data!$A$2:$A$1441=$A49)*(Data!$B$2:$B$1441=B$9)*Data!$E$2:$E$1441*((Data!$D$2:$D$1441=$B$3)*$C$34+(Data!$D$2:$D$1441=$B$4)*$C$35+(Data!$D$2:$D$1441=$B$5)*$C$36))</f>
        <v>2</v>
      </c>
      <c r="C49" s="24" cm="1">
        <f t="array" ref="C49">SUMPRODUCT((Data!$A$2:$A$1441=$A49)*(Data!$B$2:$B$1441=C$9)*Data!$E$2:$E$1441*((Data!$D$2:$D$1441=$B$3)*$C$34+(Data!$D$2:$D$1441=$B$4)*$C$35+(Data!$D$2:$D$1441=$B$5)*$C$36))</f>
        <v>5</v>
      </c>
      <c r="D49" s="24" cm="1">
        <f t="array" ref="D49">SUMPRODUCT((Data!$A$2:$A$1441=$A49)*(Data!$B$2:$B$1441=D$9)*Data!$E$2:$E$1441*((Data!$D$2:$D$1441=$B$3)*$C$34+(Data!$D$2:$D$1441=$B$4)*$C$35+(Data!$D$2:$D$1441=$B$5)*$C$36))</f>
        <v>4</v>
      </c>
      <c r="E49" s="24" cm="1">
        <f t="array" ref="E49">SUMPRODUCT((Data!$A$2:$A$1441=$A49)*(Data!$B$2:$B$1441=E$9)*Data!$E$2:$E$1441*((Data!$D$2:$D$1441=$B$3)*$C$34+(Data!$D$2:$D$1441=$B$4)*$C$35+(Data!$D$2:$D$1441=$B$5)*$C$36))</f>
        <v>1</v>
      </c>
      <c r="F49" s="24" t="str">
        <f t="shared" si="7"/>
        <v>Low</v>
      </c>
      <c r="G49" s="24" t="str">
        <f t="shared" si="6"/>
        <v>Medium</v>
      </c>
      <c r="H49" s="24" t="str">
        <f t="shared" si="6"/>
        <v>Low</v>
      </c>
      <c r="I49" s="24" t="str">
        <f t="shared" si="6"/>
        <v>Low</v>
      </c>
      <c r="J49" s="24">
        <f t="shared" si="8"/>
        <v>1</v>
      </c>
    </row>
    <row r="50" spans="1:10" x14ac:dyDescent="0.3">
      <c r="A50" s="24" t="s">
        <v>43</v>
      </c>
      <c r="B50" s="24" cm="1">
        <f t="array" ref="B50">SUMPRODUCT((Data!$A$2:$A$1441=$A50)*(Data!$B$2:$B$1441=B$9)*Data!$E$2:$E$1441*((Data!$D$2:$D$1441=$B$3)*$C$34+(Data!$D$2:$D$1441=$B$4)*$C$35+(Data!$D$2:$D$1441=$B$5)*$C$36))</f>
        <v>3</v>
      </c>
      <c r="C50" s="24" cm="1">
        <f t="array" ref="C50">SUMPRODUCT((Data!$A$2:$A$1441=$A50)*(Data!$B$2:$B$1441=C$9)*Data!$E$2:$E$1441*((Data!$D$2:$D$1441=$B$3)*$C$34+(Data!$D$2:$D$1441=$B$4)*$C$35+(Data!$D$2:$D$1441=$B$5)*$C$36))</f>
        <v>2</v>
      </c>
      <c r="D50" s="24" cm="1">
        <f t="array" ref="D50">SUMPRODUCT((Data!$A$2:$A$1441=$A50)*(Data!$B$2:$B$1441=D$9)*Data!$E$2:$E$1441*((Data!$D$2:$D$1441=$B$3)*$C$34+(Data!$D$2:$D$1441=$B$4)*$C$35+(Data!$D$2:$D$1441=$B$5)*$C$36))</f>
        <v>6</v>
      </c>
      <c r="E50" s="24" cm="1">
        <f t="array" ref="E50">SUMPRODUCT((Data!$A$2:$A$1441=$A50)*(Data!$B$2:$B$1441=E$9)*Data!$E$2:$E$1441*((Data!$D$2:$D$1441=$B$3)*$C$34+(Data!$D$2:$D$1441=$B$4)*$C$35+(Data!$D$2:$D$1441=$B$5)*$C$36))</f>
        <v>1</v>
      </c>
      <c r="F50" s="24" t="str">
        <f t="shared" si="7"/>
        <v>Low</v>
      </c>
      <c r="G50" s="24" t="str">
        <f t="shared" si="6"/>
        <v>Low</v>
      </c>
      <c r="H50" s="24" t="str">
        <f t="shared" si="6"/>
        <v>Medium</v>
      </c>
      <c r="I50" s="24" t="str">
        <f t="shared" si="6"/>
        <v>Low</v>
      </c>
      <c r="J50" s="24">
        <f t="shared" si="8"/>
        <v>1</v>
      </c>
    </row>
    <row r="51" spans="1:10" x14ac:dyDescent="0.3">
      <c r="A51" s="24" t="s">
        <v>45</v>
      </c>
      <c r="B51" s="24" cm="1">
        <f t="array" ref="B51">SUMPRODUCT((Data!$A$2:$A$1441=$A51)*(Data!$B$2:$B$1441=B$9)*Data!$E$2:$E$1441*((Data!$D$2:$D$1441=$B$3)*$C$34+(Data!$D$2:$D$1441=$B$4)*$C$35+(Data!$D$2:$D$1441=$B$5)*$C$36))</f>
        <v>1</v>
      </c>
      <c r="C51" s="24" cm="1">
        <f t="array" ref="C51">SUMPRODUCT((Data!$A$2:$A$1441=$A51)*(Data!$B$2:$B$1441=C$9)*Data!$E$2:$E$1441*((Data!$D$2:$D$1441=$B$3)*$C$34+(Data!$D$2:$D$1441=$B$4)*$C$35+(Data!$D$2:$D$1441=$B$5)*$C$36))</f>
        <v>1</v>
      </c>
      <c r="D51" s="24" cm="1">
        <f t="array" ref="D51">SUMPRODUCT((Data!$A$2:$A$1441=$A51)*(Data!$B$2:$B$1441=D$9)*Data!$E$2:$E$1441*((Data!$D$2:$D$1441=$B$3)*$C$34+(Data!$D$2:$D$1441=$B$4)*$C$35+(Data!$D$2:$D$1441=$B$5)*$C$36))</f>
        <v>1</v>
      </c>
      <c r="E51" s="24" cm="1">
        <f t="array" ref="E51">SUMPRODUCT((Data!$A$2:$A$1441=$A51)*(Data!$B$2:$B$1441=E$9)*Data!$E$2:$E$1441*((Data!$D$2:$D$1441=$B$3)*$C$34+(Data!$D$2:$D$1441=$B$4)*$C$35+(Data!$D$2:$D$1441=$B$5)*$C$36))</f>
        <v>1</v>
      </c>
      <c r="F51" s="24" t="str">
        <f t="shared" si="7"/>
        <v>Low</v>
      </c>
      <c r="G51" s="24" t="str">
        <f t="shared" si="6"/>
        <v>Low</v>
      </c>
      <c r="H51" s="24" t="str">
        <f t="shared" si="6"/>
        <v>Low</v>
      </c>
      <c r="I51" s="24" t="str">
        <f t="shared" si="6"/>
        <v>Low</v>
      </c>
      <c r="J51" s="24">
        <f t="shared" si="8"/>
        <v>0</v>
      </c>
    </row>
    <row r="52" spans="1:10" x14ac:dyDescent="0.3">
      <c r="A52" s="24" t="s">
        <v>47</v>
      </c>
      <c r="B52" s="24" cm="1">
        <f t="array" ref="B52">SUMPRODUCT((Data!$A$2:$A$1441=$A52)*(Data!$B$2:$B$1441=B$9)*Data!$E$2:$E$1441*((Data!$D$2:$D$1441=$B$3)*$C$34+(Data!$D$2:$D$1441=$B$4)*$C$35+(Data!$D$2:$D$1441=$B$5)*$C$36))</f>
        <v>3</v>
      </c>
      <c r="C52" s="24" cm="1">
        <f t="array" ref="C52">SUMPRODUCT((Data!$A$2:$A$1441=$A52)*(Data!$B$2:$B$1441=C$9)*Data!$E$2:$E$1441*((Data!$D$2:$D$1441=$B$3)*$C$34+(Data!$D$2:$D$1441=$B$4)*$C$35+(Data!$D$2:$D$1441=$B$5)*$C$36))</f>
        <v>2</v>
      </c>
      <c r="D52" s="24" cm="1">
        <f t="array" ref="D52">SUMPRODUCT((Data!$A$2:$A$1441=$A52)*(Data!$B$2:$B$1441=D$9)*Data!$E$2:$E$1441*((Data!$D$2:$D$1441=$B$3)*$C$34+(Data!$D$2:$D$1441=$B$4)*$C$35+(Data!$D$2:$D$1441=$B$5)*$C$36))</f>
        <v>2</v>
      </c>
      <c r="E52" s="24" cm="1">
        <f t="array" ref="E52">SUMPRODUCT((Data!$A$2:$A$1441=$A52)*(Data!$B$2:$B$1441=E$9)*Data!$E$2:$E$1441*((Data!$D$2:$D$1441=$B$3)*$C$34+(Data!$D$2:$D$1441=$B$4)*$C$35+(Data!$D$2:$D$1441=$B$5)*$C$36))</f>
        <v>1</v>
      </c>
      <c r="F52" s="24" t="str">
        <f t="shared" si="7"/>
        <v>Low</v>
      </c>
      <c r="G52" s="24" t="str">
        <f t="shared" si="6"/>
        <v>Low</v>
      </c>
      <c r="H52" s="24" t="str">
        <f t="shared" si="6"/>
        <v>Low</v>
      </c>
      <c r="I52" s="24" t="str">
        <f t="shared" si="6"/>
        <v>Low</v>
      </c>
      <c r="J52" s="24">
        <f t="shared" si="8"/>
        <v>0</v>
      </c>
    </row>
    <row r="53" spans="1:10" x14ac:dyDescent="0.3">
      <c r="A53" s="24" t="s">
        <v>49</v>
      </c>
      <c r="B53" s="24" cm="1">
        <f t="array" ref="B53">SUMPRODUCT((Data!$A$2:$A$1441=$A53)*(Data!$B$2:$B$1441=B$9)*Data!$E$2:$E$1441*((Data!$D$2:$D$1441=$B$3)*$C$34+(Data!$D$2:$D$1441=$B$4)*$C$35+(Data!$D$2:$D$1441=$B$5)*$C$36))</f>
        <v>3</v>
      </c>
      <c r="C53" s="24" cm="1">
        <f t="array" ref="C53">SUMPRODUCT((Data!$A$2:$A$1441=$A53)*(Data!$B$2:$B$1441=C$9)*Data!$E$2:$E$1441*((Data!$D$2:$D$1441=$B$3)*$C$34+(Data!$D$2:$D$1441=$B$4)*$C$35+(Data!$D$2:$D$1441=$B$5)*$C$36))</f>
        <v>1</v>
      </c>
      <c r="D53" s="24" cm="1">
        <f t="array" ref="D53">SUMPRODUCT((Data!$A$2:$A$1441=$A53)*(Data!$B$2:$B$1441=D$9)*Data!$E$2:$E$1441*((Data!$D$2:$D$1441=$B$3)*$C$34+(Data!$D$2:$D$1441=$B$4)*$C$35+(Data!$D$2:$D$1441=$B$5)*$C$36))</f>
        <v>3</v>
      </c>
      <c r="E53" s="24" cm="1">
        <f t="array" ref="E53">SUMPRODUCT((Data!$A$2:$A$1441=$A53)*(Data!$B$2:$B$1441=E$9)*Data!$E$2:$E$1441*((Data!$D$2:$D$1441=$B$3)*$C$34+(Data!$D$2:$D$1441=$B$4)*$C$35+(Data!$D$2:$D$1441=$B$5)*$C$36))</f>
        <v>1</v>
      </c>
      <c r="F53" s="24" t="str">
        <f t="shared" si="7"/>
        <v>Low</v>
      </c>
      <c r="G53" s="24" t="str">
        <f t="shared" si="6"/>
        <v>Low</v>
      </c>
      <c r="H53" s="24" t="str">
        <f t="shared" si="6"/>
        <v>Low</v>
      </c>
      <c r="I53" s="24" t="str">
        <f t="shared" si="6"/>
        <v>Low</v>
      </c>
      <c r="J53" s="24">
        <f t="shared" si="8"/>
        <v>0</v>
      </c>
    </row>
    <row r="54" spans="1:10" x14ac:dyDescent="0.3">
      <c r="A54" s="24" t="s">
        <v>51</v>
      </c>
      <c r="B54" s="24" cm="1">
        <f t="array" ref="B54">SUMPRODUCT((Data!$A$2:$A$1441=$A54)*(Data!$B$2:$B$1441=B$9)*Data!$E$2:$E$1441*((Data!$D$2:$D$1441=$B$3)*$C$34+(Data!$D$2:$D$1441=$B$4)*$C$35+(Data!$D$2:$D$1441=$B$5)*$C$36))</f>
        <v>2</v>
      </c>
      <c r="C54" s="24" cm="1">
        <f t="array" ref="C54">SUMPRODUCT((Data!$A$2:$A$1441=$A54)*(Data!$B$2:$B$1441=C$9)*Data!$E$2:$E$1441*((Data!$D$2:$D$1441=$B$3)*$C$34+(Data!$D$2:$D$1441=$B$4)*$C$35+(Data!$D$2:$D$1441=$B$5)*$C$36))</f>
        <v>6</v>
      </c>
      <c r="D54" s="24" cm="1">
        <f t="array" ref="D54">SUMPRODUCT((Data!$A$2:$A$1441=$A54)*(Data!$B$2:$B$1441=D$9)*Data!$E$2:$E$1441*((Data!$D$2:$D$1441=$B$3)*$C$34+(Data!$D$2:$D$1441=$B$4)*$C$35+(Data!$D$2:$D$1441=$B$5)*$C$36))</f>
        <v>2</v>
      </c>
      <c r="E54" s="24" cm="1">
        <f t="array" ref="E54">SUMPRODUCT((Data!$A$2:$A$1441=$A54)*(Data!$B$2:$B$1441=E$9)*Data!$E$2:$E$1441*((Data!$D$2:$D$1441=$B$3)*$C$34+(Data!$D$2:$D$1441=$B$4)*$C$35+(Data!$D$2:$D$1441=$B$5)*$C$36))</f>
        <v>1</v>
      </c>
      <c r="F54" s="24" t="str">
        <f t="shared" si="7"/>
        <v>Low</v>
      </c>
      <c r="G54" s="24" t="str">
        <f t="shared" si="6"/>
        <v>Medium</v>
      </c>
      <c r="H54" s="24" t="str">
        <f t="shared" si="6"/>
        <v>Low</v>
      </c>
      <c r="I54" s="24" t="str">
        <f t="shared" si="6"/>
        <v>Low</v>
      </c>
      <c r="J54" s="24">
        <f t="shared" si="8"/>
        <v>1</v>
      </c>
    </row>
    <row r="55" spans="1:10" x14ac:dyDescent="0.3">
      <c r="A55" s="24" t="s">
        <v>53</v>
      </c>
      <c r="B55" s="24" cm="1">
        <f t="array" ref="B55">SUMPRODUCT((Data!$A$2:$A$1441=$A55)*(Data!$B$2:$B$1441=B$9)*Data!$E$2:$E$1441*((Data!$D$2:$D$1441=$B$3)*$C$34+(Data!$D$2:$D$1441=$B$4)*$C$35+(Data!$D$2:$D$1441=$B$5)*$C$36))</f>
        <v>1</v>
      </c>
      <c r="C55" s="24" cm="1">
        <f t="array" ref="C55">SUMPRODUCT((Data!$A$2:$A$1441=$A55)*(Data!$B$2:$B$1441=C$9)*Data!$E$2:$E$1441*((Data!$D$2:$D$1441=$B$3)*$C$34+(Data!$D$2:$D$1441=$B$4)*$C$35+(Data!$D$2:$D$1441=$B$5)*$C$36))</f>
        <v>3</v>
      </c>
      <c r="D55" s="24" cm="1">
        <f t="array" ref="D55">SUMPRODUCT((Data!$A$2:$A$1441=$A55)*(Data!$B$2:$B$1441=D$9)*Data!$E$2:$E$1441*((Data!$D$2:$D$1441=$B$3)*$C$34+(Data!$D$2:$D$1441=$B$4)*$C$35+(Data!$D$2:$D$1441=$B$5)*$C$36))</f>
        <v>3</v>
      </c>
      <c r="E55" s="24" cm="1">
        <f t="array" ref="E55">SUMPRODUCT((Data!$A$2:$A$1441=$A55)*(Data!$B$2:$B$1441=E$9)*Data!$E$2:$E$1441*((Data!$D$2:$D$1441=$B$3)*$C$34+(Data!$D$2:$D$1441=$B$4)*$C$35+(Data!$D$2:$D$1441=$B$5)*$C$36))</f>
        <v>1</v>
      </c>
      <c r="F55" s="24" t="str">
        <f t="shared" si="7"/>
        <v>Low</v>
      </c>
      <c r="G55" s="24" t="str">
        <f t="shared" si="6"/>
        <v>Low</v>
      </c>
      <c r="H55" s="24" t="str">
        <f t="shared" si="6"/>
        <v>Low</v>
      </c>
      <c r="I55" s="24" t="str">
        <f t="shared" si="6"/>
        <v>Low</v>
      </c>
      <c r="J55" s="24">
        <f t="shared" si="8"/>
        <v>0</v>
      </c>
    </row>
    <row r="56" spans="1:10" x14ac:dyDescent="0.3">
      <c r="A56" s="24" t="s">
        <v>55</v>
      </c>
      <c r="B56" s="24" cm="1">
        <f t="array" ref="B56">SUMPRODUCT((Data!$A$2:$A$1441=$A56)*(Data!$B$2:$B$1441=B$9)*Data!$E$2:$E$1441*((Data!$D$2:$D$1441=$B$3)*$C$34+(Data!$D$2:$D$1441=$B$4)*$C$35+(Data!$D$2:$D$1441=$B$5)*$C$36))</f>
        <v>3</v>
      </c>
      <c r="C56" s="24" cm="1">
        <f t="array" ref="C56">SUMPRODUCT((Data!$A$2:$A$1441=$A56)*(Data!$B$2:$B$1441=C$9)*Data!$E$2:$E$1441*((Data!$D$2:$D$1441=$B$3)*$C$34+(Data!$D$2:$D$1441=$B$4)*$C$35+(Data!$D$2:$D$1441=$B$5)*$C$36))</f>
        <v>1</v>
      </c>
      <c r="D56" s="24" cm="1">
        <f t="array" ref="D56">SUMPRODUCT((Data!$A$2:$A$1441=$A56)*(Data!$B$2:$B$1441=D$9)*Data!$E$2:$E$1441*((Data!$D$2:$D$1441=$B$3)*$C$34+(Data!$D$2:$D$1441=$B$4)*$C$35+(Data!$D$2:$D$1441=$B$5)*$C$36))</f>
        <v>5</v>
      </c>
      <c r="E56" s="24" cm="1">
        <f t="array" ref="E56">SUMPRODUCT((Data!$A$2:$A$1441=$A56)*(Data!$B$2:$B$1441=E$9)*Data!$E$2:$E$1441*((Data!$D$2:$D$1441=$B$3)*$C$34+(Data!$D$2:$D$1441=$B$4)*$C$35+(Data!$D$2:$D$1441=$B$5)*$C$36))</f>
        <v>1</v>
      </c>
      <c r="F56" s="24" t="str">
        <f t="shared" si="7"/>
        <v>Low</v>
      </c>
      <c r="G56" s="24" t="str">
        <f t="shared" si="6"/>
        <v>Low</v>
      </c>
      <c r="H56" s="24" t="str">
        <f t="shared" si="6"/>
        <v>Medium</v>
      </c>
      <c r="I56" s="24" t="str">
        <f t="shared" si="6"/>
        <v>Low</v>
      </c>
      <c r="J56" s="24">
        <f t="shared" si="8"/>
        <v>1</v>
      </c>
    </row>
    <row r="57" spans="1:10" x14ac:dyDescent="0.3">
      <c r="A57" s="24" t="s">
        <v>57</v>
      </c>
      <c r="B57" s="24" cm="1">
        <f t="array" ref="B57">SUMPRODUCT((Data!$A$2:$A$1441=$A57)*(Data!$B$2:$B$1441=B$9)*Data!$E$2:$E$1441*((Data!$D$2:$D$1441=$B$3)*$C$34+(Data!$D$2:$D$1441=$B$4)*$C$35+(Data!$D$2:$D$1441=$B$5)*$C$36))</f>
        <v>1</v>
      </c>
      <c r="C57" s="24" cm="1">
        <f t="array" ref="C57">SUMPRODUCT((Data!$A$2:$A$1441=$A57)*(Data!$B$2:$B$1441=C$9)*Data!$E$2:$E$1441*((Data!$D$2:$D$1441=$B$3)*$C$34+(Data!$D$2:$D$1441=$B$4)*$C$35+(Data!$D$2:$D$1441=$B$5)*$C$36))</f>
        <v>1</v>
      </c>
      <c r="D57" s="24" cm="1">
        <f t="array" ref="D57">SUMPRODUCT((Data!$A$2:$A$1441=$A57)*(Data!$B$2:$B$1441=D$9)*Data!$E$2:$E$1441*((Data!$D$2:$D$1441=$B$3)*$C$34+(Data!$D$2:$D$1441=$B$4)*$C$35+(Data!$D$2:$D$1441=$B$5)*$C$36))</f>
        <v>3</v>
      </c>
      <c r="E57" s="24" cm="1">
        <f t="array" ref="E57">SUMPRODUCT((Data!$A$2:$A$1441=$A57)*(Data!$B$2:$B$1441=E$9)*Data!$E$2:$E$1441*((Data!$D$2:$D$1441=$B$3)*$C$34+(Data!$D$2:$D$1441=$B$4)*$C$35+(Data!$D$2:$D$1441=$B$5)*$C$36))</f>
        <v>1</v>
      </c>
      <c r="F57" s="24" t="str">
        <f t="shared" si="7"/>
        <v>Low</v>
      </c>
      <c r="G57" s="24" t="str">
        <f t="shared" ref="G57:G60" si="9">IF(C57&gt;=$F$34,"Critical",IF(C57&gt;=$F$35,"High",IF(C57&gt;=$F$36,"Medium","Low")))</f>
        <v>Low</v>
      </c>
      <c r="H57" s="24" t="str">
        <f t="shared" ref="H57:H60" si="10">IF(D57&gt;=$F$34,"Critical",IF(D57&gt;=$F$35,"High",IF(D57&gt;=$F$36,"Medium","Low")))</f>
        <v>Low</v>
      </c>
      <c r="I57" s="24" t="str">
        <f t="shared" ref="I57:I60" si="11">IF(E57&gt;=$F$34,"Critical",IF(E57&gt;=$F$35,"High",IF(E57&gt;=$F$36,"Medium","Low")))</f>
        <v>Low</v>
      </c>
      <c r="J57" s="24">
        <f t="shared" si="8"/>
        <v>0</v>
      </c>
    </row>
    <row r="58" spans="1:10" x14ac:dyDescent="0.3">
      <c r="A58" s="24" t="s">
        <v>59</v>
      </c>
      <c r="B58" s="24" cm="1">
        <f t="array" ref="B58">SUMPRODUCT((Data!$A$2:$A$1441=$A58)*(Data!$B$2:$B$1441=B$9)*Data!$E$2:$E$1441*((Data!$D$2:$D$1441=$B$3)*$C$34+(Data!$D$2:$D$1441=$B$4)*$C$35+(Data!$D$2:$D$1441=$B$5)*$C$36))</f>
        <v>2</v>
      </c>
      <c r="C58" s="24" cm="1">
        <f t="array" ref="C58">SUMPRODUCT((Data!$A$2:$A$1441=$A58)*(Data!$B$2:$B$1441=C$9)*Data!$E$2:$E$1441*((Data!$D$2:$D$1441=$B$3)*$C$34+(Data!$D$2:$D$1441=$B$4)*$C$35+(Data!$D$2:$D$1441=$B$5)*$C$36))</f>
        <v>1</v>
      </c>
      <c r="D58" s="24" cm="1">
        <f t="array" ref="D58">SUMPRODUCT((Data!$A$2:$A$1441=$A58)*(Data!$B$2:$B$1441=D$9)*Data!$E$2:$E$1441*((Data!$D$2:$D$1441=$B$3)*$C$34+(Data!$D$2:$D$1441=$B$4)*$C$35+(Data!$D$2:$D$1441=$B$5)*$C$36))</f>
        <v>1</v>
      </c>
      <c r="E58" s="24" cm="1">
        <f t="array" ref="E58">SUMPRODUCT((Data!$A$2:$A$1441=$A58)*(Data!$B$2:$B$1441=E$9)*Data!$E$2:$E$1441*((Data!$D$2:$D$1441=$B$3)*$C$34+(Data!$D$2:$D$1441=$B$4)*$C$35+(Data!$D$2:$D$1441=$B$5)*$C$36))</f>
        <v>1</v>
      </c>
      <c r="F58" s="24" t="str">
        <f t="shared" si="7"/>
        <v>Low</v>
      </c>
      <c r="G58" s="24" t="str">
        <f t="shared" si="9"/>
        <v>Low</v>
      </c>
      <c r="H58" s="24" t="str">
        <f t="shared" si="10"/>
        <v>Low</v>
      </c>
      <c r="I58" s="24" t="str">
        <f t="shared" si="11"/>
        <v>Low</v>
      </c>
      <c r="J58" s="24">
        <f t="shared" si="8"/>
        <v>0</v>
      </c>
    </row>
    <row r="59" spans="1:10" x14ac:dyDescent="0.3">
      <c r="A59" s="24" t="s">
        <v>61</v>
      </c>
      <c r="B59" s="24" cm="1">
        <f t="array" ref="B59">SUMPRODUCT((Data!$A$2:$A$1441=$A59)*(Data!$B$2:$B$1441=B$9)*Data!$E$2:$E$1441*((Data!$D$2:$D$1441=$B$3)*$C$34+(Data!$D$2:$D$1441=$B$4)*$C$35+(Data!$D$2:$D$1441=$B$5)*$C$36))</f>
        <v>1</v>
      </c>
      <c r="C59" s="24" cm="1">
        <f t="array" ref="C59">SUMPRODUCT((Data!$A$2:$A$1441=$A59)*(Data!$B$2:$B$1441=C$9)*Data!$E$2:$E$1441*((Data!$D$2:$D$1441=$B$3)*$C$34+(Data!$D$2:$D$1441=$B$4)*$C$35+(Data!$D$2:$D$1441=$B$5)*$C$36))</f>
        <v>2</v>
      </c>
      <c r="D59" s="24" cm="1">
        <f t="array" ref="D59">SUMPRODUCT((Data!$A$2:$A$1441=$A59)*(Data!$B$2:$B$1441=D$9)*Data!$E$2:$E$1441*((Data!$D$2:$D$1441=$B$3)*$C$34+(Data!$D$2:$D$1441=$B$4)*$C$35+(Data!$D$2:$D$1441=$B$5)*$C$36))</f>
        <v>4</v>
      </c>
      <c r="E59" s="24" cm="1">
        <f t="array" ref="E59">SUMPRODUCT((Data!$A$2:$A$1441=$A59)*(Data!$B$2:$B$1441=E$9)*Data!$E$2:$E$1441*((Data!$D$2:$D$1441=$B$3)*$C$34+(Data!$D$2:$D$1441=$B$4)*$C$35+(Data!$D$2:$D$1441=$B$5)*$C$36))</f>
        <v>1</v>
      </c>
      <c r="F59" s="24" t="str">
        <f t="shared" si="7"/>
        <v>Low</v>
      </c>
      <c r="G59" s="24" t="str">
        <f t="shared" si="9"/>
        <v>Low</v>
      </c>
      <c r="H59" s="24" t="str">
        <f t="shared" si="10"/>
        <v>Low</v>
      </c>
      <c r="I59" s="24" t="str">
        <f t="shared" si="11"/>
        <v>Low</v>
      </c>
      <c r="J59" s="24">
        <f t="shared" si="8"/>
        <v>0</v>
      </c>
    </row>
    <row r="60" spans="1:10" x14ac:dyDescent="0.3">
      <c r="A60" s="24" t="s">
        <v>63</v>
      </c>
      <c r="B60" s="24" cm="1">
        <f t="array" ref="B60">SUMPRODUCT((Data!$A$2:$A$1441=$A60)*(Data!$B$2:$B$1441=B$9)*Data!$E$2:$E$1441*((Data!$D$2:$D$1441=$B$3)*$C$34+(Data!$D$2:$D$1441=$B$4)*$C$35+(Data!$D$2:$D$1441=$B$5)*$C$36))</f>
        <v>2</v>
      </c>
      <c r="C60" s="24" cm="1">
        <f t="array" ref="C60">SUMPRODUCT((Data!$A$2:$A$1441=$A60)*(Data!$B$2:$B$1441=C$9)*Data!$E$2:$E$1441*((Data!$D$2:$D$1441=$B$3)*$C$34+(Data!$D$2:$D$1441=$B$4)*$C$35+(Data!$D$2:$D$1441=$B$5)*$C$36))</f>
        <v>1</v>
      </c>
      <c r="D60" s="24" cm="1">
        <f t="array" ref="D60">SUMPRODUCT((Data!$A$2:$A$1441=$A60)*(Data!$B$2:$B$1441=D$9)*Data!$E$2:$E$1441*((Data!$D$2:$D$1441=$B$3)*$C$34+(Data!$D$2:$D$1441=$B$4)*$C$35+(Data!$D$2:$D$1441=$B$5)*$C$36))</f>
        <v>7</v>
      </c>
      <c r="E60" s="24" cm="1">
        <f t="array" ref="E60">SUMPRODUCT((Data!$A$2:$A$1441=$A60)*(Data!$B$2:$B$1441=E$9)*Data!$E$2:$E$1441*((Data!$D$2:$D$1441=$B$3)*$C$34+(Data!$D$2:$D$1441=$B$4)*$C$35+(Data!$D$2:$D$1441=$B$5)*$C$36))</f>
        <v>1</v>
      </c>
      <c r="F60" s="24" t="str">
        <f t="shared" si="7"/>
        <v>Low</v>
      </c>
      <c r="G60" s="24" t="str">
        <f t="shared" si="9"/>
        <v>Low</v>
      </c>
      <c r="H60" s="24" t="str">
        <f t="shared" si="10"/>
        <v>Medium</v>
      </c>
      <c r="I60" s="24" t="str">
        <f t="shared" si="11"/>
        <v>Low</v>
      </c>
      <c r="J60" s="24">
        <f t="shared" si="8"/>
        <v>1</v>
      </c>
    </row>
    <row r="61" spans="1:10" x14ac:dyDescent="0.3">
      <c r="A61" s="25"/>
      <c r="B61" s="25"/>
      <c r="C61" s="25"/>
      <c r="D61" s="25"/>
      <c r="E61" s="25"/>
      <c r="F61" s="25"/>
      <c r="G61" s="25"/>
      <c r="H61" s="25"/>
      <c r="I61" s="25"/>
      <c r="J61" s="25">
        <f>SUM(J41:J60)</f>
        <v>5</v>
      </c>
    </row>
    <row r="63" spans="1:10" x14ac:dyDescent="0.3">
      <c r="B63" s="32" t="s">
        <v>494</v>
      </c>
      <c r="C63" s="32" t="s">
        <v>495</v>
      </c>
      <c r="E63" s="32" t="s">
        <v>501</v>
      </c>
      <c r="F63" s="32"/>
    </row>
    <row r="64" spans="1:10" x14ac:dyDescent="0.3">
      <c r="B64" s="31" t="s">
        <v>485</v>
      </c>
      <c r="C64" s="31">
        <v>5</v>
      </c>
      <c r="E64" s="31" t="s">
        <v>502</v>
      </c>
      <c r="F64" s="31">
        <f>56*0.75</f>
        <v>42</v>
      </c>
      <c r="G64" s="26"/>
    </row>
    <row r="65" spans="1:10" x14ac:dyDescent="0.3">
      <c r="B65" s="31" t="s">
        <v>486</v>
      </c>
      <c r="C65" s="31">
        <v>2</v>
      </c>
      <c r="E65" s="31" t="s">
        <v>503</v>
      </c>
      <c r="F65" s="31">
        <f>56*0.5</f>
        <v>28</v>
      </c>
    </row>
    <row r="66" spans="1:10" x14ac:dyDescent="0.3">
      <c r="B66" s="31" t="s">
        <v>487</v>
      </c>
      <c r="C66" s="31">
        <v>1</v>
      </c>
      <c r="E66" s="31" t="s">
        <v>504</v>
      </c>
      <c r="F66" s="31">
        <f>56*0.25</f>
        <v>14</v>
      </c>
    </row>
    <row r="67" spans="1:10" x14ac:dyDescent="0.3">
      <c r="E67" s="31" t="s">
        <v>505</v>
      </c>
      <c r="F67" s="31">
        <v>14</v>
      </c>
    </row>
    <row r="70" spans="1:10" x14ac:dyDescent="0.3">
      <c r="A70" s="25" t="s">
        <v>489</v>
      </c>
      <c r="B70" s="25" t="s">
        <v>21</v>
      </c>
      <c r="C70" s="25" t="s">
        <v>23</v>
      </c>
      <c r="D70" s="25" t="s">
        <v>24</v>
      </c>
      <c r="E70" s="25" t="s">
        <v>25</v>
      </c>
      <c r="F70" s="25" t="s">
        <v>506</v>
      </c>
      <c r="G70" s="25" t="s">
        <v>507</v>
      </c>
      <c r="H70" s="25" t="s">
        <v>508</v>
      </c>
      <c r="I70" s="25" t="s">
        <v>509</v>
      </c>
      <c r="J70" s="25" t="s">
        <v>510</v>
      </c>
    </row>
    <row r="71" spans="1:10" x14ac:dyDescent="0.3">
      <c r="A71" s="24" t="s">
        <v>19</v>
      </c>
      <c r="B71" s="24" cm="1">
        <f t="array" ref="B71">SUMPRODUCT((Data!$A$2:$A$1441=$A71)*(Data!$B$2:$B$1441=B$9)*Data!$E$2:$E$1441*((Data!$D$2:$D$1441=$B$3)*$C$64+(Data!$D$2:$D$1441=$B$4)*$C$65+(Data!$D$2:$D$1441=$B$5)*$C$66))</f>
        <v>5</v>
      </c>
      <c r="C71" s="24" cm="1">
        <f t="array" ref="C71">SUMPRODUCT((Data!$A$2:$A$1441=$A71)*(Data!$B$2:$B$1441=C$9)*Data!$E$2:$E$1441*((Data!$D$2:$D$1441=$B$3)*$C$64+(Data!$D$2:$D$1441=$B$4)*$C$65+(Data!$D$2:$D$1441=$B$5)*$C$66))</f>
        <v>5</v>
      </c>
      <c r="D71" s="24" cm="1">
        <f t="array" ref="D71">SUMPRODUCT((Data!$A$2:$A$1441=$A71)*(Data!$B$2:$B$1441=D$9)*Data!$E$2:$E$1441*((Data!$D$2:$D$1441=$B$3)*$C$64+(Data!$D$2:$D$1441=$B$4)*$C$65+(Data!$D$2:$D$1441=$B$5)*$C$66))</f>
        <v>12</v>
      </c>
      <c r="E71" s="24" cm="1">
        <f t="array" ref="E71">SUMPRODUCT((Data!$A$2:$A$1441=$A71)*(Data!$B$2:$B$1441=E$9)*Data!$E$2:$E$1441*((Data!$D$2:$D$1441=$B$3)*$C$64+(Data!$D$2:$D$1441=$B$4)*$C$65+(Data!$D$2:$D$1441=$B$5)*$C$66))</f>
        <v>5</v>
      </c>
      <c r="F71" s="24" t="str">
        <f>IF(B71&gt;=$F$64,"Critical",IF(B71&gt;=$F$65,"High",IF(B71&gt;=$F$66,"Medium","Low")))</f>
        <v>Low</v>
      </c>
      <c r="G71" s="24" t="str">
        <f t="shared" ref="G71:I86" si="12">IF(C71&gt;=$F$64,"Critical",IF(C71&gt;=$F$65,"High",IF(C71&gt;=$F$66,"Medium","Low")))</f>
        <v>Low</v>
      </c>
      <c r="H71" s="24" t="str">
        <f t="shared" si="12"/>
        <v>Low</v>
      </c>
      <c r="I71" s="24" t="str">
        <f t="shared" si="12"/>
        <v>Low</v>
      </c>
      <c r="J71" s="24">
        <f>IF(AND(F71=G71,G71=H71,H71=I71),0,1)</f>
        <v>0</v>
      </c>
    </row>
    <row r="72" spans="1:10" x14ac:dyDescent="0.3">
      <c r="A72" s="24" t="s">
        <v>26</v>
      </c>
      <c r="B72" s="24" cm="1">
        <f t="array" ref="B72">SUMPRODUCT((Data!$A$2:$A$1441=$A72)*(Data!$B$2:$B$1441=B$9)*Data!$E$2:$E$1441*((Data!$D$2:$D$1441=$B$3)*$C$64+(Data!$D$2:$D$1441=$B$4)*$C$65+(Data!$D$2:$D$1441=$B$5)*$C$66))</f>
        <v>2</v>
      </c>
      <c r="C72" s="24" cm="1">
        <f t="array" ref="C72">SUMPRODUCT((Data!$A$2:$A$1441=$A72)*(Data!$B$2:$B$1441=C$9)*Data!$E$2:$E$1441*((Data!$D$2:$D$1441=$B$3)*$C$64+(Data!$D$2:$D$1441=$B$4)*$C$65+(Data!$D$2:$D$1441=$B$5)*$C$66))</f>
        <v>5</v>
      </c>
      <c r="D72" s="24" cm="1">
        <f t="array" ref="D72">SUMPRODUCT((Data!$A$2:$A$1441=$A72)*(Data!$B$2:$B$1441=D$9)*Data!$E$2:$E$1441*((Data!$D$2:$D$1441=$B$3)*$C$64+(Data!$D$2:$D$1441=$B$4)*$C$65+(Data!$D$2:$D$1441=$B$5)*$C$66))</f>
        <v>7</v>
      </c>
      <c r="E72" s="24" cm="1">
        <f t="array" ref="E72">SUMPRODUCT((Data!$A$2:$A$1441=$A72)*(Data!$B$2:$B$1441=E$9)*Data!$E$2:$E$1441*((Data!$D$2:$D$1441=$B$3)*$C$64+(Data!$D$2:$D$1441=$B$4)*$C$65+(Data!$D$2:$D$1441=$B$5)*$C$66))</f>
        <v>2</v>
      </c>
      <c r="F72" s="24" t="str">
        <f t="shared" ref="F72:F90" si="13">IF(B72&gt;=$F$64,"Critical",IF(B72&gt;=$F$65,"High",IF(B72&gt;=$F$66,"Medium","Low")))</f>
        <v>Low</v>
      </c>
      <c r="G72" s="24" t="str">
        <f t="shared" si="12"/>
        <v>Low</v>
      </c>
      <c r="H72" s="24" t="str">
        <f t="shared" si="12"/>
        <v>Low</v>
      </c>
      <c r="I72" s="24" t="str">
        <f t="shared" si="12"/>
        <v>Low</v>
      </c>
      <c r="J72" s="24">
        <f t="shared" ref="J72:J90" si="14">IF(AND(F72=G72,G72=H72,H72=I72),0,1)</f>
        <v>0</v>
      </c>
    </row>
    <row r="73" spans="1:10" x14ac:dyDescent="0.3">
      <c r="A73" s="24" t="s">
        <v>28</v>
      </c>
      <c r="B73" s="24" cm="1">
        <f t="array" ref="B73">SUMPRODUCT((Data!$A$2:$A$1441=$A73)*(Data!$B$2:$B$1441=B$9)*Data!$E$2:$E$1441*((Data!$D$2:$D$1441=$B$3)*$C$64+(Data!$D$2:$D$1441=$B$4)*$C$65+(Data!$D$2:$D$1441=$B$5)*$C$66))</f>
        <v>7</v>
      </c>
      <c r="C73" s="24" cm="1">
        <f t="array" ref="C73">SUMPRODUCT((Data!$A$2:$A$1441=$A73)*(Data!$B$2:$B$1441=C$9)*Data!$E$2:$E$1441*((Data!$D$2:$D$1441=$B$3)*$C$64+(Data!$D$2:$D$1441=$B$4)*$C$65+(Data!$D$2:$D$1441=$B$5)*$C$66))</f>
        <v>12</v>
      </c>
      <c r="D73" s="24" cm="1">
        <f t="array" ref="D73">SUMPRODUCT((Data!$A$2:$A$1441=$A73)*(Data!$B$2:$B$1441=D$9)*Data!$E$2:$E$1441*((Data!$D$2:$D$1441=$B$3)*$C$64+(Data!$D$2:$D$1441=$B$4)*$C$65+(Data!$D$2:$D$1441=$B$5)*$C$66))</f>
        <v>7</v>
      </c>
      <c r="E73" s="24" cm="1">
        <f t="array" ref="E73">SUMPRODUCT((Data!$A$2:$A$1441=$A73)*(Data!$B$2:$B$1441=E$9)*Data!$E$2:$E$1441*((Data!$D$2:$D$1441=$B$3)*$C$64+(Data!$D$2:$D$1441=$B$4)*$C$65+(Data!$D$2:$D$1441=$B$5)*$C$66))</f>
        <v>0</v>
      </c>
      <c r="F73" s="24" t="str">
        <f t="shared" si="13"/>
        <v>Low</v>
      </c>
      <c r="G73" s="24" t="str">
        <f t="shared" si="12"/>
        <v>Low</v>
      </c>
      <c r="H73" s="24" t="str">
        <f t="shared" si="12"/>
        <v>Low</v>
      </c>
      <c r="I73" s="24" t="str">
        <f t="shared" si="12"/>
        <v>Low</v>
      </c>
      <c r="J73" s="24">
        <f t="shared" si="14"/>
        <v>0</v>
      </c>
    </row>
    <row r="74" spans="1:10" x14ac:dyDescent="0.3">
      <c r="A74" s="24" t="s">
        <v>30</v>
      </c>
      <c r="B74" s="24" cm="1">
        <f t="array" ref="B74">SUMPRODUCT((Data!$A$2:$A$1441=$A74)*(Data!$B$2:$B$1441=B$9)*Data!$E$2:$E$1441*((Data!$D$2:$D$1441=$B$3)*$C$64+(Data!$D$2:$D$1441=$B$4)*$C$65+(Data!$D$2:$D$1441=$B$5)*$C$66))</f>
        <v>6</v>
      </c>
      <c r="C74" s="24" cm="1">
        <f t="array" ref="C74">SUMPRODUCT((Data!$A$2:$A$1441=$A74)*(Data!$B$2:$B$1441=C$9)*Data!$E$2:$E$1441*((Data!$D$2:$D$1441=$B$3)*$C$64+(Data!$D$2:$D$1441=$B$4)*$C$65+(Data!$D$2:$D$1441=$B$5)*$C$66))</f>
        <v>7</v>
      </c>
      <c r="D74" s="24" cm="1">
        <f t="array" ref="D74">SUMPRODUCT((Data!$A$2:$A$1441=$A74)*(Data!$B$2:$B$1441=D$9)*Data!$E$2:$E$1441*((Data!$D$2:$D$1441=$B$3)*$C$64+(Data!$D$2:$D$1441=$B$4)*$C$65+(Data!$D$2:$D$1441=$B$5)*$C$66))</f>
        <v>0</v>
      </c>
      <c r="E74" s="24" cm="1">
        <f t="array" ref="E74">SUMPRODUCT((Data!$A$2:$A$1441=$A74)*(Data!$B$2:$B$1441=E$9)*Data!$E$2:$E$1441*((Data!$D$2:$D$1441=$B$3)*$C$64+(Data!$D$2:$D$1441=$B$4)*$C$65+(Data!$D$2:$D$1441=$B$5)*$C$66))</f>
        <v>2</v>
      </c>
      <c r="F74" s="24" t="str">
        <f t="shared" si="13"/>
        <v>Low</v>
      </c>
      <c r="G74" s="24" t="str">
        <f t="shared" si="12"/>
        <v>Low</v>
      </c>
      <c r="H74" s="24" t="str">
        <f t="shared" si="12"/>
        <v>Low</v>
      </c>
      <c r="I74" s="24" t="str">
        <f t="shared" si="12"/>
        <v>Low</v>
      </c>
      <c r="J74" s="24">
        <f t="shared" si="14"/>
        <v>0</v>
      </c>
    </row>
    <row r="75" spans="1:10" x14ac:dyDescent="0.3">
      <c r="A75" s="24" t="s">
        <v>32</v>
      </c>
      <c r="B75" s="24" cm="1">
        <f t="array" ref="B75">SUMPRODUCT((Data!$A$2:$A$1441=$A75)*(Data!$B$2:$B$1441=B$9)*Data!$E$2:$E$1441*((Data!$D$2:$D$1441=$B$3)*$C$64+(Data!$D$2:$D$1441=$B$4)*$C$65+(Data!$D$2:$D$1441=$B$5)*$C$66))</f>
        <v>7</v>
      </c>
      <c r="C75" s="24" cm="1">
        <f t="array" ref="C75">SUMPRODUCT((Data!$A$2:$A$1441=$A75)*(Data!$B$2:$B$1441=C$9)*Data!$E$2:$E$1441*((Data!$D$2:$D$1441=$B$3)*$C$64+(Data!$D$2:$D$1441=$B$4)*$C$65+(Data!$D$2:$D$1441=$B$5)*$C$66))</f>
        <v>7</v>
      </c>
      <c r="D75" s="24" cm="1">
        <f t="array" ref="D75">SUMPRODUCT((Data!$A$2:$A$1441=$A75)*(Data!$B$2:$B$1441=D$9)*Data!$E$2:$E$1441*((Data!$D$2:$D$1441=$B$3)*$C$64+(Data!$D$2:$D$1441=$B$4)*$C$65+(Data!$D$2:$D$1441=$B$5)*$C$66))</f>
        <v>7</v>
      </c>
      <c r="E75" s="24" cm="1">
        <f t="array" ref="E75">SUMPRODUCT((Data!$A$2:$A$1441=$A75)*(Data!$B$2:$B$1441=E$9)*Data!$E$2:$E$1441*((Data!$D$2:$D$1441=$B$3)*$C$64+(Data!$D$2:$D$1441=$B$4)*$C$65+(Data!$D$2:$D$1441=$B$5)*$C$66))</f>
        <v>2</v>
      </c>
      <c r="F75" s="24" t="str">
        <f t="shared" si="13"/>
        <v>Low</v>
      </c>
      <c r="G75" s="24" t="str">
        <f t="shared" si="12"/>
        <v>Low</v>
      </c>
      <c r="H75" s="24" t="str">
        <f t="shared" si="12"/>
        <v>Low</v>
      </c>
      <c r="I75" s="24" t="str">
        <f t="shared" si="12"/>
        <v>Low</v>
      </c>
      <c r="J75" s="24">
        <f t="shared" si="14"/>
        <v>0</v>
      </c>
    </row>
    <row r="76" spans="1:10" x14ac:dyDescent="0.3">
      <c r="A76" s="24" t="s">
        <v>34</v>
      </c>
      <c r="B76" s="24" cm="1">
        <f t="array" ref="B76">SUMPRODUCT((Data!$A$2:$A$1441=$A76)*(Data!$B$2:$B$1441=B$9)*Data!$E$2:$E$1441*((Data!$D$2:$D$1441=$B$3)*$C$64+(Data!$D$2:$D$1441=$B$4)*$C$65+(Data!$D$2:$D$1441=$B$5)*$C$66))</f>
        <v>5</v>
      </c>
      <c r="C76" s="24" cm="1">
        <f t="array" ref="C76">SUMPRODUCT((Data!$A$2:$A$1441=$A76)*(Data!$B$2:$B$1441=C$9)*Data!$E$2:$E$1441*((Data!$D$2:$D$1441=$B$3)*$C$64+(Data!$D$2:$D$1441=$B$4)*$C$65+(Data!$D$2:$D$1441=$B$5)*$C$66))</f>
        <v>0</v>
      </c>
      <c r="D76" s="24" cm="1">
        <f t="array" ref="D76">SUMPRODUCT((Data!$A$2:$A$1441=$A76)*(Data!$B$2:$B$1441=D$9)*Data!$E$2:$E$1441*((Data!$D$2:$D$1441=$B$3)*$C$64+(Data!$D$2:$D$1441=$B$4)*$C$65+(Data!$D$2:$D$1441=$B$5)*$C$66))</f>
        <v>2</v>
      </c>
      <c r="E76" s="24" cm="1">
        <f t="array" ref="E76">SUMPRODUCT((Data!$A$2:$A$1441=$A76)*(Data!$B$2:$B$1441=E$9)*Data!$E$2:$E$1441*((Data!$D$2:$D$1441=$B$3)*$C$64+(Data!$D$2:$D$1441=$B$4)*$C$65+(Data!$D$2:$D$1441=$B$5)*$C$66))</f>
        <v>2</v>
      </c>
      <c r="F76" s="24" t="str">
        <f t="shared" si="13"/>
        <v>Low</v>
      </c>
      <c r="G76" s="24" t="str">
        <f t="shared" si="12"/>
        <v>Low</v>
      </c>
      <c r="H76" s="24" t="str">
        <f t="shared" si="12"/>
        <v>Low</v>
      </c>
      <c r="I76" s="24" t="str">
        <f t="shared" si="12"/>
        <v>Low</v>
      </c>
      <c r="J76" s="24">
        <f t="shared" si="14"/>
        <v>0</v>
      </c>
    </row>
    <row r="77" spans="1:10" x14ac:dyDescent="0.3">
      <c r="A77" s="24" t="s">
        <v>36</v>
      </c>
      <c r="B77" s="24" cm="1">
        <f t="array" ref="B77">SUMPRODUCT((Data!$A$2:$A$1441=$A77)*(Data!$B$2:$B$1441=B$9)*Data!$E$2:$E$1441*((Data!$D$2:$D$1441=$B$3)*$C$64+(Data!$D$2:$D$1441=$B$4)*$C$65+(Data!$D$2:$D$1441=$B$5)*$C$66))</f>
        <v>7</v>
      </c>
      <c r="C77" s="24" cm="1">
        <f t="array" ref="C77">SUMPRODUCT((Data!$A$2:$A$1441=$A77)*(Data!$B$2:$B$1441=C$9)*Data!$E$2:$E$1441*((Data!$D$2:$D$1441=$B$3)*$C$64+(Data!$D$2:$D$1441=$B$4)*$C$65+(Data!$D$2:$D$1441=$B$5)*$C$66))</f>
        <v>5</v>
      </c>
      <c r="D77" s="24" cm="1">
        <f t="array" ref="D77">SUMPRODUCT((Data!$A$2:$A$1441=$A77)*(Data!$B$2:$B$1441=D$9)*Data!$E$2:$E$1441*((Data!$D$2:$D$1441=$B$3)*$C$64+(Data!$D$2:$D$1441=$B$4)*$C$65+(Data!$D$2:$D$1441=$B$5)*$C$66))</f>
        <v>7</v>
      </c>
      <c r="E77" s="24" cm="1">
        <f t="array" ref="E77">SUMPRODUCT((Data!$A$2:$A$1441=$A77)*(Data!$B$2:$B$1441=E$9)*Data!$E$2:$E$1441*((Data!$D$2:$D$1441=$B$3)*$C$64+(Data!$D$2:$D$1441=$B$4)*$C$65+(Data!$D$2:$D$1441=$B$5)*$C$66))</f>
        <v>2</v>
      </c>
      <c r="F77" s="24" t="str">
        <f t="shared" si="13"/>
        <v>Low</v>
      </c>
      <c r="G77" s="24" t="str">
        <f t="shared" si="12"/>
        <v>Low</v>
      </c>
      <c r="H77" s="24" t="str">
        <f t="shared" si="12"/>
        <v>Low</v>
      </c>
      <c r="I77" s="24" t="str">
        <f t="shared" si="12"/>
        <v>Low</v>
      </c>
      <c r="J77" s="24">
        <f t="shared" si="14"/>
        <v>0</v>
      </c>
    </row>
    <row r="78" spans="1:10" x14ac:dyDescent="0.3">
      <c r="A78" s="24" t="s">
        <v>38</v>
      </c>
      <c r="B78" s="24" cm="1">
        <f t="array" ref="B78">SUMPRODUCT((Data!$A$2:$A$1441=$A78)*(Data!$B$2:$B$1441=B$9)*Data!$E$2:$E$1441*((Data!$D$2:$D$1441=$B$3)*$C$64+(Data!$D$2:$D$1441=$B$4)*$C$65+(Data!$D$2:$D$1441=$B$5)*$C$66))</f>
        <v>7</v>
      </c>
      <c r="C78" s="24" cm="1">
        <f t="array" ref="C78">SUMPRODUCT((Data!$A$2:$A$1441=$A78)*(Data!$B$2:$B$1441=C$9)*Data!$E$2:$E$1441*((Data!$D$2:$D$1441=$B$3)*$C$64+(Data!$D$2:$D$1441=$B$4)*$C$65+(Data!$D$2:$D$1441=$B$5)*$C$66))</f>
        <v>9</v>
      </c>
      <c r="D78" s="24" cm="1">
        <f t="array" ref="D78">SUMPRODUCT((Data!$A$2:$A$1441=$A78)*(Data!$B$2:$B$1441=D$9)*Data!$E$2:$E$1441*((Data!$D$2:$D$1441=$B$3)*$C$64+(Data!$D$2:$D$1441=$B$4)*$C$65+(Data!$D$2:$D$1441=$B$5)*$C$66))</f>
        <v>7</v>
      </c>
      <c r="E78" s="24" cm="1">
        <f t="array" ref="E78">SUMPRODUCT((Data!$A$2:$A$1441=$A78)*(Data!$B$2:$B$1441=E$9)*Data!$E$2:$E$1441*((Data!$D$2:$D$1441=$B$3)*$C$64+(Data!$D$2:$D$1441=$B$4)*$C$65+(Data!$D$2:$D$1441=$B$5)*$C$66))</f>
        <v>2</v>
      </c>
      <c r="F78" s="24" t="str">
        <f t="shared" si="13"/>
        <v>Low</v>
      </c>
      <c r="G78" s="24" t="str">
        <f t="shared" si="12"/>
        <v>Low</v>
      </c>
      <c r="H78" s="24" t="str">
        <f t="shared" si="12"/>
        <v>Low</v>
      </c>
      <c r="I78" s="24" t="str">
        <f t="shared" si="12"/>
        <v>Low</v>
      </c>
      <c r="J78" s="24">
        <f t="shared" si="14"/>
        <v>0</v>
      </c>
    </row>
    <row r="79" spans="1:10" x14ac:dyDescent="0.3">
      <c r="A79" s="24" t="s">
        <v>40</v>
      </c>
      <c r="B79" s="24" cm="1">
        <f t="array" ref="B79">SUMPRODUCT((Data!$A$2:$A$1441=$A79)*(Data!$B$2:$B$1441=B$9)*Data!$E$2:$E$1441*((Data!$D$2:$D$1441=$B$3)*$C$64+(Data!$D$2:$D$1441=$B$4)*$C$65+(Data!$D$2:$D$1441=$B$5)*$C$66))</f>
        <v>7</v>
      </c>
      <c r="C79" s="24" cm="1">
        <f t="array" ref="C79">SUMPRODUCT((Data!$A$2:$A$1441=$A79)*(Data!$B$2:$B$1441=C$9)*Data!$E$2:$E$1441*((Data!$D$2:$D$1441=$B$3)*$C$64+(Data!$D$2:$D$1441=$B$4)*$C$65+(Data!$D$2:$D$1441=$B$5)*$C$66))</f>
        <v>19</v>
      </c>
      <c r="D79" s="24" cm="1">
        <f t="array" ref="D79">SUMPRODUCT((Data!$A$2:$A$1441=$A79)*(Data!$B$2:$B$1441=D$9)*Data!$E$2:$E$1441*((Data!$D$2:$D$1441=$B$3)*$C$64+(Data!$D$2:$D$1441=$B$4)*$C$65+(Data!$D$2:$D$1441=$B$5)*$C$66))</f>
        <v>17</v>
      </c>
      <c r="E79" s="24" cm="1">
        <f t="array" ref="E79">SUMPRODUCT((Data!$A$2:$A$1441=$A79)*(Data!$B$2:$B$1441=E$9)*Data!$E$2:$E$1441*((Data!$D$2:$D$1441=$B$3)*$C$64+(Data!$D$2:$D$1441=$B$4)*$C$65+(Data!$D$2:$D$1441=$B$5)*$C$66))</f>
        <v>2</v>
      </c>
      <c r="F79" s="24" t="str">
        <f t="shared" si="13"/>
        <v>Low</v>
      </c>
      <c r="G79" s="24" t="str">
        <f t="shared" si="12"/>
        <v>Medium</v>
      </c>
      <c r="H79" s="24" t="str">
        <f t="shared" si="12"/>
        <v>Medium</v>
      </c>
      <c r="I79" s="24" t="str">
        <f t="shared" si="12"/>
        <v>Low</v>
      </c>
      <c r="J79" s="24">
        <f t="shared" si="14"/>
        <v>1</v>
      </c>
    </row>
    <row r="80" spans="1:10" x14ac:dyDescent="0.3">
      <c r="A80" s="24" t="s">
        <v>43</v>
      </c>
      <c r="B80" s="24" cm="1">
        <f t="array" ref="B80">SUMPRODUCT((Data!$A$2:$A$1441=$A80)*(Data!$B$2:$B$1441=B$9)*Data!$E$2:$E$1441*((Data!$D$2:$D$1441=$B$3)*$C$64+(Data!$D$2:$D$1441=$B$4)*$C$65+(Data!$D$2:$D$1441=$B$5)*$C$66))</f>
        <v>12</v>
      </c>
      <c r="C80" s="24" cm="1">
        <f t="array" ref="C80">SUMPRODUCT((Data!$A$2:$A$1441=$A80)*(Data!$B$2:$B$1441=C$9)*Data!$E$2:$E$1441*((Data!$D$2:$D$1441=$B$3)*$C$64+(Data!$D$2:$D$1441=$B$4)*$C$65+(Data!$D$2:$D$1441=$B$5)*$C$66))</f>
        <v>7</v>
      </c>
      <c r="D80" s="24" cm="1">
        <f t="array" ref="D80">SUMPRODUCT((Data!$A$2:$A$1441=$A80)*(Data!$B$2:$B$1441=D$9)*Data!$E$2:$E$1441*((Data!$D$2:$D$1441=$B$3)*$C$64+(Data!$D$2:$D$1441=$B$4)*$C$65+(Data!$D$2:$D$1441=$B$5)*$C$66))</f>
        <v>17</v>
      </c>
      <c r="E80" s="24" cm="1">
        <f t="array" ref="E80">SUMPRODUCT((Data!$A$2:$A$1441=$A80)*(Data!$B$2:$B$1441=E$9)*Data!$E$2:$E$1441*((Data!$D$2:$D$1441=$B$3)*$C$64+(Data!$D$2:$D$1441=$B$4)*$C$65+(Data!$D$2:$D$1441=$B$5)*$C$66))</f>
        <v>2</v>
      </c>
      <c r="F80" s="24" t="str">
        <f t="shared" si="13"/>
        <v>Low</v>
      </c>
      <c r="G80" s="24" t="str">
        <f t="shared" si="12"/>
        <v>Low</v>
      </c>
      <c r="H80" s="24" t="str">
        <f t="shared" si="12"/>
        <v>Medium</v>
      </c>
      <c r="I80" s="24" t="str">
        <f t="shared" si="12"/>
        <v>Low</v>
      </c>
      <c r="J80" s="24">
        <f t="shared" si="14"/>
        <v>1</v>
      </c>
    </row>
    <row r="81" spans="1:10" x14ac:dyDescent="0.3">
      <c r="A81" s="24" t="s">
        <v>45</v>
      </c>
      <c r="B81" s="24" cm="1">
        <f t="array" ref="B81">SUMPRODUCT((Data!$A$2:$A$1441=$A81)*(Data!$B$2:$B$1441=B$9)*Data!$E$2:$E$1441*((Data!$D$2:$D$1441=$B$3)*$C$64+(Data!$D$2:$D$1441=$B$4)*$C$65+(Data!$D$2:$D$1441=$B$5)*$C$66))</f>
        <v>2</v>
      </c>
      <c r="C81" s="24" cm="1">
        <f t="array" ref="C81">SUMPRODUCT((Data!$A$2:$A$1441=$A81)*(Data!$B$2:$B$1441=C$9)*Data!$E$2:$E$1441*((Data!$D$2:$D$1441=$B$3)*$C$64+(Data!$D$2:$D$1441=$B$4)*$C$65+(Data!$D$2:$D$1441=$B$5)*$C$66))</f>
        <v>2</v>
      </c>
      <c r="D81" s="24" cm="1">
        <f t="array" ref="D81">SUMPRODUCT((Data!$A$2:$A$1441=$A81)*(Data!$B$2:$B$1441=D$9)*Data!$E$2:$E$1441*((Data!$D$2:$D$1441=$B$3)*$C$64+(Data!$D$2:$D$1441=$B$4)*$C$65+(Data!$D$2:$D$1441=$B$5)*$C$66))</f>
        <v>2</v>
      </c>
      <c r="E81" s="24" cm="1">
        <f t="array" ref="E81">SUMPRODUCT((Data!$A$2:$A$1441=$A81)*(Data!$B$2:$B$1441=E$9)*Data!$E$2:$E$1441*((Data!$D$2:$D$1441=$B$3)*$C$64+(Data!$D$2:$D$1441=$B$4)*$C$65+(Data!$D$2:$D$1441=$B$5)*$C$66))</f>
        <v>2</v>
      </c>
      <c r="F81" s="24" t="str">
        <f t="shared" si="13"/>
        <v>Low</v>
      </c>
      <c r="G81" s="24" t="str">
        <f t="shared" si="12"/>
        <v>Low</v>
      </c>
      <c r="H81" s="24" t="str">
        <f t="shared" si="12"/>
        <v>Low</v>
      </c>
      <c r="I81" s="24" t="str">
        <f t="shared" si="12"/>
        <v>Low</v>
      </c>
      <c r="J81" s="24">
        <f t="shared" si="14"/>
        <v>0</v>
      </c>
    </row>
    <row r="82" spans="1:10" x14ac:dyDescent="0.3">
      <c r="A82" s="24" t="s">
        <v>47</v>
      </c>
      <c r="B82" s="24" cm="1">
        <f t="array" ref="B82">SUMPRODUCT((Data!$A$2:$A$1441=$A82)*(Data!$B$2:$B$1441=B$9)*Data!$E$2:$E$1441*((Data!$D$2:$D$1441=$B$3)*$C$64+(Data!$D$2:$D$1441=$B$4)*$C$65+(Data!$D$2:$D$1441=$B$5)*$C$66))</f>
        <v>12</v>
      </c>
      <c r="C82" s="24" cm="1">
        <f t="array" ref="C82">SUMPRODUCT((Data!$A$2:$A$1441=$A82)*(Data!$B$2:$B$1441=C$9)*Data!$E$2:$E$1441*((Data!$D$2:$D$1441=$B$3)*$C$64+(Data!$D$2:$D$1441=$B$4)*$C$65+(Data!$D$2:$D$1441=$B$5)*$C$66))</f>
        <v>7</v>
      </c>
      <c r="D82" s="24" cm="1">
        <f t="array" ref="D82">SUMPRODUCT((Data!$A$2:$A$1441=$A82)*(Data!$B$2:$B$1441=D$9)*Data!$E$2:$E$1441*((Data!$D$2:$D$1441=$B$3)*$C$64+(Data!$D$2:$D$1441=$B$4)*$C$65+(Data!$D$2:$D$1441=$B$5)*$C$66))</f>
        <v>7</v>
      </c>
      <c r="E82" s="24" cm="1">
        <f t="array" ref="E82">SUMPRODUCT((Data!$A$2:$A$1441=$A82)*(Data!$B$2:$B$1441=E$9)*Data!$E$2:$E$1441*((Data!$D$2:$D$1441=$B$3)*$C$64+(Data!$D$2:$D$1441=$B$4)*$C$65+(Data!$D$2:$D$1441=$B$5)*$C$66))</f>
        <v>2</v>
      </c>
      <c r="F82" s="24" t="str">
        <f t="shared" si="13"/>
        <v>Low</v>
      </c>
      <c r="G82" s="24" t="str">
        <f t="shared" si="12"/>
        <v>Low</v>
      </c>
      <c r="H82" s="24" t="str">
        <f t="shared" si="12"/>
        <v>Low</v>
      </c>
      <c r="I82" s="24" t="str">
        <f t="shared" si="12"/>
        <v>Low</v>
      </c>
      <c r="J82" s="24">
        <f t="shared" si="14"/>
        <v>0</v>
      </c>
    </row>
    <row r="83" spans="1:10" x14ac:dyDescent="0.3">
      <c r="A83" s="24" t="s">
        <v>49</v>
      </c>
      <c r="B83" s="24" cm="1">
        <f t="array" ref="B83">SUMPRODUCT((Data!$A$2:$A$1441=$A83)*(Data!$B$2:$B$1441=B$9)*Data!$E$2:$E$1441*((Data!$D$2:$D$1441=$B$3)*$C$64+(Data!$D$2:$D$1441=$B$4)*$C$65+(Data!$D$2:$D$1441=$B$5)*$C$66))</f>
        <v>8</v>
      </c>
      <c r="C83" s="24" cm="1">
        <f t="array" ref="C83">SUMPRODUCT((Data!$A$2:$A$1441=$A83)*(Data!$B$2:$B$1441=C$9)*Data!$E$2:$E$1441*((Data!$D$2:$D$1441=$B$3)*$C$64+(Data!$D$2:$D$1441=$B$4)*$C$65+(Data!$D$2:$D$1441=$B$5)*$C$66))</f>
        <v>5</v>
      </c>
      <c r="D83" s="24" cm="1">
        <f t="array" ref="D83">SUMPRODUCT((Data!$A$2:$A$1441=$A83)*(Data!$B$2:$B$1441=D$9)*Data!$E$2:$E$1441*((Data!$D$2:$D$1441=$B$3)*$C$64+(Data!$D$2:$D$1441=$B$4)*$C$65+(Data!$D$2:$D$1441=$B$5)*$C$66))</f>
        <v>8</v>
      </c>
      <c r="E83" s="24" cm="1">
        <f t="array" ref="E83">SUMPRODUCT((Data!$A$2:$A$1441=$A83)*(Data!$B$2:$B$1441=E$9)*Data!$E$2:$E$1441*((Data!$D$2:$D$1441=$B$3)*$C$64+(Data!$D$2:$D$1441=$B$4)*$C$65+(Data!$D$2:$D$1441=$B$5)*$C$66))</f>
        <v>2</v>
      </c>
      <c r="F83" s="24" t="str">
        <f t="shared" si="13"/>
        <v>Low</v>
      </c>
      <c r="G83" s="24" t="str">
        <f t="shared" si="12"/>
        <v>Low</v>
      </c>
      <c r="H83" s="24" t="str">
        <f t="shared" si="12"/>
        <v>Low</v>
      </c>
      <c r="I83" s="24" t="str">
        <f t="shared" si="12"/>
        <v>Low</v>
      </c>
      <c r="J83" s="24">
        <f t="shared" si="14"/>
        <v>0</v>
      </c>
    </row>
    <row r="84" spans="1:10" x14ac:dyDescent="0.3">
      <c r="A84" s="24" t="s">
        <v>51</v>
      </c>
      <c r="B84" s="24" cm="1">
        <f t="array" ref="B84">SUMPRODUCT((Data!$A$2:$A$1441=$A84)*(Data!$B$2:$B$1441=B$9)*Data!$E$2:$E$1441*((Data!$D$2:$D$1441=$B$3)*$C$64+(Data!$D$2:$D$1441=$B$4)*$C$65+(Data!$D$2:$D$1441=$B$5)*$C$66))</f>
        <v>7</v>
      </c>
      <c r="C84" s="24" cm="1">
        <f t="array" ref="C84">SUMPRODUCT((Data!$A$2:$A$1441=$A84)*(Data!$B$2:$B$1441=C$9)*Data!$E$2:$E$1441*((Data!$D$2:$D$1441=$B$3)*$C$64+(Data!$D$2:$D$1441=$B$4)*$C$65+(Data!$D$2:$D$1441=$B$5)*$C$66))</f>
        <v>17</v>
      </c>
      <c r="D84" s="24" cm="1">
        <f t="array" ref="D84">SUMPRODUCT((Data!$A$2:$A$1441=$A84)*(Data!$B$2:$B$1441=D$9)*Data!$E$2:$E$1441*((Data!$D$2:$D$1441=$B$3)*$C$64+(Data!$D$2:$D$1441=$B$4)*$C$65+(Data!$D$2:$D$1441=$B$5)*$C$66))</f>
        <v>7</v>
      </c>
      <c r="E84" s="24" cm="1">
        <f t="array" ref="E84">SUMPRODUCT((Data!$A$2:$A$1441=$A84)*(Data!$B$2:$B$1441=E$9)*Data!$E$2:$E$1441*((Data!$D$2:$D$1441=$B$3)*$C$64+(Data!$D$2:$D$1441=$B$4)*$C$65+(Data!$D$2:$D$1441=$B$5)*$C$66))</f>
        <v>2</v>
      </c>
      <c r="F84" s="24" t="str">
        <f t="shared" si="13"/>
        <v>Low</v>
      </c>
      <c r="G84" s="24" t="str">
        <f t="shared" si="12"/>
        <v>Medium</v>
      </c>
      <c r="H84" s="24" t="str">
        <f t="shared" si="12"/>
        <v>Low</v>
      </c>
      <c r="I84" s="24" t="str">
        <f t="shared" si="12"/>
        <v>Low</v>
      </c>
      <c r="J84" s="24">
        <f t="shared" si="14"/>
        <v>1</v>
      </c>
    </row>
    <row r="85" spans="1:10" x14ac:dyDescent="0.3">
      <c r="A85" s="24" t="s">
        <v>53</v>
      </c>
      <c r="B85" s="24" cm="1">
        <f t="array" ref="B85">SUMPRODUCT((Data!$A$2:$A$1441=$A85)*(Data!$B$2:$B$1441=B$9)*Data!$E$2:$E$1441*((Data!$D$2:$D$1441=$B$3)*$C$64+(Data!$D$2:$D$1441=$B$4)*$C$65+(Data!$D$2:$D$1441=$B$5)*$C$66))</f>
        <v>5</v>
      </c>
      <c r="C85" s="24" cm="1">
        <f t="array" ref="C85">SUMPRODUCT((Data!$A$2:$A$1441=$A85)*(Data!$B$2:$B$1441=C$9)*Data!$E$2:$E$1441*((Data!$D$2:$D$1441=$B$3)*$C$64+(Data!$D$2:$D$1441=$B$4)*$C$65+(Data!$D$2:$D$1441=$B$5)*$C$66))</f>
        <v>12</v>
      </c>
      <c r="D85" s="24" cm="1">
        <f t="array" ref="D85">SUMPRODUCT((Data!$A$2:$A$1441=$A85)*(Data!$B$2:$B$1441=D$9)*Data!$E$2:$E$1441*((Data!$D$2:$D$1441=$B$3)*$C$64+(Data!$D$2:$D$1441=$B$4)*$C$65+(Data!$D$2:$D$1441=$B$5)*$C$66))</f>
        <v>12</v>
      </c>
      <c r="E85" s="24" cm="1">
        <f t="array" ref="E85">SUMPRODUCT((Data!$A$2:$A$1441=$A85)*(Data!$B$2:$B$1441=E$9)*Data!$E$2:$E$1441*((Data!$D$2:$D$1441=$B$3)*$C$64+(Data!$D$2:$D$1441=$B$4)*$C$65+(Data!$D$2:$D$1441=$B$5)*$C$66))</f>
        <v>2</v>
      </c>
      <c r="F85" s="24" t="str">
        <f t="shared" si="13"/>
        <v>Low</v>
      </c>
      <c r="G85" s="24" t="str">
        <f t="shared" si="12"/>
        <v>Low</v>
      </c>
      <c r="H85" s="24" t="str">
        <f t="shared" si="12"/>
        <v>Low</v>
      </c>
      <c r="I85" s="24" t="str">
        <f t="shared" si="12"/>
        <v>Low</v>
      </c>
      <c r="J85" s="24">
        <f t="shared" si="14"/>
        <v>0</v>
      </c>
    </row>
    <row r="86" spans="1:10" x14ac:dyDescent="0.3">
      <c r="A86" s="24" t="s">
        <v>55</v>
      </c>
      <c r="B86" s="24" cm="1">
        <f t="array" ref="B86">SUMPRODUCT((Data!$A$2:$A$1441=$A86)*(Data!$B$2:$B$1441=B$9)*Data!$E$2:$E$1441*((Data!$D$2:$D$1441=$B$3)*$C$64+(Data!$D$2:$D$1441=$B$4)*$C$65+(Data!$D$2:$D$1441=$B$5)*$C$66))</f>
        <v>8</v>
      </c>
      <c r="C86" s="24" cm="1">
        <f t="array" ref="C86">SUMPRODUCT((Data!$A$2:$A$1441=$A86)*(Data!$B$2:$B$1441=C$9)*Data!$E$2:$E$1441*((Data!$D$2:$D$1441=$B$3)*$C$64+(Data!$D$2:$D$1441=$B$4)*$C$65+(Data!$D$2:$D$1441=$B$5)*$C$66))</f>
        <v>2</v>
      </c>
      <c r="D86" s="24" cm="1">
        <f t="array" ref="D86">SUMPRODUCT((Data!$A$2:$A$1441=$A86)*(Data!$B$2:$B$1441=D$9)*Data!$E$2:$E$1441*((Data!$D$2:$D$1441=$B$3)*$C$64+(Data!$D$2:$D$1441=$B$4)*$C$65+(Data!$D$2:$D$1441=$B$5)*$C$66))</f>
        <v>12</v>
      </c>
      <c r="E86" s="24" cm="1">
        <f t="array" ref="E86">SUMPRODUCT((Data!$A$2:$A$1441=$A86)*(Data!$B$2:$B$1441=E$9)*Data!$E$2:$E$1441*((Data!$D$2:$D$1441=$B$3)*$C$64+(Data!$D$2:$D$1441=$B$4)*$C$65+(Data!$D$2:$D$1441=$B$5)*$C$66))</f>
        <v>2</v>
      </c>
      <c r="F86" s="24" t="str">
        <f t="shared" si="13"/>
        <v>Low</v>
      </c>
      <c r="G86" s="24" t="str">
        <f t="shared" si="12"/>
        <v>Low</v>
      </c>
      <c r="H86" s="24" t="str">
        <f t="shared" si="12"/>
        <v>Low</v>
      </c>
      <c r="I86" s="24" t="str">
        <f t="shared" si="12"/>
        <v>Low</v>
      </c>
      <c r="J86" s="24">
        <f t="shared" si="14"/>
        <v>0</v>
      </c>
    </row>
    <row r="87" spans="1:10" x14ac:dyDescent="0.3">
      <c r="A87" s="24" t="s">
        <v>57</v>
      </c>
      <c r="B87" s="24" cm="1">
        <f t="array" ref="B87">SUMPRODUCT((Data!$A$2:$A$1441=$A87)*(Data!$B$2:$B$1441=B$9)*Data!$E$2:$E$1441*((Data!$D$2:$D$1441=$B$3)*$C$64+(Data!$D$2:$D$1441=$B$4)*$C$65+(Data!$D$2:$D$1441=$B$5)*$C$66))</f>
        <v>5</v>
      </c>
      <c r="C87" s="24" cm="1">
        <f t="array" ref="C87">SUMPRODUCT((Data!$A$2:$A$1441=$A87)*(Data!$B$2:$B$1441=C$9)*Data!$E$2:$E$1441*((Data!$D$2:$D$1441=$B$3)*$C$64+(Data!$D$2:$D$1441=$B$4)*$C$65+(Data!$D$2:$D$1441=$B$5)*$C$66))</f>
        <v>5</v>
      </c>
      <c r="D87" s="24" cm="1">
        <f t="array" ref="D87">SUMPRODUCT((Data!$A$2:$A$1441=$A87)*(Data!$B$2:$B$1441=D$9)*Data!$E$2:$E$1441*((Data!$D$2:$D$1441=$B$3)*$C$64+(Data!$D$2:$D$1441=$B$4)*$C$65+(Data!$D$2:$D$1441=$B$5)*$C$66))</f>
        <v>9</v>
      </c>
      <c r="E87" s="24" cm="1">
        <f t="array" ref="E87">SUMPRODUCT((Data!$A$2:$A$1441=$A87)*(Data!$B$2:$B$1441=E$9)*Data!$E$2:$E$1441*((Data!$D$2:$D$1441=$B$3)*$C$64+(Data!$D$2:$D$1441=$B$4)*$C$65+(Data!$D$2:$D$1441=$B$5)*$C$66))</f>
        <v>2</v>
      </c>
      <c r="F87" s="24" t="str">
        <f t="shared" si="13"/>
        <v>Low</v>
      </c>
      <c r="G87" s="24" t="str">
        <f t="shared" ref="G87:G90" si="15">IF(C87&gt;=$F$64,"Critical",IF(C87&gt;=$F$65,"High",IF(C87&gt;=$F$66,"Medium","Low")))</f>
        <v>Low</v>
      </c>
      <c r="H87" s="24" t="str">
        <f t="shared" ref="H87:H90" si="16">IF(D87&gt;=$F$64,"Critical",IF(D87&gt;=$F$65,"High",IF(D87&gt;=$F$66,"Medium","Low")))</f>
        <v>Low</v>
      </c>
      <c r="I87" s="24" t="str">
        <f t="shared" ref="I87:I90" si="17">IF(E87&gt;=$F$64,"Critical",IF(E87&gt;=$F$65,"High",IF(E87&gt;=$F$66,"Medium","Low")))</f>
        <v>Low</v>
      </c>
      <c r="J87" s="24">
        <f t="shared" si="14"/>
        <v>0</v>
      </c>
    </row>
    <row r="88" spans="1:10" x14ac:dyDescent="0.3">
      <c r="A88" s="24" t="s">
        <v>59</v>
      </c>
      <c r="B88" s="24" cm="1">
        <f t="array" ref="B88">SUMPRODUCT((Data!$A$2:$A$1441=$A88)*(Data!$B$2:$B$1441=B$9)*Data!$E$2:$E$1441*((Data!$D$2:$D$1441=$B$3)*$C$64+(Data!$D$2:$D$1441=$B$4)*$C$65+(Data!$D$2:$D$1441=$B$5)*$C$66))</f>
        <v>7</v>
      </c>
      <c r="C88" s="24" cm="1">
        <f t="array" ref="C88">SUMPRODUCT((Data!$A$2:$A$1441=$A88)*(Data!$B$2:$B$1441=C$9)*Data!$E$2:$E$1441*((Data!$D$2:$D$1441=$B$3)*$C$64+(Data!$D$2:$D$1441=$B$4)*$C$65+(Data!$D$2:$D$1441=$B$5)*$C$66))</f>
        <v>5</v>
      </c>
      <c r="D88" s="24" cm="1">
        <f t="array" ref="D88">SUMPRODUCT((Data!$A$2:$A$1441=$A88)*(Data!$B$2:$B$1441=D$9)*Data!$E$2:$E$1441*((Data!$D$2:$D$1441=$B$3)*$C$64+(Data!$D$2:$D$1441=$B$4)*$C$65+(Data!$D$2:$D$1441=$B$5)*$C$66))</f>
        <v>2</v>
      </c>
      <c r="E88" s="24" cm="1">
        <f t="array" ref="E88">SUMPRODUCT((Data!$A$2:$A$1441=$A88)*(Data!$B$2:$B$1441=E$9)*Data!$E$2:$E$1441*((Data!$D$2:$D$1441=$B$3)*$C$64+(Data!$D$2:$D$1441=$B$4)*$C$65+(Data!$D$2:$D$1441=$B$5)*$C$66))</f>
        <v>2</v>
      </c>
      <c r="F88" s="24" t="str">
        <f t="shared" si="13"/>
        <v>Low</v>
      </c>
      <c r="G88" s="24" t="str">
        <f t="shared" si="15"/>
        <v>Low</v>
      </c>
      <c r="H88" s="24" t="str">
        <f t="shared" si="16"/>
        <v>Low</v>
      </c>
      <c r="I88" s="24" t="str">
        <f t="shared" si="17"/>
        <v>Low</v>
      </c>
      <c r="J88" s="24">
        <f t="shared" si="14"/>
        <v>0</v>
      </c>
    </row>
    <row r="89" spans="1:10" x14ac:dyDescent="0.3">
      <c r="A89" s="24" t="s">
        <v>61</v>
      </c>
      <c r="B89" s="24" cm="1">
        <f t="array" ref="B89">SUMPRODUCT((Data!$A$2:$A$1441=$A89)*(Data!$B$2:$B$1441=B$9)*Data!$E$2:$E$1441*((Data!$D$2:$D$1441=$B$3)*$C$64+(Data!$D$2:$D$1441=$B$4)*$C$65+(Data!$D$2:$D$1441=$B$5)*$C$66))</f>
        <v>5</v>
      </c>
      <c r="C89" s="24" cm="1">
        <f t="array" ref="C89">SUMPRODUCT((Data!$A$2:$A$1441=$A89)*(Data!$B$2:$B$1441=C$9)*Data!$E$2:$E$1441*((Data!$D$2:$D$1441=$B$3)*$C$64+(Data!$D$2:$D$1441=$B$4)*$C$65+(Data!$D$2:$D$1441=$B$5)*$C$66))</f>
        <v>7</v>
      </c>
      <c r="D89" s="24" cm="1">
        <f t="array" ref="D89">SUMPRODUCT((Data!$A$2:$A$1441=$A89)*(Data!$B$2:$B$1441=D$9)*Data!$E$2:$E$1441*((Data!$D$2:$D$1441=$B$3)*$C$64+(Data!$D$2:$D$1441=$B$4)*$C$65+(Data!$D$2:$D$1441=$B$5)*$C$66))</f>
        <v>13</v>
      </c>
      <c r="E89" s="24" cm="1">
        <f t="array" ref="E89">SUMPRODUCT((Data!$A$2:$A$1441=$A89)*(Data!$B$2:$B$1441=E$9)*Data!$E$2:$E$1441*((Data!$D$2:$D$1441=$B$3)*$C$64+(Data!$D$2:$D$1441=$B$4)*$C$65+(Data!$D$2:$D$1441=$B$5)*$C$66))</f>
        <v>2</v>
      </c>
      <c r="F89" s="24" t="str">
        <f t="shared" si="13"/>
        <v>Low</v>
      </c>
      <c r="G89" s="24" t="str">
        <f t="shared" si="15"/>
        <v>Low</v>
      </c>
      <c r="H89" s="24" t="str">
        <f t="shared" si="16"/>
        <v>Low</v>
      </c>
      <c r="I89" s="24" t="str">
        <f t="shared" si="17"/>
        <v>Low</v>
      </c>
      <c r="J89" s="24">
        <f t="shared" si="14"/>
        <v>0</v>
      </c>
    </row>
    <row r="90" spans="1:10" x14ac:dyDescent="0.3">
      <c r="A90" s="24" t="s">
        <v>63</v>
      </c>
      <c r="B90" s="24" cm="1">
        <f t="array" ref="B90">SUMPRODUCT((Data!$A$2:$A$1441=$A90)*(Data!$B$2:$B$1441=B$9)*Data!$E$2:$E$1441*((Data!$D$2:$D$1441=$B$3)*$C$64+(Data!$D$2:$D$1441=$B$4)*$C$65+(Data!$D$2:$D$1441=$B$5)*$C$66))</f>
        <v>3</v>
      </c>
      <c r="C90" s="24" cm="1">
        <f t="array" ref="C90">SUMPRODUCT((Data!$A$2:$A$1441=$A90)*(Data!$B$2:$B$1441=C$9)*Data!$E$2:$E$1441*((Data!$D$2:$D$1441=$B$3)*$C$64+(Data!$D$2:$D$1441=$B$4)*$C$65+(Data!$D$2:$D$1441=$B$5)*$C$66))</f>
        <v>2</v>
      </c>
      <c r="D90" s="24" cm="1">
        <f t="array" ref="D90">SUMPRODUCT((Data!$A$2:$A$1441=$A90)*(Data!$B$2:$B$1441=D$9)*Data!$E$2:$E$1441*((Data!$D$2:$D$1441=$B$3)*$C$64+(Data!$D$2:$D$1441=$B$4)*$C$65+(Data!$D$2:$D$1441=$B$5)*$C$66))</f>
        <v>19</v>
      </c>
      <c r="E90" s="24" cm="1">
        <f t="array" ref="E90">SUMPRODUCT((Data!$A$2:$A$1441=$A90)*(Data!$B$2:$B$1441=E$9)*Data!$E$2:$E$1441*((Data!$D$2:$D$1441=$B$3)*$C$64+(Data!$D$2:$D$1441=$B$4)*$C$65+(Data!$D$2:$D$1441=$B$5)*$C$66))</f>
        <v>2</v>
      </c>
      <c r="F90" s="24" t="str">
        <f t="shared" si="13"/>
        <v>Low</v>
      </c>
      <c r="G90" s="24" t="str">
        <f t="shared" si="15"/>
        <v>Low</v>
      </c>
      <c r="H90" s="24" t="str">
        <f t="shared" si="16"/>
        <v>Medium</v>
      </c>
      <c r="I90" s="24" t="str">
        <f t="shared" si="17"/>
        <v>Low</v>
      </c>
      <c r="J90" s="24">
        <f t="shared" si="14"/>
        <v>1</v>
      </c>
    </row>
    <row r="91" spans="1:10" x14ac:dyDescent="0.3">
      <c r="A91" s="25"/>
      <c r="B91" s="25"/>
      <c r="C91" s="25"/>
      <c r="D91" s="25"/>
      <c r="E91" s="25"/>
      <c r="F91" s="25"/>
      <c r="G91" s="25"/>
      <c r="H91" s="25"/>
      <c r="I91" s="25"/>
      <c r="J91" s="25">
        <f>SUM(J71:J90)</f>
        <v>4</v>
      </c>
    </row>
    <row r="93" spans="1:10" x14ac:dyDescent="0.3">
      <c r="B93" s="32" t="s">
        <v>494</v>
      </c>
      <c r="C93" s="32" t="s">
        <v>496</v>
      </c>
      <c r="E93" s="32" t="s">
        <v>501</v>
      </c>
      <c r="F93" s="32"/>
    </row>
    <row r="94" spans="1:10" x14ac:dyDescent="0.3">
      <c r="B94" s="31" t="s">
        <v>485</v>
      </c>
      <c r="C94" s="31">
        <v>2</v>
      </c>
      <c r="E94" s="31" t="s">
        <v>502</v>
      </c>
      <c r="F94" s="31">
        <f>25*0.75</f>
        <v>18.75</v>
      </c>
      <c r="G94" s="26"/>
    </row>
    <row r="95" spans="1:10" x14ac:dyDescent="0.3">
      <c r="B95" s="31" t="s">
        <v>486</v>
      </c>
      <c r="C95" s="31">
        <v>1</v>
      </c>
      <c r="E95" s="31" t="s">
        <v>503</v>
      </c>
      <c r="F95" s="31">
        <f>25*0.5</f>
        <v>12.5</v>
      </c>
    </row>
    <row r="96" spans="1:10" x14ac:dyDescent="0.3">
      <c r="B96" s="31" t="s">
        <v>487</v>
      </c>
      <c r="C96" s="31">
        <v>1</v>
      </c>
      <c r="E96" s="31" t="s">
        <v>504</v>
      </c>
      <c r="F96" s="31">
        <f>25*0.25</f>
        <v>6.25</v>
      </c>
    </row>
    <row r="97" spans="1:10" x14ac:dyDescent="0.3">
      <c r="E97" s="31" t="s">
        <v>505</v>
      </c>
      <c r="F97" s="31">
        <v>6.25</v>
      </c>
    </row>
    <row r="100" spans="1:10" x14ac:dyDescent="0.3">
      <c r="A100" s="25" t="s">
        <v>489</v>
      </c>
      <c r="B100" s="25" t="s">
        <v>21</v>
      </c>
      <c r="C100" s="25" t="s">
        <v>23</v>
      </c>
      <c r="D100" s="25" t="s">
        <v>24</v>
      </c>
      <c r="E100" s="25" t="s">
        <v>25</v>
      </c>
      <c r="F100" s="25" t="s">
        <v>506</v>
      </c>
      <c r="G100" s="25" t="s">
        <v>507</v>
      </c>
      <c r="H100" s="25" t="s">
        <v>508</v>
      </c>
      <c r="I100" s="25" t="s">
        <v>509</v>
      </c>
      <c r="J100" s="25" t="s">
        <v>510</v>
      </c>
    </row>
    <row r="101" spans="1:10" x14ac:dyDescent="0.3">
      <c r="A101" s="24" t="s">
        <v>19</v>
      </c>
      <c r="B101" s="24" cm="1">
        <f t="array" ref="B101">SUMPRODUCT((Data!$A$2:$A$1441=$A101)*(Data!$B$2:$B$1441=B$9)*Data!$E$2:$E$1441*((Data!$D$2:$D$1441=$B$3)*$C$94+(Data!$D$2:$D$1441=$B$4)*$C$95+(Data!$D$2:$D$1441=$B$5)*$C$96))</f>
        <v>2</v>
      </c>
      <c r="C101" s="24" cm="1">
        <f t="array" ref="C101">SUMPRODUCT((Data!$A$2:$A$1441=$A101)*(Data!$B$2:$B$1441=C$9)*Data!$E$2:$E$1441*((Data!$D$2:$D$1441=$B$3)*$C$94+(Data!$D$2:$D$1441=$B$4)*$C$95+(Data!$D$2:$D$1441=$B$5)*$C$96))</f>
        <v>2</v>
      </c>
      <c r="D101" s="24" cm="1">
        <f t="array" ref="D101">SUMPRODUCT((Data!$A$2:$A$1441=$A101)*(Data!$B$2:$B$1441=D$9)*Data!$E$2:$E$1441*((Data!$D$2:$D$1441=$B$3)*$C$94+(Data!$D$2:$D$1441=$B$4)*$C$95+(Data!$D$2:$D$1441=$B$5)*$C$96))</f>
        <v>5</v>
      </c>
      <c r="E101" s="24" cm="1">
        <f t="array" ref="E101">SUMPRODUCT((Data!$A$2:$A$1441=$A101)*(Data!$B$2:$B$1441=E$9)*Data!$E$2:$E$1441*((Data!$D$2:$D$1441=$B$3)*$C$94+(Data!$D$2:$D$1441=$B$4)*$C$95+(Data!$D$2:$D$1441=$B$5)*$C$96))</f>
        <v>2</v>
      </c>
      <c r="F101" s="24" t="str">
        <f>IF(B101&gt;=$F$94,"Critical",IF(B101&gt;=$F$95,"High",IF(B101&gt;=$F$96,"Medium","Low")))</f>
        <v>Low</v>
      </c>
      <c r="G101" s="24" t="str">
        <f t="shared" ref="G101:I116" si="18">IF(C101&gt;=$F$94,"Critical",IF(C101&gt;=$F$95,"High",IF(C101&gt;=$F$96,"Medium","Low")))</f>
        <v>Low</v>
      </c>
      <c r="H101" s="24" t="str">
        <f t="shared" si="18"/>
        <v>Low</v>
      </c>
      <c r="I101" s="24" t="str">
        <f t="shared" si="18"/>
        <v>Low</v>
      </c>
      <c r="J101" s="24">
        <f>IF(AND(F101=G101,G101=H101,H101=I101),0,1)</f>
        <v>0</v>
      </c>
    </row>
    <row r="102" spans="1:10" x14ac:dyDescent="0.3">
      <c r="A102" s="24" t="s">
        <v>26</v>
      </c>
      <c r="B102" s="24" cm="1">
        <f t="array" ref="B102">SUMPRODUCT((Data!$A$2:$A$1441=$A102)*(Data!$B$2:$B$1441=B$9)*Data!$E$2:$E$1441*((Data!$D$2:$D$1441=$B$3)*$C$94+(Data!$D$2:$D$1441=$B$4)*$C$95+(Data!$D$2:$D$1441=$B$5)*$C$96))</f>
        <v>1</v>
      </c>
      <c r="C102" s="24" cm="1">
        <f t="array" ref="C102">SUMPRODUCT((Data!$A$2:$A$1441=$A102)*(Data!$B$2:$B$1441=C$9)*Data!$E$2:$E$1441*((Data!$D$2:$D$1441=$B$3)*$C$94+(Data!$D$2:$D$1441=$B$4)*$C$95+(Data!$D$2:$D$1441=$B$5)*$C$96))</f>
        <v>2</v>
      </c>
      <c r="D102" s="24" cm="1">
        <f t="array" ref="D102">SUMPRODUCT((Data!$A$2:$A$1441=$A102)*(Data!$B$2:$B$1441=D$9)*Data!$E$2:$E$1441*((Data!$D$2:$D$1441=$B$3)*$C$94+(Data!$D$2:$D$1441=$B$4)*$C$95+(Data!$D$2:$D$1441=$B$5)*$C$96))</f>
        <v>3</v>
      </c>
      <c r="E102" s="24" cm="1">
        <f t="array" ref="E102">SUMPRODUCT((Data!$A$2:$A$1441=$A102)*(Data!$B$2:$B$1441=E$9)*Data!$E$2:$E$1441*((Data!$D$2:$D$1441=$B$3)*$C$94+(Data!$D$2:$D$1441=$B$4)*$C$95+(Data!$D$2:$D$1441=$B$5)*$C$96))</f>
        <v>1</v>
      </c>
      <c r="F102" s="24" t="str">
        <f t="shared" ref="F102:F120" si="19">IF(B102&gt;=$F$94,"Critical",IF(B102&gt;=$F$95,"High",IF(B102&gt;=$F$96,"Medium","Low")))</f>
        <v>Low</v>
      </c>
      <c r="G102" s="24" t="str">
        <f t="shared" si="18"/>
        <v>Low</v>
      </c>
      <c r="H102" s="24" t="str">
        <f t="shared" si="18"/>
        <v>Low</v>
      </c>
      <c r="I102" s="24" t="str">
        <f t="shared" si="18"/>
        <v>Low</v>
      </c>
      <c r="J102" s="24">
        <f t="shared" ref="J102:J120" si="20">IF(AND(F102=G102,G102=H102,H102=I102),0,1)</f>
        <v>0</v>
      </c>
    </row>
    <row r="103" spans="1:10" x14ac:dyDescent="0.3">
      <c r="A103" s="24" t="s">
        <v>28</v>
      </c>
      <c r="B103" s="24" cm="1">
        <f t="array" ref="B103">SUMPRODUCT((Data!$A$2:$A$1441=$A103)*(Data!$B$2:$B$1441=B$9)*Data!$E$2:$E$1441*((Data!$D$2:$D$1441=$B$3)*$C$94+(Data!$D$2:$D$1441=$B$4)*$C$95+(Data!$D$2:$D$1441=$B$5)*$C$96))</f>
        <v>3</v>
      </c>
      <c r="C103" s="24" cm="1">
        <f t="array" ref="C103">SUMPRODUCT((Data!$A$2:$A$1441=$A103)*(Data!$B$2:$B$1441=C$9)*Data!$E$2:$E$1441*((Data!$D$2:$D$1441=$B$3)*$C$94+(Data!$D$2:$D$1441=$B$4)*$C$95+(Data!$D$2:$D$1441=$B$5)*$C$96))</f>
        <v>5</v>
      </c>
      <c r="D103" s="24" cm="1">
        <f t="array" ref="D103">SUMPRODUCT((Data!$A$2:$A$1441=$A103)*(Data!$B$2:$B$1441=D$9)*Data!$E$2:$E$1441*((Data!$D$2:$D$1441=$B$3)*$C$94+(Data!$D$2:$D$1441=$B$4)*$C$95+(Data!$D$2:$D$1441=$B$5)*$C$96))</f>
        <v>3</v>
      </c>
      <c r="E103" s="24" cm="1">
        <f t="array" ref="E103">SUMPRODUCT((Data!$A$2:$A$1441=$A103)*(Data!$B$2:$B$1441=E$9)*Data!$E$2:$E$1441*((Data!$D$2:$D$1441=$B$3)*$C$94+(Data!$D$2:$D$1441=$B$4)*$C$95+(Data!$D$2:$D$1441=$B$5)*$C$96))</f>
        <v>0</v>
      </c>
      <c r="F103" s="24" t="str">
        <f t="shared" si="19"/>
        <v>Low</v>
      </c>
      <c r="G103" s="24" t="str">
        <f t="shared" si="18"/>
        <v>Low</v>
      </c>
      <c r="H103" s="24" t="str">
        <f t="shared" si="18"/>
        <v>Low</v>
      </c>
      <c r="I103" s="24" t="str">
        <f t="shared" si="18"/>
        <v>Low</v>
      </c>
      <c r="J103" s="24">
        <f t="shared" si="20"/>
        <v>0</v>
      </c>
    </row>
    <row r="104" spans="1:10" x14ac:dyDescent="0.3">
      <c r="A104" s="24" t="s">
        <v>30</v>
      </c>
      <c r="B104" s="24" cm="1">
        <f t="array" ref="B104">SUMPRODUCT((Data!$A$2:$A$1441=$A104)*(Data!$B$2:$B$1441=B$9)*Data!$E$2:$E$1441*((Data!$D$2:$D$1441=$B$3)*$C$94+(Data!$D$2:$D$1441=$B$4)*$C$95+(Data!$D$2:$D$1441=$B$5)*$C$96))</f>
        <v>3</v>
      </c>
      <c r="C104" s="24" cm="1">
        <f t="array" ref="C104">SUMPRODUCT((Data!$A$2:$A$1441=$A104)*(Data!$B$2:$B$1441=C$9)*Data!$E$2:$E$1441*((Data!$D$2:$D$1441=$B$3)*$C$94+(Data!$D$2:$D$1441=$B$4)*$C$95+(Data!$D$2:$D$1441=$B$5)*$C$96))</f>
        <v>3</v>
      </c>
      <c r="D104" s="24" cm="1">
        <f t="array" ref="D104">SUMPRODUCT((Data!$A$2:$A$1441=$A104)*(Data!$B$2:$B$1441=D$9)*Data!$E$2:$E$1441*((Data!$D$2:$D$1441=$B$3)*$C$94+(Data!$D$2:$D$1441=$B$4)*$C$95+(Data!$D$2:$D$1441=$B$5)*$C$96))</f>
        <v>0</v>
      </c>
      <c r="E104" s="24" cm="1">
        <f t="array" ref="E104">SUMPRODUCT((Data!$A$2:$A$1441=$A104)*(Data!$B$2:$B$1441=E$9)*Data!$E$2:$E$1441*((Data!$D$2:$D$1441=$B$3)*$C$94+(Data!$D$2:$D$1441=$B$4)*$C$95+(Data!$D$2:$D$1441=$B$5)*$C$96))</f>
        <v>1</v>
      </c>
      <c r="F104" s="24" t="str">
        <f t="shared" si="19"/>
        <v>Low</v>
      </c>
      <c r="G104" s="24" t="str">
        <f t="shared" si="18"/>
        <v>Low</v>
      </c>
      <c r="H104" s="24" t="str">
        <f t="shared" si="18"/>
        <v>Low</v>
      </c>
      <c r="I104" s="24" t="str">
        <f t="shared" si="18"/>
        <v>Low</v>
      </c>
      <c r="J104" s="24">
        <f t="shared" si="20"/>
        <v>0</v>
      </c>
    </row>
    <row r="105" spans="1:10" x14ac:dyDescent="0.3">
      <c r="A105" s="24" t="s">
        <v>32</v>
      </c>
      <c r="B105" s="24" cm="1">
        <f t="array" ref="B105">SUMPRODUCT((Data!$A$2:$A$1441=$A105)*(Data!$B$2:$B$1441=B$9)*Data!$E$2:$E$1441*((Data!$D$2:$D$1441=$B$3)*$C$94+(Data!$D$2:$D$1441=$B$4)*$C$95+(Data!$D$2:$D$1441=$B$5)*$C$96))</f>
        <v>3</v>
      </c>
      <c r="C105" s="24" cm="1">
        <f t="array" ref="C105">SUMPRODUCT((Data!$A$2:$A$1441=$A105)*(Data!$B$2:$B$1441=C$9)*Data!$E$2:$E$1441*((Data!$D$2:$D$1441=$B$3)*$C$94+(Data!$D$2:$D$1441=$B$4)*$C$95+(Data!$D$2:$D$1441=$B$5)*$C$96))</f>
        <v>3</v>
      </c>
      <c r="D105" s="24" cm="1">
        <f t="array" ref="D105">SUMPRODUCT((Data!$A$2:$A$1441=$A105)*(Data!$B$2:$B$1441=D$9)*Data!$E$2:$E$1441*((Data!$D$2:$D$1441=$B$3)*$C$94+(Data!$D$2:$D$1441=$B$4)*$C$95+(Data!$D$2:$D$1441=$B$5)*$C$96))</f>
        <v>3</v>
      </c>
      <c r="E105" s="24" cm="1">
        <f t="array" ref="E105">SUMPRODUCT((Data!$A$2:$A$1441=$A105)*(Data!$B$2:$B$1441=E$9)*Data!$E$2:$E$1441*((Data!$D$2:$D$1441=$B$3)*$C$94+(Data!$D$2:$D$1441=$B$4)*$C$95+(Data!$D$2:$D$1441=$B$5)*$C$96))</f>
        <v>1</v>
      </c>
      <c r="F105" s="24" t="str">
        <f t="shared" si="19"/>
        <v>Low</v>
      </c>
      <c r="G105" s="24" t="str">
        <f t="shared" si="18"/>
        <v>Low</v>
      </c>
      <c r="H105" s="24" t="str">
        <f t="shared" si="18"/>
        <v>Low</v>
      </c>
      <c r="I105" s="24" t="str">
        <f t="shared" si="18"/>
        <v>Low</v>
      </c>
      <c r="J105" s="24">
        <f t="shared" si="20"/>
        <v>0</v>
      </c>
    </row>
    <row r="106" spans="1:10" x14ac:dyDescent="0.3">
      <c r="A106" s="24" t="s">
        <v>34</v>
      </c>
      <c r="B106" s="24" cm="1">
        <f t="array" ref="B106">SUMPRODUCT((Data!$A$2:$A$1441=$A106)*(Data!$B$2:$B$1441=B$9)*Data!$E$2:$E$1441*((Data!$D$2:$D$1441=$B$3)*$C$94+(Data!$D$2:$D$1441=$B$4)*$C$95+(Data!$D$2:$D$1441=$B$5)*$C$96))</f>
        <v>2</v>
      </c>
      <c r="C106" s="24" cm="1">
        <f t="array" ref="C106">SUMPRODUCT((Data!$A$2:$A$1441=$A106)*(Data!$B$2:$B$1441=C$9)*Data!$E$2:$E$1441*((Data!$D$2:$D$1441=$B$3)*$C$94+(Data!$D$2:$D$1441=$B$4)*$C$95+(Data!$D$2:$D$1441=$B$5)*$C$96))</f>
        <v>0</v>
      </c>
      <c r="D106" s="24" cm="1">
        <f t="array" ref="D106">SUMPRODUCT((Data!$A$2:$A$1441=$A106)*(Data!$B$2:$B$1441=D$9)*Data!$E$2:$E$1441*((Data!$D$2:$D$1441=$B$3)*$C$94+(Data!$D$2:$D$1441=$B$4)*$C$95+(Data!$D$2:$D$1441=$B$5)*$C$96))</f>
        <v>1</v>
      </c>
      <c r="E106" s="24" cm="1">
        <f t="array" ref="E106">SUMPRODUCT((Data!$A$2:$A$1441=$A106)*(Data!$B$2:$B$1441=E$9)*Data!$E$2:$E$1441*((Data!$D$2:$D$1441=$B$3)*$C$94+(Data!$D$2:$D$1441=$B$4)*$C$95+(Data!$D$2:$D$1441=$B$5)*$C$96))</f>
        <v>1</v>
      </c>
      <c r="F106" s="24" t="str">
        <f t="shared" si="19"/>
        <v>Low</v>
      </c>
      <c r="G106" s="24" t="str">
        <f t="shared" si="18"/>
        <v>Low</v>
      </c>
      <c r="H106" s="24" t="str">
        <f t="shared" si="18"/>
        <v>Low</v>
      </c>
      <c r="I106" s="24" t="str">
        <f t="shared" si="18"/>
        <v>Low</v>
      </c>
      <c r="J106" s="24">
        <f t="shared" si="20"/>
        <v>0</v>
      </c>
    </row>
    <row r="107" spans="1:10" x14ac:dyDescent="0.3">
      <c r="A107" s="24" t="s">
        <v>36</v>
      </c>
      <c r="B107" s="24" cm="1">
        <f t="array" ref="B107">SUMPRODUCT((Data!$A$2:$A$1441=$A107)*(Data!$B$2:$B$1441=B$9)*Data!$E$2:$E$1441*((Data!$D$2:$D$1441=$B$3)*$C$94+(Data!$D$2:$D$1441=$B$4)*$C$95+(Data!$D$2:$D$1441=$B$5)*$C$96))</f>
        <v>3</v>
      </c>
      <c r="C107" s="24" cm="1">
        <f t="array" ref="C107">SUMPRODUCT((Data!$A$2:$A$1441=$A107)*(Data!$B$2:$B$1441=C$9)*Data!$E$2:$E$1441*((Data!$D$2:$D$1441=$B$3)*$C$94+(Data!$D$2:$D$1441=$B$4)*$C$95+(Data!$D$2:$D$1441=$B$5)*$C$96))</f>
        <v>2</v>
      </c>
      <c r="D107" s="24" cm="1">
        <f t="array" ref="D107">SUMPRODUCT((Data!$A$2:$A$1441=$A107)*(Data!$B$2:$B$1441=D$9)*Data!$E$2:$E$1441*((Data!$D$2:$D$1441=$B$3)*$C$94+(Data!$D$2:$D$1441=$B$4)*$C$95+(Data!$D$2:$D$1441=$B$5)*$C$96))</f>
        <v>3</v>
      </c>
      <c r="E107" s="24" cm="1">
        <f t="array" ref="E107">SUMPRODUCT((Data!$A$2:$A$1441=$A107)*(Data!$B$2:$B$1441=E$9)*Data!$E$2:$E$1441*((Data!$D$2:$D$1441=$B$3)*$C$94+(Data!$D$2:$D$1441=$B$4)*$C$95+(Data!$D$2:$D$1441=$B$5)*$C$96))</f>
        <v>1</v>
      </c>
      <c r="F107" s="24" t="str">
        <f t="shared" si="19"/>
        <v>Low</v>
      </c>
      <c r="G107" s="24" t="str">
        <f t="shared" si="18"/>
        <v>Low</v>
      </c>
      <c r="H107" s="24" t="str">
        <f t="shared" si="18"/>
        <v>Low</v>
      </c>
      <c r="I107" s="24" t="str">
        <f t="shared" si="18"/>
        <v>Low</v>
      </c>
      <c r="J107" s="24">
        <f t="shared" si="20"/>
        <v>0</v>
      </c>
    </row>
    <row r="108" spans="1:10" x14ac:dyDescent="0.3">
      <c r="A108" s="24" t="s">
        <v>38</v>
      </c>
      <c r="B108" s="24" cm="1">
        <f t="array" ref="B108">SUMPRODUCT((Data!$A$2:$A$1441=$A108)*(Data!$B$2:$B$1441=B$9)*Data!$E$2:$E$1441*((Data!$D$2:$D$1441=$B$3)*$C$94+(Data!$D$2:$D$1441=$B$4)*$C$95+(Data!$D$2:$D$1441=$B$5)*$C$96))</f>
        <v>3</v>
      </c>
      <c r="C108" s="24" cm="1">
        <f t="array" ref="C108">SUMPRODUCT((Data!$A$2:$A$1441=$A108)*(Data!$B$2:$B$1441=C$9)*Data!$E$2:$E$1441*((Data!$D$2:$D$1441=$B$3)*$C$94+(Data!$D$2:$D$1441=$B$4)*$C$95+(Data!$D$2:$D$1441=$B$5)*$C$96))</f>
        <v>4</v>
      </c>
      <c r="D108" s="24" cm="1">
        <f t="array" ref="D108">SUMPRODUCT((Data!$A$2:$A$1441=$A108)*(Data!$B$2:$B$1441=D$9)*Data!$E$2:$E$1441*((Data!$D$2:$D$1441=$B$3)*$C$94+(Data!$D$2:$D$1441=$B$4)*$C$95+(Data!$D$2:$D$1441=$B$5)*$C$96))</f>
        <v>3</v>
      </c>
      <c r="E108" s="24" cm="1">
        <f t="array" ref="E108">SUMPRODUCT((Data!$A$2:$A$1441=$A108)*(Data!$B$2:$B$1441=E$9)*Data!$E$2:$E$1441*((Data!$D$2:$D$1441=$B$3)*$C$94+(Data!$D$2:$D$1441=$B$4)*$C$95+(Data!$D$2:$D$1441=$B$5)*$C$96))</f>
        <v>1</v>
      </c>
      <c r="F108" s="24" t="str">
        <f t="shared" si="19"/>
        <v>Low</v>
      </c>
      <c r="G108" s="24" t="str">
        <f t="shared" si="18"/>
        <v>Low</v>
      </c>
      <c r="H108" s="24" t="str">
        <f t="shared" si="18"/>
        <v>Low</v>
      </c>
      <c r="I108" s="24" t="str">
        <f t="shared" si="18"/>
        <v>Low</v>
      </c>
      <c r="J108" s="24">
        <f t="shared" si="20"/>
        <v>0</v>
      </c>
    </row>
    <row r="109" spans="1:10" x14ac:dyDescent="0.3">
      <c r="A109" s="24" t="s">
        <v>40</v>
      </c>
      <c r="B109" s="24" cm="1">
        <f t="array" ref="B109">SUMPRODUCT((Data!$A$2:$A$1441=$A109)*(Data!$B$2:$B$1441=B$9)*Data!$E$2:$E$1441*((Data!$D$2:$D$1441=$B$3)*$C$94+(Data!$D$2:$D$1441=$B$4)*$C$95+(Data!$D$2:$D$1441=$B$5)*$C$96))</f>
        <v>3</v>
      </c>
      <c r="C109" s="24" cm="1">
        <f t="array" ref="C109">SUMPRODUCT((Data!$A$2:$A$1441=$A109)*(Data!$B$2:$B$1441=C$9)*Data!$E$2:$E$1441*((Data!$D$2:$D$1441=$B$3)*$C$94+(Data!$D$2:$D$1441=$B$4)*$C$95+(Data!$D$2:$D$1441=$B$5)*$C$96))</f>
        <v>8</v>
      </c>
      <c r="D109" s="24" cm="1">
        <f t="array" ref="D109">SUMPRODUCT((Data!$A$2:$A$1441=$A109)*(Data!$B$2:$B$1441=D$9)*Data!$E$2:$E$1441*((Data!$D$2:$D$1441=$B$3)*$C$94+(Data!$D$2:$D$1441=$B$4)*$C$95+(Data!$D$2:$D$1441=$B$5)*$C$96))</f>
        <v>7</v>
      </c>
      <c r="E109" s="24" cm="1">
        <f t="array" ref="E109">SUMPRODUCT((Data!$A$2:$A$1441=$A109)*(Data!$B$2:$B$1441=E$9)*Data!$E$2:$E$1441*((Data!$D$2:$D$1441=$B$3)*$C$94+(Data!$D$2:$D$1441=$B$4)*$C$95+(Data!$D$2:$D$1441=$B$5)*$C$96))</f>
        <v>1</v>
      </c>
      <c r="F109" s="24" t="str">
        <f t="shared" si="19"/>
        <v>Low</v>
      </c>
      <c r="G109" s="24" t="str">
        <f t="shared" si="18"/>
        <v>Medium</v>
      </c>
      <c r="H109" s="24" t="str">
        <f t="shared" si="18"/>
        <v>Medium</v>
      </c>
      <c r="I109" s="24" t="str">
        <f t="shared" si="18"/>
        <v>Low</v>
      </c>
      <c r="J109" s="24">
        <f t="shared" si="20"/>
        <v>1</v>
      </c>
    </row>
    <row r="110" spans="1:10" x14ac:dyDescent="0.3">
      <c r="A110" s="24" t="s">
        <v>43</v>
      </c>
      <c r="B110" s="24" cm="1">
        <f t="array" ref="B110">SUMPRODUCT((Data!$A$2:$A$1441=$A110)*(Data!$B$2:$B$1441=B$9)*Data!$E$2:$E$1441*((Data!$D$2:$D$1441=$B$3)*$C$94+(Data!$D$2:$D$1441=$B$4)*$C$95+(Data!$D$2:$D$1441=$B$5)*$C$96))</f>
        <v>5</v>
      </c>
      <c r="C110" s="24" cm="1">
        <f t="array" ref="C110">SUMPRODUCT((Data!$A$2:$A$1441=$A110)*(Data!$B$2:$B$1441=C$9)*Data!$E$2:$E$1441*((Data!$D$2:$D$1441=$B$3)*$C$94+(Data!$D$2:$D$1441=$B$4)*$C$95+(Data!$D$2:$D$1441=$B$5)*$C$96))</f>
        <v>3</v>
      </c>
      <c r="D110" s="24" cm="1">
        <f t="array" ref="D110">SUMPRODUCT((Data!$A$2:$A$1441=$A110)*(Data!$B$2:$B$1441=D$9)*Data!$E$2:$E$1441*((Data!$D$2:$D$1441=$B$3)*$C$94+(Data!$D$2:$D$1441=$B$4)*$C$95+(Data!$D$2:$D$1441=$B$5)*$C$96))</f>
        <v>8</v>
      </c>
      <c r="E110" s="24" cm="1">
        <f t="array" ref="E110">SUMPRODUCT((Data!$A$2:$A$1441=$A110)*(Data!$B$2:$B$1441=E$9)*Data!$E$2:$E$1441*((Data!$D$2:$D$1441=$B$3)*$C$94+(Data!$D$2:$D$1441=$B$4)*$C$95+(Data!$D$2:$D$1441=$B$5)*$C$96))</f>
        <v>1</v>
      </c>
      <c r="F110" s="24" t="str">
        <f t="shared" si="19"/>
        <v>Low</v>
      </c>
      <c r="G110" s="24" t="str">
        <f t="shared" si="18"/>
        <v>Low</v>
      </c>
      <c r="H110" s="24" t="str">
        <f t="shared" si="18"/>
        <v>Medium</v>
      </c>
      <c r="I110" s="24" t="str">
        <f t="shared" si="18"/>
        <v>Low</v>
      </c>
      <c r="J110" s="24">
        <f t="shared" si="20"/>
        <v>1</v>
      </c>
    </row>
    <row r="111" spans="1:10" x14ac:dyDescent="0.3">
      <c r="A111" s="24" t="s">
        <v>45</v>
      </c>
      <c r="B111" s="24" cm="1">
        <f t="array" ref="B111">SUMPRODUCT((Data!$A$2:$A$1441=$A111)*(Data!$B$2:$B$1441=B$9)*Data!$E$2:$E$1441*((Data!$D$2:$D$1441=$B$3)*$C$94+(Data!$D$2:$D$1441=$B$4)*$C$95+(Data!$D$2:$D$1441=$B$5)*$C$96))</f>
        <v>1</v>
      </c>
      <c r="C111" s="24" cm="1">
        <f t="array" ref="C111">SUMPRODUCT((Data!$A$2:$A$1441=$A111)*(Data!$B$2:$B$1441=C$9)*Data!$E$2:$E$1441*((Data!$D$2:$D$1441=$B$3)*$C$94+(Data!$D$2:$D$1441=$B$4)*$C$95+(Data!$D$2:$D$1441=$B$5)*$C$96))</f>
        <v>1</v>
      </c>
      <c r="D111" s="24" cm="1">
        <f t="array" ref="D111">SUMPRODUCT((Data!$A$2:$A$1441=$A111)*(Data!$B$2:$B$1441=D$9)*Data!$E$2:$E$1441*((Data!$D$2:$D$1441=$B$3)*$C$94+(Data!$D$2:$D$1441=$B$4)*$C$95+(Data!$D$2:$D$1441=$B$5)*$C$96))</f>
        <v>1</v>
      </c>
      <c r="E111" s="24" cm="1">
        <f t="array" ref="E111">SUMPRODUCT((Data!$A$2:$A$1441=$A111)*(Data!$B$2:$B$1441=E$9)*Data!$E$2:$E$1441*((Data!$D$2:$D$1441=$B$3)*$C$94+(Data!$D$2:$D$1441=$B$4)*$C$95+(Data!$D$2:$D$1441=$B$5)*$C$96))</f>
        <v>1</v>
      </c>
      <c r="F111" s="24" t="str">
        <f t="shared" si="19"/>
        <v>Low</v>
      </c>
      <c r="G111" s="24" t="str">
        <f t="shared" si="18"/>
        <v>Low</v>
      </c>
      <c r="H111" s="24" t="str">
        <f t="shared" si="18"/>
        <v>Low</v>
      </c>
      <c r="I111" s="24" t="str">
        <f t="shared" si="18"/>
        <v>Low</v>
      </c>
      <c r="J111" s="24">
        <f t="shared" si="20"/>
        <v>0</v>
      </c>
    </row>
    <row r="112" spans="1:10" x14ac:dyDescent="0.3">
      <c r="A112" s="24" t="s">
        <v>47</v>
      </c>
      <c r="B112" s="24" cm="1">
        <f t="array" ref="B112">SUMPRODUCT((Data!$A$2:$A$1441=$A112)*(Data!$B$2:$B$1441=B$9)*Data!$E$2:$E$1441*((Data!$D$2:$D$1441=$B$3)*$C$94+(Data!$D$2:$D$1441=$B$4)*$C$95+(Data!$D$2:$D$1441=$B$5)*$C$96))</f>
        <v>5</v>
      </c>
      <c r="C112" s="24" cm="1">
        <f t="array" ref="C112">SUMPRODUCT((Data!$A$2:$A$1441=$A112)*(Data!$B$2:$B$1441=C$9)*Data!$E$2:$E$1441*((Data!$D$2:$D$1441=$B$3)*$C$94+(Data!$D$2:$D$1441=$B$4)*$C$95+(Data!$D$2:$D$1441=$B$5)*$C$96))</f>
        <v>3</v>
      </c>
      <c r="D112" s="24" cm="1">
        <f t="array" ref="D112">SUMPRODUCT((Data!$A$2:$A$1441=$A112)*(Data!$B$2:$B$1441=D$9)*Data!$E$2:$E$1441*((Data!$D$2:$D$1441=$B$3)*$C$94+(Data!$D$2:$D$1441=$B$4)*$C$95+(Data!$D$2:$D$1441=$B$5)*$C$96))</f>
        <v>3</v>
      </c>
      <c r="E112" s="24" cm="1">
        <f t="array" ref="E112">SUMPRODUCT((Data!$A$2:$A$1441=$A112)*(Data!$B$2:$B$1441=E$9)*Data!$E$2:$E$1441*((Data!$D$2:$D$1441=$B$3)*$C$94+(Data!$D$2:$D$1441=$B$4)*$C$95+(Data!$D$2:$D$1441=$B$5)*$C$96))</f>
        <v>1</v>
      </c>
      <c r="F112" s="24" t="str">
        <f t="shared" si="19"/>
        <v>Low</v>
      </c>
      <c r="G112" s="24" t="str">
        <f t="shared" si="18"/>
        <v>Low</v>
      </c>
      <c r="H112" s="24" t="str">
        <f t="shared" si="18"/>
        <v>Low</v>
      </c>
      <c r="I112" s="24" t="str">
        <f t="shared" si="18"/>
        <v>Low</v>
      </c>
      <c r="J112" s="24">
        <f t="shared" si="20"/>
        <v>0</v>
      </c>
    </row>
    <row r="113" spans="1:10" x14ac:dyDescent="0.3">
      <c r="A113" s="24" t="s">
        <v>49</v>
      </c>
      <c r="B113" s="24" cm="1">
        <f t="array" ref="B113">SUMPRODUCT((Data!$A$2:$A$1441=$A113)*(Data!$B$2:$B$1441=B$9)*Data!$E$2:$E$1441*((Data!$D$2:$D$1441=$B$3)*$C$94+(Data!$D$2:$D$1441=$B$4)*$C$95+(Data!$D$2:$D$1441=$B$5)*$C$96))</f>
        <v>4</v>
      </c>
      <c r="C113" s="24" cm="1">
        <f t="array" ref="C113">SUMPRODUCT((Data!$A$2:$A$1441=$A113)*(Data!$B$2:$B$1441=C$9)*Data!$E$2:$E$1441*((Data!$D$2:$D$1441=$B$3)*$C$94+(Data!$D$2:$D$1441=$B$4)*$C$95+(Data!$D$2:$D$1441=$B$5)*$C$96))</f>
        <v>2</v>
      </c>
      <c r="D113" s="24" cm="1">
        <f t="array" ref="D113">SUMPRODUCT((Data!$A$2:$A$1441=$A113)*(Data!$B$2:$B$1441=D$9)*Data!$E$2:$E$1441*((Data!$D$2:$D$1441=$B$3)*$C$94+(Data!$D$2:$D$1441=$B$4)*$C$95+(Data!$D$2:$D$1441=$B$5)*$C$96))</f>
        <v>4</v>
      </c>
      <c r="E113" s="24" cm="1">
        <f t="array" ref="E113">SUMPRODUCT((Data!$A$2:$A$1441=$A113)*(Data!$B$2:$B$1441=E$9)*Data!$E$2:$E$1441*((Data!$D$2:$D$1441=$B$3)*$C$94+(Data!$D$2:$D$1441=$B$4)*$C$95+(Data!$D$2:$D$1441=$B$5)*$C$96))</f>
        <v>1</v>
      </c>
      <c r="F113" s="24" t="str">
        <f t="shared" si="19"/>
        <v>Low</v>
      </c>
      <c r="G113" s="24" t="str">
        <f t="shared" si="18"/>
        <v>Low</v>
      </c>
      <c r="H113" s="24" t="str">
        <f t="shared" si="18"/>
        <v>Low</v>
      </c>
      <c r="I113" s="24" t="str">
        <f t="shared" si="18"/>
        <v>Low</v>
      </c>
      <c r="J113" s="24">
        <f t="shared" si="20"/>
        <v>0</v>
      </c>
    </row>
    <row r="114" spans="1:10" x14ac:dyDescent="0.3">
      <c r="A114" s="24" t="s">
        <v>51</v>
      </c>
      <c r="B114" s="24" cm="1">
        <f t="array" ref="B114">SUMPRODUCT((Data!$A$2:$A$1441=$A114)*(Data!$B$2:$B$1441=B$9)*Data!$E$2:$E$1441*((Data!$D$2:$D$1441=$B$3)*$C$94+(Data!$D$2:$D$1441=$B$4)*$C$95+(Data!$D$2:$D$1441=$B$5)*$C$96))</f>
        <v>3</v>
      </c>
      <c r="C114" s="24" cm="1">
        <f t="array" ref="C114">SUMPRODUCT((Data!$A$2:$A$1441=$A114)*(Data!$B$2:$B$1441=C$9)*Data!$E$2:$E$1441*((Data!$D$2:$D$1441=$B$3)*$C$94+(Data!$D$2:$D$1441=$B$4)*$C$95+(Data!$D$2:$D$1441=$B$5)*$C$96))</f>
        <v>8</v>
      </c>
      <c r="D114" s="24" cm="1">
        <f t="array" ref="D114">SUMPRODUCT((Data!$A$2:$A$1441=$A114)*(Data!$B$2:$B$1441=D$9)*Data!$E$2:$E$1441*((Data!$D$2:$D$1441=$B$3)*$C$94+(Data!$D$2:$D$1441=$B$4)*$C$95+(Data!$D$2:$D$1441=$B$5)*$C$96))</f>
        <v>3</v>
      </c>
      <c r="E114" s="24" cm="1">
        <f t="array" ref="E114">SUMPRODUCT((Data!$A$2:$A$1441=$A114)*(Data!$B$2:$B$1441=E$9)*Data!$E$2:$E$1441*((Data!$D$2:$D$1441=$B$3)*$C$94+(Data!$D$2:$D$1441=$B$4)*$C$95+(Data!$D$2:$D$1441=$B$5)*$C$96))</f>
        <v>1</v>
      </c>
      <c r="F114" s="24" t="str">
        <f t="shared" si="19"/>
        <v>Low</v>
      </c>
      <c r="G114" s="24" t="str">
        <f t="shared" si="18"/>
        <v>Medium</v>
      </c>
      <c r="H114" s="24" t="str">
        <f t="shared" si="18"/>
        <v>Low</v>
      </c>
      <c r="I114" s="24" t="str">
        <f t="shared" si="18"/>
        <v>Low</v>
      </c>
      <c r="J114" s="24">
        <f t="shared" si="20"/>
        <v>1</v>
      </c>
    </row>
    <row r="115" spans="1:10" x14ac:dyDescent="0.3">
      <c r="A115" s="24" t="s">
        <v>53</v>
      </c>
      <c r="B115" s="24" cm="1">
        <f t="array" ref="B115">SUMPRODUCT((Data!$A$2:$A$1441=$A115)*(Data!$B$2:$B$1441=B$9)*Data!$E$2:$E$1441*((Data!$D$2:$D$1441=$B$3)*$C$94+(Data!$D$2:$D$1441=$B$4)*$C$95+(Data!$D$2:$D$1441=$B$5)*$C$96))</f>
        <v>2</v>
      </c>
      <c r="C115" s="24" cm="1">
        <f t="array" ref="C115">SUMPRODUCT((Data!$A$2:$A$1441=$A115)*(Data!$B$2:$B$1441=C$9)*Data!$E$2:$E$1441*((Data!$D$2:$D$1441=$B$3)*$C$94+(Data!$D$2:$D$1441=$B$4)*$C$95+(Data!$D$2:$D$1441=$B$5)*$C$96))</f>
        <v>5</v>
      </c>
      <c r="D115" s="24" cm="1">
        <f t="array" ref="D115">SUMPRODUCT((Data!$A$2:$A$1441=$A115)*(Data!$B$2:$B$1441=D$9)*Data!$E$2:$E$1441*((Data!$D$2:$D$1441=$B$3)*$C$94+(Data!$D$2:$D$1441=$B$4)*$C$95+(Data!$D$2:$D$1441=$B$5)*$C$96))</f>
        <v>5</v>
      </c>
      <c r="E115" s="24" cm="1">
        <f t="array" ref="E115">SUMPRODUCT((Data!$A$2:$A$1441=$A115)*(Data!$B$2:$B$1441=E$9)*Data!$E$2:$E$1441*((Data!$D$2:$D$1441=$B$3)*$C$94+(Data!$D$2:$D$1441=$B$4)*$C$95+(Data!$D$2:$D$1441=$B$5)*$C$96))</f>
        <v>1</v>
      </c>
      <c r="F115" s="24" t="str">
        <f t="shared" si="19"/>
        <v>Low</v>
      </c>
      <c r="G115" s="24" t="str">
        <f t="shared" si="18"/>
        <v>Low</v>
      </c>
      <c r="H115" s="24" t="str">
        <f t="shared" si="18"/>
        <v>Low</v>
      </c>
      <c r="I115" s="24" t="str">
        <f t="shared" si="18"/>
        <v>Low</v>
      </c>
      <c r="J115" s="24">
        <f t="shared" si="20"/>
        <v>0</v>
      </c>
    </row>
    <row r="116" spans="1:10" x14ac:dyDescent="0.3">
      <c r="A116" s="24" t="s">
        <v>55</v>
      </c>
      <c r="B116" s="24" cm="1">
        <f t="array" ref="B116">SUMPRODUCT((Data!$A$2:$A$1441=$A116)*(Data!$B$2:$B$1441=B$9)*Data!$E$2:$E$1441*((Data!$D$2:$D$1441=$B$3)*$C$94+(Data!$D$2:$D$1441=$B$4)*$C$95+(Data!$D$2:$D$1441=$B$5)*$C$96))</f>
        <v>4</v>
      </c>
      <c r="C116" s="24" cm="1">
        <f t="array" ref="C116">SUMPRODUCT((Data!$A$2:$A$1441=$A116)*(Data!$B$2:$B$1441=C$9)*Data!$E$2:$E$1441*((Data!$D$2:$D$1441=$B$3)*$C$94+(Data!$D$2:$D$1441=$B$4)*$C$95+(Data!$D$2:$D$1441=$B$5)*$C$96))</f>
        <v>1</v>
      </c>
      <c r="D116" s="24" cm="1">
        <f t="array" ref="D116">SUMPRODUCT((Data!$A$2:$A$1441=$A116)*(Data!$B$2:$B$1441=D$9)*Data!$E$2:$E$1441*((Data!$D$2:$D$1441=$B$3)*$C$94+(Data!$D$2:$D$1441=$B$4)*$C$95+(Data!$D$2:$D$1441=$B$5)*$C$96))</f>
        <v>6</v>
      </c>
      <c r="E116" s="24" cm="1">
        <f t="array" ref="E116">SUMPRODUCT((Data!$A$2:$A$1441=$A116)*(Data!$B$2:$B$1441=E$9)*Data!$E$2:$E$1441*((Data!$D$2:$D$1441=$B$3)*$C$94+(Data!$D$2:$D$1441=$B$4)*$C$95+(Data!$D$2:$D$1441=$B$5)*$C$96))</f>
        <v>1</v>
      </c>
      <c r="F116" s="24" t="str">
        <f t="shared" si="19"/>
        <v>Low</v>
      </c>
      <c r="G116" s="24" t="str">
        <f t="shared" si="18"/>
        <v>Low</v>
      </c>
      <c r="H116" s="24" t="str">
        <f t="shared" si="18"/>
        <v>Low</v>
      </c>
      <c r="I116" s="24" t="str">
        <f t="shared" si="18"/>
        <v>Low</v>
      </c>
      <c r="J116" s="24">
        <f t="shared" si="20"/>
        <v>0</v>
      </c>
    </row>
    <row r="117" spans="1:10" x14ac:dyDescent="0.3">
      <c r="A117" s="24" t="s">
        <v>57</v>
      </c>
      <c r="B117" s="24" cm="1">
        <f t="array" ref="B117">SUMPRODUCT((Data!$A$2:$A$1441=$A117)*(Data!$B$2:$B$1441=B$9)*Data!$E$2:$E$1441*((Data!$D$2:$D$1441=$B$3)*$C$94+(Data!$D$2:$D$1441=$B$4)*$C$95+(Data!$D$2:$D$1441=$B$5)*$C$96))</f>
        <v>2</v>
      </c>
      <c r="C117" s="24" cm="1">
        <f t="array" ref="C117">SUMPRODUCT((Data!$A$2:$A$1441=$A117)*(Data!$B$2:$B$1441=C$9)*Data!$E$2:$E$1441*((Data!$D$2:$D$1441=$B$3)*$C$94+(Data!$D$2:$D$1441=$B$4)*$C$95+(Data!$D$2:$D$1441=$B$5)*$C$96))</f>
        <v>2</v>
      </c>
      <c r="D117" s="24" cm="1">
        <f t="array" ref="D117">SUMPRODUCT((Data!$A$2:$A$1441=$A117)*(Data!$B$2:$B$1441=D$9)*Data!$E$2:$E$1441*((Data!$D$2:$D$1441=$B$3)*$C$94+(Data!$D$2:$D$1441=$B$4)*$C$95+(Data!$D$2:$D$1441=$B$5)*$C$96))</f>
        <v>4</v>
      </c>
      <c r="E117" s="24" cm="1">
        <f t="array" ref="E117">SUMPRODUCT((Data!$A$2:$A$1441=$A117)*(Data!$B$2:$B$1441=E$9)*Data!$E$2:$E$1441*((Data!$D$2:$D$1441=$B$3)*$C$94+(Data!$D$2:$D$1441=$B$4)*$C$95+(Data!$D$2:$D$1441=$B$5)*$C$96))</f>
        <v>1</v>
      </c>
      <c r="F117" s="24" t="str">
        <f t="shared" si="19"/>
        <v>Low</v>
      </c>
      <c r="G117" s="24" t="str">
        <f t="shared" ref="G117:G120" si="21">IF(C117&gt;=$F$94,"Critical",IF(C117&gt;=$F$95,"High",IF(C117&gt;=$F$96,"Medium","Low")))</f>
        <v>Low</v>
      </c>
      <c r="H117" s="24" t="str">
        <f t="shared" ref="H117:H120" si="22">IF(D117&gt;=$F$94,"Critical",IF(D117&gt;=$F$95,"High",IF(D117&gt;=$F$96,"Medium","Low")))</f>
        <v>Low</v>
      </c>
      <c r="I117" s="24" t="str">
        <f t="shared" ref="I117:I120" si="23">IF(E117&gt;=$F$94,"Critical",IF(E117&gt;=$F$95,"High",IF(E117&gt;=$F$96,"Medium","Low")))</f>
        <v>Low</v>
      </c>
      <c r="J117" s="24">
        <f t="shared" si="20"/>
        <v>0</v>
      </c>
    </row>
    <row r="118" spans="1:10" x14ac:dyDescent="0.3">
      <c r="A118" s="24" t="s">
        <v>59</v>
      </c>
      <c r="B118" s="24" cm="1">
        <f t="array" ref="B118">SUMPRODUCT((Data!$A$2:$A$1441=$A118)*(Data!$B$2:$B$1441=B$9)*Data!$E$2:$E$1441*((Data!$D$2:$D$1441=$B$3)*$C$94+(Data!$D$2:$D$1441=$B$4)*$C$95+(Data!$D$2:$D$1441=$B$5)*$C$96))</f>
        <v>3</v>
      </c>
      <c r="C118" s="24" cm="1">
        <f t="array" ref="C118">SUMPRODUCT((Data!$A$2:$A$1441=$A118)*(Data!$B$2:$B$1441=C$9)*Data!$E$2:$E$1441*((Data!$D$2:$D$1441=$B$3)*$C$94+(Data!$D$2:$D$1441=$B$4)*$C$95+(Data!$D$2:$D$1441=$B$5)*$C$96))</f>
        <v>2</v>
      </c>
      <c r="D118" s="24" cm="1">
        <f t="array" ref="D118">SUMPRODUCT((Data!$A$2:$A$1441=$A118)*(Data!$B$2:$B$1441=D$9)*Data!$E$2:$E$1441*((Data!$D$2:$D$1441=$B$3)*$C$94+(Data!$D$2:$D$1441=$B$4)*$C$95+(Data!$D$2:$D$1441=$B$5)*$C$96))</f>
        <v>1</v>
      </c>
      <c r="E118" s="24" cm="1">
        <f t="array" ref="E118">SUMPRODUCT((Data!$A$2:$A$1441=$A118)*(Data!$B$2:$B$1441=E$9)*Data!$E$2:$E$1441*((Data!$D$2:$D$1441=$B$3)*$C$94+(Data!$D$2:$D$1441=$B$4)*$C$95+(Data!$D$2:$D$1441=$B$5)*$C$96))</f>
        <v>1</v>
      </c>
      <c r="F118" s="24" t="str">
        <f t="shared" si="19"/>
        <v>Low</v>
      </c>
      <c r="G118" s="24" t="str">
        <f t="shared" si="21"/>
        <v>Low</v>
      </c>
      <c r="H118" s="24" t="str">
        <f t="shared" si="22"/>
        <v>Low</v>
      </c>
      <c r="I118" s="24" t="str">
        <f t="shared" si="23"/>
        <v>Low</v>
      </c>
      <c r="J118" s="24">
        <f t="shared" si="20"/>
        <v>0</v>
      </c>
    </row>
    <row r="119" spans="1:10" x14ac:dyDescent="0.3">
      <c r="A119" s="24" t="s">
        <v>61</v>
      </c>
      <c r="B119" s="24" cm="1">
        <f t="array" ref="B119">SUMPRODUCT((Data!$A$2:$A$1441=$A119)*(Data!$B$2:$B$1441=B$9)*Data!$E$2:$E$1441*((Data!$D$2:$D$1441=$B$3)*$C$94+(Data!$D$2:$D$1441=$B$4)*$C$95+(Data!$D$2:$D$1441=$B$5)*$C$96))</f>
        <v>2</v>
      </c>
      <c r="C119" s="24" cm="1">
        <f t="array" ref="C119">SUMPRODUCT((Data!$A$2:$A$1441=$A119)*(Data!$B$2:$B$1441=C$9)*Data!$E$2:$E$1441*((Data!$D$2:$D$1441=$B$3)*$C$94+(Data!$D$2:$D$1441=$B$4)*$C$95+(Data!$D$2:$D$1441=$B$5)*$C$96))</f>
        <v>3</v>
      </c>
      <c r="D119" s="24" cm="1">
        <f t="array" ref="D119">SUMPRODUCT((Data!$A$2:$A$1441=$A119)*(Data!$B$2:$B$1441=D$9)*Data!$E$2:$E$1441*((Data!$D$2:$D$1441=$B$3)*$C$94+(Data!$D$2:$D$1441=$B$4)*$C$95+(Data!$D$2:$D$1441=$B$5)*$C$96))</f>
        <v>6</v>
      </c>
      <c r="E119" s="24" cm="1">
        <f t="array" ref="E119">SUMPRODUCT((Data!$A$2:$A$1441=$A119)*(Data!$B$2:$B$1441=E$9)*Data!$E$2:$E$1441*((Data!$D$2:$D$1441=$B$3)*$C$94+(Data!$D$2:$D$1441=$B$4)*$C$95+(Data!$D$2:$D$1441=$B$5)*$C$96))</f>
        <v>1</v>
      </c>
      <c r="F119" s="24" t="str">
        <f t="shared" si="19"/>
        <v>Low</v>
      </c>
      <c r="G119" s="24" t="str">
        <f t="shared" si="21"/>
        <v>Low</v>
      </c>
      <c r="H119" s="24" t="str">
        <f t="shared" si="22"/>
        <v>Low</v>
      </c>
      <c r="I119" s="24" t="str">
        <f t="shared" si="23"/>
        <v>Low</v>
      </c>
      <c r="J119" s="24">
        <f t="shared" si="20"/>
        <v>0</v>
      </c>
    </row>
    <row r="120" spans="1:10" x14ac:dyDescent="0.3">
      <c r="A120" s="24" t="s">
        <v>63</v>
      </c>
      <c r="B120" s="24" cm="1">
        <f t="array" ref="B120">SUMPRODUCT((Data!$A$2:$A$1441=$A120)*(Data!$B$2:$B$1441=B$9)*Data!$E$2:$E$1441*((Data!$D$2:$D$1441=$B$3)*$C$94+(Data!$D$2:$D$1441=$B$4)*$C$95+(Data!$D$2:$D$1441=$B$5)*$C$96))</f>
        <v>2</v>
      </c>
      <c r="C120" s="24" cm="1">
        <f t="array" ref="C120">SUMPRODUCT((Data!$A$2:$A$1441=$A120)*(Data!$B$2:$B$1441=C$9)*Data!$E$2:$E$1441*((Data!$D$2:$D$1441=$B$3)*$C$94+(Data!$D$2:$D$1441=$B$4)*$C$95+(Data!$D$2:$D$1441=$B$5)*$C$96))</f>
        <v>1</v>
      </c>
      <c r="D120" s="24" cm="1">
        <f t="array" ref="D120">SUMPRODUCT((Data!$A$2:$A$1441=$A120)*(Data!$B$2:$B$1441=D$9)*Data!$E$2:$E$1441*((Data!$D$2:$D$1441=$B$3)*$C$94+(Data!$D$2:$D$1441=$B$4)*$C$95+(Data!$D$2:$D$1441=$B$5)*$C$96))</f>
        <v>9</v>
      </c>
      <c r="E120" s="24" cm="1">
        <f t="array" ref="E120">SUMPRODUCT((Data!$A$2:$A$1441=$A120)*(Data!$B$2:$B$1441=E$9)*Data!$E$2:$E$1441*((Data!$D$2:$D$1441=$B$3)*$C$94+(Data!$D$2:$D$1441=$B$4)*$C$95+(Data!$D$2:$D$1441=$B$5)*$C$96))</f>
        <v>1</v>
      </c>
      <c r="F120" s="24" t="str">
        <f t="shared" si="19"/>
        <v>Low</v>
      </c>
      <c r="G120" s="24" t="str">
        <f t="shared" si="21"/>
        <v>Low</v>
      </c>
      <c r="H120" s="24" t="str">
        <f t="shared" si="22"/>
        <v>Medium</v>
      </c>
      <c r="I120" s="24" t="str">
        <f t="shared" si="23"/>
        <v>Low</v>
      </c>
      <c r="J120" s="24">
        <f t="shared" si="20"/>
        <v>1</v>
      </c>
    </row>
    <row r="121" spans="1:10" x14ac:dyDescent="0.3">
      <c r="A121" s="25"/>
      <c r="B121" s="25"/>
      <c r="C121" s="25"/>
      <c r="D121" s="25"/>
      <c r="E121" s="25"/>
      <c r="F121" s="25"/>
      <c r="G121" s="25"/>
      <c r="H121" s="25"/>
      <c r="I121" s="25"/>
      <c r="J121" s="25">
        <f>SUM(J101:J120)</f>
        <v>4</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FFA314-C5FE-461C-BA0F-EE2B8455B0BE}">
  <dimension ref="A1:E6"/>
  <sheetViews>
    <sheetView zoomScaleNormal="100" workbookViewId="0">
      <selection activeCell="C19" sqref="C19"/>
    </sheetView>
  </sheetViews>
  <sheetFormatPr defaultColWidth="17.88671875" defaultRowHeight="14.4" x14ac:dyDescent="0.3"/>
  <cols>
    <col min="1" max="1" width="18.6640625" customWidth="1"/>
  </cols>
  <sheetData>
    <row r="1" spans="1:5" ht="15.6" x14ac:dyDescent="0.3">
      <c r="A1" s="41" t="s">
        <v>476</v>
      </c>
      <c r="B1" s="42"/>
      <c r="C1" s="42"/>
      <c r="D1" s="42"/>
      <c r="E1" s="43"/>
    </row>
    <row r="2" spans="1:5" ht="15.6" x14ac:dyDescent="0.3">
      <c r="A2" s="12" t="s">
        <v>4</v>
      </c>
      <c r="B2" s="12" t="s">
        <v>4</v>
      </c>
      <c r="C2" s="12" t="s">
        <v>474</v>
      </c>
      <c r="D2" s="12" t="s">
        <v>118</v>
      </c>
      <c r="E2" s="12" t="s">
        <v>475</v>
      </c>
    </row>
    <row r="3" spans="1:5" ht="15.6" x14ac:dyDescent="0.3">
      <c r="A3" s="13" t="s">
        <v>21</v>
      </c>
      <c r="B3" s="13" t="s">
        <v>430</v>
      </c>
      <c r="C3" s="13">
        <v>180</v>
      </c>
      <c r="D3" s="13">
        <v>180</v>
      </c>
      <c r="E3" s="14">
        <v>1</v>
      </c>
    </row>
    <row r="4" spans="1:5" ht="15.6" x14ac:dyDescent="0.3">
      <c r="A4" s="13" t="s">
        <v>25</v>
      </c>
      <c r="B4" s="13" t="s">
        <v>477</v>
      </c>
      <c r="C4" s="13">
        <v>166</v>
      </c>
      <c r="D4" s="13">
        <v>170</v>
      </c>
      <c r="E4" s="14">
        <v>0.97647058823529398</v>
      </c>
    </row>
    <row r="5" spans="1:5" ht="15.6" x14ac:dyDescent="0.3">
      <c r="A5" s="13" t="s">
        <v>24</v>
      </c>
      <c r="B5" s="13" t="s">
        <v>429</v>
      </c>
      <c r="C5" s="13">
        <v>173</v>
      </c>
      <c r="D5" s="13">
        <v>180</v>
      </c>
      <c r="E5" s="14">
        <v>0.96111111111111114</v>
      </c>
    </row>
    <row r="6" spans="1:5" ht="15.6" x14ac:dyDescent="0.3">
      <c r="A6" s="13" t="s">
        <v>23</v>
      </c>
      <c r="B6" s="13" t="s">
        <v>478</v>
      </c>
      <c r="C6" s="13">
        <v>171</v>
      </c>
      <c r="D6" s="13">
        <v>180</v>
      </c>
      <c r="E6" s="14">
        <v>0.95</v>
      </c>
    </row>
  </sheetData>
  <sortState xmlns:xlrd2="http://schemas.microsoft.com/office/spreadsheetml/2017/richdata2" ref="A3:E17">
    <sortCondition descending="1" ref="E2:E17"/>
  </sortState>
  <mergeCells count="1">
    <mergeCell ref="A1:E1"/>
  </mergeCell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C17F7-34B9-4EFD-AC2A-F418298C4F86}">
  <dimension ref="A1:E16"/>
  <sheetViews>
    <sheetView zoomScaleNormal="100" workbookViewId="0">
      <selection activeCell="C18" sqref="C18"/>
    </sheetView>
  </sheetViews>
  <sheetFormatPr defaultColWidth="13.109375" defaultRowHeight="14.4" x14ac:dyDescent="0.3"/>
  <cols>
    <col min="1" max="1" width="14.88671875" customWidth="1"/>
    <col min="5" max="5" width="13.109375" style="3"/>
  </cols>
  <sheetData>
    <row r="1" spans="1:5" ht="15.6" x14ac:dyDescent="0.3">
      <c r="A1" s="41" t="s">
        <v>479</v>
      </c>
      <c r="B1" s="42"/>
      <c r="C1" s="42"/>
      <c r="D1" s="42"/>
      <c r="E1" s="43"/>
    </row>
    <row r="2" spans="1:5" ht="15.6" x14ac:dyDescent="0.3">
      <c r="A2" s="12" t="s">
        <v>4</v>
      </c>
      <c r="B2" s="12" t="s">
        <v>73</v>
      </c>
      <c r="C2" s="12" t="s">
        <v>474</v>
      </c>
      <c r="D2" s="12" t="s">
        <v>118</v>
      </c>
      <c r="E2" s="21" t="s">
        <v>475</v>
      </c>
    </row>
    <row r="3" spans="1:5" ht="15.6" x14ac:dyDescent="0.3">
      <c r="A3" s="13" t="s">
        <v>25</v>
      </c>
      <c r="B3" s="13" t="s">
        <v>81</v>
      </c>
      <c r="C3" s="13">
        <v>7</v>
      </c>
      <c r="D3" s="13">
        <v>10</v>
      </c>
      <c r="E3" s="16">
        <v>0.7</v>
      </c>
    </row>
    <row r="4" spans="1:5" ht="15.6" x14ac:dyDescent="0.3">
      <c r="A4" s="13" t="s">
        <v>25</v>
      </c>
      <c r="B4" s="13" t="s">
        <v>99</v>
      </c>
      <c r="C4" s="13">
        <v>9</v>
      </c>
      <c r="D4" s="13">
        <v>10</v>
      </c>
      <c r="E4" s="16">
        <v>0.9</v>
      </c>
    </row>
    <row r="5" spans="1:5" ht="15.6" x14ac:dyDescent="0.3">
      <c r="A5" s="13" t="s">
        <v>24</v>
      </c>
      <c r="B5" s="13" t="s">
        <v>99</v>
      </c>
      <c r="C5" s="13">
        <v>8</v>
      </c>
      <c r="D5" s="13">
        <v>10</v>
      </c>
      <c r="E5" s="16">
        <v>0.8</v>
      </c>
    </row>
    <row r="6" spans="1:5" ht="15.6" x14ac:dyDescent="0.3">
      <c r="A6" s="13" t="s">
        <v>24</v>
      </c>
      <c r="B6" s="13" t="s">
        <v>109</v>
      </c>
      <c r="C6" s="13">
        <v>8</v>
      </c>
      <c r="D6" s="13">
        <v>10</v>
      </c>
      <c r="E6" s="16">
        <v>0.8</v>
      </c>
    </row>
    <row r="7" spans="1:5" ht="15.6" x14ac:dyDescent="0.3">
      <c r="A7" s="13" t="s">
        <v>24</v>
      </c>
      <c r="B7" s="13" t="s">
        <v>77</v>
      </c>
      <c r="C7" s="13">
        <v>9</v>
      </c>
      <c r="D7" s="13">
        <v>10</v>
      </c>
      <c r="E7" s="16">
        <v>0.9</v>
      </c>
    </row>
    <row r="8" spans="1:5" ht="15.6" x14ac:dyDescent="0.3">
      <c r="A8" s="13" t="s">
        <v>24</v>
      </c>
      <c r="B8" s="13" t="s">
        <v>85</v>
      </c>
      <c r="C8" s="13">
        <v>9</v>
      </c>
      <c r="D8" s="13">
        <v>10</v>
      </c>
      <c r="E8" s="16">
        <v>0.9</v>
      </c>
    </row>
    <row r="9" spans="1:5" ht="15.6" x14ac:dyDescent="0.3">
      <c r="A9" s="13" t="s">
        <v>24</v>
      </c>
      <c r="B9" s="13" t="s">
        <v>97</v>
      </c>
      <c r="C9" s="13">
        <v>9</v>
      </c>
      <c r="D9" s="13">
        <v>10</v>
      </c>
      <c r="E9" s="16">
        <v>0.9</v>
      </c>
    </row>
    <row r="10" spans="1:5" ht="15.6" x14ac:dyDescent="0.3">
      <c r="A10" s="13" t="s">
        <v>23</v>
      </c>
      <c r="B10" s="13" t="s">
        <v>83</v>
      </c>
      <c r="C10" s="13">
        <v>8</v>
      </c>
      <c r="D10" s="13">
        <v>10</v>
      </c>
      <c r="E10" s="16">
        <v>0.8</v>
      </c>
    </row>
    <row r="11" spans="1:5" ht="15.6" x14ac:dyDescent="0.3">
      <c r="A11" s="13" t="s">
        <v>23</v>
      </c>
      <c r="B11" s="13" t="s">
        <v>107</v>
      </c>
      <c r="C11" s="13">
        <v>8</v>
      </c>
      <c r="D11" s="13">
        <v>10</v>
      </c>
      <c r="E11" s="16">
        <v>0.8</v>
      </c>
    </row>
    <row r="12" spans="1:5" ht="15.6" x14ac:dyDescent="0.3">
      <c r="A12" s="13" t="s">
        <v>23</v>
      </c>
      <c r="B12" s="13" t="s">
        <v>77</v>
      </c>
      <c r="C12" s="13">
        <v>9</v>
      </c>
      <c r="D12" s="13">
        <v>10</v>
      </c>
      <c r="E12" s="16">
        <v>0.9</v>
      </c>
    </row>
    <row r="13" spans="1:5" ht="15.6" x14ac:dyDescent="0.3">
      <c r="A13" s="13" t="s">
        <v>23</v>
      </c>
      <c r="B13" s="13" t="s">
        <v>81</v>
      </c>
      <c r="C13" s="13">
        <v>9</v>
      </c>
      <c r="D13" s="13">
        <v>10</v>
      </c>
      <c r="E13" s="16">
        <v>0.9</v>
      </c>
    </row>
    <row r="14" spans="1:5" ht="15.6" x14ac:dyDescent="0.3">
      <c r="A14" s="13" t="s">
        <v>23</v>
      </c>
      <c r="B14" s="13" t="s">
        <v>95</v>
      </c>
      <c r="C14" s="13">
        <v>9</v>
      </c>
      <c r="D14" s="13">
        <v>10</v>
      </c>
      <c r="E14" s="16">
        <v>0.9</v>
      </c>
    </row>
    <row r="15" spans="1:5" ht="15.6" x14ac:dyDescent="0.3">
      <c r="A15" s="13" t="s">
        <v>23</v>
      </c>
      <c r="B15" s="13" t="s">
        <v>99</v>
      </c>
      <c r="C15" s="13">
        <v>9</v>
      </c>
      <c r="D15" s="13">
        <v>10</v>
      </c>
      <c r="E15" s="16">
        <v>0.9</v>
      </c>
    </row>
    <row r="16" spans="1:5" ht="15.6" x14ac:dyDescent="0.3">
      <c r="A16" s="13" t="s">
        <v>23</v>
      </c>
      <c r="B16" s="13" t="s">
        <v>101</v>
      </c>
      <c r="C16" s="13">
        <v>9</v>
      </c>
      <c r="D16" s="13">
        <v>10</v>
      </c>
      <c r="E16" s="16">
        <v>0.9</v>
      </c>
    </row>
  </sheetData>
  <sortState xmlns:xlrd2="http://schemas.microsoft.com/office/spreadsheetml/2017/richdata2" ref="A3:E16">
    <sortCondition descending="1" ref="A2:A16"/>
  </sortState>
  <mergeCells count="1">
    <mergeCell ref="A1:E1"/>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04AC8-746C-42DE-9B8A-AC206C8CD19F}">
  <dimension ref="A1:I6"/>
  <sheetViews>
    <sheetView workbookViewId="0">
      <selection activeCell="E21" sqref="E21"/>
    </sheetView>
  </sheetViews>
  <sheetFormatPr defaultColWidth="11.77734375" defaultRowHeight="14.4" x14ac:dyDescent="0.3"/>
  <cols>
    <col min="1" max="1" width="9.5546875" bestFit="1" customWidth="1"/>
    <col min="2" max="2" width="16.21875" bestFit="1" customWidth="1"/>
    <col min="3" max="6" width="9" customWidth="1"/>
    <col min="7" max="7" width="23.21875" bestFit="1" customWidth="1"/>
    <col min="8" max="8" width="18" bestFit="1" customWidth="1"/>
    <col min="9" max="9" width="18.88671875" bestFit="1" customWidth="1"/>
  </cols>
  <sheetData>
    <row r="1" spans="1:9" ht="15.6" x14ac:dyDescent="0.3">
      <c r="A1" s="45" t="s">
        <v>481</v>
      </c>
      <c r="B1" s="46"/>
      <c r="C1" s="46"/>
      <c r="D1" s="46"/>
      <c r="E1" s="46"/>
      <c r="F1" s="46"/>
      <c r="G1" s="46"/>
      <c r="H1" s="46"/>
      <c r="I1" s="46"/>
    </row>
    <row r="2" spans="1:9" ht="15.6" x14ac:dyDescent="0.3">
      <c r="A2" s="12" t="s">
        <v>4</v>
      </c>
      <c r="B2" s="12" t="s">
        <v>480</v>
      </c>
      <c r="C2" s="12" t="s">
        <v>129</v>
      </c>
      <c r="D2" s="12" t="s">
        <v>128</v>
      </c>
      <c r="E2" s="12" t="s">
        <v>127</v>
      </c>
      <c r="F2" s="12" t="s">
        <v>126</v>
      </c>
      <c r="G2" s="12" t="s">
        <v>9</v>
      </c>
      <c r="H2" s="12" t="s">
        <v>17</v>
      </c>
      <c r="I2" s="12" t="s">
        <v>130</v>
      </c>
    </row>
    <row r="3" spans="1:9" ht="15.6" x14ac:dyDescent="0.3">
      <c r="A3" s="13" t="s">
        <v>21</v>
      </c>
      <c r="B3" s="13" t="s">
        <v>430</v>
      </c>
      <c r="C3" s="13">
        <v>318</v>
      </c>
      <c r="D3" s="13">
        <v>6</v>
      </c>
      <c r="E3" s="13">
        <v>0</v>
      </c>
      <c r="F3" s="13">
        <v>36</v>
      </c>
      <c r="G3" s="13">
        <v>324</v>
      </c>
      <c r="H3" s="19">
        <v>0</v>
      </c>
      <c r="I3" s="19">
        <v>1</v>
      </c>
    </row>
    <row r="4" spans="1:9" ht="15.6" x14ac:dyDescent="0.3">
      <c r="A4" s="13" t="s">
        <v>25</v>
      </c>
      <c r="B4" s="13" t="s">
        <v>477</v>
      </c>
      <c r="C4" s="13">
        <v>283</v>
      </c>
      <c r="D4" s="13">
        <v>10</v>
      </c>
      <c r="E4" s="13">
        <v>1</v>
      </c>
      <c r="F4" s="13">
        <v>46</v>
      </c>
      <c r="G4" s="13">
        <v>294</v>
      </c>
      <c r="H4" s="19">
        <v>3.4013605442176869E-3</v>
      </c>
      <c r="I4" s="19">
        <v>0.99659863945578231</v>
      </c>
    </row>
    <row r="5" spans="1:9" ht="15.6" x14ac:dyDescent="0.3">
      <c r="A5" s="13" t="s">
        <v>23</v>
      </c>
      <c r="B5" s="13" t="s">
        <v>478</v>
      </c>
      <c r="C5" s="13">
        <v>317</v>
      </c>
      <c r="D5" s="13">
        <v>22</v>
      </c>
      <c r="E5" s="13">
        <v>2</v>
      </c>
      <c r="F5" s="13">
        <v>19</v>
      </c>
      <c r="G5" s="13">
        <v>341</v>
      </c>
      <c r="H5" s="19">
        <v>5.8651026392961877E-3</v>
      </c>
      <c r="I5" s="19">
        <v>0.99413489736070382</v>
      </c>
    </row>
    <row r="6" spans="1:9" ht="15.6" x14ac:dyDescent="0.3">
      <c r="A6" s="13" t="s">
        <v>24</v>
      </c>
      <c r="B6" s="13" t="s">
        <v>429</v>
      </c>
      <c r="C6" s="13">
        <v>284</v>
      </c>
      <c r="D6" s="13">
        <v>28</v>
      </c>
      <c r="E6" s="13">
        <v>10</v>
      </c>
      <c r="F6" s="13">
        <v>38</v>
      </c>
      <c r="G6" s="13">
        <v>322</v>
      </c>
      <c r="H6" s="19">
        <v>3.1055900621118009E-2</v>
      </c>
      <c r="I6" s="19">
        <v>0.96894409937888204</v>
      </c>
    </row>
  </sheetData>
  <mergeCells count="1">
    <mergeCell ref="A1:I1"/>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L72"/>
  <sheetViews>
    <sheetView topLeftCell="A7" workbookViewId="0">
      <selection activeCell="H10" sqref="H10"/>
    </sheetView>
  </sheetViews>
  <sheetFormatPr defaultRowHeight="14.4" x14ac:dyDescent="0.3"/>
  <cols>
    <col min="1" max="1" width="8.6640625" bestFit="1" customWidth="1"/>
    <col min="2" max="2" width="7.109375" bestFit="1" customWidth="1"/>
    <col min="3" max="3" width="7.6640625" bestFit="1" customWidth="1"/>
    <col min="4" max="4" width="11" bestFit="1" customWidth="1"/>
    <col min="5" max="5" width="37.21875" bestFit="1" customWidth="1"/>
    <col min="6" max="9" width="9.109375" customWidth="1"/>
    <col min="10" max="10" width="21.6640625" bestFit="1" customWidth="1"/>
    <col min="11" max="11" width="16.33203125" bestFit="1" customWidth="1"/>
    <col min="12" max="12" width="17.44140625" bestFit="1" customWidth="1"/>
  </cols>
  <sheetData>
    <row r="1" spans="1:12" x14ac:dyDescent="0.3">
      <c r="A1" s="1" t="s">
        <v>0</v>
      </c>
      <c r="B1" s="1" t="s">
        <v>1</v>
      </c>
      <c r="C1" s="1" t="s">
        <v>4</v>
      </c>
      <c r="D1" s="1" t="s">
        <v>73</v>
      </c>
      <c r="E1" s="1" t="s">
        <v>74</v>
      </c>
      <c r="F1" s="1" t="s">
        <v>126</v>
      </c>
      <c r="G1" s="1" t="s">
        <v>127</v>
      </c>
      <c r="H1" s="1" t="s">
        <v>128</v>
      </c>
      <c r="I1" s="1" t="s">
        <v>129</v>
      </c>
      <c r="J1" s="1" t="s">
        <v>9</v>
      </c>
      <c r="K1" s="1" t="s">
        <v>17</v>
      </c>
      <c r="L1" s="1" t="s">
        <v>130</v>
      </c>
    </row>
    <row r="2" spans="1:12" x14ac:dyDescent="0.3">
      <c r="A2" t="s">
        <v>18</v>
      </c>
      <c r="B2">
        <v>1</v>
      </c>
      <c r="C2" t="s">
        <v>21</v>
      </c>
      <c r="D2" t="s">
        <v>77</v>
      </c>
      <c r="E2" t="s">
        <v>78</v>
      </c>
      <c r="F2">
        <v>12</v>
      </c>
      <c r="G2">
        <v>0</v>
      </c>
      <c r="H2">
        <v>1</v>
      </c>
      <c r="I2">
        <v>7</v>
      </c>
      <c r="J2">
        <v>8</v>
      </c>
      <c r="K2">
        <v>0</v>
      </c>
      <c r="L2">
        <v>1</v>
      </c>
    </row>
    <row r="3" spans="1:12" x14ac:dyDescent="0.3">
      <c r="A3" t="s">
        <v>18</v>
      </c>
      <c r="B3">
        <v>1</v>
      </c>
      <c r="C3" t="s">
        <v>21</v>
      </c>
      <c r="D3" t="s">
        <v>79</v>
      </c>
      <c r="E3" t="s">
        <v>80</v>
      </c>
      <c r="F3">
        <v>0</v>
      </c>
      <c r="G3">
        <v>0</v>
      </c>
      <c r="H3">
        <v>0</v>
      </c>
      <c r="I3">
        <v>20</v>
      </c>
      <c r="J3">
        <v>20</v>
      </c>
      <c r="K3">
        <v>0</v>
      </c>
      <c r="L3">
        <v>1</v>
      </c>
    </row>
    <row r="4" spans="1:12" x14ac:dyDescent="0.3">
      <c r="A4" t="s">
        <v>18</v>
      </c>
      <c r="B4">
        <v>1</v>
      </c>
      <c r="C4" t="s">
        <v>21</v>
      </c>
      <c r="D4" t="s">
        <v>81</v>
      </c>
      <c r="E4" t="s">
        <v>82</v>
      </c>
      <c r="F4">
        <v>0</v>
      </c>
      <c r="G4">
        <v>0</v>
      </c>
      <c r="H4">
        <v>0</v>
      </c>
      <c r="I4">
        <v>20</v>
      </c>
      <c r="J4">
        <v>20</v>
      </c>
      <c r="K4">
        <v>0</v>
      </c>
      <c r="L4">
        <v>1</v>
      </c>
    </row>
    <row r="5" spans="1:12" x14ac:dyDescent="0.3">
      <c r="A5" t="s">
        <v>18</v>
      </c>
      <c r="B5">
        <v>1</v>
      </c>
      <c r="C5" t="s">
        <v>21</v>
      </c>
      <c r="D5" t="s">
        <v>83</v>
      </c>
      <c r="E5" t="s">
        <v>84</v>
      </c>
      <c r="F5">
        <v>0</v>
      </c>
      <c r="G5">
        <v>0</v>
      </c>
      <c r="H5">
        <v>0</v>
      </c>
      <c r="I5">
        <v>20</v>
      </c>
      <c r="J5">
        <v>20</v>
      </c>
      <c r="K5">
        <v>0</v>
      </c>
      <c r="L5">
        <v>1</v>
      </c>
    </row>
    <row r="6" spans="1:12" x14ac:dyDescent="0.3">
      <c r="A6" t="s">
        <v>18</v>
      </c>
      <c r="B6">
        <v>1</v>
      </c>
      <c r="C6" t="s">
        <v>21</v>
      </c>
      <c r="D6" t="s">
        <v>85</v>
      </c>
      <c r="E6" t="s">
        <v>86</v>
      </c>
      <c r="F6">
        <v>0</v>
      </c>
      <c r="G6">
        <v>0</v>
      </c>
      <c r="H6">
        <v>0</v>
      </c>
      <c r="I6">
        <v>20</v>
      </c>
      <c r="J6">
        <v>20</v>
      </c>
      <c r="K6">
        <v>0</v>
      </c>
      <c r="L6">
        <v>1</v>
      </c>
    </row>
    <row r="7" spans="1:12" x14ac:dyDescent="0.3">
      <c r="A7" t="s">
        <v>18</v>
      </c>
      <c r="B7">
        <v>1</v>
      </c>
      <c r="C7" t="s">
        <v>21</v>
      </c>
      <c r="D7" t="s">
        <v>87</v>
      </c>
      <c r="E7" t="s">
        <v>88</v>
      </c>
      <c r="F7">
        <v>11</v>
      </c>
      <c r="G7">
        <v>0</v>
      </c>
      <c r="H7">
        <v>0</v>
      </c>
      <c r="I7">
        <v>9</v>
      </c>
      <c r="J7">
        <v>9</v>
      </c>
      <c r="K7">
        <v>0</v>
      </c>
      <c r="L7">
        <v>1</v>
      </c>
    </row>
    <row r="8" spans="1:12" x14ac:dyDescent="0.3">
      <c r="A8" t="s">
        <v>18</v>
      </c>
      <c r="B8">
        <v>1</v>
      </c>
      <c r="C8" t="s">
        <v>21</v>
      </c>
      <c r="D8" t="s">
        <v>89</v>
      </c>
      <c r="E8" t="s">
        <v>90</v>
      </c>
      <c r="F8">
        <v>0</v>
      </c>
      <c r="G8">
        <v>0</v>
      </c>
      <c r="H8">
        <v>0</v>
      </c>
      <c r="I8">
        <v>20</v>
      </c>
      <c r="J8">
        <v>20</v>
      </c>
      <c r="K8">
        <v>0</v>
      </c>
      <c r="L8">
        <v>1</v>
      </c>
    </row>
    <row r="9" spans="1:12" x14ac:dyDescent="0.3">
      <c r="A9" t="s">
        <v>18</v>
      </c>
      <c r="B9">
        <v>1</v>
      </c>
      <c r="C9" t="s">
        <v>21</v>
      </c>
      <c r="D9" t="s">
        <v>91</v>
      </c>
      <c r="E9" t="s">
        <v>92</v>
      </c>
      <c r="F9">
        <v>0</v>
      </c>
      <c r="G9">
        <v>0</v>
      </c>
      <c r="H9">
        <v>0</v>
      </c>
      <c r="I9">
        <v>20</v>
      </c>
      <c r="J9">
        <v>20</v>
      </c>
      <c r="K9">
        <v>0</v>
      </c>
      <c r="L9">
        <v>1</v>
      </c>
    </row>
    <row r="10" spans="1:12" x14ac:dyDescent="0.3">
      <c r="A10" t="s">
        <v>18</v>
      </c>
      <c r="B10">
        <v>1</v>
      </c>
      <c r="C10" t="s">
        <v>21</v>
      </c>
      <c r="D10" t="s">
        <v>93</v>
      </c>
      <c r="E10" t="s">
        <v>94</v>
      </c>
      <c r="F10">
        <v>0</v>
      </c>
      <c r="G10">
        <v>0</v>
      </c>
      <c r="H10">
        <v>0</v>
      </c>
      <c r="I10">
        <v>20</v>
      </c>
      <c r="J10">
        <v>20</v>
      </c>
      <c r="K10">
        <v>0</v>
      </c>
      <c r="L10">
        <v>1</v>
      </c>
    </row>
    <row r="11" spans="1:12" x14ac:dyDescent="0.3">
      <c r="A11" t="s">
        <v>18</v>
      </c>
      <c r="B11">
        <v>1</v>
      </c>
      <c r="C11" t="s">
        <v>21</v>
      </c>
      <c r="D11" t="s">
        <v>95</v>
      </c>
      <c r="E11" t="s">
        <v>96</v>
      </c>
      <c r="F11">
        <v>0</v>
      </c>
      <c r="G11">
        <v>0</v>
      </c>
      <c r="H11">
        <v>0</v>
      </c>
      <c r="I11">
        <v>20</v>
      </c>
      <c r="J11">
        <v>20</v>
      </c>
      <c r="K11">
        <v>0</v>
      </c>
      <c r="L11">
        <v>1</v>
      </c>
    </row>
    <row r="12" spans="1:12" x14ac:dyDescent="0.3">
      <c r="A12" t="s">
        <v>18</v>
      </c>
      <c r="B12">
        <v>1</v>
      </c>
      <c r="C12" t="s">
        <v>21</v>
      </c>
      <c r="D12" t="s">
        <v>97</v>
      </c>
      <c r="E12" t="s">
        <v>98</v>
      </c>
      <c r="F12">
        <v>0</v>
      </c>
      <c r="G12">
        <v>0</v>
      </c>
      <c r="H12">
        <v>0</v>
      </c>
      <c r="I12">
        <v>20</v>
      </c>
      <c r="J12">
        <v>20</v>
      </c>
      <c r="K12">
        <v>0</v>
      </c>
      <c r="L12">
        <v>1</v>
      </c>
    </row>
    <row r="13" spans="1:12" x14ac:dyDescent="0.3">
      <c r="A13" t="s">
        <v>18</v>
      </c>
      <c r="B13">
        <v>1</v>
      </c>
      <c r="C13" t="s">
        <v>21</v>
      </c>
      <c r="D13" t="s">
        <v>99</v>
      </c>
      <c r="E13" t="s">
        <v>100</v>
      </c>
      <c r="F13">
        <v>0</v>
      </c>
      <c r="G13">
        <v>0</v>
      </c>
      <c r="H13">
        <v>0</v>
      </c>
      <c r="I13">
        <v>20</v>
      </c>
      <c r="J13">
        <v>20</v>
      </c>
      <c r="K13">
        <v>0</v>
      </c>
      <c r="L13">
        <v>1</v>
      </c>
    </row>
    <row r="14" spans="1:12" x14ac:dyDescent="0.3">
      <c r="A14" t="s">
        <v>18</v>
      </c>
      <c r="B14">
        <v>1</v>
      </c>
      <c r="C14" t="s">
        <v>21</v>
      </c>
      <c r="D14" t="s">
        <v>101</v>
      </c>
      <c r="E14" t="s">
        <v>102</v>
      </c>
      <c r="F14">
        <v>0</v>
      </c>
      <c r="G14">
        <v>0</v>
      </c>
      <c r="H14">
        <v>2</v>
      </c>
      <c r="I14">
        <v>18</v>
      </c>
      <c r="J14">
        <v>20</v>
      </c>
      <c r="K14">
        <v>0</v>
      </c>
      <c r="L14">
        <v>1</v>
      </c>
    </row>
    <row r="15" spans="1:12" x14ac:dyDescent="0.3">
      <c r="A15" t="s">
        <v>18</v>
      </c>
      <c r="B15">
        <v>1</v>
      </c>
      <c r="C15" t="s">
        <v>21</v>
      </c>
      <c r="D15" t="s">
        <v>103</v>
      </c>
      <c r="E15" t="s">
        <v>104</v>
      </c>
      <c r="F15">
        <v>0</v>
      </c>
      <c r="G15">
        <v>0</v>
      </c>
      <c r="H15">
        <v>0</v>
      </c>
      <c r="I15">
        <v>20</v>
      </c>
      <c r="J15">
        <v>20</v>
      </c>
      <c r="K15">
        <v>0</v>
      </c>
      <c r="L15">
        <v>1</v>
      </c>
    </row>
    <row r="16" spans="1:12" x14ac:dyDescent="0.3">
      <c r="A16" t="s">
        <v>18</v>
      </c>
      <c r="B16">
        <v>1</v>
      </c>
      <c r="C16" t="s">
        <v>21</v>
      </c>
      <c r="D16" t="s">
        <v>105</v>
      </c>
      <c r="E16" t="s">
        <v>106</v>
      </c>
      <c r="F16">
        <v>0</v>
      </c>
      <c r="G16">
        <v>0</v>
      </c>
      <c r="H16">
        <v>0</v>
      </c>
      <c r="I16">
        <v>20</v>
      </c>
      <c r="J16">
        <v>20</v>
      </c>
      <c r="K16">
        <v>0</v>
      </c>
      <c r="L16">
        <v>1</v>
      </c>
    </row>
    <row r="17" spans="1:12" x14ac:dyDescent="0.3">
      <c r="A17" t="s">
        <v>18</v>
      </c>
      <c r="B17">
        <v>1</v>
      </c>
      <c r="C17" t="s">
        <v>21</v>
      </c>
      <c r="D17" t="s">
        <v>107</v>
      </c>
      <c r="E17" t="s">
        <v>108</v>
      </c>
      <c r="F17">
        <v>10</v>
      </c>
      <c r="G17">
        <v>0</v>
      </c>
      <c r="H17">
        <v>1</v>
      </c>
      <c r="I17">
        <v>9</v>
      </c>
      <c r="J17">
        <v>10</v>
      </c>
      <c r="K17">
        <v>0</v>
      </c>
      <c r="L17">
        <v>1</v>
      </c>
    </row>
    <row r="18" spans="1:12" x14ac:dyDescent="0.3">
      <c r="A18" t="s">
        <v>18</v>
      </c>
      <c r="B18">
        <v>1</v>
      </c>
      <c r="C18" t="s">
        <v>21</v>
      </c>
      <c r="D18" t="s">
        <v>109</v>
      </c>
      <c r="E18" t="s">
        <v>110</v>
      </c>
      <c r="F18">
        <v>0</v>
      </c>
      <c r="G18">
        <v>0</v>
      </c>
      <c r="H18">
        <v>2</v>
      </c>
      <c r="I18">
        <v>18</v>
      </c>
      <c r="J18">
        <v>20</v>
      </c>
      <c r="K18">
        <v>0</v>
      </c>
      <c r="L18">
        <v>1</v>
      </c>
    </row>
    <row r="19" spans="1:12" x14ac:dyDescent="0.3">
      <c r="A19" t="s">
        <v>18</v>
      </c>
      <c r="B19">
        <v>1</v>
      </c>
      <c r="C19" t="s">
        <v>21</v>
      </c>
      <c r="D19" t="s">
        <v>111</v>
      </c>
      <c r="E19" t="s">
        <v>112</v>
      </c>
      <c r="F19">
        <v>3</v>
      </c>
      <c r="G19">
        <v>0</v>
      </c>
      <c r="H19">
        <v>0</v>
      </c>
      <c r="I19">
        <v>17</v>
      </c>
      <c r="J19">
        <v>17</v>
      </c>
      <c r="K19">
        <v>0</v>
      </c>
      <c r="L19">
        <v>1</v>
      </c>
    </row>
    <row r="20" spans="1:12" x14ac:dyDescent="0.3">
      <c r="A20" t="s">
        <v>18</v>
      </c>
      <c r="B20">
        <v>1</v>
      </c>
      <c r="C20" t="s">
        <v>23</v>
      </c>
      <c r="D20" t="s">
        <v>77</v>
      </c>
      <c r="E20" t="s">
        <v>78</v>
      </c>
      <c r="F20">
        <v>7</v>
      </c>
      <c r="G20">
        <v>0</v>
      </c>
      <c r="H20">
        <v>0</v>
      </c>
      <c r="I20">
        <v>13</v>
      </c>
      <c r="J20">
        <v>13</v>
      </c>
      <c r="K20">
        <v>0</v>
      </c>
      <c r="L20">
        <v>1</v>
      </c>
    </row>
    <row r="21" spans="1:12" x14ac:dyDescent="0.3">
      <c r="A21" t="s">
        <v>18</v>
      </c>
      <c r="B21">
        <v>1</v>
      </c>
      <c r="C21" t="s">
        <v>23</v>
      </c>
      <c r="D21" t="s">
        <v>79</v>
      </c>
      <c r="E21" t="s">
        <v>80</v>
      </c>
      <c r="F21">
        <v>0</v>
      </c>
      <c r="G21">
        <v>0</v>
      </c>
      <c r="H21">
        <v>2</v>
      </c>
      <c r="I21">
        <v>18</v>
      </c>
      <c r="J21">
        <v>20</v>
      </c>
      <c r="K21">
        <v>0</v>
      </c>
      <c r="L21">
        <v>1</v>
      </c>
    </row>
    <row r="22" spans="1:12" x14ac:dyDescent="0.3">
      <c r="A22" t="s">
        <v>18</v>
      </c>
      <c r="B22">
        <v>1</v>
      </c>
      <c r="C22" t="s">
        <v>23</v>
      </c>
      <c r="D22" t="s">
        <v>81</v>
      </c>
      <c r="E22" t="s">
        <v>82</v>
      </c>
      <c r="F22">
        <v>0</v>
      </c>
      <c r="G22">
        <v>0</v>
      </c>
      <c r="H22">
        <v>8</v>
      </c>
      <c r="I22">
        <v>12</v>
      </c>
      <c r="J22">
        <v>20</v>
      </c>
      <c r="K22">
        <v>0</v>
      </c>
      <c r="L22">
        <v>1</v>
      </c>
    </row>
    <row r="23" spans="1:12" x14ac:dyDescent="0.3">
      <c r="A23" t="s">
        <v>18</v>
      </c>
      <c r="B23">
        <v>1</v>
      </c>
      <c r="C23" t="s">
        <v>23</v>
      </c>
      <c r="D23" t="s">
        <v>83</v>
      </c>
      <c r="E23" t="s">
        <v>84</v>
      </c>
      <c r="F23">
        <v>1</v>
      </c>
      <c r="G23">
        <v>0</v>
      </c>
      <c r="H23">
        <v>2</v>
      </c>
      <c r="I23">
        <v>17</v>
      </c>
      <c r="J23">
        <v>19</v>
      </c>
      <c r="K23">
        <v>0</v>
      </c>
      <c r="L23">
        <v>1</v>
      </c>
    </row>
    <row r="24" spans="1:12" x14ac:dyDescent="0.3">
      <c r="A24" t="s">
        <v>18</v>
      </c>
      <c r="B24">
        <v>1</v>
      </c>
      <c r="C24" t="s">
        <v>23</v>
      </c>
      <c r="D24" t="s">
        <v>85</v>
      </c>
      <c r="E24" t="s">
        <v>86</v>
      </c>
      <c r="F24">
        <v>0</v>
      </c>
      <c r="G24">
        <v>0</v>
      </c>
      <c r="H24">
        <v>0</v>
      </c>
      <c r="I24">
        <v>20</v>
      </c>
      <c r="J24">
        <v>20</v>
      </c>
      <c r="K24">
        <v>0</v>
      </c>
      <c r="L24">
        <v>1</v>
      </c>
    </row>
    <row r="25" spans="1:12" x14ac:dyDescent="0.3">
      <c r="A25" t="s">
        <v>18</v>
      </c>
      <c r="B25">
        <v>1</v>
      </c>
      <c r="C25" t="s">
        <v>23</v>
      </c>
      <c r="D25" t="s">
        <v>87</v>
      </c>
      <c r="E25" t="s">
        <v>88</v>
      </c>
      <c r="F25">
        <v>3</v>
      </c>
      <c r="G25">
        <v>0</v>
      </c>
      <c r="H25">
        <v>0</v>
      </c>
      <c r="I25">
        <v>17</v>
      </c>
      <c r="J25">
        <v>17</v>
      </c>
      <c r="K25">
        <v>0</v>
      </c>
      <c r="L25">
        <v>1</v>
      </c>
    </row>
    <row r="26" spans="1:12" x14ac:dyDescent="0.3">
      <c r="A26" t="s">
        <v>18</v>
      </c>
      <c r="B26">
        <v>1</v>
      </c>
      <c r="C26" t="s">
        <v>23</v>
      </c>
      <c r="D26" t="s">
        <v>89</v>
      </c>
      <c r="E26" t="s">
        <v>90</v>
      </c>
      <c r="F26">
        <v>0</v>
      </c>
      <c r="G26">
        <v>0</v>
      </c>
      <c r="H26">
        <v>0</v>
      </c>
      <c r="I26">
        <v>20</v>
      </c>
      <c r="J26">
        <v>20</v>
      </c>
      <c r="K26">
        <v>0</v>
      </c>
      <c r="L26">
        <v>1</v>
      </c>
    </row>
    <row r="27" spans="1:12" x14ac:dyDescent="0.3">
      <c r="A27" t="s">
        <v>18</v>
      </c>
      <c r="B27">
        <v>1</v>
      </c>
      <c r="C27" t="s">
        <v>23</v>
      </c>
      <c r="D27" t="s">
        <v>91</v>
      </c>
      <c r="E27" t="s">
        <v>92</v>
      </c>
      <c r="F27">
        <v>0</v>
      </c>
      <c r="G27">
        <v>0</v>
      </c>
      <c r="H27">
        <v>0</v>
      </c>
      <c r="I27">
        <v>20</v>
      </c>
      <c r="J27">
        <v>20</v>
      </c>
      <c r="K27">
        <v>0</v>
      </c>
      <c r="L27">
        <v>1</v>
      </c>
    </row>
    <row r="28" spans="1:12" x14ac:dyDescent="0.3">
      <c r="A28" t="s">
        <v>18</v>
      </c>
      <c r="B28">
        <v>1</v>
      </c>
      <c r="C28" t="s">
        <v>23</v>
      </c>
      <c r="D28" t="s">
        <v>93</v>
      </c>
      <c r="E28" t="s">
        <v>94</v>
      </c>
      <c r="F28">
        <v>0</v>
      </c>
      <c r="G28">
        <v>0</v>
      </c>
      <c r="H28">
        <v>0</v>
      </c>
      <c r="I28">
        <v>20</v>
      </c>
      <c r="J28">
        <v>20</v>
      </c>
      <c r="K28">
        <v>0</v>
      </c>
      <c r="L28">
        <v>1</v>
      </c>
    </row>
    <row r="29" spans="1:12" x14ac:dyDescent="0.3">
      <c r="A29" t="s">
        <v>18</v>
      </c>
      <c r="B29">
        <v>1</v>
      </c>
      <c r="C29" t="s">
        <v>23</v>
      </c>
      <c r="D29" t="s">
        <v>95</v>
      </c>
      <c r="E29" t="s">
        <v>96</v>
      </c>
      <c r="F29">
        <v>0</v>
      </c>
      <c r="G29">
        <v>1</v>
      </c>
      <c r="H29">
        <v>1</v>
      </c>
      <c r="I29">
        <v>18</v>
      </c>
      <c r="J29">
        <v>20</v>
      </c>
      <c r="K29">
        <v>0.05</v>
      </c>
      <c r="L29">
        <v>0.95</v>
      </c>
    </row>
    <row r="30" spans="1:12" x14ac:dyDescent="0.3">
      <c r="A30" t="s">
        <v>18</v>
      </c>
      <c r="B30">
        <v>1</v>
      </c>
      <c r="C30" t="s">
        <v>23</v>
      </c>
      <c r="D30" t="s">
        <v>97</v>
      </c>
      <c r="E30" t="s">
        <v>98</v>
      </c>
      <c r="F30">
        <v>0</v>
      </c>
      <c r="G30">
        <v>0</v>
      </c>
      <c r="H30">
        <v>0</v>
      </c>
      <c r="I30">
        <v>20</v>
      </c>
      <c r="J30">
        <v>20</v>
      </c>
      <c r="K30">
        <v>0</v>
      </c>
      <c r="L30">
        <v>1</v>
      </c>
    </row>
    <row r="31" spans="1:12" x14ac:dyDescent="0.3">
      <c r="A31" t="s">
        <v>18</v>
      </c>
      <c r="B31">
        <v>1</v>
      </c>
      <c r="C31" t="s">
        <v>23</v>
      </c>
      <c r="D31" t="s">
        <v>99</v>
      </c>
      <c r="E31" t="s">
        <v>100</v>
      </c>
      <c r="F31">
        <v>0</v>
      </c>
      <c r="G31">
        <v>0</v>
      </c>
      <c r="H31">
        <v>2</v>
      </c>
      <c r="I31">
        <v>18</v>
      </c>
      <c r="J31">
        <v>20</v>
      </c>
      <c r="K31">
        <v>0</v>
      </c>
      <c r="L31">
        <v>1</v>
      </c>
    </row>
    <row r="32" spans="1:12" x14ac:dyDescent="0.3">
      <c r="A32" t="s">
        <v>18</v>
      </c>
      <c r="B32">
        <v>1</v>
      </c>
      <c r="C32" t="s">
        <v>23</v>
      </c>
      <c r="D32" t="s">
        <v>101</v>
      </c>
      <c r="E32" t="s">
        <v>102</v>
      </c>
      <c r="F32">
        <v>0</v>
      </c>
      <c r="G32">
        <v>0</v>
      </c>
      <c r="H32">
        <v>3</v>
      </c>
      <c r="I32">
        <v>17</v>
      </c>
      <c r="J32">
        <v>20</v>
      </c>
      <c r="K32">
        <v>0</v>
      </c>
      <c r="L32">
        <v>1</v>
      </c>
    </row>
    <row r="33" spans="1:12" x14ac:dyDescent="0.3">
      <c r="A33" t="s">
        <v>18</v>
      </c>
      <c r="B33">
        <v>1</v>
      </c>
      <c r="C33" t="s">
        <v>23</v>
      </c>
      <c r="D33" t="s">
        <v>103</v>
      </c>
      <c r="E33" t="s">
        <v>104</v>
      </c>
      <c r="F33">
        <v>0</v>
      </c>
      <c r="G33">
        <v>0</v>
      </c>
      <c r="H33">
        <v>0</v>
      </c>
      <c r="I33">
        <v>20</v>
      </c>
      <c r="J33">
        <v>20</v>
      </c>
      <c r="K33">
        <v>0</v>
      </c>
      <c r="L33">
        <v>1</v>
      </c>
    </row>
    <row r="34" spans="1:12" x14ac:dyDescent="0.3">
      <c r="A34" t="s">
        <v>18</v>
      </c>
      <c r="B34">
        <v>1</v>
      </c>
      <c r="C34" t="s">
        <v>23</v>
      </c>
      <c r="D34" t="s">
        <v>105</v>
      </c>
      <c r="E34" t="s">
        <v>106</v>
      </c>
      <c r="F34">
        <v>0</v>
      </c>
      <c r="G34">
        <v>0</v>
      </c>
      <c r="H34">
        <v>1</v>
      </c>
      <c r="I34">
        <v>19</v>
      </c>
      <c r="J34">
        <v>20</v>
      </c>
      <c r="K34">
        <v>0</v>
      </c>
      <c r="L34">
        <v>1</v>
      </c>
    </row>
    <row r="35" spans="1:12" x14ac:dyDescent="0.3">
      <c r="A35" t="s">
        <v>18</v>
      </c>
      <c r="B35">
        <v>1</v>
      </c>
      <c r="C35" t="s">
        <v>23</v>
      </c>
      <c r="D35" t="s">
        <v>107</v>
      </c>
      <c r="E35" t="s">
        <v>108</v>
      </c>
      <c r="F35">
        <v>4</v>
      </c>
      <c r="G35">
        <v>0</v>
      </c>
      <c r="H35">
        <v>2</v>
      </c>
      <c r="I35">
        <v>14</v>
      </c>
      <c r="J35">
        <v>16</v>
      </c>
      <c r="K35">
        <v>0</v>
      </c>
      <c r="L35">
        <v>1</v>
      </c>
    </row>
    <row r="36" spans="1:12" x14ac:dyDescent="0.3">
      <c r="A36" t="s">
        <v>18</v>
      </c>
      <c r="B36">
        <v>1</v>
      </c>
      <c r="C36" t="s">
        <v>23</v>
      </c>
      <c r="D36" t="s">
        <v>109</v>
      </c>
      <c r="E36" t="s">
        <v>110</v>
      </c>
      <c r="F36">
        <v>0</v>
      </c>
      <c r="G36">
        <v>0</v>
      </c>
      <c r="H36">
        <v>0</v>
      </c>
      <c r="I36">
        <v>20</v>
      </c>
      <c r="J36">
        <v>20</v>
      </c>
      <c r="K36">
        <v>0</v>
      </c>
      <c r="L36">
        <v>1</v>
      </c>
    </row>
    <row r="37" spans="1:12" x14ac:dyDescent="0.3">
      <c r="A37" t="s">
        <v>18</v>
      </c>
      <c r="B37">
        <v>1</v>
      </c>
      <c r="C37" t="s">
        <v>23</v>
      </c>
      <c r="D37" t="s">
        <v>111</v>
      </c>
      <c r="E37" t="s">
        <v>112</v>
      </c>
      <c r="F37">
        <v>4</v>
      </c>
      <c r="G37">
        <v>1</v>
      </c>
      <c r="H37">
        <v>1</v>
      </c>
      <c r="I37">
        <v>14</v>
      </c>
      <c r="J37">
        <v>16</v>
      </c>
      <c r="K37">
        <v>6.25E-2</v>
      </c>
      <c r="L37">
        <v>0.9375</v>
      </c>
    </row>
    <row r="38" spans="1:12" x14ac:dyDescent="0.3">
      <c r="A38" t="s">
        <v>18</v>
      </c>
      <c r="B38">
        <v>1</v>
      </c>
      <c r="C38" t="s">
        <v>24</v>
      </c>
      <c r="D38" t="s">
        <v>77</v>
      </c>
      <c r="E38" t="s">
        <v>78</v>
      </c>
      <c r="F38">
        <v>18</v>
      </c>
      <c r="G38">
        <v>0</v>
      </c>
      <c r="H38">
        <v>0</v>
      </c>
      <c r="I38">
        <v>2</v>
      </c>
      <c r="J38">
        <v>2</v>
      </c>
      <c r="K38">
        <v>0</v>
      </c>
      <c r="L38">
        <v>1</v>
      </c>
    </row>
    <row r="39" spans="1:12" x14ac:dyDescent="0.3">
      <c r="A39" t="s">
        <v>18</v>
      </c>
      <c r="B39">
        <v>1</v>
      </c>
      <c r="C39" t="s">
        <v>24</v>
      </c>
      <c r="D39" t="s">
        <v>79</v>
      </c>
      <c r="E39" t="s">
        <v>80</v>
      </c>
      <c r="F39">
        <v>4</v>
      </c>
      <c r="G39">
        <v>0</v>
      </c>
      <c r="H39">
        <v>0</v>
      </c>
      <c r="I39">
        <v>16</v>
      </c>
      <c r="J39">
        <v>16</v>
      </c>
      <c r="K39">
        <v>0</v>
      </c>
      <c r="L39">
        <v>1</v>
      </c>
    </row>
    <row r="40" spans="1:12" x14ac:dyDescent="0.3">
      <c r="A40" t="s">
        <v>18</v>
      </c>
      <c r="B40">
        <v>1</v>
      </c>
      <c r="C40" t="s">
        <v>24</v>
      </c>
      <c r="D40" t="s">
        <v>81</v>
      </c>
      <c r="E40" t="s">
        <v>82</v>
      </c>
      <c r="F40">
        <v>0</v>
      </c>
      <c r="G40">
        <v>0</v>
      </c>
      <c r="H40">
        <v>4</v>
      </c>
      <c r="I40">
        <v>16</v>
      </c>
      <c r="J40">
        <v>20</v>
      </c>
      <c r="K40">
        <v>0</v>
      </c>
      <c r="L40">
        <v>1</v>
      </c>
    </row>
    <row r="41" spans="1:12" x14ac:dyDescent="0.3">
      <c r="A41" t="s">
        <v>18</v>
      </c>
      <c r="B41">
        <v>1</v>
      </c>
      <c r="C41" t="s">
        <v>24</v>
      </c>
      <c r="D41" t="s">
        <v>83</v>
      </c>
      <c r="E41" t="s">
        <v>84</v>
      </c>
      <c r="F41">
        <v>4</v>
      </c>
      <c r="G41">
        <v>1</v>
      </c>
      <c r="H41">
        <v>6</v>
      </c>
      <c r="I41">
        <v>9</v>
      </c>
      <c r="J41">
        <v>16</v>
      </c>
      <c r="K41">
        <v>6.25E-2</v>
      </c>
      <c r="L41">
        <v>0.9375</v>
      </c>
    </row>
    <row r="42" spans="1:12" x14ac:dyDescent="0.3">
      <c r="A42" t="s">
        <v>18</v>
      </c>
      <c r="B42">
        <v>1</v>
      </c>
      <c r="C42" t="s">
        <v>24</v>
      </c>
      <c r="D42" t="s">
        <v>85</v>
      </c>
      <c r="E42" t="s">
        <v>86</v>
      </c>
      <c r="F42">
        <v>1</v>
      </c>
      <c r="G42">
        <v>0</v>
      </c>
      <c r="H42">
        <v>0</v>
      </c>
      <c r="I42">
        <v>19</v>
      </c>
      <c r="J42">
        <v>19</v>
      </c>
      <c r="K42">
        <v>0</v>
      </c>
      <c r="L42">
        <v>1</v>
      </c>
    </row>
    <row r="43" spans="1:12" x14ac:dyDescent="0.3">
      <c r="A43" t="s">
        <v>18</v>
      </c>
      <c r="B43">
        <v>1</v>
      </c>
      <c r="C43" t="s">
        <v>24</v>
      </c>
      <c r="D43" t="s">
        <v>87</v>
      </c>
      <c r="E43" t="s">
        <v>88</v>
      </c>
      <c r="F43">
        <v>5</v>
      </c>
      <c r="G43">
        <v>4</v>
      </c>
      <c r="H43">
        <v>0</v>
      </c>
      <c r="I43">
        <v>11</v>
      </c>
      <c r="J43">
        <v>15</v>
      </c>
      <c r="K43">
        <v>0.26666666666666672</v>
      </c>
      <c r="L43">
        <v>0.73333333333333339</v>
      </c>
    </row>
    <row r="44" spans="1:12" x14ac:dyDescent="0.3">
      <c r="A44" t="s">
        <v>18</v>
      </c>
      <c r="B44">
        <v>1</v>
      </c>
      <c r="C44" t="s">
        <v>24</v>
      </c>
      <c r="D44" t="s">
        <v>89</v>
      </c>
      <c r="E44" t="s">
        <v>90</v>
      </c>
      <c r="F44">
        <v>0</v>
      </c>
      <c r="G44">
        <v>0</v>
      </c>
      <c r="H44">
        <v>0</v>
      </c>
      <c r="I44">
        <v>20</v>
      </c>
      <c r="J44">
        <v>20</v>
      </c>
      <c r="K44">
        <v>0</v>
      </c>
      <c r="L44">
        <v>1</v>
      </c>
    </row>
    <row r="45" spans="1:12" x14ac:dyDescent="0.3">
      <c r="A45" t="s">
        <v>18</v>
      </c>
      <c r="B45">
        <v>1</v>
      </c>
      <c r="C45" t="s">
        <v>24</v>
      </c>
      <c r="D45" t="s">
        <v>91</v>
      </c>
      <c r="E45" t="s">
        <v>92</v>
      </c>
      <c r="F45">
        <v>0</v>
      </c>
      <c r="G45">
        <v>0</v>
      </c>
      <c r="H45">
        <v>0</v>
      </c>
      <c r="I45">
        <v>20</v>
      </c>
      <c r="J45">
        <v>20</v>
      </c>
      <c r="K45">
        <v>0</v>
      </c>
      <c r="L45">
        <v>1</v>
      </c>
    </row>
    <row r="46" spans="1:12" x14ac:dyDescent="0.3">
      <c r="A46" t="s">
        <v>18</v>
      </c>
      <c r="B46">
        <v>1</v>
      </c>
      <c r="C46" t="s">
        <v>24</v>
      </c>
      <c r="D46" t="s">
        <v>93</v>
      </c>
      <c r="E46" t="s">
        <v>94</v>
      </c>
      <c r="F46">
        <v>0</v>
      </c>
      <c r="G46">
        <v>1</v>
      </c>
      <c r="H46">
        <v>1</v>
      </c>
      <c r="I46">
        <v>18</v>
      </c>
      <c r="J46">
        <v>20</v>
      </c>
      <c r="K46">
        <v>0.05</v>
      </c>
      <c r="L46">
        <v>0.95</v>
      </c>
    </row>
    <row r="47" spans="1:12" x14ac:dyDescent="0.3">
      <c r="A47" t="s">
        <v>18</v>
      </c>
      <c r="B47">
        <v>1</v>
      </c>
      <c r="C47" t="s">
        <v>24</v>
      </c>
      <c r="D47" t="s">
        <v>95</v>
      </c>
      <c r="E47" t="s">
        <v>96</v>
      </c>
      <c r="F47">
        <v>0</v>
      </c>
      <c r="G47">
        <v>0</v>
      </c>
      <c r="H47">
        <v>3</v>
      </c>
      <c r="I47">
        <v>17</v>
      </c>
      <c r="J47">
        <v>20</v>
      </c>
      <c r="K47">
        <v>0</v>
      </c>
      <c r="L47">
        <v>1</v>
      </c>
    </row>
    <row r="48" spans="1:12" x14ac:dyDescent="0.3">
      <c r="A48" t="s">
        <v>18</v>
      </c>
      <c r="B48">
        <v>1</v>
      </c>
      <c r="C48" t="s">
        <v>24</v>
      </c>
      <c r="D48" t="s">
        <v>97</v>
      </c>
      <c r="E48" t="s">
        <v>98</v>
      </c>
      <c r="F48">
        <v>0</v>
      </c>
      <c r="G48">
        <v>1</v>
      </c>
      <c r="H48">
        <v>3</v>
      </c>
      <c r="I48">
        <v>16</v>
      </c>
      <c r="J48">
        <v>20</v>
      </c>
      <c r="K48">
        <v>0.05</v>
      </c>
      <c r="L48">
        <v>0.95</v>
      </c>
    </row>
    <row r="49" spans="1:12" x14ac:dyDescent="0.3">
      <c r="A49" t="s">
        <v>18</v>
      </c>
      <c r="B49">
        <v>1</v>
      </c>
      <c r="C49" t="s">
        <v>24</v>
      </c>
      <c r="D49" t="s">
        <v>99</v>
      </c>
      <c r="E49" t="s">
        <v>100</v>
      </c>
      <c r="F49">
        <v>0</v>
      </c>
      <c r="G49">
        <v>0</v>
      </c>
      <c r="H49">
        <v>4</v>
      </c>
      <c r="I49">
        <v>16</v>
      </c>
      <c r="J49">
        <v>20</v>
      </c>
      <c r="K49">
        <v>0</v>
      </c>
      <c r="L49">
        <v>1</v>
      </c>
    </row>
    <row r="50" spans="1:12" x14ac:dyDescent="0.3">
      <c r="A50" t="s">
        <v>18</v>
      </c>
      <c r="B50">
        <v>1</v>
      </c>
      <c r="C50" t="s">
        <v>24</v>
      </c>
      <c r="D50" t="s">
        <v>101</v>
      </c>
      <c r="E50" t="s">
        <v>102</v>
      </c>
      <c r="F50">
        <v>0</v>
      </c>
      <c r="G50">
        <v>0</v>
      </c>
      <c r="H50">
        <v>3</v>
      </c>
      <c r="I50">
        <v>17</v>
      </c>
      <c r="J50">
        <v>20</v>
      </c>
      <c r="K50">
        <v>0</v>
      </c>
      <c r="L50">
        <v>1</v>
      </c>
    </row>
    <row r="51" spans="1:12" x14ac:dyDescent="0.3">
      <c r="A51" t="s">
        <v>18</v>
      </c>
      <c r="B51">
        <v>1</v>
      </c>
      <c r="C51" t="s">
        <v>24</v>
      </c>
      <c r="D51" t="s">
        <v>103</v>
      </c>
      <c r="E51" t="s">
        <v>104</v>
      </c>
      <c r="F51">
        <v>0</v>
      </c>
      <c r="G51">
        <v>0</v>
      </c>
      <c r="H51">
        <v>0</v>
      </c>
      <c r="I51">
        <v>20</v>
      </c>
      <c r="J51">
        <v>20</v>
      </c>
      <c r="K51">
        <v>0</v>
      </c>
      <c r="L51">
        <v>1</v>
      </c>
    </row>
    <row r="52" spans="1:12" x14ac:dyDescent="0.3">
      <c r="A52" t="s">
        <v>18</v>
      </c>
      <c r="B52">
        <v>1</v>
      </c>
      <c r="C52" t="s">
        <v>24</v>
      </c>
      <c r="D52" t="s">
        <v>105</v>
      </c>
      <c r="E52" t="s">
        <v>106</v>
      </c>
      <c r="F52">
        <v>0</v>
      </c>
      <c r="G52">
        <v>1</v>
      </c>
      <c r="H52">
        <v>0</v>
      </c>
      <c r="I52">
        <v>19</v>
      </c>
      <c r="J52">
        <v>20</v>
      </c>
      <c r="K52">
        <v>0.05</v>
      </c>
      <c r="L52">
        <v>0.95</v>
      </c>
    </row>
    <row r="53" spans="1:12" x14ac:dyDescent="0.3">
      <c r="A53" t="s">
        <v>18</v>
      </c>
      <c r="B53">
        <v>1</v>
      </c>
      <c r="C53" t="s">
        <v>24</v>
      </c>
      <c r="D53" t="s">
        <v>107</v>
      </c>
      <c r="E53" t="s">
        <v>108</v>
      </c>
      <c r="F53">
        <v>5</v>
      </c>
      <c r="G53">
        <v>1</v>
      </c>
      <c r="H53">
        <v>1</v>
      </c>
      <c r="I53">
        <v>13</v>
      </c>
      <c r="J53">
        <v>15</v>
      </c>
      <c r="K53">
        <v>6.6666666666666666E-2</v>
      </c>
      <c r="L53">
        <v>0.93333333333333335</v>
      </c>
    </row>
    <row r="54" spans="1:12" x14ac:dyDescent="0.3">
      <c r="A54" t="s">
        <v>18</v>
      </c>
      <c r="B54">
        <v>1</v>
      </c>
      <c r="C54" t="s">
        <v>24</v>
      </c>
      <c r="D54" t="s">
        <v>109</v>
      </c>
      <c r="E54" t="s">
        <v>110</v>
      </c>
      <c r="F54">
        <v>0</v>
      </c>
      <c r="G54">
        <v>0</v>
      </c>
      <c r="H54">
        <v>3</v>
      </c>
      <c r="I54">
        <v>17</v>
      </c>
      <c r="J54">
        <v>20</v>
      </c>
      <c r="K54">
        <v>0</v>
      </c>
      <c r="L54">
        <v>1</v>
      </c>
    </row>
    <row r="55" spans="1:12" x14ac:dyDescent="0.3">
      <c r="A55" t="s">
        <v>18</v>
      </c>
      <c r="B55">
        <v>1</v>
      </c>
      <c r="C55" t="s">
        <v>24</v>
      </c>
      <c r="D55" t="s">
        <v>111</v>
      </c>
      <c r="E55" t="s">
        <v>112</v>
      </c>
      <c r="F55">
        <v>1</v>
      </c>
      <c r="G55">
        <v>1</v>
      </c>
      <c r="H55">
        <v>0</v>
      </c>
      <c r="I55">
        <v>18</v>
      </c>
      <c r="J55">
        <v>19</v>
      </c>
      <c r="K55">
        <v>5.2631578947368418E-2</v>
      </c>
      <c r="L55">
        <v>0.94736842105263164</v>
      </c>
    </row>
    <row r="56" spans="1:12" x14ac:dyDescent="0.3">
      <c r="A56" t="s">
        <v>18</v>
      </c>
      <c r="B56">
        <v>1</v>
      </c>
      <c r="C56" t="s">
        <v>25</v>
      </c>
      <c r="D56" t="s">
        <v>77</v>
      </c>
      <c r="E56" t="s">
        <v>78</v>
      </c>
      <c r="F56">
        <v>18</v>
      </c>
      <c r="G56">
        <v>0</v>
      </c>
      <c r="H56">
        <v>1</v>
      </c>
      <c r="I56">
        <v>1</v>
      </c>
      <c r="J56">
        <v>2</v>
      </c>
      <c r="K56">
        <v>0</v>
      </c>
      <c r="L56">
        <v>1</v>
      </c>
    </row>
    <row r="57" spans="1:12" x14ac:dyDescent="0.3">
      <c r="A57" t="s">
        <v>18</v>
      </c>
      <c r="B57">
        <v>1</v>
      </c>
      <c r="C57" t="s">
        <v>25</v>
      </c>
      <c r="D57" t="s">
        <v>79</v>
      </c>
      <c r="E57" t="s">
        <v>80</v>
      </c>
      <c r="F57">
        <v>0</v>
      </c>
      <c r="G57">
        <v>0</v>
      </c>
      <c r="H57">
        <v>0</v>
      </c>
      <c r="I57">
        <v>20</v>
      </c>
      <c r="J57">
        <v>20</v>
      </c>
      <c r="K57">
        <v>0</v>
      </c>
      <c r="L57">
        <v>1</v>
      </c>
    </row>
    <row r="58" spans="1:12" x14ac:dyDescent="0.3">
      <c r="A58" t="s">
        <v>18</v>
      </c>
      <c r="B58">
        <v>1</v>
      </c>
      <c r="C58" t="s">
        <v>25</v>
      </c>
      <c r="D58" t="s">
        <v>81</v>
      </c>
      <c r="E58" t="s">
        <v>82</v>
      </c>
      <c r="F58">
        <v>0</v>
      </c>
      <c r="G58">
        <v>0</v>
      </c>
      <c r="H58">
        <v>6</v>
      </c>
      <c r="I58">
        <v>14</v>
      </c>
      <c r="J58">
        <v>20</v>
      </c>
      <c r="K58">
        <v>0</v>
      </c>
      <c r="L58">
        <v>1</v>
      </c>
    </row>
    <row r="59" spans="1:12" x14ac:dyDescent="0.3">
      <c r="A59" t="s">
        <v>18</v>
      </c>
      <c r="B59">
        <v>1</v>
      </c>
      <c r="C59" t="s">
        <v>25</v>
      </c>
      <c r="D59" t="s">
        <v>83</v>
      </c>
      <c r="E59" t="s">
        <v>84</v>
      </c>
      <c r="F59">
        <v>0</v>
      </c>
      <c r="G59">
        <v>0</v>
      </c>
      <c r="H59">
        <v>0</v>
      </c>
      <c r="I59">
        <v>20</v>
      </c>
      <c r="J59">
        <v>20</v>
      </c>
      <c r="K59">
        <v>0</v>
      </c>
      <c r="L59">
        <v>1</v>
      </c>
    </row>
    <row r="60" spans="1:12" x14ac:dyDescent="0.3">
      <c r="A60" t="s">
        <v>18</v>
      </c>
      <c r="B60">
        <v>1</v>
      </c>
      <c r="C60" t="s">
        <v>25</v>
      </c>
      <c r="D60" t="s">
        <v>85</v>
      </c>
      <c r="E60" t="s">
        <v>86</v>
      </c>
      <c r="F60">
        <v>0</v>
      </c>
      <c r="G60">
        <v>0</v>
      </c>
      <c r="H60">
        <v>0</v>
      </c>
      <c r="I60">
        <v>20</v>
      </c>
      <c r="J60">
        <v>20</v>
      </c>
      <c r="K60">
        <v>0</v>
      </c>
      <c r="L60">
        <v>1</v>
      </c>
    </row>
    <row r="61" spans="1:12" x14ac:dyDescent="0.3">
      <c r="A61" t="s">
        <v>18</v>
      </c>
      <c r="B61">
        <v>1</v>
      </c>
      <c r="C61" t="s">
        <v>25</v>
      </c>
      <c r="D61" t="s">
        <v>87</v>
      </c>
      <c r="E61" t="s">
        <v>88</v>
      </c>
      <c r="F61">
        <v>19</v>
      </c>
      <c r="G61">
        <v>0</v>
      </c>
      <c r="H61">
        <v>0</v>
      </c>
      <c r="I61">
        <v>1</v>
      </c>
      <c r="J61">
        <v>1</v>
      </c>
      <c r="K61">
        <v>0</v>
      </c>
      <c r="L61">
        <v>1</v>
      </c>
    </row>
    <row r="62" spans="1:12" x14ac:dyDescent="0.3">
      <c r="A62" t="s">
        <v>18</v>
      </c>
      <c r="B62">
        <v>1</v>
      </c>
      <c r="C62" t="s">
        <v>25</v>
      </c>
      <c r="D62" t="s">
        <v>89</v>
      </c>
      <c r="E62" t="s">
        <v>90</v>
      </c>
      <c r="F62">
        <v>0</v>
      </c>
      <c r="G62">
        <v>0</v>
      </c>
      <c r="H62">
        <v>0</v>
      </c>
      <c r="I62">
        <v>20</v>
      </c>
      <c r="J62">
        <v>20</v>
      </c>
      <c r="K62">
        <v>0</v>
      </c>
      <c r="L62">
        <v>1</v>
      </c>
    </row>
    <row r="63" spans="1:12" x14ac:dyDescent="0.3">
      <c r="A63" t="s">
        <v>18</v>
      </c>
      <c r="B63">
        <v>1</v>
      </c>
      <c r="C63" t="s">
        <v>25</v>
      </c>
      <c r="D63" t="s">
        <v>91</v>
      </c>
      <c r="E63" t="s">
        <v>92</v>
      </c>
      <c r="F63">
        <v>0</v>
      </c>
      <c r="G63">
        <v>0</v>
      </c>
      <c r="H63">
        <v>0</v>
      </c>
      <c r="I63">
        <v>20</v>
      </c>
      <c r="J63">
        <v>20</v>
      </c>
      <c r="K63">
        <v>0</v>
      </c>
      <c r="L63">
        <v>1</v>
      </c>
    </row>
    <row r="64" spans="1:12" x14ac:dyDescent="0.3">
      <c r="A64" t="s">
        <v>18</v>
      </c>
      <c r="B64">
        <v>1</v>
      </c>
      <c r="C64" t="s">
        <v>25</v>
      </c>
      <c r="D64" t="s">
        <v>93</v>
      </c>
      <c r="E64" t="s">
        <v>94</v>
      </c>
      <c r="F64">
        <v>0</v>
      </c>
      <c r="G64">
        <v>0</v>
      </c>
      <c r="H64">
        <v>0</v>
      </c>
      <c r="I64">
        <v>20</v>
      </c>
      <c r="J64">
        <v>20</v>
      </c>
      <c r="K64">
        <v>0</v>
      </c>
      <c r="L64">
        <v>1</v>
      </c>
    </row>
    <row r="65" spans="1:12" x14ac:dyDescent="0.3">
      <c r="A65" t="s">
        <v>18</v>
      </c>
      <c r="B65">
        <v>1</v>
      </c>
      <c r="C65" t="s">
        <v>25</v>
      </c>
      <c r="D65" t="s">
        <v>95</v>
      </c>
      <c r="E65" t="s">
        <v>96</v>
      </c>
      <c r="F65">
        <v>0</v>
      </c>
      <c r="G65">
        <v>0</v>
      </c>
      <c r="H65">
        <v>0</v>
      </c>
      <c r="I65">
        <v>20</v>
      </c>
      <c r="J65">
        <v>20</v>
      </c>
      <c r="K65">
        <v>0</v>
      </c>
      <c r="L65">
        <v>1</v>
      </c>
    </row>
    <row r="66" spans="1:12" x14ac:dyDescent="0.3">
      <c r="A66" t="s">
        <v>18</v>
      </c>
      <c r="B66">
        <v>1</v>
      </c>
      <c r="C66" t="s">
        <v>25</v>
      </c>
      <c r="D66" t="s">
        <v>97</v>
      </c>
      <c r="E66" t="s">
        <v>98</v>
      </c>
      <c r="F66">
        <v>0</v>
      </c>
      <c r="G66">
        <v>0</v>
      </c>
      <c r="H66">
        <v>0</v>
      </c>
      <c r="I66">
        <v>20</v>
      </c>
      <c r="J66">
        <v>20</v>
      </c>
      <c r="K66">
        <v>0</v>
      </c>
      <c r="L66">
        <v>1</v>
      </c>
    </row>
    <row r="67" spans="1:12" x14ac:dyDescent="0.3">
      <c r="A67" t="s">
        <v>18</v>
      </c>
      <c r="B67">
        <v>1</v>
      </c>
      <c r="C67" t="s">
        <v>25</v>
      </c>
      <c r="D67" t="s">
        <v>99</v>
      </c>
      <c r="E67" t="s">
        <v>100</v>
      </c>
      <c r="F67">
        <v>0</v>
      </c>
      <c r="G67">
        <v>0</v>
      </c>
      <c r="H67">
        <v>0</v>
      </c>
      <c r="I67">
        <v>20</v>
      </c>
      <c r="J67">
        <v>20</v>
      </c>
      <c r="K67">
        <v>0</v>
      </c>
      <c r="L67">
        <v>1</v>
      </c>
    </row>
    <row r="68" spans="1:12" x14ac:dyDescent="0.3">
      <c r="A68" t="s">
        <v>18</v>
      </c>
      <c r="B68">
        <v>1</v>
      </c>
      <c r="C68" t="s">
        <v>25</v>
      </c>
      <c r="D68" t="s">
        <v>101</v>
      </c>
      <c r="E68" t="s">
        <v>102</v>
      </c>
      <c r="F68">
        <v>0</v>
      </c>
      <c r="G68">
        <v>0</v>
      </c>
      <c r="H68">
        <v>2</v>
      </c>
      <c r="I68">
        <v>18</v>
      </c>
      <c r="J68">
        <v>20</v>
      </c>
      <c r="K68">
        <v>0</v>
      </c>
      <c r="L68">
        <v>1</v>
      </c>
    </row>
    <row r="69" spans="1:12" x14ac:dyDescent="0.3">
      <c r="A69" t="s">
        <v>18</v>
      </c>
      <c r="B69">
        <v>1</v>
      </c>
      <c r="C69" t="s">
        <v>25</v>
      </c>
      <c r="D69" t="s">
        <v>103</v>
      </c>
      <c r="E69" t="s">
        <v>104</v>
      </c>
      <c r="F69">
        <v>0</v>
      </c>
      <c r="G69">
        <v>0</v>
      </c>
      <c r="H69">
        <v>0</v>
      </c>
      <c r="I69">
        <v>20</v>
      </c>
      <c r="J69">
        <v>20</v>
      </c>
      <c r="K69">
        <v>0</v>
      </c>
      <c r="L69">
        <v>1</v>
      </c>
    </row>
    <row r="70" spans="1:12" x14ac:dyDescent="0.3">
      <c r="A70" t="s">
        <v>18</v>
      </c>
      <c r="B70">
        <v>1</v>
      </c>
      <c r="C70" t="s">
        <v>25</v>
      </c>
      <c r="D70" t="s">
        <v>105</v>
      </c>
      <c r="E70" t="s">
        <v>106</v>
      </c>
      <c r="F70">
        <v>0</v>
      </c>
      <c r="G70">
        <v>0</v>
      </c>
      <c r="H70">
        <v>0</v>
      </c>
      <c r="I70">
        <v>20</v>
      </c>
      <c r="J70">
        <v>20</v>
      </c>
      <c r="K70">
        <v>0</v>
      </c>
      <c r="L70">
        <v>1</v>
      </c>
    </row>
    <row r="71" spans="1:12" x14ac:dyDescent="0.3">
      <c r="A71" t="s">
        <v>18</v>
      </c>
      <c r="B71">
        <v>1</v>
      </c>
      <c r="C71" t="s">
        <v>25</v>
      </c>
      <c r="D71" t="s">
        <v>107</v>
      </c>
      <c r="E71" t="s">
        <v>108</v>
      </c>
      <c r="F71">
        <v>9</v>
      </c>
      <c r="G71">
        <v>0</v>
      </c>
      <c r="H71">
        <v>1</v>
      </c>
      <c r="I71">
        <v>10</v>
      </c>
      <c r="J71">
        <v>11</v>
      </c>
      <c r="K71">
        <v>0</v>
      </c>
      <c r="L71">
        <v>1</v>
      </c>
    </row>
    <row r="72" spans="1:12" x14ac:dyDescent="0.3">
      <c r="A72" t="s">
        <v>18</v>
      </c>
      <c r="B72">
        <v>1</v>
      </c>
      <c r="C72" t="s">
        <v>25</v>
      </c>
      <c r="D72" t="s">
        <v>111</v>
      </c>
      <c r="E72" t="s">
        <v>112</v>
      </c>
      <c r="F72">
        <v>0</v>
      </c>
      <c r="G72">
        <v>1</v>
      </c>
      <c r="H72">
        <v>0</v>
      </c>
      <c r="I72">
        <v>19</v>
      </c>
      <c r="J72">
        <v>20</v>
      </c>
      <c r="K72">
        <v>0.05</v>
      </c>
      <c r="L72">
        <v>0.95</v>
      </c>
    </row>
  </sheetData>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5"/>
  <sheetViews>
    <sheetView workbookViewId="0">
      <selection activeCell="D5" sqref="D5"/>
    </sheetView>
  </sheetViews>
  <sheetFormatPr defaultRowHeight="14.4" x14ac:dyDescent="0.3"/>
  <cols>
    <col min="1" max="1" width="8.6640625" bestFit="1" customWidth="1"/>
    <col min="2" max="2" width="7.109375" bestFit="1" customWidth="1"/>
    <col min="3" max="3" width="7.6640625" bestFit="1" customWidth="1"/>
    <col min="4" max="4" width="21" bestFit="1" customWidth="1"/>
    <col min="5" max="5" width="18.109375" bestFit="1" customWidth="1"/>
    <col min="6" max="6" width="20.44140625" bestFit="1" customWidth="1"/>
    <col min="7" max="7" width="21" bestFit="1" customWidth="1"/>
  </cols>
  <sheetData>
    <row r="1" spans="1:7" x14ac:dyDescent="0.3">
      <c r="A1" s="1" t="s">
        <v>0</v>
      </c>
      <c r="B1" s="1" t="s">
        <v>1</v>
      </c>
      <c r="C1" s="1" t="s">
        <v>4</v>
      </c>
      <c r="D1" s="1" t="s">
        <v>131</v>
      </c>
      <c r="E1" s="1" t="s">
        <v>132</v>
      </c>
      <c r="F1" s="1" t="s">
        <v>133</v>
      </c>
      <c r="G1" s="1" t="s">
        <v>134</v>
      </c>
    </row>
    <row r="2" spans="1:7" x14ac:dyDescent="0.3">
      <c r="A2" t="s">
        <v>18</v>
      </c>
      <c r="B2">
        <v>1</v>
      </c>
      <c r="C2" t="s">
        <v>21</v>
      </c>
      <c r="D2">
        <v>360</v>
      </c>
      <c r="E2">
        <v>354</v>
      </c>
      <c r="F2">
        <v>6</v>
      </c>
      <c r="G2">
        <v>0.98333333333333328</v>
      </c>
    </row>
    <row r="3" spans="1:7" x14ac:dyDescent="0.3">
      <c r="A3" t="s">
        <v>18</v>
      </c>
      <c r="B3">
        <v>1</v>
      </c>
      <c r="C3" t="s">
        <v>23</v>
      </c>
      <c r="D3">
        <v>360</v>
      </c>
      <c r="E3">
        <v>338</v>
      </c>
      <c r="F3">
        <v>22</v>
      </c>
      <c r="G3">
        <v>0.93888888888888888</v>
      </c>
    </row>
    <row r="4" spans="1:7" x14ac:dyDescent="0.3">
      <c r="A4" t="s">
        <v>18</v>
      </c>
      <c r="B4">
        <v>1</v>
      </c>
      <c r="C4" t="s">
        <v>24</v>
      </c>
      <c r="D4">
        <v>360</v>
      </c>
      <c r="E4">
        <v>330</v>
      </c>
      <c r="F4">
        <v>30</v>
      </c>
      <c r="G4">
        <v>0.91666666666666663</v>
      </c>
    </row>
    <row r="5" spans="1:7" x14ac:dyDescent="0.3">
      <c r="A5" t="s">
        <v>18</v>
      </c>
      <c r="B5">
        <v>1</v>
      </c>
      <c r="C5" t="s">
        <v>25</v>
      </c>
      <c r="D5">
        <v>340</v>
      </c>
      <c r="E5">
        <v>330</v>
      </c>
      <c r="F5">
        <v>10</v>
      </c>
      <c r="G5">
        <v>0.97058823529411764</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8800D6-5AD6-4B58-B4FD-6371814FA239}">
  <dimension ref="A1:I6"/>
  <sheetViews>
    <sheetView zoomScaleNormal="100" workbookViewId="0">
      <selection activeCell="D19" sqref="D19"/>
    </sheetView>
  </sheetViews>
  <sheetFormatPr defaultRowHeight="14.4" x14ac:dyDescent="0.3"/>
  <cols>
    <col min="1" max="1" width="14.88671875" customWidth="1"/>
    <col min="2" max="2" width="19.77734375" customWidth="1"/>
    <col min="3" max="3" width="15.5546875" customWidth="1"/>
    <col min="4" max="4" width="23.109375" customWidth="1"/>
  </cols>
  <sheetData>
    <row r="1" spans="1:9" ht="15.6" x14ac:dyDescent="0.3">
      <c r="A1" s="45" t="s">
        <v>482</v>
      </c>
      <c r="B1" s="46"/>
      <c r="C1" s="46"/>
      <c r="D1" s="46"/>
      <c r="G1" s="20"/>
      <c r="H1" s="20"/>
      <c r="I1" s="20"/>
    </row>
    <row r="2" spans="1:9" ht="15.6" x14ac:dyDescent="0.3">
      <c r="A2" s="17" t="s">
        <v>4</v>
      </c>
      <c r="B2" s="17" t="s">
        <v>130</v>
      </c>
      <c r="C2" s="17" t="s">
        <v>475</v>
      </c>
      <c r="D2" s="17" t="s">
        <v>134</v>
      </c>
    </row>
    <row r="3" spans="1:9" ht="15.6" x14ac:dyDescent="0.3">
      <c r="A3" s="13" t="s">
        <v>21</v>
      </c>
      <c r="B3" s="14">
        <f>_xlfn.XLOOKUP($A3,hallucination_by_model!$C$2:$C$5,hallucination_by_model!$J$2:$J$5,1,0)</f>
        <v>1</v>
      </c>
      <c r="C3" s="14">
        <f>_xlfn.XLOOKUP($A3,stability_by_model!$A$2:$A$5,stability_by_model!$D$2:$D$5,1,0)</f>
        <v>1</v>
      </c>
      <c r="D3" s="14">
        <f>_xlfn.XLOOKUP($A3,human_alignment_by_model!$C$2:$C$5,human_alignment_by_model!$G$2:$G$5,1,0)</f>
        <v>0.98333333333333328</v>
      </c>
    </row>
    <row r="4" spans="1:9" ht="15.6" x14ac:dyDescent="0.3">
      <c r="A4" s="13" t="s">
        <v>23</v>
      </c>
      <c r="B4" s="14">
        <f>_xlfn.XLOOKUP($A4,hallucination_by_model!$C$2:$C$5,hallucination_by_model!$J$2:$J$5,1,0)</f>
        <v>0.99413489736070382</v>
      </c>
      <c r="C4" s="14">
        <f>_xlfn.XLOOKUP($A4,stability_by_model!$A$2:$A$5,stability_by_model!$D$2:$D$5,1,0)</f>
        <v>0.95</v>
      </c>
      <c r="D4" s="14">
        <f>_xlfn.XLOOKUP($A4,human_alignment_by_model!$C$2:$C$5,human_alignment_by_model!$G$2:$G$5,1,0)</f>
        <v>0.93888888888888888</v>
      </c>
    </row>
    <row r="5" spans="1:9" ht="15.6" x14ac:dyDescent="0.3">
      <c r="A5" s="13" t="s">
        <v>25</v>
      </c>
      <c r="B5" s="14">
        <f>_xlfn.XLOOKUP($A5,hallucination_by_model!$C$2:$C$5,hallucination_by_model!$J$2:$J$5,1,0)</f>
        <v>0.99659863945578231</v>
      </c>
      <c r="C5" s="14">
        <f>_xlfn.XLOOKUP($A5,stability_by_model!$A$2:$A$5,stability_by_model!$D$2:$D$5,1,0)</f>
        <v>0.97647058823529409</v>
      </c>
      <c r="D5" s="14">
        <f>_xlfn.XLOOKUP($A5,human_alignment_by_model!$C$2:$C$5,human_alignment_by_model!$G$2:$G$5,1,0)</f>
        <v>0.97058823529411764</v>
      </c>
    </row>
    <row r="6" spans="1:9" ht="15.6" x14ac:dyDescent="0.3">
      <c r="A6" s="13" t="s">
        <v>24</v>
      </c>
      <c r="B6" s="14">
        <f>_xlfn.XLOOKUP($A6,hallucination_by_model!$C$2:$C$5,hallucination_by_model!$J$2:$J$5,1,0)</f>
        <v>0.96894409937888204</v>
      </c>
      <c r="C6" s="14">
        <f>_xlfn.XLOOKUP($A6,stability_by_model!$A$2:$A$5,stability_by_model!$D$2:$D$5,1,0)</f>
        <v>0.96111111111111114</v>
      </c>
      <c r="D6" s="14">
        <f>_xlfn.XLOOKUP($A6,human_alignment_by_model!$C$2:$C$5,human_alignment_by_model!$G$2:$G$5,1,0)</f>
        <v>0.91666666666666663</v>
      </c>
    </row>
  </sheetData>
  <mergeCells count="1">
    <mergeCell ref="A1:D1"/>
  </mergeCell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7D3CB-E7C6-4520-8C46-2128D5F09386}">
  <dimension ref="A1:AA1441"/>
  <sheetViews>
    <sheetView topLeftCell="H6" zoomScale="115" zoomScaleNormal="115" workbookViewId="0">
      <selection activeCell="H11" sqref="H11"/>
    </sheetView>
  </sheetViews>
  <sheetFormatPr defaultRowHeight="14.4" x14ac:dyDescent="0.3"/>
  <cols>
    <col min="1" max="1" width="12.5546875" bestFit="1" customWidth="1"/>
    <col min="2" max="2" width="7.6640625" bestFit="1" customWidth="1"/>
    <col min="3" max="3" width="10.77734375" bestFit="1" customWidth="1"/>
    <col min="4" max="4" width="7.88671875" bestFit="1" customWidth="1"/>
    <col min="6" max="6" width="17.33203125" bestFit="1" customWidth="1"/>
    <col min="8" max="9" width="15.5546875" bestFit="1" customWidth="1"/>
    <col min="10" max="26" width="4.21875" bestFit="1" customWidth="1"/>
    <col min="27" max="27" width="10.77734375" bestFit="1" customWidth="1"/>
  </cols>
  <sheetData>
    <row r="1" spans="1:27" x14ac:dyDescent="0.3">
      <c r="A1" s="25" t="s">
        <v>2</v>
      </c>
      <c r="B1" s="25" t="s">
        <v>4</v>
      </c>
      <c r="C1" s="25" t="s">
        <v>73</v>
      </c>
      <c r="D1" s="25" t="s">
        <v>484</v>
      </c>
      <c r="E1" s="25" t="s">
        <v>137</v>
      </c>
      <c r="F1" s="25" t="s">
        <v>139</v>
      </c>
    </row>
    <row r="2" spans="1:27" x14ac:dyDescent="0.3">
      <c r="A2" s="24" t="s">
        <v>19</v>
      </c>
      <c r="B2" s="24" t="s">
        <v>24</v>
      </c>
      <c r="C2" s="24" t="s">
        <v>77</v>
      </c>
      <c r="D2" s="24" t="s">
        <v>485</v>
      </c>
      <c r="E2" s="24">
        <v>1</v>
      </c>
      <c r="F2" s="24" t="s">
        <v>129</v>
      </c>
    </row>
    <row r="3" spans="1:27" x14ac:dyDescent="0.3">
      <c r="A3" s="24" t="s">
        <v>19</v>
      </c>
      <c r="B3" s="24" t="s">
        <v>24</v>
      </c>
      <c r="C3" s="24" t="s">
        <v>79</v>
      </c>
      <c r="D3" s="24" t="s">
        <v>485</v>
      </c>
      <c r="E3" s="24">
        <v>0</v>
      </c>
      <c r="F3" s="24" t="s">
        <v>129</v>
      </c>
    </row>
    <row r="4" spans="1:27" x14ac:dyDescent="0.3">
      <c r="A4" s="24" t="s">
        <v>19</v>
      </c>
      <c r="B4" s="24" t="s">
        <v>24</v>
      </c>
      <c r="C4" s="24" t="s">
        <v>81</v>
      </c>
      <c r="D4" s="24" t="s">
        <v>486</v>
      </c>
      <c r="E4" s="24">
        <v>0</v>
      </c>
      <c r="F4" s="24" t="s">
        <v>129</v>
      </c>
      <c r="H4" s="35" t="s">
        <v>514</v>
      </c>
      <c r="I4" s="35" t="s">
        <v>513</v>
      </c>
    </row>
    <row r="5" spans="1:27" x14ac:dyDescent="0.3">
      <c r="A5" s="24" t="s">
        <v>19</v>
      </c>
      <c r="B5" s="24" t="s">
        <v>24</v>
      </c>
      <c r="C5" s="24" t="s">
        <v>83</v>
      </c>
      <c r="D5" s="24" t="s">
        <v>485</v>
      </c>
      <c r="E5" s="24">
        <v>1</v>
      </c>
      <c r="F5" s="24" t="s">
        <v>128</v>
      </c>
      <c r="H5" s="35" t="s">
        <v>511</v>
      </c>
      <c r="I5" t="s">
        <v>77</v>
      </c>
      <c r="J5" t="s">
        <v>79</v>
      </c>
      <c r="K5" t="s">
        <v>81</v>
      </c>
      <c r="L5" t="s">
        <v>83</v>
      </c>
      <c r="M5" t="s">
        <v>85</v>
      </c>
      <c r="N5" t="s">
        <v>87</v>
      </c>
      <c r="O5" t="s">
        <v>89</v>
      </c>
      <c r="P5" t="s">
        <v>91</v>
      </c>
      <c r="Q5" t="s">
        <v>93</v>
      </c>
      <c r="R5" t="s">
        <v>95</v>
      </c>
      <c r="S5" t="s">
        <v>97</v>
      </c>
      <c r="T5" t="s">
        <v>99</v>
      </c>
      <c r="U5" t="s">
        <v>101</v>
      </c>
      <c r="V5" t="s">
        <v>103</v>
      </c>
      <c r="W5" t="s">
        <v>105</v>
      </c>
      <c r="X5" t="s">
        <v>107</v>
      </c>
      <c r="Y5" t="s">
        <v>109</v>
      </c>
      <c r="Z5" t="s">
        <v>111</v>
      </c>
      <c r="AA5" t="s">
        <v>512</v>
      </c>
    </row>
    <row r="6" spans="1:27" x14ac:dyDescent="0.3">
      <c r="A6" s="24" t="s">
        <v>19</v>
      </c>
      <c r="B6" s="24" t="s">
        <v>24</v>
      </c>
      <c r="C6" s="24" t="s">
        <v>85</v>
      </c>
      <c r="D6" s="24" t="s">
        <v>486</v>
      </c>
      <c r="E6" s="24">
        <v>0</v>
      </c>
      <c r="F6" s="24" t="s">
        <v>129</v>
      </c>
      <c r="H6" s="36" t="s">
        <v>19</v>
      </c>
      <c r="I6">
        <v>4</v>
      </c>
      <c r="J6">
        <v>0</v>
      </c>
      <c r="K6">
        <v>0</v>
      </c>
      <c r="L6">
        <v>1</v>
      </c>
      <c r="M6">
        <v>0</v>
      </c>
      <c r="N6">
        <v>0</v>
      </c>
      <c r="O6">
        <v>0</v>
      </c>
      <c r="P6">
        <v>0</v>
      </c>
      <c r="Q6">
        <v>0</v>
      </c>
      <c r="R6">
        <v>0</v>
      </c>
      <c r="S6">
        <v>0</v>
      </c>
      <c r="T6">
        <v>1</v>
      </c>
      <c r="U6">
        <v>0</v>
      </c>
      <c r="V6">
        <v>0</v>
      </c>
      <c r="W6">
        <v>0</v>
      </c>
      <c r="X6">
        <v>0</v>
      </c>
      <c r="Y6">
        <v>0</v>
      </c>
      <c r="Z6">
        <v>0</v>
      </c>
      <c r="AA6">
        <v>6</v>
      </c>
    </row>
    <row r="7" spans="1:27" x14ac:dyDescent="0.3">
      <c r="A7" s="24" t="s">
        <v>19</v>
      </c>
      <c r="B7" s="24" t="s">
        <v>24</v>
      </c>
      <c r="C7" s="24" t="s">
        <v>87</v>
      </c>
      <c r="D7" s="24" t="s">
        <v>485</v>
      </c>
      <c r="E7" s="24">
        <v>0</v>
      </c>
      <c r="F7" s="24" t="s">
        <v>127</v>
      </c>
      <c r="H7" s="36" t="s">
        <v>26</v>
      </c>
      <c r="I7">
        <v>0</v>
      </c>
      <c r="J7">
        <v>1</v>
      </c>
      <c r="K7">
        <v>3</v>
      </c>
      <c r="L7">
        <v>1</v>
      </c>
      <c r="M7">
        <v>0</v>
      </c>
      <c r="N7">
        <v>0</v>
      </c>
      <c r="O7">
        <v>0</v>
      </c>
      <c r="P7">
        <v>0</v>
      </c>
      <c r="Q7">
        <v>0</v>
      </c>
      <c r="R7">
        <v>0</v>
      </c>
      <c r="S7">
        <v>0</v>
      </c>
      <c r="T7">
        <v>0</v>
      </c>
      <c r="U7">
        <v>0</v>
      </c>
      <c r="V7">
        <v>0</v>
      </c>
      <c r="W7">
        <v>0</v>
      </c>
      <c r="X7">
        <v>0</v>
      </c>
      <c r="Y7">
        <v>0</v>
      </c>
      <c r="Z7">
        <v>0</v>
      </c>
      <c r="AA7">
        <v>5</v>
      </c>
    </row>
    <row r="8" spans="1:27" x14ac:dyDescent="0.3">
      <c r="A8" s="24" t="s">
        <v>19</v>
      </c>
      <c r="B8" s="24" t="s">
        <v>24</v>
      </c>
      <c r="C8" s="24" t="s">
        <v>89</v>
      </c>
      <c r="D8" s="24" t="s">
        <v>486</v>
      </c>
      <c r="E8" s="24">
        <v>0</v>
      </c>
      <c r="F8" s="24" t="s">
        <v>129</v>
      </c>
      <c r="H8" s="36" t="s">
        <v>28</v>
      </c>
      <c r="I8">
        <v>0</v>
      </c>
      <c r="J8">
        <v>0</v>
      </c>
      <c r="K8">
        <v>3</v>
      </c>
      <c r="L8">
        <v>0</v>
      </c>
      <c r="M8">
        <v>0</v>
      </c>
      <c r="N8">
        <v>0</v>
      </c>
      <c r="O8">
        <v>0</v>
      </c>
      <c r="P8">
        <v>0</v>
      </c>
      <c r="Q8">
        <v>0</v>
      </c>
      <c r="R8">
        <v>0</v>
      </c>
      <c r="S8">
        <v>0</v>
      </c>
      <c r="T8">
        <v>0</v>
      </c>
      <c r="U8">
        <v>0</v>
      </c>
      <c r="V8">
        <v>0</v>
      </c>
      <c r="W8">
        <v>0</v>
      </c>
      <c r="X8">
        <v>1</v>
      </c>
      <c r="Y8">
        <v>3</v>
      </c>
      <c r="Z8">
        <v>0</v>
      </c>
      <c r="AA8">
        <v>7</v>
      </c>
    </row>
    <row r="9" spans="1:27" x14ac:dyDescent="0.3">
      <c r="A9" s="24" t="s">
        <v>19</v>
      </c>
      <c r="B9" s="24" t="s">
        <v>24</v>
      </c>
      <c r="C9" s="24" t="s">
        <v>91</v>
      </c>
      <c r="D9" s="24" t="s">
        <v>486</v>
      </c>
      <c r="E9" s="24">
        <v>0</v>
      </c>
      <c r="F9" s="24" t="s">
        <v>129</v>
      </c>
      <c r="H9" s="36" t="s">
        <v>30</v>
      </c>
      <c r="I9">
        <v>0</v>
      </c>
      <c r="J9">
        <v>0</v>
      </c>
      <c r="K9">
        <v>2</v>
      </c>
      <c r="L9">
        <v>0</v>
      </c>
      <c r="M9">
        <v>0</v>
      </c>
      <c r="N9">
        <v>0</v>
      </c>
      <c r="O9">
        <v>0</v>
      </c>
      <c r="P9">
        <v>0</v>
      </c>
      <c r="Q9">
        <v>0</v>
      </c>
      <c r="R9">
        <v>0</v>
      </c>
      <c r="S9">
        <v>0</v>
      </c>
      <c r="T9">
        <v>0</v>
      </c>
      <c r="U9">
        <v>1</v>
      </c>
      <c r="V9">
        <v>0</v>
      </c>
      <c r="W9">
        <v>0</v>
      </c>
      <c r="X9">
        <v>0</v>
      </c>
      <c r="Y9">
        <v>2</v>
      </c>
      <c r="Z9">
        <v>0</v>
      </c>
      <c r="AA9">
        <v>5</v>
      </c>
    </row>
    <row r="10" spans="1:27" x14ac:dyDescent="0.3">
      <c r="A10" s="24" t="s">
        <v>19</v>
      </c>
      <c r="B10" s="24" t="s">
        <v>24</v>
      </c>
      <c r="C10" s="24" t="s">
        <v>93</v>
      </c>
      <c r="D10" s="24" t="s">
        <v>486</v>
      </c>
      <c r="E10" s="24">
        <v>0</v>
      </c>
      <c r="F10" s="24" t="s">
        <v>129</v>
      </c>
      <c r="H10" s="36" t="s">
        <v>32</v>
      </c>
      <c r="I10">
        <v>0</v>
      </c>
      <c r="J10">
        <v>0</v>
      </c>
      <c r="K10">
        <v>4</v>
      </c>
      <c r="L10">
        <v>0</v>
      </c>
      <c r="M10">
        <v>0</v>
      </c>
      <c r="N10">
        <v>0</v>
      </c>
      <c r="O10">
        <v>0</v>
      </c>
      <c r="P10">
        <v>0</v>
      </c>
      <c r="Q10">
        <v>0</v>
      </c>
      <c r="R10">
        <v>0</v>
      </c>
      <c r="S10">
        <v>0</v>
      </c>
      <c r="T10">
        <v>0</v>
      </c>
      <c r="U10">
        <v>0</v>
      </c>
      <c r="V10">
        <v>0</v>
      </c>
      <c r="W10">
        <v>0</v>
      </c>
      <c r="X10">
        <v>0</v>
      </c>
      <c r="Y10">
        <v>3</v>
      </c>
      <c r="Z10">
        <v>0</v>
      </c>
      <c r="AA10">
        <v>7</v>
      </c>
    </row>
    <row r="11" spans="1:27" x14ac:dyDescent="0.3">
      <c r="A11" s="24" t="s">
        <v>19</v>
      </c>
      <c r="B11" s="24" t="s">
        <v>24</v>
      </c>
      <c r="C11" s="24" t="s">
        <v>95</v>
      </c>
      <c r="D11" s="24" t="s">
        <v>486</v>
      </c>
      <c r="E11" s="24">
        <v>0</v>
      </c>
      <c r="F11" s="24" t="s">
        <v>129</v>
      </c>
      <c r="H11" s="36" t="s">
        <v>34</v>
      </c>
      <c r="I11">
        <v>0</v>
      </c>
      <c r="J11">
        <v>0</v>
      </c>
      <c r="K11">
        <v>2</v>
      </c>
      <c r="L11">
        <v>0</v>
      </c>
      <c r="M11">
        <v>0</v>
      </c>
      <c r="N11">
        <v>0</v>
      </c>
      <c r="O11">
        <v>0</v>
      </c>
      <c r="P11">
        <v>0</v>
      </c>
      <c r="Q11">
        <v>0</v>
      </c>
      <c r="R11">
        <v>0</v>
      </c>
      <c r="S11">
        <v>0</v>
      </c>
      <c r="T11">
        <v>0</v>
      </c>
      <c r="U11">
        <v>0</v>
      </c>
      <c r="V11">
        <v>0</v>
      </c>
      <c r="W11">
        <v>0</v>
      </c>
      <c r="X11">
        <v>0</v>
      </c>
      <c r="Y11">
        <v>1</v>
      </c>
      <c r="Z11">
        <v>0</v>
      </c>
      <c r="AA11">
        <v>3</v>
      </c>
    </row>
    <row r="12" spans="1:27" x14ac:dyDescent="0.3">
      <c r="A12" s="24" t="s">
        <v>19</v>
      </c>
      <c r="B12" s="24" t="s">
        <v>24</v>
      </c>
      <c r="C12" s="24" t="s">
        <v>97</v>
      </c>
      <c r="D12" s="24" t="s">
        <v>485</v>
      </c>
      <c r="E12" s="24">
        <v>0</v>
      </c>
      <c r="F12" s="24" t="s">
        <v>129</v>
      </c>
      <c r="H12" s="36" t="s">
        <v>36</v>
      </c>
      <c r="I12">
        <v>0</v>
      </c>
      <c r="J12">
        <v>0</v>
      </c>
      <c r="K12">
        <v>3</v>
      </c>
      <c r="L12">
        <v>0</v>
      </c>
      <c r="M12">
        <v>0</v>
      </c>
      <c r="N12">
        <v>0</v>
      </c>
      <c r="O12">
        <v>0</v>
      </c>
      <c r="P12">
        <v>0</v>
      </c>
      <c r="Q12">
        <v>0</v>
      </c>
      <c r="R12">
        <v>0</v>
      </c>
      <c r="S12">
        <v>0</v>
      </c>
      <c r="T12">
        <v>0</v>
      </c>
      <c r="U12">
        <v>0</v>
      </c>
      <c r="V12">
        <v>0</v>
      </c>
      <c r="W12">
        <v>0</v>
      </c>
      <c r="X12">
        <v>0</v>
      </c>
      <c r="Y12">
        <v>3</v>
      </c>
      <c r="Z12">
        <v>0</v>
      </c>
      <c r="AA12">
        <v>6</v>
      </c>
    </row>
    <row r="13" spans="1:27" x14ac:dyDescent="0.3">
      <c r="A13" s="24" t="s">
        <v>19</v>
      </c>
      <c r="B13" s="24" t="s">
        <v>24</v>
      </c>
      <c r="C13" s="24" t="s">
        <v>99</v>
      </c>
      <c r="D13" s="24" t="s">
        <v>486</v>
      </c>
      <c r="E13" s="24">
        <v>1</v>
      </c>
      <c r="F13" s="24" t="s">
        <v>128</v>
      </c>
      <c r="H13" s="36" t="s">
        <v>38</v>
      </c>
      <c r="I13">
        <v>0</v>
      </c>
      <c r="J13">
        <v>0</v>
      </c>
      <c r="K13">
        <v>4</v>
      </c>
      <c r="L13">
        <v>0</v>
      </c>
      <c r="M13">
        <v>0</v>
      </c>
      <c r="N13">
        <v>0</v>
      </c>
      <c r="O13">
        <v>0</v>
      </c>
      <c r="P13">
        <v>0</v>
      </c>
      <c r="Q13">
        <v>0</v>
      </c>
      <c r="R13">
        <v>0</v>
      </c>
      <c r="S13">
        <v>0</v>
      </c>
      <c r="T13">
        <v>0</v>
      </c>
      <c r="U13">
        <v>0</v>
      </c>
      <c r="V13">
        <v>0</v>
      </c>
      <c r="W13">
        <v>1</v>
      </c>
      <c r="X13">
        <v>0</v>
      </c>
      <c r="Y13">
        <v>3</v>
      </c>
      <c r="Z13">
        <v>0</v>
      </c>
      <c r="AA13">
        <v>8</v>
      </c>
    </row>
    <row r="14" spans="1:27" x14ac:dyDescent="0.3">
      <c r="A14" s="24" t="s">
        <v>19</v>
      </c>
      <c r="B14" s="24" t="s">
        <v>24</v>
      </c>
      <c r="C14" s="24" t="s">
        <v>101</v>
      </c>
      <c r="D14" s="24" t="s">
        <v>487</v>
      </c>
      <c r="E14" s="24">
        <v>0</v>
      </c>
      <c r="F14" s="24" t="s">
        <v>129</v>
      </c>
      <c r="H14" s="36" t="s">
        <v>40</v>
      </c>
      <c r="I14">
        <v>2</v>
      </c>
      <c r="J14">
        <v>0</v>
      </c>
      <c r="K14">
        <v>4</v>
      </c>
      <c r="L14">
        <v>2</v>
      </c>
      <c r="M14">
        <v>0</v>
      </c>
      <c r="N14">
        <v>0</v>
      </c>
      <c r="O14">
        <v>0</v>
      </c>
      <c r="P14">
        <v>0</v>
      </c>
      <c r="Q14">
        <v>0</v>
      </c>
      <c r="R14">
        <v>0</v>
      </c>
      <c r="S14">
        <v>0</v>
      </c>
      <c r="T14">
        <v>1</v>
      </c>
      <c r="U14">
        <v>0</v>
      </c>
      <c r="V14">
        <v>0</v>
      </c>
      <c r="W14">
        <v>0</v>
      </c>
      <c r="X14">
        <v>0</v>
      </c>
      <c r="Y14">
        <v>3</v>
      </c>
      <c r="Z14">
        <v>0</v>
      </c>
      <c r="AA14">
        <v>12</v>
      </c>
    </row>
    <row r="15" spans="1:27" x14ac:dyDescent="0.3">
      <c r="A15" s="24" t="s">
        <v>19</v>
      </c>
      <c r="B15" s="24" t="s">
        <v>24</v>
      </c>
      <c r="C15" s="24" t="s">
        <v>103</v>
      </c>
      <c r="D15" s="24" t="s">
        <v>486</v>
      </c>
      <c r="E15" s="24">
        <v>0</v>
      </c>
      <c r="F15" s="24" t="s">
        <v>129</v>
      </c>
      <c r="H15" s="36" t="s">
        <v>43</v>
      </c>
      <c r="I15">
        <v>0</v>
      </c>
      <c r="J15">
        <v>0</v>
      </c>
      <c r="K15">
        <v>3</v>
      </c>
      <c r="L15">
        <v>1</v>
      </c>
      <c r="M15">
        <v>0</v>
      </c>
      <c r="N15">
        <v>0</v>
      </c>
      <c r="O15">
        <v>0</v>
      </c>
      <c r="P15">
        <v>0</v>
      </c>
      <c r="Q15">
        <v>0</v>
      </c>
      <c r="R15">
        <v>0</v>
      </c>
      <c r="S15">
        <v>0</v>
      </c>
      <c r="T15">
        <v>1</v>
      </c>
      <c r="U15">
        <v>1</v>
      </c>
      <c r="V15">
        <v>0</v>
      </c>
      <c r="W15">
        <v>0</v>
      </c>
      <c r="X15">
        <v>1</v>
      </c>
      <c r="Y15">
        <v>3</v>
      </c>
      <c r="Z15">
        <v>2</v>
      </c>
      <c r="AA15">
        <v>12</v>
      </c>
    </row>
    <row r="16" spans="1:27" x14ac:dyDescent="0.3">
      <c r="A16" s="24" t="s">
        <v>19</v>
      </c>
      <c r="B16" s="24" t="s">
        <v>24</v>
      </c>
      <c r="C16" s="24" t="s">
        <v>105</v>
      </c>
      <c r="D16" s="24" t="s">
        <v>486</v>
      </c>
      <c r="E16" s="24">
        <v>0</v>
      </c>
      <c r="F16" s="24" t="s">
        <v>129</v>
      </c>
      <c r="H16" s="36" t="s">
        <v>45</v>
      </c>
      <c r="I16">
        <v>0</v>
      </c>
      <c r="J16">
        <v>0</v>
      </c>
      <c r="K16">
        <v>4</v>
      </c>
      <c r="L16">
        <v>0</v>
      </c>
      <c r="M16">
        <v>0</v>
      </c>
      <c r="N16">
        <v>0</v>
      </c>
      <c r="O16">
        <v>0</v>
      </c>
      <c r="P16">
        <v>0</v>
      </c>
      <c r="Q16">
        <v>0</v>
      </c>
      <c r="R16">
        <v>0</v>
      </c>
      <c r="S16">
        <v>0</v>
      </c>
      <c r="T16">
        <v>0</v>
      </c>
      <c r="U16">
        <v>0</v>
      </c>
      <c r="V16">
        <v>0</v>
      </c>
      <c r="W16">
        <v>0</v>
      </c>
      <c r="X16">
        <v>0</v>
      </c>
      <c r="Y16">
        <v>0</v>
      </c>
      <c r="Z16">
        <v>0</v>
      </c>
      <c r="AA16">
        <v>4</v>
      </c>
    </row>
    <row r="17" spans="1:27" x14ac:dyDescent="0.3">
      <c r="A17" s="24" t="s">
        <v>19</v>
      </c>
      <c r="B17" s="24" t="s">
        <v>24</v>
      </c>
      <c r="C17" s="24" t="s">
        <v>107</v>
      </c>
      <c r="D17" s="24" t="s">
        <v>485</v>
      </c>
      <c r="E17" s="24">
        <v>0</v>
      </c>
      <c r="F17" s="24" t="s">
        <v>129</v>
      </c>
      <c r="H17" s="36" t="s">
        <v>63</v>
      </c>
      <c r="I17">
        <v>0</v>
      </c>
      <c r="J17">
        <v>0</v>
      </c>
      <c r="K17">
        <v>4</v>
      </c>
      <c r="L17">
        <v>1</v>
      </c>
      <c r="M17">
        <v>0</v>
      </c>
      <c r="N17">
        <v>0</v>
      </c>
      <c r="O17">
        <v>0</v>
      </c>
      <c r="P17">
        <v>0</v>
      </c>
      <c r="Q17">
        <v>1</v>
      </c>
      <c r="R17">
        <v>1</v>
      </c>
      <c r="S17">
        <v>1</v>
      </c>
      <c r="T17">
        <v>1</v>
      </c>
      <c r="U17">
        <v>2</v>
      </c>
      <c r="V17">
        <v>0</v>
      </c>
      <c r="W17">
        <v>0</v>
      </c>
      <c r="X17">
        <v>0</v>
      </c>
      <c r="Y17">
        <v>0</v>
      </c>
      <c r="Z17">
        <v>0</v>
      </c>
      <c r="AA17">
        <v>11</v>
      </c>
    </row>
    <row r="18" spans="1:27" x14ac:dyDescent="0.3">
      <c r="A18" s="24" t="s">
        <v>19</v>
      </c>
      <c r="B18" s="24" t="s">
        <v>24</v>
      </c>
      <c r="C18" s="24" t="s">
        <v>109</v>
      </c>
      <c r="D18" s="24" t="s">
        <v>485</v>
      </c>
      <c r="E18" s="24">
        <v>0</v>
      </c>
      <c r="F18" s="24" t="s">
        <v>129</v>
      </c>
      <c r="H18" s="36" t="s">
        <v>47</v>
      </c>
      <c r="I18">
        <v>0</v>
      </c>
      <c r="J18">
        <v>0</v>
      </c>
      <c r="K18">
        <v>4</v>
      </c>
      <c r="L18">
        <v>0</v>
      </c>
      <c r="M18">
        <v>0</v>
      </c>
      <c r="N18">
        <v>0</v>
      </c>
      <c r="O18">
        <v>0</v>
      </c>
      <c r="P18">
        <v>0</v>
      </c>
      <c r="Q18">
        <v>0</v>
      </c>
      <c r="R18">
        <v>0</v>
      </c>
      <c r="S18">
        <v>0</v>
      </c>
      <c r="T18">
        <v>0</v>
      </c>
      <c r="U18">
        <v>0</v>
      </c>
      <c r="V18">
        <v>0</v>
      </c>
      <c r="W18">
        <v>0</v>
      </c>
      <c r="X18">
        <v>1</v>
      </c>
      <c r="Y18">
        <v>3</v>
      </c>
      <c r="Z18">
        <v>0</v>
      </c>
      <c r="AA18">
        <v>8</v>
      </c>
    </row>
    <row r="19" spans="1:27" x14ac:dyDescent="0.3">
      <c r="A19" s="24" t="s">
        <v>19</v>
      </c>
      <c r="B19" s="24" t="s">
        <v>24</v>
      </c>
      <c r="C19" s="24" t="s">
        <v>111</v>
      </c>
      <c r="D19" s="24" t="s">
        <v>486</v>
      </c>
      <c r="E19" s="24">
        <v>0</v>
      </c>
      <c r="F19" s="24" t="s">
        <v>129</v>
      </c>
      <c r="H19" s="36" t="s">
        <v>49</v>
      </c>
      <c r="I19">
        <v>0</v>
      </c>
      <c r="J19">
        <v>0</v>
      </c>
      <c r="K19">
        <v>3</v>
      </c>
      <c r="L19">
        <v>1</v>
      </c>
      <c r="M19">
        <v>0</v>
      </c>
      <c r="N19">
        <v>0</v>
      </c>
      <c r="O19">
        <v>0</v>
      </c>
      <c r="P19">
        <v>0</v>
      </c>
      <c r="Q19">
        <v>0</v>
      </c>
      <c r="R19">
        <v>0</v>
      </c>
      <c r="S19">
        <v>0</v>
      </c>
      <c r="T19">
        <v>0</v>
      </c>
      <c r="U19">
        <v>2</v>
      </c>
      <c r="V19">
        <v>0</v>
      </c>
      <c r="W19">
        <v>0</v>
      </c>
      <c r="X19">
        <v>0</v>
      </c>
      <c r="Y19">
        <v>2</v>
      </c>
      <c r="Z19">
        <v>0</v>
      </c>
      <c r="AA19">
        <v>8</v>
      </c>
    </row>
    <row r="20" spans="1:27" x14ac:dyDescent="0.3">
      <c r="A20" s="24" t="s">
        <v>26</v>
      </c>
      <c r="B20" s="24" t="s">
        <v>24</v>
      </c>
      <c r="C20" s="24" t="s">
        <v>77</v>
      </c>
      <c r="D20" s="24" t="s">
        <v>485</v>
      </c>
      <c r="E20" s="24">
        <v>0</v>
      </c>
      <c r="F20" s="24" t="s">
        <v>126</v>
      </c>
      <c r="H20" s="36" t="s">
        <v>51</v>
      </c>
      <c r="I20">
        <v>0</v>
      </c>
      <c r="J20">
        <v>1</v>
      </c>
      <c r="K20">
        <v>4</v>
      </c>
      <c r="L20">
        <v>0</v>
      </c>
      <c r="M20">
        <v>0</v>
      </c>
      <c r="N20">
        <v>0</v>
      </c>
      <c r="O20">
        <v>0</v>
      </c>
      <c r="P20">
        <v>0</v>
      </c>
      <c r="Q20">
        <v>0</v>
      </c>
      <c r="R20">
        <v>1</v>
      </c>
      <c r="S20">
        <v>0</v>
      </c>
      <c r="T20">
        <v>1</v>
      </c>
      <c r="U20">
        <v>1</v>
      </c>
      <c r="V20">
        <v>0</v>
      </c>
      <c r="W20">
        <v>0</v>
      </c>
      <c r="X20">
        <v>0</v>
      </c>
      <c r="Y20">
        <v>3</v>
      </c>
      <c r="Z20">
        <v>0</v>
      </c>
      <c r="AA20">
        <v>11</v>
      </c>
    </row>
    <row r="21" spans="1:27" x14ac:dyDescent="0.3">
      <c r="A21" s="24" t="s">
        <v>26</v>
      </c>
      <c r="B21" s="24" t="s">
        <v>24</v>
      </c>
      <c r="C21" s="24" t="s">
        <v>79</v>
      </c>
      <c r="D21" s="24" t="s">
        <v>485</v>
      </c>
      <c r="E21" s="24">
        <v>0</v>
      </c>
      <c r="F21" s="24" t="s">
        <v>129</v>
      </c>
      <c r="H21" s="36" t="s">
        <v>53</v>
      </c>
      <c r="I21">
        <v>0</v>
      </c>
      <c r="J21">
        <v>0</v>
      </c>
      <c r="K21">
        <v>3</v>
      </c>
      <c r="L21">
        <v>2</v>
      </c>
      <c r="M21">
        <v>0</v>
      </c>
      <c r="N21">
        <v>0</v>
      </c>
      <c r="O21">
        <v>0</v>
      </c>
      <c r="P21">
        <v>0</v>
      </c>
      <c r="Q21">
        <v>0</v>
      </c>
      <c r="R21">
        <v>0</v>
      </c>
      <c r="S21">
        <v>0</v>
      </c>
      <c r="T21">
        <v>0</v>
      </c>
      <c r="U21">
        <v>0</v>
      </c>
      <c r="V21">
        <v>0</v>
      </c>
      <c r="W21">
        <v>0</v>
      </c>
      <c r="X21">
        <v>0</v>
      </c>
      <c r="Y21">
        <v>3</v>
      </c>
      <c r="Z21">
        <v>0</v>
      </c>
      <c r="AA21">
        <v>8</v>
      </c>
    </row>
    <row r="22" spans="1:27" x14ac:dyDescent="0.3">
      <c r="A22" s="24" t="s">
        <v>26</v>
      </c>
      <c r="B22" s="24" t="s">
        <v>24</v>
      </c>
      <c r="C22" s="24" t="s">
        <v>81</v>
      </c>
      <c r="D22" s="24" t="s">
        <v>486</v>
      </c>
      <c r="E22" s="24">
        <v>1</v>
      </c>
      <c r="F22" s="24" t="s">
        <v>129</v>
      </c>
      <c r="H22" s="36" t="s">
        <v>55</v>
      </c>
      <c r="I22">
        <v>0</v>
      </c>
      <c r="J22">
        <v>0</v>
      </c>
      <c r="K22">
        <v>4</v>
      </c>
      <c r="L22">
        <v>0</v>
      </c>
      <c r="M22">
        <v>0</v>
      </c>
      <c r="N22">
        <v>0</v>
      </c>
      <c r="O22">
        <v>0</v>
      </c>
      <c r="P22">
        <v>0</v>
      </c>
      <c r="Q22">
        <v>0</v>
      </c>
      <c r="R22">
        <v>1</v>
      </c>
      <c r="S22">
        <v>1</v>
      </c>
      <c r="T22">
        <v>1</v>
      </c>
      <c r="U22">
        <v>2</v>
      </c>
      <c r="V22">
        <v>0</v>
      </c>
      <c r="W22">
        <v>0</v>
      </c>
      <c r="X22">
        <v>0</v>
      </c>
      <c r="Y22">
        <v>1</v>
      </c>
      <c r="Z22">
        <v>0</v>
      </c>
      <c r="AA22">
        <v>10</v>
      </c>
    </row>
    <row r="23" spans="1:27" x14ac:dyDescent="0.3">
      <c r="A23" s="24" t="s">
        <v>26</v>
      </c>
      <c r="B23" s="24" t="s">
        <v>24</v>
      </c>
      <c r="C23" s="24" t="s">
        <v>83</v>
      </c>
      <c r="D23" s="24" t="s">
        <v>485</v>
      </c>
      <c r="E23" s="24">
        <v>1</v>
      </c>
      <c r="F23" s="24" t="s">
        <v>128</v>
      </c>
      <c r="H23" s="36" t="s">
        <v>57</v>
      </c>
      <c r="I23">
        <v>0</v>
      </c>
      <c r="J23">
        <v>0</v>
      </c>
      <c r="K23">
        <v>2</v>
      </c>
      <c r="L23">
        <v>0</v>
      </c>
      <c r="M23">
        <v>0</v>
      </c>
      <c r="N23">
        <v>0</v>
      </c>
      <c r="O23">
        <v>0</v>
      </c>
      <c r="P23">
        <v>0</v>
      </c>
      <c r="Q23">
        <v>0</v>
      </c>
      <c r="R23">
        <v>1</v>
      </c>
      <c r="S23">
        <v>0</v>
      </c>
      <c r="T23">
        <v>0</v>
      </c>
      <c r="U23">
        <v>0</v>
      </c>
      <c r="V23">
        <v>0</v>
      </c>
      <c r="W23">
        <v>0</v>
      </c>
      <c r="X23">
        <v>0</v>
      </c>
      <c r="Y23">
        <v>3</v>
      </c>
      <c r="Z23">
        <v>0</v>
      </c>
      <c r="AA23">
        <v>6</v>
      </c>
    </row>
    <row r="24" spans="1:27" x14ac:dyDescent="0.3">
      <c r="A24" s="24" t="s">
        <v>26</v>
      </c>
      <c r="B24" s="24" t="s">
        <v>24</v>
      </c>
      <c r="C24" s="24" t="s">
        <v>85</v>
      </c>
      <c r="D24" s="24" t="s">
        <v>486</v>
      </c>
      <c r="E24" s="24">
        <v>0</v>
      </c>
      <c r="F24" s="24" t="s">
        <v>129</v>
      </c>
      <c r="H24" s="36" t="s">
        <v>59</v>
      </c>
      <c r="I24">
        <v>0</v>
      </c>
      <c r="J24">
        <v>0</v>
      </c>
      <c r="K24">
        <v>3</v>
      </c>
      <c r="L24">
        <v>0</v>
      </c>
      <c r="M24">
        <v>0</v>
      </c>
      <c r="N24">
        <v>0</v>
      </c>
      <c r="O24">
        <v>0</v>
      </c>
      <c r="P24">
        <v>0</v>
      </c>
      <c r="Q24">
        <v>0</v>
      </c>
      <c r="R24">
        <v>0</v>
      </c>
      <c r="S24">
        <v>0</v>
      </c>
      <c r="T24">
        <v>0</v>
      </c>
      <c r="U24">
        <v>0</v>
      </c>
      <c r="V24">
        <v>0</v>
      </c>
      <c r="W24">
        <v>0</v>
      </c>
      <c r="X24">
        <v>0</v>
      </c>
      <c r="Y24">
        <v>2</v>
      </c>
      <c r="Z24">
        <v>0</v>
      </c>
      <c r="AA24">
        <v>5</v>
      </c>
    </row>
    <row r="25" spans="1:27" x14ac:dyDescent="0.3">
      <c r="A25" s="24" t="s">
        <v>26</v>
      </c>
      <c r="B25" s="24" t="s">
        <v>24</v>
      </c>
      <c r="C25" s="24" t="s">
        <v>87</v>
      </c>
      <c r="D25" s="24" t="s">
        <v>485</v>
      </c>
      <c r="E25" s="24">
        <v>0</v>
      </c>
      <c r="F25" s="24" t="s">
        <v>127</v>
      </c>
      <c r="H25" s="36" t="s">
        <v>61</v>
      </c>
      <c r="I25">
        <v>0</v>
      </c>
      <c r="J25">
        <v>0</v>
      </c>
      <c r="K25">
        <v>3</v>
      </c>
      <c r="L25">
        <v>0</v>
      </c>
      <c r="M25">
        <v>0</v>
      </c>
      <c r="N25">
        <v>0</v>
      </c>
      <c r="O25">
        <v>0</v>
      </c>
      <c r="P25">
        <v>0</v>
      </c>
      <c r="Q25">
        <v>0</v>
      </c>
      <c r="R25">
        <v>0</v>
      </c>
      <c r="S25">
        <v>1</v>
      </c>
      <c r="T25">
        <v>0</v>
      </c>
      <c r="U25">
        <v>1</v>
      </c>
      <c r="V25">
        <v>0</v>
      </c>
      <c r="W25">
        <v>0</v>
      </c>
      <c r="X25">
        <v>0</v>
      </c>
      <c r="Y25">
        <v>3</v>
      </c>
      <c r="Z25">
        <v>0</v>
      </c>
      <c r="AA25">
        <v>8</v>
      </c>
    </row>
    <row r="26" spans="1:27" x14ac:dyDescent="0.3">
      <c r="A26" s="24" t="s">
        <v>26</v>
      </c>
      <c r="B26" s="24" t="s">
        <v>24</v>
      </c>
      <c r="C26" s="24" t="s">
        <v>89</v>
      </c>
      <c r="D26" s="24" t="s">
        <v>486</v>
      </c>
      <c r="E26" s="24">
        <v>0</v>
      </c>
      <c r="F26" s="24" t="s">
        <v>129</v>
      </c>
      <c r="H26" s="36" t="s">
        <v>512</v>
      </c>
      <c r="I26">
        <v>6</v>
      </c>
      <c r="J26">
        <v>2</v>
      </c>
      <c r="K26">
        <v>62</v>
      </c>
      <c r="L26">
        <v>9</v>
      </c>
      <c r="M26">
        <v>0</v>
      </c>
      <c r="N26">
        <v>0</v>
      </c>
      <c r="O26">
        <v>0</v>
      </c>
      <c r="P26">
        <v>0</v>
      </c>
      <c r="Q26">
        <v>1</v>
      </c>
      <c r="R26">
        <v>4</v>
      </c>
      <c r="S26">
        <v>3</v>
      </c>
      <c r="T26">
        <v>6</v>
      </c>
      <c r="U26">
        <v>10</v>
      </c>
      <c r="V26">
        <v>0</v>
      </c>
      <c r="W26">
        <v>1</v>
      </c>
      <c r="X26">
        <v>3</v>
      </c>
      <c r="Y26">
        <v>41</v>
      </c>
      <c r="Z26">
        <v>2</v>
      </c>
      <c r="AA26">
        <v>150</v>
      </c>
    </row>
    <row r="27" spans="1:27" x14ac:dyDescent="0.3">
      <c r="A27" s="24" t="s">
        <v>26</v>
      </c>
      <c r="B27" s="24" t="s">
        <v>24</v>
      </c>
      <c r="C27" s="24" t="s">
        <v>91</v>
      </c>
      <c r="D27" s="24" t="s">
        <v>486</v>
      </c>
      <c r="E27" s="24">
        <v>0</v>
      </c>
      <c r="F27" s="24" t="s">
        <v>129</v>
      </c>
    </row>
    <row r="28" spans="1:27" x14ac:dyDescent="0.3">
      <c r="A28" s="24" t="s">
        <v>26</v>
      </c>
      <c r="B28" s="24" t="s">
        <v>24</v>
      </c>
      <c r="C28" s="24" t="s">
        <v>93</v>
      </c>
      <c r="D28" s="24" t="s">
        <v>486</v>
      </c>
      <c r="E28" s="24">
        <v>0</v>
      </c>
      <c r="F28" s="24" t="s">
        <v>129</v>
      </c>
    </row>
    <row r="29" spans="1:27" x14ac:dyDescent="0.3">
      <c r="A29" s="24" t="s">
        <v>26</v>
      </c>
      <c r="B29" s="24" t="s">
        <v>24</v>
      </c>
      <c r="C29" s="24" t="s">
        <v>95</v>
      </c>
      <c r="D29" s="24" t="s">
        <v>486</v>
      </c>
      <c r="E29" s="24">
        <v>0</v>
      </c>
      <c r="F29" s="24" t="s">
        <v>129</v>
      </c>
    </row>
    <row r="30" spans="1:27" x14ac:dyDescent="0.3">
      <c r="A30" s="24" t="s">
        <v>26</v>
      </c>
      <c r="B30" s="24" t="s">
        <v>24</v>
      </c>
      <c r="C30" s="24" t="s">
        <v>97</v>
      </c>
      <c r="D30" s="24" t="s">
        <v>485</v>
      </c>
      <c r="E30" s="24">
        <v>0</v>
      </c>
      <c r="F30" s="24" t="s">
        <v>129</v>
      </c>
    </row>
    <row r="31" spans="1:27" x14ac:dyDescent="0.3">
      <c r="A31" s="24" t="s">
        <v>26</v>
      </c>
      <c r="B31" s="24" t="s">
        <v>24</v>
      </c>
      <c r="C31" s="24" t="s">
        <v>99</v>
      </c>
      <c r="D31" s="24" t="s">
        <v>486</v>
      </c>
      <c r="E31" s="24">
        <v>0</v>
      </c>
      <c r="F31" s="24" t="s">
        <v>129</v>
      </c>
    </row>
    <row r="32" spans="1:27" x14ac:dyDescent="0.3">
      <c r="A32" s="24" t="s">
        <v>26</v>
      </c>
      <c r="B32" s="24" t="s">
        <v>24</v>
      </c>
      <c r="C32" s="24" t="s">
        <v>101</v>
      </c>
      <c r="D32" s="24" t="s">
        <v>487</v>
      </c>
      <c r="E32" s="24">
        <v>0</v>
      </c>
      <c r="F32" s="24" t="s">
        <v>129</v>
      </c>
    </row>
    <row r="33" spans="1:6" x14ac:dyDescent="0.3">
      <c r="A33" s="24" t="s">
        <v>26</v>
      </c>
      <c r="B33" s="24" t="s">
        <v>24</v>
      </c>
      <c r="C33" s="24" t="s">
        <v>103</v>
      </c>
      <c r="D33" s="24" t="s">
        <v>486</v>
      </c>
      <c r="E33" s="24">
        <v>0</v>
      </c>
      <c r="F33" s="24" t="s">
        <v>129</v>
      </c>
    </row>
    <row r="34" spans="1:6" x14ac:dyDescent="0.3">
      <c r="A34" s="24" t="s">
        <v>26</v>
      </c>
      <c r="B34" s="24" t="s">
        <v>24</v>
      </c>
      <c r="C34" s="24" t="s">
        <v>105</v>
      </c>
      <c r="D34" s="24" t="s">
        <v>486</v>
      </c>
      <c r="E34" s="24">
        <v>0</v>
      </c>
      <c r="F34" s="24" t="s">
        <v>129</v>
      </c>
    </row>
    <row r="35" spans="1:6" x14ac:dyDescent="0.3">
      <c r="A35" s="24" t="s">
        <v>26</v>
      </c>
      <c r="B35" s="24" t="s">
        <v>24</v>
      </c>
      <c r="C35" s="24" t="s">
        <v>107</v>
      </c>
      <c r="D35" s="24" t="s">
        <v>485</v>
      </c>
      <c r="E35" s="24">
        <v>0</v>
      </c>
      <c r="F35" s="24" t="s">
        <v>129</v>
      </c>
    </row>
    <row r="36" spans="1:6" x14ac:dyDescent="0.3">
      <c r="A36" s="24" t="s">
        <v>26</v>
      </c>
      <c r="B36" s="24" t="s">
        <v>24</v>
      </c>
      <c r="C36" s="24" t="s">
        <v>109</v>
      </c>
      <c r="D36" s="24" t="s">
        <v>485</v>
      </c>
      <c r="E36" s="24">
        <v>0</v>
      </c>
      <c r="F36" s="24" t="s">
        <v>129</v>
      </c>
    </row>
    <row r="37" spans="1:6" x14ac:dyDescent="0.3">
      <c r="A37" s="24" t="s">
        <v>26</v>
      </c>
      <c r="B37" s="24" t="s">
        <v>24</v>
      </c>
      <c r="C37" s="24" t="s">
        <v>111</v>
      </c>
      <c r="D37" s="24" t="s">
        <v>486</v>
      </c>
      <c r="E37" s="24">
        <v>0</v>
      </c>
      <c r="F37" s="24" t="s">
        <v>129</v>
      </c>
    </row>
    <row r="38" spans="1:6" x14ac:dyDescent="0.3">
      <c r="A38" s="24" t="s">
        <v>28</v>
      </c>
      <c r="B38" s="24" t="s">
        <v>24</v>
      </c>
      <c r="C38" s="24" t="s">
        <v>77</v>
      </c>
      <c r="D38" s="24" t="s">
        <v>485</v>
      </c>
      <c r="E38" s="24">
        <v>0</v>
      </c>
      <c r="F38" s="24" t="s">
        <v>126</v>
      </c>
    </row>
    <row r="39" spans="1:6" x14ac:dyDescent="0.3">
      <c r="A39" s="24" t="s">
        <v>28</v>
      </c>
      <c r="B39" s="24" t="s">
        <v>24</v>
      </c>
      <c r="C39" s="24" t="s">
        <v>79</v>
      </c>
      <c r="D39" s="24" t="s">
        <v>485</v>
      </c>
      <c r="E39" s="24">
        <v>0</v>
      </c>
      <c r="F39" s="24" t="s">
        <v>129</v>
      </c>
    </row>
    <row r="40" spans="1:6" x14ac:dyDescent="0.3">
      <c r="A40" s="24" t="s">
        <v>28</v>
      </c>
      <c r="B40" s="24" t="s">
        <v>24</v>
      </c>
      <c r="C40" s="24" t="s">
        <v>81</v>
      </c>
      <c r="D40" s="24" t="s">
        <v>486</v>
      </c>
      <c r="E40" s="24">
        <v>1</v>
      </c>
      <c r="F40" s="24" t="s">
        <v>129</v>
      </c>
    </row>
    <row r="41" spans="1:6" x14ac:dyDescent="0.3">
      <c r="A41" s="24" t="s">
        <v>28</v>
      </c>
      <c r="B41" s="24" t="s">
        <v>24</v>
      </c>
      <c r="C41" s="24" t="s">
        <v>83</v>
      </c>
      <c r="D41" s="24" t="s">
        <v>485</v>
      </c>
      <c r="E41" s="24">
        <v>0</v>
      </c>
      <c r="F41" s="24" t="s">
        <v>129</v>
      </c>
    </row>
    <row r="42" spans="1:6" x14ac:dyDescent="0.3">
      <c r="A42" s="24" t="s">
        <v>28</v>
      </c>
      <c r="B42" s="24" t="s">
        <v>24</v>
      </c>
      <c r="C42" s="24" t="s">
        <v>85</v>
      </c>
      <c r="D42" s="24" t="s">
        <v>486</v>
      </c>
      <c r="E42" s="24">
        <v>0</v>
      </c>
      <c r="F42" s="24" t="s">
        <v>129</v>
      </c>
    </row>
    <row r="43" spans="1:6" x14ac:dyDescent="0.3">
      <c r="A43" s="24" t="s">
        <v>28</v>
      </c>
      <c r="B43" s="24" t="s">
        <v>24</v>
      </c>
      <c r="C43" s="24" t="s">
        <v>87</v>
      </c>
      <c r="D43" s="24" t="s">
        <v>485</v>
      </c>
      <c r="E43" s="24">
        <v>0</v>
      </c>
      <c r="F43" s="24" t="s">
        <v>129</v>
      </c>
    </row>
    <row r="44" spans="1:6" x14ac:dyDescent="0.3">
      <c r="A44" s="24" t="s">
        <v>28</v>
      </c>
      <c r="B44" s="24" t="s">
        <v>24</v>
      </c>
      <c r="C44" s="24" t="s">
        <v>89</v>
      </c>
      <c r="D44" s="24" t="s">
        <v>486</v>
      </c>
      <c r="E44" s="24">
        <v>0</v>
      </c>
      <c r="F44" s="24" t="s">
        <v>129</v>
      </c>
    </row>
    <row r="45" spans="1:6" x14ac:dyDescent="0.3">
      <c r="A45" s="24" t="s">
        <v>28</v>
      </c>
      <c r="B45" s="24" t="s">
        <v>24</v>
      </c>
      <c r="C45" s="24" t="s">
        <v>91</v>
      </c>
      <c r="D45" s="24" t="s">
        <v>486</v>
      </c>
      <c r="E45" s="24">
        <v>0</v>
      </c>
      <c r="F45" s="24" t="s">
        <v>129</v>
      </c>
    </row>
    <row r="46" spans="1:6" x14ac:dyDescent="0.3">
      <c r="A46" s="24" t="s">
        <v>28</v>
      </c>
      <c r="B46" s="24" t="s">
        <v>24</v>
      </c>
      <c r="C46" s="24" t="s">
        <v>93</v>
      </c>
      <c r="D46" s="24" t="s">
        <v>486</v>
      </c>
      <c r="E46" s="24">
        <v>0</v>
      </c>
      <c r="F46" s="24" t="s">
        <v>129</v>
      </c>
    </row>
    <row r="47" spans="1:6" x14ac:dyDescent="0.3">
      <c r="A47" s="24" t="s">
        <v>28</v>
      </c>
      <c r="B47" s="24" t="s">
        <v>24</v>
      </c>
      <c r="C47" s="24" t="s">
        <v>95</v>
      </c>
      <c r="D47" s="24" t="s">
        <v>486</v>
      </c>
      <c r="E47" s="24">
        <v>0</v>
      </c>
      <c r="F47" s="24" t="s">
        <v>129</v>
      </c>
    </row>
    <row r="48" spans="1:6" x14ac:dyDescent="0.3">
      <c r="A48" s="24" t="s">
        <v>28</v>
      </c>
      <c r="B48" s="24" t="s">
        <v>24</v>
      </c>
      <c r="C48" s="24" t="s">
        <v>97</v>
      </c>
      <c r="D48" s="24" t="s">
        <v>485</v>
      </c>
      <c r="E48" s="24">
        <v>0</v>
      </c>
      <c r="F48" s="24" t="s">
        <v>129</v>
      </c>
    </row>
    <row r="49" spans="1:6" x14ac:dyDescent="0.3">
      <c r="A49" s="24" t="s">
        <v>28</v>
      </c>
      <c r="B49" s="24" t="s">
        <v>24</v>
      </c>
      <c r="C49" s="24" t="s">
        <v>99</v>
      </c>
      <c r="D49" s="24" t="s">
        <v>486</v>
      </c>
      <c r="E49" s="24">
        <v>0</v>
      </c>
      <c r="F49" s="24" t="s">
        <v>129</v>
      </c>
    </row>
    <row r="50" spans="1:6" x14ac:dyDescent="0.3">
      <c r="A50" s="24" t="s">
        <v>28</v>
      </c>
      <c r="B50" s="24" t="s">
        <v>24</v>
      </c>
      <c r="C50" s="24" t="s">
        <v>101</v>
      </c>
      <c r="D50" s="24" t="s">
        <v>487</v>
      </c>
      <c r="E50" s="24">
        <v>0</v>
      </c>
      <c r="F50" s="24" t="s">
        <v>129</v>
      </c>
    </row>
    <row r="51" spans="1:6" x14ac:dyDescent="0.3">
      <c r="A51" s="24" t="s">
        <v>28</v>
      </c>
      <c r="B51" s="24" t="s">
        <v>24</v>
      </c>
      <c r="C51" s="24" t="s">
        <v>103</v>
      </c>
      <c r="D51" s="24" t="s">
        <v>486</v>
      </c>
      <c r="E51" s="24">
        <v>0</v>
      </c>
      <c r="F51" s="24" t="s">
        <v>129</v>
      </c>
    </row>
    <row r="52" spans="1:6" x14ac:dyDescent="0.3">
      <c r="A52" s="24" t="s">
        <v>28</v>
      </c>
      <c r="B52" s="24" t="s">
        <v>24</v>
      </c>
      <c r="C52" s="24" t="s">
        <v>105</v>
      </c>
      <c r="D52" s="24" t="s">
        <v>486</v>
      </c>
      <c r="E52" s="24">
        <v>0</v>
      </c>
      <c r="F52" s="24" t="s">
        <v>129</v>
      </c>
    </row>
    <row r="53" spans="1:6" x14ac:dyDescent="0.3">
      <c r="A53" s="24" t="s">
        <v>28</v>
      </c>
      <c r="B53" s="24" t="s">
        <v>24</v>
      </c>
      <c r="C53" s="24" t="s">
        <v>107</v>
      </c>
      <c r="D53" s="24" t="s">
        <v>485</v>
      </c>
      <c r="E53" s="24">
        <v>0</v>
      </c>
      <c r="F53" s="24" t="s">
        <v>129</v>
      </c>
    </row>
    <row r="54" spans="1:6" x14ac:dyDescent="0.3">
      <c r="A54" s="24" t="s">
        <v>28</v>
      </c>
      <c r="B54" s="24" t="s">
        <v>24</v>
      </c>
      <c r="C54" s="24" t="s">
        <v>109</v>
      </c>
      <c r="D54" s="24" t="s">
        <v>485</v>
      </c>
      <c r="E54" s="24">
        <v>1</v>
      </c>
      <c r="F54" s="24" t="s">
        <v>129</v>
      </c>
    </row>
    <row r="55" spans="1:6" x14ac:dyDescent="0.3">
      <c r="A55" s="24" t="s">
        <v>28</v>
      </c>
      <c r="B55" s="24" t="s">
        <v>24</v>
      </c>
      <c r="C55" s="24" t="s">
        <v>111</v>
      </c>
      <c r="D55" s="24" t="s">
        <v>486</v>
      </c>
      <c r="E55" s="24">
        <v>0</v>
      </c>
      <c r="F55" s="24" t="s">
        <v>129</v>
      </c>
    </row>
    <row r="56" spans="1:6" x14ac:dyDescent="0.3">
      <c r="A56" s="24" t="s">
        <v>30</v>
      </c>
      <c r="B56" s="24" t="s">
        <v>24</v>
      </c>
      <c r="C56" s="24" t="s">
        <v>77</v>
      </c>
      <c r="D56" s="24" t="s">
        <v>485</v>
      </c>
      <c r="E56" s="24">
        <v>0</v>
      </c>
      <c r="F56" s="24" t="s">
        <v>126</v>
      </c>
    </row>
    <row r="57" spans="1:6" x14ac:dyDescent="0.3">
      <c r="A57" s="24" t="s">
        <v>30</v>
      </c>
      <c r="B57" s="24" t="s">
        <v>24</v>
      </c>
      <c r="C57" s="24" t="s">
        <v>79</v>
      </c>
      <c r="D57" s="24" t="s">
        <v>485</v>
      </c>
      <c r="E57" s="24">
        <v>0</v>
      </c>
      <c r="F57" s="24" t="s">
        <v>129</v>
      </c>
    </row>
    <row r="58" spans="1:6" x14ac:dyDescent="0.3">
      <c r="A58" s="24" t="s">
        <v>30</v>
      </c>
      <c r="B58" s="24" t="s">
        <v>24</v>
      </c>
      <c r="C58" s="24" t="s">
        <v>81</v>
      </c>
      <c r="D58" s="24" t="s">
        <v>486</v>
      </c>
      <c r="E58" s="24">
        <v>0</v>
      </c>
      <c r="F58" s="24" t="s">
        <v>129</v>
      </c>
    </row>
    <row r="59" spans="1:6" x14ac:dyDescent="0.3">
      <c r="A59" s="24" t="s">
        <v>30</v>
      </c>
      <c r="B59" s="24" t="s">
        <v>24</v>
      </c>
      <c r="C59" s="24" t="s">
        <v>83</v>
      </c>
      <c r="D59" s="24" t="s">
        <v>485</v>
      </c>
      <c r="E59" s="24">
        <v>0</v>
      </c>
      <c r="F59" s="24" t="s">
        <v>129</v>
      </c>
    </row>
    <row r="60" spans="1:6" x14ac:dyDescent="0.3">
      <c r="A60" s="24" t="s">
        <v>30</v>
      </c>
      <c r="B60" s="24" t="s">
        <v>24</v>
      </c>
      <c r="C60" s="24" t="s">
        <v>85</v>
      </c>
      <c r="D60" s="24" t="s">
        <v>486</v>
      </c>
      <c r="E60" s="24">
        <v>0</v>
      </c>
      <c r="F60" s="24" t="s">
        <v>129</v>
      </c>
    </row>
    <row r="61" spans="1:6" x14ac:dyDescent="0.3">
      <c r="A61" s="24" t="s">
        <v>30</v>
      </c>
      <c r="B61" s="24" t="s">
        <v>24</v>
      </c>
      <c r="C61" s="24" t="s">
        <v>87</v>
      </c>
      <c r="D61" s="24" t="s">
        <v>485</v>
      </c>
      <c r="E61" s="24">
        <v>0</v>
      </c>
      <c r="F61" s="24" t="s">
        <v>129</v>
      </c>
    </row>
    <row r="62" spans="1:6" x14ac:dyDescent="0.3">
      <c r="A62" s="24" t="s">
        <v>30</v>
      </c>
      <c r="B62" s="24" t="s">
        <v>24</v>
      </c>
      <c r="C62" s="24" t="s">
        <v>89</v>
      </c>
      <c r="D62" s="24" t="s">
        <v>486</v>
      </c>
      <c r="E62" s="24">
        <v>0</v>
      </c>
      <c r="F62" s="24" t="s">
        <v>129</v>
      </c>
    </row>
    <row r="63" spans="1:6" x14ac:dyDescent="0.3">
      <c r="A63" s="24" t="s">
        <v>30</v>
      </c>
      <c r="B63" s="24" t="s">
        <v>24</v>
      </c>
      <c r="C63" s="24" t="s">
        <v>91</v>
      </c>
      <c r="D63" s="24" t="s">
        <v>486</v>
      </c>
      <c r="E63" s="24">
        <v>0</v>
      </c>
      <c r="F63" s="24" t="s">
        <v>129</v>
      </c>
    </row>
    <row r="64" spans="1:6" x14ac:dyDescent="0.3">
      <c r="A64" s="24" t="s">
        <v>30</v>
      </c>
      <c r="B64" s="24" t="s">
        <v>24</v>
      </c>
      <c r="C64" s="24" t="s">
        <v>93</v>
      </c>
      <c r="D64" s="24" t="s">
        <v>486</v>
      </c>
      <c r="E64" s="24">
        <v>0</v>
      </c>
      <c r="F64" s="24" t="s">
        <v>129</v>
      </c>
    </row>
    <row r="65" spans="1:6" x14ac:dyDescent="0.3">
      <c r="A65" s="24" t="s">
        <v>30</v>
      </c>
      <c r="B65" s="24" t="s">
        <v>24</v>
      </c>
      <c r="C65" s="24" t="s">
        <v>95</v>
      </c>
      <c r="D65" s="24" t="s">
        <v>486</v>
      </c>
      <c r="E65" s="24">
        <v>0</v>
      </c>
      <c r="F65" s="24" t="s">
        <v>129</v>
      </c>
    </row>
    <row r="66" spans="1:6" x14ac:dyDescent="0.3">
      <c r="A66" s="24" t="s">
        <v>30</v>
      </c>
      <c r="B66" s="24" t="s">
        <v>24</v>
      </c>
      <c r="C66" s="24" t="s">
        <v>97</v>
      </c>
      <c r="D66" s="24" t="s">
        <v>485</v>
      </c>
      <c r="E66" s="24">
        <v>0</v>
      </c>
      <c r="F66" s="24" t="s">
        <v>129</v>
      </c>
    </row>
    <row r="67" spans="1:6" x14ac:dyDescent="0.3">
      <c r="A67" s="24" t="s">
        <v>30</v>
      </c>
      <c r="B67" s="24" t="s">
        <v>24</v>
      </c>
      <c r="C67" s="24" t="s">
        <v>99</v>
      </c>
      <c r="D67" s="24" t="s">
        <v>486</v>
      </c>
      <c r="E67" s="24">
        <v>0</v>
      </c>
      <c r="F67" s="24" t="s">
        <v>129</v>
      </c>
    </row>
    <row r="68" spans="1:6" x14ac:dyDescent="0.3">
      <c r="A68" s="24" t="s">
        <v>30</v>
      </c>
      <c r="B68" s="24" t="s">
        <v>24</v>
      </c>
      <c r="C68" s="24" t="s">
        <v>101</v>
      </c>
      <c r="D68" s="24" t="s">
        <v>487</v>
      </c>
      <c r="E68" s="24">
        <v>0</v>
      </c>
      <c r="F68" s="24" t="s">
        <v>129</v>
      </c>
    </row>
    <row r="69" spans="1:6" x14ac:dyDescent="0.3">
      <c r="A69" s="24" t="s">
        <v>30</v>
      </c>
      <c r="B69" s="24" t="s">
        <v>24</v>
      </c>
      <c r="C69" s="24" t="s">
        <v>103</v>
      </c>
      <c r="D69" s="24" t="s">
        <v>486</v>
      </c>
      <c r="E69" s="24">
        <v>0</v>
      </c>
      <c r="F69" s="24" t="s">
        <v>129</v>
      </c>
    </row>
    <row r="70" spans="1:6" x14ac:dyDescent="0.3">
      <c r="A70" s="24" t="s">
        <v>30</v>
      </c>
      <c r="B70" s="24" t="s">
        <v>24</v>
      </c>
      <c r="C70" s="24" t="s">
        <v>105</v>
      </c>
      <c r="D70" s="24" t="s">
        <v>486</v>
      </c>
      <c r="E70" s="24">
        <v>0</v>
      </c>
      <c r="F70" s="24" t="s">
        <v>129</v>
      </c>
    </row>
    <row r="71" spans="1:6" x14ac:dyDescent="0.3">
      <c r="A71" s="24" t="s">
        <v>30</v>
      </c>
      <c r="B71" s="24" t="s">
        <v>24</v>
      </c>
      <c r="C71" s="24" t="s">
        <v>107</v>
      </c>
      <c r="D71" s="24" t="s">
        <v>485</v>
      </c>
      <c r="E71" s="24">
        <v>0</v>
      </c>
      <c r="F71" s="24" t="s">
        <v>129</v>
      </c>
    </row>
    <row r="72" spans="1:6" x14ac:dyDescent="0.3">
      <c r="A72" s="24" t="s">
        <v>30</v>
      </c>
      <c r="B72" s="24" t="s">
        <v>24</v>
      </c>
      <c r="C72" s="24" t="s">
        <v>109</v>
      </c>
      <c r="D72" s="24" t="s">
        <v>485</v>
      </c>
      <c r="E72" s="24">
        <v>0</v>
      </c>
      <c r="F72" s="24" t="s">
        <v>128</v>
      </c>
    </row>
    <row r="73" spans="1:6" x14ac:dyDescent="0.3">
      <c r="A73" s="24" t="s">
        <v>30</v>
      </c>
      <c r="B73" s="24" t="s">
        <v>24</v>
      </c>
      <c r="C73" s="24" t="s">
        <v>111</v>
      </c>
      <c r="D73" s="24" t="s">
        <v>486</v>
      </c>
      <c r="E73" s="24">
        <v>0</v>
      </c>
      <c r="F73" s="24" t="s">
        <v>129</v>
      </c>
    </row>
    <row r="74" spans="1:6" x14ac:dyDescent="0.3">
      <c r="A74" s="24" t="s">
        <v>32</v>
      </c>
      <c r="B74" s="24" t="s">
        <v>24</v>
      </c>
      <c r="C74" s="24" t="s">
        <v>77</v>
      </c>
      <c r="D74" s="24" t="s">
        <v>485</v>
      </c>
      <c r="E74" s="24">
        <v>0</v>
      </c>
      <c r="F74" s="24" t="s">
        <v>126</v>
      </c>
    </row>
    <row r="75" spans="1:6" x14ac:dyDescent="0.3">
      <c r="A75" s="24" t="s">
        <v>32</v>
      </c>
      <c r="B75" s="24" t="s">
        <v>24</v>
      </c>
      <c r="C75" s="24" t="s">
        <v>79</v>
      </c>
      <c r="D75" s="24" t="s">
        <v>485</v>
      </c>
      <c r="E75" s="24">
        <v>0</v>
      </c>
      <c r="F75" s="24" t="s">
        <v>129</v>
      </c>
    </row>
    <row r="76" spans="1:6" x14ac:dyDescent="0.3">
      <c r="A76" s="24" t="s">
        <v>32</v>
      </c>
      <c r="B76" s="24" t="s">
        <v>24</v>
      </c>
      <c r="C76" s="24" t="s">
        <v>81</v>
      </c>
      <c r="D76" s="24" t="s">
        <v>486</v>
      </c>
      <c r="E76" s="24">
        <v>1</v>
      </c>
      <c r="F76" s="24" t="s">
        <v>129</v>
      </c>
    </row>
    <row r="77" spans="1:6" x14ac:dyDescent="0.3">
      <c r="A77" s="24" t="s">
        <v>32</v>
      </c>
      <c r="B77" s="24" t="s">
        <v>24</v>
      </c>
      <c r="C77" s="24" t="s">
        <v>83</v>
      </c>
      <c r="D77" s="24" t="s">
        <v>485</v>
      </c>
      <c r="E77" s="24">
        <v>0</v>
      </c>
      <c r="F77" s="24" t="s">
        <v>129</v>
      </c>
    </row>
    <row r="78" spans="1:6" x14ac:dyDescent="0.3">
      <c r="A78" s="24" t="s">
        <v>32</v>
      </c>
      <c r="B78" s="24" t="s">
        <v>24</v>
      </c>
      <c r="C78" s="24" t="s">
        <v>85</v>
      </c>
      <c r="D78" s="24" t="s">
        <v>486</v>
      </c>
      <c r="E78" s="24">
        <v>0</v>
      </c>
      <c r="F78" s="24" t="s">
        <v>129</v>
      </c>
    </row>
    <row r="79" spans="1:6" x14ac:dyDescent="0.3">
      <c r="A79" s="24" t="s">
        <v>32</v>
      </c>
      <c r="B79" s="24" t="s">
        <v>24</v>
      </c>
      <c r="C79" s="24" t="s">
        <v>87</v>
      </c>
      <c r="D79" s="24" t="s">
        <v>485</v>
      </c>
      <c r="E79" s="24">
        <v>0</v>
      </c>
      <c r="F79" s="24" t="s">
        <v>129</v>
      </c>
    </row>
    <row r="80" spans="1:6" x14ac:dyDescent="0.3">
      <c r="A80" s="24" t="s">
        <v>32</v>
      </c>
      <c r="B80" s="24" t="s">
        <v>24</v>
      </c>
      <c r="C80" s="24" t="s">
        <v>89</v>
      </c>
      <c r="D80" s="24" t="s">
        <v>486</v>
      </c>
      <c r="E80" s="24">
        <v>0</v>
      </c>
      <c r="F80" s="24" t="s">
        <v>129</v>
      </c>
    </row>
    <row r="81" spans="1:6" x14ac:dyDescent="0.3">
      <c r="A81" s="24" t="s">
        <v>32</v>
      </c>
      <c r="B81" s="24" t="s">
        <v>24</v>
      </c>
      <c r="C81" s="24" t="s">
        <v>91</v>
      </c>
      <c r="D81" s="24" t="s">
        <v>486</v>
      </c>
      <c r="E81" s="24">
        <v>0</v>
      </c>
      <c r="F81" s="24" t="s">
        <v>129</v>
      </c>
    </row>
    <row r="82" spans="1:6" x14ac:dyDescent="0.3">
      <c r="A82" s="24" t="s">
        <v>32</v>
      </c>
      <c r="B82" s="24" t="s">
        <v>24</v>
      </c>
      <c r="C82" s="24" t="s">
        <v>93</v>
      </c>
      <c r="D82" s="24" t="s">
        <v>486</v>
      </c>
      <c r="E82" s="24">
        <v>0</v>
      </c>
      <c r="F82" s="24" t="s">
        <v>129</v>
      </c>
    </row>
    <row r="83" spans="1:6" x14ac:dyDescent="0.3">
      <c r="A83" s="24" t="s">
        <v>32</v>
      </c>
      <c r="B83" s="24" t="s">
        <v>24</v>
      </c>
      <c r="C83" s="24" t="s">
        <v>95</v>
      </c>
      <c r="D83" s="24" t="s">
        <v>486</v>
      </c>
      <c r="E83" s="24">
        <v>0</v>
      </c>
      <c r="F83" s="24" t="s">
        <v>129</v>
      </c>
    </row>
    <row r="84" spans="1:6" x14ac:dyDescent="0.3">
      <c r="A84" s="24" t="s">
        <v>32</v>
      </c>
      <c r="B84" s="24" t="s">
        <v>24</v>
      </c>
      <c r="C84" s="24" t="s">
        <v>97</v>
      </c>
      <c r="D84" s="24" t="s">
        <v>485</v>
      </c>
      <c r="E84" s="24">
        <v>0</v>
      </c>
      <c r="F84" s="24" t="s">
        <v>129</v>
      </c>
    </row>
    <row r="85" spans="1:6" x14ac:dyDescent="0.3">
      <c r="A85" s="24" t="s">
        <v>32</v>
      </c>
      <c r="B85" s="24" t="s">
        <v>24</v>
      </c>
      <c r="C85" s="24" t="s">
        <v>99</v>
      </c>
      <c r="D85" s="24" t="s">
        <v>486</v>
      </c>
      <c r="E85" s="24">
        <v>0</v>
      </c>
      <c r="F85" s="24" t="s">
        <v>129</v>
      </c>
    </row>
    <row r="86" spans="1:6" x14ac:dyDescent="0.3">
      <c r="A86" s="24" t="s">
        <v>32</v>
      </c>
      <c r="B86" s="24" t="s">
        <v>24</v>
      </c>
      <c r="C86" s="24" t="s">
        <v>101</v>
      </c>
      <c r="D86" s="24" t="s">
        <v>487</v>
      </c>
      <c r="E86" s="24">
        <v>0</v>
      </c>
      <c r="F86" s="24" t="s">
        <v>129</v>
      </c>
    </row>
    <row r="87" spans="1:6" x14ac:dyDescent="0.3">
      <c r="A87" s="24" t="s">
        <v>32</v>
      </c>
      <c r="B87" s="24" t="s">
        <v>24</v>
      </c>
      <c r="C87" s="24" t="s">
        <v>103</v>
      </c>
      <c r="D87" s="24" t="s">
        <v>486</v>
      </c>
      <c r="E87" s="24">
        <v>0</v>
      </c>
      <c r="F87" s="24" t="s">
        <v>129</v>
      </c>
    </row>
    <row r="88" spans="1:6" x14ac:dyDescent="0.3">
      <c r="A88" s="24" t="s">
        <v>32</v>
      </c>
      <c r="B88" s="24" t="s">
        <v>24</v>
      </c>
      <c r="C88" s="24" t="s">
        <v>105</v>
      </c>
      <c r="D88" s="24" t="s">
        <v>486</v>
      </c>
      <c r="E88" s="24">
        <v>0</v>
      </c>
      <c r="F88" s="24" t="s">
        <v>129</v>
      </c>
    </row>
    <row r="89" spans="1:6" x14ac:dyDescent="0.3">
      <c r="A89" s="24" t="s">
        <v>32</v>
      </c>
      <c r="B89" s="24" t="s">
        <v>24</v>
      </c>
      <c r="C89" s="24" t="s">
        <v>107</v>
      </c>
      <c r="D89" s="24" t="s">
        <v>485</v>
      </c>
      <c r="E89" s="24">
        <v>0</v>
      </c>
      <c r="F89" s="24" t="s">
        <v>129</v>
      </c>
    </row>
    <row r="90" spans="1:6" x14ac:dyDescent="0.3">
      <c r="A90" s="24" t="s">
        <v>32</v>
      </c>
      <c r="B90" s="24" t="s">
        <v>24</v>
      </c>
      <c r="C90" s="24" t="s">
        <v>109</v>
      </c>
      <c r="D90" s="24" t="s">
        <v>485</v>
      </c>
      <c r="E90" s="24">
        <v>1</v>
      </c>
      <c r="F90" s="24" t="s">
        <v>129</v>
      </c>
    </row>
    <row r="91" spans="1:6" x14ac:dyDescent="0.3">
      <c r="A91" s="24" t="s">
        <v>32</v>
      </c>
      <c r="B91" s="24" t="s">
        <v>24</v>
      </c>
      <c r="C91" s="24" t="s">
        <v>111</v>
      </c>
      <c r="D91" s="24" t="s">
        <v>486</v>
      </c>
      <c r="E91" s="24">
        <v>0</v>
      </c>
      <c r="F91" s="24" t="s">
        <v>129</v>
      </c>
    </row>
    <row r="92" spans="1:6" x14ac:dyDescent="0.3">
      <c r="A92" s="24" t="s">
        <v>34</v>
      </c>
      <c r="B92" s="24" t="s">
        <v>24</v>
      </c>
      <c r="C92" s="24" t="s">
        <v>77</v>
      </c>
      <c r="D92" s="24" t="s">
        <v>485</v>
      </c>
      <c r="E92" s="24">
        <v>0</v>
      </c>
      <c r="F92" s="24" t="s">
        <v>126</v>
      </c>
    </row>
    <row r="93" spans="1:6" x14ac:dyDescent="0.3">
      <c r="A93" s="24" t="s">
        <v>34</v>
      </c>
      <c r="B93" s="24" t="s">
        <v>24</v>
      </c>
      <c r="C93" s="24" t="s">
        <v>79</v>
      </c>
      <c r="D93" s="24" t="s">
        <v>485</v>
      </c>
      <c r="E93" s="24">
        <v>0</v>
      </c>
      <c r="F93" s="24" t="s">
        <v>129</v>
      </c>
    </row>
    <row r="94" spans="1:6" x14ac:dyDescent="0.3">
      <c r="A94" s="24" t="s">
        <v>34</v>
      </c>
      <c r="B94" s="24" t="s">
        <v>24</v>
      </c>
      <c r="C94" s="24" t="s">
        <v>81</v>
      </c>
      <c r="D94" s="24" t="s">
        <v>486</v>
      </c>
      <c r="E94" s="24">
        <v>1</v>
      </c>
      <c r="F94" s="24" t="s">
        <v>128</v>
      </c>
    </row>
    <row r="95" spans="1:6" x14ac:dyDescent="0.3">
      <c r="A95" s="24" t="s">
        <v>34</v>
      </c>
      <c r="B95" s="24" t="s">
        <v>24</v>
      </c>
      <c r="C95" s="24" t="s">
        <v>83</v>
      </c>
      <c r="D95" s="24" t="s">
        <v>485</v>
      </c>
      <c r="E95" s="24">
        <v>0</v>
      </c>
      <c r="F95" s="24" t="s">
        <v>129</v>
      </c>
    </row>
    <row r="96" spans="1:6" x14ac:dyDescent="0.3">
      <c r="A96" s="24" t="s">
        <v>34</v>
      </c>
      <c r="B96" s="24" t="s">
        <v>24</v>
      </c>
      <c r="C96" s="24" t="s">
        <v>85</v>
      </c>
      <c r="D96" s="24" t="s">
        <v>486</v>
      </c>
      <c r="E96" s="24">
        <v>0</v>
      </c>
      <c r="F96" s="24" t="s">
        <v>129</v>
      </c>
    </row>
    <row r="97" spans="1:6" x14ac:dyDescent="0.3">
      <c r="A97" s="24" t="s">
        <v>34</v>
      </c>
      <c r="B97" s="24" t="s">
        <v>24</v>
      </c>
      <c r="C97" s="24" t="s">
        <v>87</v>
      </c>
      <c r="D97" s="24" t="s">
        <v>485</v>
      </c>
      <c r="E97" s="24">
        <v>0</v>
      </c>
      <c r="F97" s="24" t="s">
        <v>127</v>
      </c>
    </row>
    <row r="98" spans="1:6" x14ac:dyDescent="0.3">
      <c r="A98" s="24" t="s">
        <v>34</v>
      </c>
      <c r="B98" s="24" t="s">
        <v>24</v>
      </c>
      <c r="C98" s="24" t="s">
        <v>89</v>
      </c>
      <c r="D98" s="24" t="s">
        <v>486</v>
      </c>
      <c r="E98" s="24">
        <v>0</v>
      </c>
      <c r="F98" s="24" t="s">
        <v>129</v>
      </c>
    </row>
    <row r="99" spans="1:6" x14ac:dyDescent="0.3">
      <c r="A99" s="24" t="s">
        <v>34</v>
      </c>
      <c r="B99" s="24" t="s">
        <v>24</v>
      </c>
      <c r="C99" s="24" t="s">
        <v>91</v>
      </c>
      <c r="D99" s="24" t="s">
        <v>486</v>
      </c>
      <c r="E99" s="24">
        <v>0</v>
      </c>
      <c r="F99" s="24" t="s">
        <v>129</v>
      </c>
    </row>
    <row r="100" spans="1:6" x14ac:dyDescent="0.3">
      <c r="A100" s="24" t="s">
        <v>34</v>
      </c>
      <c r="B100" s="24" t="s">
        <v>24</v>
      </c>
      <c r="C100" s="24" t="s">
        <v>93</v>
      </c>
      <c r="D100" s="24" t="s">
        <v>486</v>
      </c>
      <c r="E100" s="24">
        <v>0</v>
      </c>
      <c r="F100" s="24" t="s">
        <v>129</v>
      </c>
    </row>
    <row r="101" spans="1:6" x14ac:dyDescent="0.3">
      <c r="A101" s="24" t="s">
        <v>34</v>
      </c>
      <c r="B101" s="24" t="s">
        <v>24</v>
      </c>
      <c r="C101" s="24" t="s">
        <v>95</v>
      </c>
      <c r="D101" s="24" t="s">
        <v>486</v>
      </c>
      <c r="E101" s="24">
        <v>0</v>
      </c>
      <c r="F101" s="24" t="s">
        <v>129</v>
      </c>
    </row>
    <row r="102" spans="1:6" x14ac:dyDescent="0.3">
      <c r="A102" s="24" t="s">
        <v>34</v>
      </c>
      <c r="B102" s="24" t="s">
        <v>24</v>
      </c>
      <c r="C102" s="24" t="s">
        <v>97</v>
      </c>
      <c r="D102" s="24" t="s">
        <v>485</v>
      </c>
      <c r="E102" s="24">
        <v>0</v>
      </c>
      <c r="F102" s="24" t="s">
        <v>129</v>
      </c>
    </row>
    <row r="103" spans="1:6" x14ac:dyDescent="0.3">
      <c r="A103" s="24" t="s">
        <v>34</v>
      </c>
      <c r="B103" s="24" t="s">
        <v>24</v>
      </c>
      <c r="C103" s="24" t="s">
        <v>99</v>
      </c>
      <c r="D103" s="24" t="s">
        <v>486</v>
      </c>
      <c r="E103" s="24">
        <v>0</v>
      </c>
      <c r="F103" s="24" t="s">
        <v>129</v>
      </c>
    </row>
    <row r="104" spans="1:6" x14ac:dyDescent="0.3">
      <c r="A104" s="24" t="s">
        <v>34</v>
      </c>
      <c r="B104" s="24" t="s">
        <v>24</v>
      </c>
      <c r="C104" s="24" t="s">
        <v>101</v>
      </c>
      <c r="D104" s="24" t="s">
        <v>487</v>
      </c>
      <c r="E104" s="24">
        <v>0</v>
      </c>
      <c r="F104" s="24" t="s">
        <v>129</v>
      </c>
    </row>
    <row r="105" spans="1:6" x14ac:dyDescent="0.3">
      <c r="A105" s="24" t="s">
        <v>34</v>
      </c>
      <c r="B105" s="24" t="s">
        <v>24</v>
      </c>
      <c r="C105" s="24" t="s">
        <v>103</v>
      </c>
      <c r="D105" s="24" t="s">
        <v>486</v>
      </c>
      <c r="E105" s="24">
        <v>0</v>
      </c>
      <c r="F105" s="24" t="s">
        <v>129</v>
      </c>
    </row>
    <row r="106" spans="1:6" x14ac:dyDescent="0.3">
      <c r="A106" s="24" t="s">
        <v>34</v>
      </c>
      <c r="B106" s="24" t="s">
        <v>24</v>
      </c>
      <c r="C106" s="24" t="s">
        <v>105</v>
      </c>
      <c r="D106" s="24" t="s">
        <v>486</v>
      </c>
      <c r="E106" s="24">
        <v>0</v>
      </c>
      <c r="F106" s="24" t="s">
        <v>129</v>
      </c>
    </row>
    <row r="107" spans="1:6" x14ac:dyDescent="0.3">
      <c r="A107" s="24" t="s">
        <v>34</v>
      </c>
      <c r="B107" s="24" t="s">
        <v>24</v>
      </c>
      <c r="C107" s="24" t="s">
        <v>107</v>
      </c>
      <c r="D107" s="24" t="s">
        <v>485</v>
      </c>
      <c r="E107" s="24">
        <v>0</v>
      </c>
      <c r="F107" s="24" t="s">
        <v>127</v>
      </c>
    </row>
    <row r="108" spans="1:6" x14ac:dyDescent="0.3">
      <c r="A108" s="24" t="s">
        <v>34</v>
      </c>
      <c r="B108" s="24" t="s">
        <v>24</v>
      </c>
      <c r="C108" s="24" t="s">
        <v>109</v>
      </c>
      <c r="D108" s="24" t="s">
        <v>485</v>
      </c>
      <c r="E108" s="24">
        <v>0</v>
      </c>
      <c r="F108" s="24" t="s">
        <v>129</v>
      </c>
    </row>
    <row r="109" spans="1:6" x14ac:dyDescent="0.3">
      <c r="A109" s="24" t="s">
        <v>34</v>
      </c>
      <c r="B109" s="24" t="s">
        <v>24</v>
      </c>
      <c r="C109" s="24" t="s">
        <v>111</v>
      </c>
      <c r="D109" s="24" t="s">
        <v>486</v>
      </c>
      <c r="E109" s="24">
        <v>0</v>
      </c>
      <c r="F109" s="24" t="s">
        <v>129</v>
      </c>
    </row>
    <row r="110" spans="1:6" x14ac:dyDescent="0.3">
      <c r="A110" s="24" t="s">
        <v>36</v>
      </c>
      <c r="B110" s="24" t="s">
        <v>24</v>
      </c>
      <c r="C110" s="24" t="s">
        <v>77</v>
      </c>
      <c r="D110" s="24" t="s">
        <v>485</v>
      </c>
      <c r="E110" s="24">
        <v>0</v>
      </c>
      <c r="F110" s="24" t="s">
        <v>126</v>
      </c>
    </row>
    <row r="111" spans="1:6" x14ac:dyDescent="0.3">
      <c r="A111" s="24" t="s">
        <v>36</v>
      </c>
      <c r="B111" s="24" t="s">
        <v>24</v>
      </c>
      <c r="C111" s="24" t="s">
        <v>79</v>
      </c>
      <c r="D111" s="24" t="s">
        <v>485</v>
      </c>
      <c r="E111" s="24">
        <v>0</v>
      </c>
      <c r="F111" s="24" t="s">
        <v>129</v>
      </c>
    </row>
    <row r="112" spans="1:6" x14ac:dyDescent="0.3">
      <c r="A112" s="24" t="s">
        <v>36</v>
      </c>
      <c r="B112" s="24" t="s">
        <v>24</v>
      </c>
      <c r="C112" s="24" t="s">
        <v>81</v>
      </c>
      <c r="D112" s="24" t="s">
        <v>486</v>
      </c>
      <c r="E112" s="24">
        <v>1</v>
      </c>
      <c r="F112" s="24" t="s">
        <v>129</v>
      </c>
    </row>
    <row r="113" spans="1:6" x14ac:dyDescent="0.3">
      <c r="A113" s="24" t="s">
        <v>36</v>
      </c>
      <c r="B113" s="24" t="s">
        <v>24</v>
      </c>
      <c r="C113" s="24" t="s">
        <v>83</v>
      </c>
      <c r="D113" s="24" t="s">
        <v>485</v>
      </c>
      <c r="E113" s="24">
        <v>0</v>
      </c>
      <c r="F113" s="24" t="s">
        <v>129</v>
      </c>
    </row>
    <row r="114" spans="1:6" x14ac:dyDescent="0.3">
      <c r="A114" s="24" t="s">
        <v>36</v>
      </c>
      <c r="B114" s="24" t="s">
        <v>24</v>
      </c>
      <c r="C114" s="24" t="s">
        <v>85</v>
      </c>
      <c r="D114" s="24" t="s">
        <v>486</v>
      </c>
      <c r="E114" s="24">
        <v>0</v>
      </c>
      <c r="F114" s="24" t="s">
        <v>129</v>
      </c>
    </row>
    <row r="115" spans="1:6" x14ac:dyDescent="0.3">
      <c r="A115" s="24" t="s">
        <v>36</v>
      </c>
      <c r="B115" s="24" t="s">
        <v>24</v>
      </c>
      <c r="C115" s="24" t="s">
        <v>87</v>
      </c>
      <c r="D115" s="24" t="s">
        <v>485</v>
      </c>
      <c r="E115" s="24">
        <v>0</v>
      </c>
      <c r="F115" s="24" t="s">
        <v>129</v>
      </c>
    </row>
    <row r="116" spans="1:6" x14ac:dyDescent="0.3">
      <c r="A116" s="24" t="s">
        <v>36</v>
      </c>
      <c r="B116" s="24" t="s">
        <v>24</v>
      </c>
      <c r="C116" s="24" t="s">
        <v>89</v>
      </c>
      <c r="D116" s="24" t="s">
        <v>486</v>
      </c>
      <c r="E116" s="24">
        <v>0</v>
      </c>
      <c r="F116" s="24" t="s">
        <v>129</v>
      </c>
    </row>
    <row r="117" spans="1:6" x14ac:dyDescent="0.3">
      <c r="A117" s="24" t="s">
        <v>36</v>
      </c>
      <c r="B117" s="24" t="s">
        <v>24</v>
      </c>
      <c r="C117" s="24" t="s">
        <v>91</v>
      </c>
      <c r="D117" s="24" t="s">
        <v>486</v>
      </c>
      <c r="E117" s="24">
        <v>0</v>
      </c>
      <c r="F117" s="24" t="s">
        <v>129</v>
      </c>
    </row>
    <row r="118" spans="1:6" x14ac:dyDescent="0.3">
      <c r="A118" s="24" t="s">
        <v>36</v>
      </c>
      <c r="B118" s="24" t="s">
        <v>24</v>
      </c>
      <c r="C118" s="24" t="s">
        <v>93</v>
      </c>
      <c r="D118" s="24" t="s">
        <v>486</v>
      </c>
      <c r="E118" s="24">
        <v>0</v>
      </c>
      <c r="F118" s="24" t="s">
        <v>129</v>
      </c>
    </row>
    <row r="119" spans="1:6" x14ac:dyDescent="0.3">
      <c r="A119" s="24" t="s">
        <v>36</v>
      </c>
      <c r="B119" s="24" t="s">
        <v>24</v>
      </c>
      <c r="C119" s="24" t="s">
        <v>95</v>
      </c>
      <c r="D119" s="24" t="s">
        <v>486</v>
      </c>
      <c r="E119" s="24">
        <v>0</v>
      </c>
      <c r="F119" s="24" t="s">
        <v>129</v>
      </c>
    </row>
    <row r="120" spans="1:6" x14ac:dyDescent="0.3">
      <c r="A120" s="24" t="s">
        <v>36</v>
      </c>
      <c r="B120" s="24" t="s">
        <v>24</v>
      </c>
      <c r="C120" s="24" t="s">
        <v>97</v>
      </c>
      <c r="D120" s="24" t="s">
        <v>485</v>
      </c>
      <c r="E120" s="24">
        <v>0</v>
      </c>
      <c r="F120" s="24" t="s">
        <v>129</v>
      </c>
    </row>
    <row r="121" spans="1:6" x14ac:dyDescent="0.3">
      <c r="A121" s="24" t="s">
        <v>36</v>
      </c>
      <c r="B121" s="24" t="s">
        <v>24</v>
      </c>
      <c r="C121" s="24" t="s">
        <v>99</v>
      </c>
      <c r="D121" s="24" t="s">
        <v>486</v>
      </c>
      <c r="E121" s="24">
        <v>0</v>
      </c>
      <c r="F121" s="24" t="s">
        <v>129</v>
      </c>
    </row>
    <row r="122" spans="1:6" x14ac:dyDescent="0.3">
      <c r="A122" s="24" t="s">
        <v>36</v>
      </c>
      <c r="B122" s="24" t="s">
        <v>24</v>
      </c>
      <c r="C122" s="24" t="s">
        <v>101</v>
      </c>
      <c r="D122" s="24" t="s">
        <v>487</v>
      </c>
      <c r="E122" s="24">
        <v>0</v>
      </c>
      <c r="F122" s="24" t="s">
        <v>129</v>
      </c>
    </row>
    <row r="123" spans="1:6" x14ac:dyDescent="0.3">
      <c r="A123" s="24" t="s">
        <v>36</v>
      </c>
      <c r="B123" s="24" t="s">
        <v>24</v>
      </c>
      <c r="C123" s="24" t="s">
        <v>103</v>
      </c>
      <c r="D123" s="24" t="s">
        <v>486</v>
      </c>
      <c r="E123" s="24">
        <v>0</v>
      </c>
      <c r="F123" s="24" t="s">
        <v>129</v>
      </c>
    </row>
    <row r="124" spans="1:6" x14ac:dyDescent="0.3">
      <c r="A124" s="24" t="s">
        <v>36</v>
      </c>
      <c r="B124" s="24" t="s">
        <v>24</v>
      </c>
      <c r="C124" s="24" t="s">
        <v>105</v>
      </c>
      <c r="D124" s="24" t="s">
        <v>486</v>
      </c>
      <c r="E124" s="24">
        <v>0</v>
      </c>
      <c r="F124" s="24" t="s">
        <v>129</v>
      </c>
    </row>
    <row r="125" spans="1:6" x14ac:dyDescent="0.3">
      <c r="A125" s="24" t="s">
        <v>36</v>
      </c>
      <c r="B125" s="24" t="s">
        <v>24</v>
      </c>
      <c r="C125" s="24" t="s">
        <v>107</v>
      </c>
      <c r="D125" s="24" t="s">
        <v>485</v>
      </c>
      <c r="E125" s="24">
        <v>0</v>
      </c>
      <c r="F125" s="24" t="s">
        <v>129</v>
      </c>
    </row>
    <row r="126" spans="1:6" x14ac:dyDescent="0.3">
      <c r="A126" s="24" t="s">
        <v>36</v>
      </c>
      <c r="B126" s="24" t="s">
        <v>24</v>
      </c>
      <c r="C126" s="24" t="s">
        <v>109</v>
      </c>
      <c r="D126" s="24" t="s">
        <v>485</v>
      </c>
      <c r="E126" s="24">
        <v>1</v>
      </c>
      <c r="F126" s="24" t="s">
        <v>129</v>
      </c>
    </row>
    <row r="127" spans="1:6" x14ac:dyDescent="0.3">
      <c r="A127" s="24" t="s">
        <v>36</v>
      </c>
      <c r="B127" s="24" t="s">
        <v>24</v>
      </c>
      <c r="C127" s="24" t="s">
        <v>111</v>
      </c>
      <c r="D127" s="24" t="s">
        <v>486</v>
      </c>
      <c r="E127" s="24">
        <v>0</v>
      </c>
      <c r="F127" s="24" t="s">
        <v>129</v>
      </c>
    </row>
    <row r="128" spans="1:6" x14ac:dyDescent="0.3">
      <c r="A128" s="24" t="s">
        <v>38</v>
      </c>
      <c r="B128" s="24" t="s">
        <v>24</v>
      </c>
      <c r="C128" s="24" t="s">
        <v>77</v>
      </c>
      <c r="D128" s="24" t="s">
        <v>485</v>
      </c>
      <c r="E128" s="24">
        <v>0</v>
      </c>
      <c r="F128" s="24" t="s">
        <v>126</v>
      </c>
    </row>
    <row r="129" spans="1:6" x14ac:dyDescent="0.3">
      <c r="A129" s="24" t="s">
        <v>38</v>
      </c>
      <c r="B129" s="24" t="s">
        <v>24</v>
      </c>
      <c r="C129" s="24" t="s">
        <v>79</v>
      </c>
      <c r="D129" s="24" t="s">
        <v>485</v>
      </c>
      <c r="E129" s="24">
        <v>0</v>
      </c>
      <c r="F129" s="24" t="s">
        <v>129</v>
      </c>
    </row>
    <row r="130" spans="1:6" x14ac:dyDescent="0.3">
      <c r="A130" s="24" t="s">
        <v>38</v>
      </c>
      <c r="B130" s="24" t="s">
        <v>24</v>
      </c>
      <c r="C130" s="24" t="s">
        <v>81</v>
      </c>
      <c r="D130" s="24" t="s">
        <v>486</v>
      </c>
      <c r="E130" s="24">
        <v>1</v>
      </c>
      <c r="F130" s="24" t="s">
        <v>129</v>
      </c>
    </row>
    <row r="131" spans="1:6" x14ac:dyDescent="0.3">
      <c r="A131" s="24" t="s">
        <v>38</v>
      </c>
      <c r="B131" s="24" t="s">
        <v>24</v>
      </c>
      <c r="C131" s="24" t="s">
        <v>83</v>
      </c>
      <c r="D131" s="24" t="s">
        <v>485</v>
      </c>
      <c r="E131" s="24">
        <v>0</v>
      </c>
      <c r="F131" s="24" t="s">
        <v>126</v>
      </c>
    </row>
    <row r="132" spans="1:6" x14ac:dyDescent="0.3">
      <c r="A132" s="24" t="s">
        <v>38</v>
      </c>
      <c r="B132" s="24" t="s">
        <v>24</v>
      </c>
      <c r="C132" s="24" t="s">
        <v>85</v>
      </c>
      <c r="D132" s="24" t="s">
        <v>486</v>
      </c>
      <c r="E132" s="24">
        <v>0</v>
      </c>
      <c r="F132" s="24" t="s">
        <v>129</v>
      </c>
    </row>
    <row r="133" spans="1:6" x14ac:dyDescent="0.3">
      <c r="A133" s="24" t="s">
        <v>38</v>
      </c>
      <c r="B133" s="24" t="s">
        <v>24</v>
      </c>
      <c r="C133" s="24" t="s">
        <v>87</v>
      </c>
      <c r="D133" s="24" t="s">
        <v>485</v>
      </c>
      <c r="E133" s="24">
        <v>0</v>
      </c>
      <c r="F133" s="24" t="s">
        <v>129</v>
      </c>
    </row>
    <row r="134" spans="1:6" x14ac:dyDescent="0.3">
      <c r="A134" s="24" t="s">
        <v>38</v>
      </c>
      <c r="B134" s="24" t="s">
        <v>24</v>
      </c>
      <c r="C134" s="24" t="s">
        <v>89</v>
      </c>
      <c r="D134" s="24" t="s">
        <v>486</v>
      </c>
      <c r="E134" s="24">
        <v>0</v>
      </c>
      <c r="F134" s="24" t="s">
        <v>129</v>
      </c>
    </row>
    <row r="135" spans="1:6" x14ac:dyDescent="0.3">
      <c r="A135" s="24" t="s">
        <v>38</v>
      </c>
      <c r="B135" s="24" t="s">
        <v>24</v>
      </c>
      <c r="C135" s="24" t="s">
        <v>91</v>
      </c>
      <c r="D135" s="24" t="s">
        <v>486</v>
      </c>
      <c r="E135" s="24">
        <v>0</v>
      </c>
      <c r="F135" s="24" t="s">
        <v>129</v>
      </c>
    </row>
    <row r="136" spans="1:6" x14ac:dyDescent="0.3">
      <c r="A136" s="24" t="s">
        <v>38</v>
      </c>
      <c r="B136" s="24" t="s">
        <v>24</v>
      </c>
      <c r="C136" s="24" t="s">
        <v>93</v>
      </c>
      <c r="D136" s="24" t="s">
        <v>486</v>
      </c>
      <c r="E136" s="24">
        <v>0</v>
      </c>
      <c r="F136" s="24" t="s">
        <v>129</v>
      </c>
    </row>
    <row r="137" spans="1:6" x14ac:dyDescent="0.3">
      <c r="A137" s="24" t="s">
        <v>38</v>
      </c>
      <c r="B137" s="24" t="s">
        <v>24</v>
      </c>
      <c r="C137" s="24" t="s">
        <v>95</v>
      </c>
      <c r="D137" s="24" t="s">
        <v>486</v>
      </c>
      <c r="E137" s="24">
        <v>0</v>
      </c>
      <c r="F137" s="24" t="s">
        <v>129</v>
      </c>
    </row>
    <row r="138" spans="1:6" x14ac:dyDescent="0.3">
      <c r="A138" s="24" t="s">
        <v>38</v>
      </c>
      <c r="B138" s="24" t="s">
        <v>24</v>
      </c>
      <c r="C138" s="24" t="s">
        <v>97</v>
      </c>
      <c r="D138" s="24" t="s">
        <v>485</v>
      </c>
      <c r="E138" s="24">
        <v>0</v>
      </c>
      <c r="F138" s="24" t="s">
        <v>129</v>
      </c>
    </row>
    <row r="139" spans="1:6" x14ac:dyDescent="0.3">
      <c r="A139" s="24" t="s">
        <v>38</v>
      </c>
      <c r="B139" s="24" t="s">
        <v>24</v>
      </c>
      <c r="C139" s="24" t="s">
        <v>99</v>
      </c>
      <c r="D139" s="24" t="s">
        <v>486</v>
      </c>
      <c r="E139" s="24">
        <v>0</v>
      </c>
      <c r="F139" s="24" t="s">
        <v>129</v>
      </c>
    </row>
    <row r="140" spans="1:6" x14ac:dyDescent="0.3">
      <c r="A140" s="24" t="s">
        <v>38</v>
      </c>
      <c r="B140" s="24" t="s">
        <v>24</v>
      </c>
      <c r="C140" s="24" t="s">
        <v>101</v>
      </c>
      <c r="D140" s="24" t="s">
        <v>487</v>
      </c>
      <c r="E140" s="24">
        <v>0</v>
      </c>
      <c r="F140" s="24" t="s">
        <v>129</v>
      </c>
    </row>
    <row r="141" spans="1:6" x14ac:dyDescent="0.3">
      <c r="A141" s="24" t="s">
        <v>38</v>
      </c>
      <c r="B141" s="24" t="s">
        <v>24</v>
      </c>
      <c r="C141" s="24" t="s">
        <v>103</v>
      </c>
      <c r="D141" s="24" t="s">
        <v>486</v>
      </c>
      <c r="E141" s="24">
        <v>0</v>
      </c>
      <c r="F141" s="24" t="s">
        <v>129</v>
      </c>
    </row>
    <row r="142" spans="1:6" x14ac:dyDescent="0.3">
      <c r="A142" s="24" t="s">
        <v>38</v>
      </c>
      <c r="B142" s="24" t="s">
        <v>24</v>
      </c>
      <c r="C142" s="24" t="s">
        <v>105</v>
      </c>
      <c r="D142" s="24" t="s">
        <v>486</v>
      </c>
      <c r="E142" s="24">
        <v>0</v>
      </c>
      <c r="F142" s="24" t="s">
        <v>129</v>
      </c>
    </row>
    <row r="143" spans="1:6" x14ac:dyDescent="0.3">
      <c r="A143" s="24" t="s">
        <v>38</v>
      </c>
      <c r="B143" s="24" t="s">
        <v>24</v>
      </c>
      <c r="C143" s="24" t="s">
        <v>107</v>
      </c>
      <c r="D143" s="24" t="s">
        <v>485</v>
      </c>
      <c r="E143" s="24">
        <v>0</v>
      </c>
      <c r="F143" s="24" t="s">
        <v>129</v>
      </c>
    </row>
    <row r="144" spans="1:6" x14ac:dyDescent="0.3">
      <c r="A144" s="24" t="s">
        <v>38</v>
      </c>
      <c r="B144" s="24" t="s">
        <v>24</v>
      </c>
      <c r="C144" s="24" t="s">
        <v>109</v>
      </c>
      <c r="D144" s="24" t="s">
        <v>485</v>
      </c>
      <c r="E144" s="24">
        <v>1</v>
      </c>
      <c r="F144" s="24" t="s">
        <v>129</v>
      </c>
    </row>
    <row r="145" spans="1:6" x14ac:dyDescent="0.3">
      <c r="A145" s="24" t="s">
        <v>38</v>
      </c>
      <c r="B145" s="24" t="s">
        <v>24</v>
      </c>
      <c r="C145" s="24" t="s">
        <v>111</v>
      </c>
      <c r="D145" s="24" t="s">
        <v>486</v>
      </c>
      <c r="E145" s="24">
        <v>0</v>
      </c>
      <c r="F145" s="24" t="s">
        <v>129</v>
      </c>
    </row>
    <row r="146" spans="1:6" x14ac:dyDescent="0.3">
      <c r="A146" s="24" t="s">
        <v>40</v>
      </c>
      <c r="B146" s="24" t="s">
        <v>24</v>
      </c>
      <c r="C146" s="24" t="s">
        <v>77</v>
      </c>
      <c r="D146" s="24" t="s">
        <v>485</v>
      </c>
      <c r="E146" s="24">
        <v>1</v>
      </c>
      <c r="F146" s="24" t="s">
        <v>129</v>
      </c>
    </row>
    <row r="147" spans="1:6" x14ac:dyDescent="0.3">
      <c r="A147" s="24" t="s">
        <v>40</v>
      </c>
      <c r="B147" s="24" t="s">
        <v>24</v>
      </c>
      <c r="C147" s="24" t="s">
        <v>79</v>
      </c>
      <c r="D147" s="24" t="s">
        <v>485</v>
      </c>
      <c r="E147" s="24">
        <v>0</v>
      </c>
      <c r="F147" s="24" t="s">
        <v>129</v>
      </c>
    </row>
    <row r="148" spans="1:6" x14ac:dyDescent="0.3">
      <c r="A148" s="24" t="s">
        <v>40</v>
      </c>
      <c r="B148" s="24" t="s">
        <v>24</v>
      </c>
      <c r="C148" s="24" t="s">
        <v>81</v>
      </c>
      <c r="D148" s="24" t="s">
        <v>486</v>
      </c>
      <c r="E148" s="24">
        <v>1</v>
      </c>
      <c r="F148" s="24" t="s">
        <v>129</v>
      </c>
    </row>
    <row r="149" spans="1:6" x14ac:dyDescent="0.3">
      <c r="A149" s="24" t="s">
        <v>40</v>
      </c>
      <c r="B149" s="24" t="s">
        <v>24</v>
      </c>
      <c r="C149" s="24" t="s">
        <v>83</v>
      </c>
      <c r="D149" s="24" t="s">
        <v>485</v>
      </c>
      <c r="E149" s="24">
        <v>1</v>
      </c>
      <c r="F149" s="24" t="s">
        <v>128</v>
      </c>
    </row>
    <row r="150" spans="1:6" x14ac:dyDescent="0.3">
      <c r="A150" s="24" t="s">
        <v>40</v>
      </c>
      <c r="B150" s="24" t="s">
        <v>24</v>
      </c>
      <c r="C150" s="24" t="s">
        <v>85</v>
      </c>
      <c r="D150" s="24" t="s">
        <v>486</v>
      </c>
      <c r="E150" s="24">
        <v>0</v>
      </c>
      <c r="F150" s="24" t="s">
        <v>129</v>
      </c>
    </row>
    <row r="151" spans="1:6" x14ac:dyDescent="0.3">
      <c r="A151" s="24" t="s">
        <v>40</v>
      </c>
      <c r="B151" s="24" t="s">
        <v>24</v>
      </c>
      <c r="C151" s="24" t="s">
        <v>87</v>
      </c>
      <c r="D151" s="24" t="s">
        <v>485</v>
      </c>
      <c r="E151" s="24">
        <v>0</v>
      </c>
      <c r="F151" s="24" t="s">
        <v>127</v>
      </c>
    </row>
    <row r="152" spans="1:6" x14ac:dyDescent="0.3">
      <c r="A152" s="24" t="s">
        <v>40</v>
      </c>
      <c r="B152" s="24" t="s">
        <v>24</v>
      </c>
      <c r="C152" s="24" t="s">
        <v>89</v>
      </c>
      <c r="D152" s="24" t="s">
        <v>486</v>
      </c>
      <c r="E152" s="24">
        <v>0</v>
      </c>
      <c r="F152" s="24" t="s">
        <v>129</v>
      </c>
    </row>
    <row r="153" spans="1:6" x14ac:dyDescent="0.3">
      <c r="A153" s="24" t="s">
        <v>40</v>
      </c>
      <c r="B153" s="24" t="s">
        <v>24</v>
      </c>
      <c r="C153" s="24" t="s">
        <v>91</v>
      </c>
      <c r="D153" s="24" t="s">
        <v>486</v>
      </c>
      <c r="E153" s="24">
        <v>0</v>
      </c>
      <c r="F153" s="24" t="s">
        <v>129</v>
      </c>
    </row>
    <row r="154" spans="1:6" x14ac:dyDescent="0.3">
      <c r="A154" s="24" t="s">
        <v>40</v>
      </c>
      <c r="B154" s="24" t="s">
        <v>24</v>
      </c>
      <c r="C154" s="24" t="s">
        <v>93</v>
      </c>
      <c r="D154" s="24" t="s">
        <v>486</v>
      </c>
      <c r="E154" s="24">
        <v>0</v>
      </c>
      <c r="F154" s="24" t="s">
        <v>129</v>
      </c>
    </row>
    <row r="155" spans="1:6" x14ac:dyDescent="0.3">
      <c r="A155" s="24" t="s">
        <v>40</v>
      </c>
      <c r="B155" s="24" t="s">
        <v>24</v>
      </c>
      <c r="C155" s="24" t="s">
        <v>95</v>
      </c>
      <c r="D155" s="24" t="s">
        <v>486</v>
      </c>
      <c r="E155" s="24">
        <v>0</v>
      </c>
      <c r="F155" s="24" t="s">
        <v>129</v>
      </c>
    </row>
    <row r="156" spans="1:6" x14ac:dyDescent="0.3">
      <c r="A156" s="24" t="s">
        <v>40</v>
      </c>
      <c r="B156" s="24" t="s">
        <v>24</v>
      </c>
      <c r="C156" s="24" t="s">
        <v>97</v>
      </c>
      <c r="D156" s="24" t="s">
        <v>485</v>
      </c>
      <c r="E156" s="24">
        <v>0</v>
      </c>
      <c r="F156" s="24" t="s">
        <v>129</v>
      </c>
    </row>
    <row r="157" spans="1:6" x14ac:dyDescent="0.3">
      <c r="A157" s="24" t="s">
        <v>40</v>
      </c>
      <c r="B157" s="24" t="s">
        <v>24</v>
      </c>
      <c r="C157" s="24" t="s">
        <v>99</v>
      </c>
      <c r="D157" s="24" t="s">
        <v>486</v>
      </c>
      <c r="E157" s="24">
        <v>0</v>
      </c>
      <c r="F157" s="24" t="s">
        <v>129</v>
      </c>
    </row>
    <row r="158" spans="1:6" x14ac:dyDescent="0.3">
      <c r="A158" s="24" t="s">
        <v>40</v>
      </c>
      <c r="B158" s="24" t="s">
        <v>24</v>
      </c>
      <c r="C158" s="24" t="s">
        <v>101</v>
      </c>
      <c r="D158" s="24" t="s">
        <v>487</v>
      </c>
      <c r="E158" s="24">
        <v>0</v>
      </c>
      <c r="F158" s="24" t="s">
        <v>129</v>
      </c>
    </row>
    <row r="159" spans="1:6" x14ac:dyDescent="0.3">
      <c r="A159" s="24" t="s">
        <v>40</v>
      </c>
      <c r="B159" s="24" t="s">
        <v>24</v>
      </c>
      <c r="C159" s="24" t="s">
        <v>103</v>
      </c>
      <c r="D159" s="24" t="s">
        <v>486</v>
      </c>
      <c r="E159" s="24">
        <v>0</v>
      </c>
      <c r="F159" s="24" t="s">
        <v>129</v>
      </c>
    </row>
    <row r="160" spans="1:6" x14ac:dyDescent="0.3">
      <c r="A160" s="24" t="s">
        <v>40</v>
      </c>
      <c r="B160" s="24" t="s">
        <v>24</v>
      </c>
      <c r="C160" s="24" t="s">
        <v>105</v>
      </c>
      <c r="D160" s="24" t="s">
        <v>486</v>
      </c>
      <c r="E160" s="24">
        <v>0</v>
      </c>
      <c r="F160" s="24" t="s">
        <v>129</v>
      </c>
    </row>
    <row r="161" spans="1:6" x14ac:dyDescent="0.3">
      <c r="A161" s="24" t="s">
        <v>40</v>
      </c>
      <c r="B161" s="24" t="s">
        <v>24</v>
      </c>
      <c r="C161" s="24" t="s">
        <v>107</v>
      </c>
      <c r="D161" s="24" t="s">
        <v>485</v>
      </c>
      <c r="E161" s="24">
        <v>0</v>
      </c>
      <c r="F161" s="24" t="s">
        <v>129</v>
      </c>
    </row>
    <row r="162" spans="1:6" x14ac:dyDescent="0.3">
      <c r="A162" s="24" t="s">
        <v>40</v>
      </c>
      <c r="B162" s="24" t="s">
        <v>24</v>
      </c>
      <c r="C162" s="24" t="s">
        <v>109</v>
      </c>
      <c r="D162" s="24" t="s">
        <v>485</v>
      </c>
      <c r="E162" s="24">
        <v>1</v>
      </c>
      <c r="F162" s="24" t="s">
        <v>129</v>
      </c>
    </row>
    <row r="163" spans="1:6" x14ac:dyDescent="0.3">
      <c r="A163" s="24" t="s">
        <v>40</v>
      </c>
      <c r="B163" s="24" t="s">
        <v>24</v>
      </c>
      <c r="C163" s="24" t="s">
        <v>111</v>
      </c>
      <c r="D163" s="24" t="s">
        <v>486</v>
      </c>
      <c r="E163" s="24">
        <v>0</v>
      </c>
      <c r="F163" s="24" t="s">
        <v>129</v>
      </c>
    </row>
    <row r="164" spans="1:6" x14ac:dyDescent="0.3">
      <c r="A164" s="24" t="s">
        <v>43</v>
      </c>
      <c r="B164" s="24" t="s">
        <v>24</v>
      </c>
      <c r="C164" s="24" t="s">
        <v>77</v>
      </c>
      <c r="D164" s="24" t="s">
        <v>485</v>
      </c>
      <c r="E164" s="24">
        <v>0</v>
      </c>
      <c r="F164" s="24" t="s">
        <v>126</v>
      </c>
    </row>
    <row r="165" spans="1:6" x14ac:dyDescent="0.3">
      <c r="A165" s="24" t="s">
        <v>43</v>
      </c>
      <c r="B165" s="24" t="s">
        <v>24</v>
      </c>
      <c r="C165" s="24" t="s">
        <v>79</v>
      </c>
      <c r="D165" s="24" t="s">
        <v>485</v>
      </c>
      <c r="E165" s="24">
        <v>0</v>
      </c>
      <c r="F165" s="24" t="s">
        <v>129</v>
      </c>
    </row>
    <row r="166" spans="1:6" x14ac:dyDescent="0.3">
      <c r="A166" s="24" t="s">
        <v>43</v>
      </c>
      <c r="B166" s="24" t="s">
        <v>24</v>
      </c>
      <c r="C166" s="24" t="s">
        <v>81</v>
      </c>
      <c r="D166" s="24" t="s">
        <v>486</v>
      </c>
      <c r="E166" s="24">
        <v>1</v>
      </c>
      <c r="F166" s="24" t="s">
        <v>129</v>
      </c>
    </row>
    <row r="167" spans="1:6" x14ac:dyDescent="0.3">
      <c r="A167" s="24" t="s">
        <v>43</v>
      </c>
      <c r="B167" s="24" t="s">
        <v>24</v>
      </c>
      <c r="C167" s="24" t="s">
        <v>83</v>
      </c>
      <c r="D167" s="24" t="s">
        <v>485</v>
      </c>
      <c r="E167" s="24">
        <v>1</v>
      </c>
      <c r="F167" s="24" t="s">
        <v>128</v>
      </c>
    </row>
    <row r="168" spans="1:6" x14ac:dyDescent="0.3">
      <c r="A168" s="24" t="s">
        <v>43</v>
      </c>
      <c r="B168" s="24" t="s">
        <v>24</v>
      </c>
      <c r="C168" s="24" t="s">
        <v>85</v>
      </c>
      <c r="D168" s="24" t="s">
        <v>486</v>
      </c>
      <c r="E168" s="24">
        <v>0</v>
      </c>
      <c r="F168" s="24" t="s">
        <v>129</v>
      </c>
    </row>
    <row r="169" spans="1:6" x14ac:dyDescent="0.3">
      <c r="A169" s="24" t="s">
        <v>43</v>
      </c>
      <c r="B169" s="24" t="s">
        <v>24</v>
      </c>
      <c r="C169" s="24" t="s">
        <v>87</v>
      </c>
      <c r="D169" s="24" t="s">
        <v>485</v>
      </c>
      <c r="E169" s="24">
        <v>0</v>
      </c>
      <c r="F169" s="24" t="s">
        <v>129</v>
      </c>
    </row>
    <row r="170" spans="1:6" x14ac:dyDescent="0.3">
      <c r="A170" s="24" t="s">
        <v>43</v>
      </c>
      <c r="B170" s="24" t="s">
        <v>24</v>
      </c>
      <c r="C170" s="24" t="s">
        <v>89</v>
      </c>
      <c r="D170" s="24" t="s">
        <v>486</v>
      </c>
      <c r="E170" s="24">
        <v>0</v>
      </c>
      <c r="F170" s="24" t="s">
        <v>129</v>
      </c>
    </row>
    <row r="171" spans="1:6" x14ac:dyDescent="0.3">
      <c r="A171" s="24" t="s">
        <v>43</v>
      </c>
      <c r="B171" s="24" t="s">
        <v>24</v>
      </c>
      <c r="C171" s="24" t="s">
        <v>91</v>
      </c>
      <c r="D171" s="24" t="s">
        <v>486</v>
      </c>
      <c r="E171" s="24">
        <v>0</v>
      </c>
      <c r="F171" s="24" t="s">
        <v>129</v>
      </c>
    </row>
    <row r="172" spans="1:6" x14ac:dyDescent="0.3">
      <c r="A172" s="24" t="s">
        <v>43</v>
      </c>
      <c r="B172" s="24" t="s">
        <v>24</v>
      </c>
      <c r="C172" s="24" t="s">
        <v>93</v>
      </c>
      <c r="D172" s="24" t="s">
        <v>486</v>
      </c>
      <c r="E172" s="24">
        <v>0</v>
      </c>
      <c r="F172" s="24" t="s">
        <v>129</v>
      </c>
    </row>
    <row r="173" spans="1:6" x14ac:dyDescent="0.3">
      <c r="A173" s="24" t="s">
        <v>43</v>
      </c>
      <c r="B173" s="24" t="s">
        <v>24</v>
      </c>
      <c r="C173" s="24" t="s">
        <v>95</v>
      </c>
      <c r="D173" s="24" t="s">
        <v>486</v>
      </c>
      <c r="E173" s="24">
        <v>0</v>
      </c>
      <c r="F173" s="24" t="s">
        <v>129</v>
      </c>
    </row>
    <row r="174" spans="1:6" x14ac:dyDescent="0.3">
      <c r="A174" s="24" t="s">
        <v>43</v>
      </c>
      <c r="B174" s="24" t="s">
        <v>24</v>
      </c>
      <c r="C174" s="24" t="s">
        <v>97</v>
      </c>
      <c r="D174" s="24" t="s">
        <v>485</v>
      </c>
      <c r="E174" s="24">
        <v>0</v>
      </c>
      <c r="F174" s="24" t="s">
        <v>127</v>
      </c>
    </row>
    <row r="175" spans="1:6" x14ac:dyDescent="0.3">
      <c r="A175" s="24" t="s">
        <v>43</v>
      </c>
      <c r="B175" s="24" t="s">
        <v>24</v>
      </c>
      <c r="C175" s="24" t="s">
        <v>99</v>
      </c>
      <c r="D175" s="24" t="s">
        <v>486</v>
      </c>
      <c r="E175" s="24">
        <v>1</v>
      </c>
      <c r="F175" s="24" t="s">
        <v>128</v>
      </c>
    </row>
    <row r="176" spans="1:6" x14ac:dyDescent="0.3">
      <c r="A176" s="24" t="s">
        <v>43</v>
      </c>
      <c r="B176" s="24" t="s">
        <v>24</v>
      </c>
      <c r="C176" s="24" t="s">
        <v>101</v>
      </c>
      <c r="D176" s="24" t="s">
        <v>487</v>
      </c>
      <c r="E176" s="24">
        <v>1</v>
      </c>
      <c r="F176" s="24" t="s">
        <v>128</v>
      </c>
    </row>
    <row r="177" spans="1:6" x14ac:dyDescent="0.3">
      <c r="A177" s="24" t="s">
        <v>43</v>
      </c>
      <c r="B177" s="24" t="s">
        <v>24</v>
      </c>
      <c r="C177" s="24" t="s">
        <v>103</v>
      </c>
      <c r="D177" s="24" t="s">
        <v>486</v>
      </c>
      <c r="E177" s="24">
        <v>0</v>
      </c>
      <c r="F177" s="24" t="s">
        <v>129</v>
      </c>
    </row>
    <row r="178" spans="1:6" x14ac:dyDescent="0.3">
      <c r="A178" s="24" t="s">
        <v>43</v>
      </c>
      <c r="B178" s="24" t="s">
        <v>24</v>
      </c>
      <c r="C178" s="24" t="s">
        <v>105</v>
      </c>
      <c r="D178" s="24" t="s">
        <v>486</v>
      </c>
      <c r="E178" s="24">
        <v>0</v>
      </c>
      <c r="F178" s="24" t="s">
        <v>129</v>
      </c>
    </row>
    <row r="179" spans="1:6" x14ac:dyDescent="0.3">
      <c r="A179" s="24" t="s">
        <v>43</v>
      </c>
      <c r="B179" s="24" t="s">
        <v>24</v>
      </c>
      <c r="C179" s="24" t="s">
        <v>107</v>
      </c>
      <c r="D179" s="24" t="s">
        <v>485</v>
      </c>
      <c r="E179" s="24">
        <v>0</v>
      </c>
      <c r="F179" s="24" t="s">
        <v>128</v>
      </c>
    </row>
    <row r="180" spans="1:6" x14ac:dyDescent="0.3">
      <c r="A180" s="24" t="s">
        <v>43</v>
      </c>
      <c r="B180" s="24" t="s">
        <v>24</v>
      </c>
      <c r="C180" s="24" t="s">
        <v>109</v>
      </c>
      <c r="D180" s="24" t="s">
        <v>485</v>
      </c>
      <c r="E180" s="24">
        <v>1</v>
      </c>
      <c r="F180" s="24" t="s">
        <v>129</v>
      </c>
    </row>
    <row r="181" spans="1:6" x14ac:dyDescent="0.3">
      <c r="A181" s="24" t="s">
        <v>43</v>
      </c>
      <c r="B181" s="24" t="s">
        <v>24</v>
      </c>
      <c r="C181" s="24" t="s">
        <v>111</v>
      </c>
      <c r="D181" s="24" t="s">
        <v>486</v>
      </c>
      <c r="E181" s="24">
        <v>1</v>
      </c>
      <c r="F181" s="24" t="s">
        <v>127</v>
      </c>
    </row>
    <row r="182" spans="1:6" x14ac:dyDescent="0.3">
      <c r="A182" s="24" t="s">
        <v>45</v>
      </c>
      <c r="B182" s="24" t="s">
        <v>24</v>
      </c>
      <c r="C182" s="24" t="s">
        <v>77</v>
      </c>
      <c r="D182" s="24" t="s">
        <v>485</v>
      </c>
      <c r="E182" s="24">
        <v>0</v>
      </c>
      <c r="F182" s="24" t="s">
        <v>126</v>
      </c>
    </row>
    <row r="183" spans="1:6" x14ac:dyDescent="0.3">
      <c r="A183" s="24" t="s">
        <v>45</v>
      </c>
      <c r="B183" s="24" t="s">
        <v>24</v>
      </c>
      <c r="C183" s="24" t="s">
        <v>79</v>
      </c>
      <c r="D183" s="24" t="s">
        <v>485</v>
      </c>
      <c r="E183" s="24">
        <v>0</v>
      </c>
      <c r="F183" s="24" t="s">
        <v>126</v>
      </c>
    </row>
    <row r="184" spans="1:6" x14ac:dyDescent="0.3">
      <c r="A184" s="24" t="s">
        <v>45</v>
      </c>
      <c r="B184" s="24" t="s">
        <v>24</v>
      </c>
      <c r="C184" s="24" t="s">
        <v>81</v>
      </c>
      <c r="D184" s="24" t="s">
        <v>486</v>
      </c>
      <c r="E184" s="24">
        <v>1</v>
      </c>
      <c r="F184" s="24" t="s">
        <v>129</v>
      </c>
    </row>
    <row r="185" spans="1:6" x14ac:dyDescent="0.3">
      <c r="A185" s="24" t="s">
        <v>45</v>
      </c>
      <c r="B185" s="24" t="s">
        <v>24</v>
      </c>
      <c r="C185" s="24" t="s">
        <v>83</v>
      </c>
      <c r="D185" s="24" t="s">
        <v>485</v>
      </c>
      <c r="E185" s="24">
        <v>0</v>
      </c>
      <c r="F185" s="24" t="s">
        <v>126</v>
      </c>
    </row>
    <row r="186" spans="1:6" x14ac:dyDescent="0.3">
      <c r="A186" s="24" t="s">
        <v>45</v>
      </c>
      <c r="B186" s="24" t="s">
        <v>24</v>
      </c>
      <c r="C186" s="24" t="s">
        <v>85</v>
      </c>
      <c r="D186" s="24" t="s">
        <v>486</v>
      </c>
      <c r="E186" s="24">
        <v>0</v>
      </c>
      <c r="F186" s="24" t="s">
        <v>129</v>
      </c>
    </row>
    <row r="187" spans="1:6" x14ac:dyDescent="0.3">
      <c r="A187" s="24" t="s">
        <v>45</v>
      </c>
      <c r="B187" s="24" t="s">
        <v>24</v>
      </c>
      <c r="C187" s="24" t="s">
        <v>87</v>
      </c>
      <c r="D187" s="24" t="s">
        <v>485</v>
      </c>
      <c r="E187" s="24">
        <v>0</v>
      </c>
      <c r="F187" s="24" t="s">
        <v>126</v>
      </c>
    </row>
    <row r="188" spans="1:6" x14ac:dyDescent="0.3">
      <c r="A188" s="24" t="s">
        <v>45</v>
      </c>
      <c r="B188" s="24" t="s">
        <v>24</v>
      </c>
      <c r="C188" s="24" t="s">
        <v>89</v>
      </c>
      <c r="D188" s="24" t="s">
        <v>486</v>
      </c>
      <c r="E188" s="24">
        <v>0</v>
      </c>
      <c r="F188" s="24" t="s">
        <v>129</v>
      </c>
    </row>
    <row r="189" spans="1:6" x14ac:dyDescent="0.3">
      <c r="A189" s="24" t="s">
        <v>45</v>
      </c>
      <c r="B189" s="24" t="s">
        <v>24</v>
      </c>
      <c r="C189" s="24" t="s">
        <v>91</v>
      </c>
      <c r="D189" s="24" t="s">
        <v>486</v>
      </c>
      <c r="E189" s="24">
        <v>0</v>
      </c>
      <c r="F189" s="24" t="s">
        <v>129</v>
      </c>
    </row>
    <row r="190" spans="1:6" x14ac:dyDescent="0.3">
      <c r="A190" s="24" t="s">
        <v>45</v>
      </c>
      <c r="B190" s="24" t="s">
        <v>24</v>
      </c>
      <c r="C190" s="24" t="s">
        <v>93</v>
      </c>
      <c r="D190" s="24" t="s">
        <v>486</v>
      </c>
      <c r="E190" s="24">
        <v>0</v>
      </c>
      <c r="F190" s="24" t="s">
        <v>129</v>
      </c>
    </row>
    <row r="191" spans="1:6" x14ac:dyDescent="0.3">
      <c r="A191" s="24" t="s">
        <v>45</v>
      </c>
      <c r="B191" s="24" t="s">
        <v>24</v>
      </c>
      <c r="C191" s="24" t="s">
        <v>95</v>
      </c>
      <c r="D191" s="24" t="s">
        <v>486</v>
      </c>
      <c r="E191" s="24">
        <v>0</v>
      </c>
      <c r="F191" s="24" t="s">
        <v>129</v>
      </c>
    </row>
    <row r="192" spans="1:6" x14ac:dyDescent="0.3">
      <c r="A192" s="24" t="s">
        <v>45</v>
      </c>
      <c r="B192" s="24" t="s">
        <v>24</v>
      </c>
      <c r="C192" s="24" t="s">
        <v>97</v>
      </c>
      <c r="D192" s="24" t="s">
        <v>485</v>
      </c>
      <c r="E192" s="24">
        <v>0</v>
      </c>
      <c r="F192" s="24" t="s">
        <v>129</v>
      </c>
    </row>
    <row r="193" spans="1:6" x14ac:dyDescent="0.3">
      <c r="A193" s="24" t="s">
        <v>45</v>
      </c>
      <c r="B193" s="24" t="s">
        <v>24</v>
      </c>
      <c r="C193" s="24" t="s">
        <v>99</v>
      </c>
      <c r="D193" s="24" t="s">
        <v>486</v>
      </c>
      <c r="E193" s="24">
        <v>0</v>
      </c>
      <c r="F193" s="24" t="s">
        <v>129</v>
      </c>
    </row>
    <row r="194" spans="1:6" x14ac:dyDescent="0.3">
      <c r="A194" s="24" t="s">
        <v>45</v>
      </c>
      <c r="B194" s="24" t="s">
        <v>24</v>
      </c>
      <c r="C194" s="24" t="s">
        <v>101</v>
      </c>
      <c r="D194" s="24" t="s">
        <v>487</v>
      </c>
      <c r="E194" s="24">
        <v>0</v>
      </c>
      <c r="F194" s="24" t="s">
        <v>129</v>
      </c>
    </row>
    <row r="195" spans="1:6" x14ac:dyDescent="0.3">
      <c r="A195" s="24" t="s">
        <v>45</v>
      </c>
      <c r="B195" s="24" t="s">
        <v>24</v>
      </c>
      <c r="C195" s="24" t="s">
        <v>103</v>
      </c>
      <c r="D195" s="24" t="s">
        <v>486</v>
      </c>
      <c r="E195" s="24">
        <v>0</v>
      </c>
      <c r="F195" s="24" t="s">
        <v>129</v>
      </c>
    </row>
    <row r="196" spans="1:6" x14ac:dyDescent="0.3">
      <c r="A196" s="24" t="s">
        <v>45</v>
      </c>
      <c r="B196" s="24" t="s">
        <v>24</v>
      </c>
      <c r="C196" s="24" t="s">
        <v>105</v>
      </c>
      <c r="D196" s="24" t="s">
        <v>486</v>
      </c>
      <c r="E196" s="24">
        <v>0</v>
      </c>
      <c r="F196" s="24" t="s">
        <v>129</v>
      </c>
    </row>
    <row r="197" spans="1:6" x14ac:dyDescent="0.3">
      <c r="A197" s="24" t="s">
        <v>45</v>
      </c>
      <c r="B197" s="24" t="s">
        <v>24</v>
      </c>
      <c r="C197" s="24" t="s">
        <v>107</v>
      </c>
      <c r="D197" s="24" t="s">
        <v>485</v>
      </c>
      <c r="E197" s="24">
        <v>0</v>
      </c>
      <c r="F197" s="24" t="s">
        <v>126</v>
      </c>
    </row>
    <row r="198" spans="1:6" x14ac:dyDescent="0.3">
      <c r="A198" s="24" t="s">
        <v>45</v>
      </c>
      <c r="B198" s="24" t="s">
        <v>24</v>
      </c>
      <c r="C198" s="24" t="s">
        <v>109</v>
      </c>
      <c r="D198" s="24" t="s">
        <v>485</v>
      </c>
      <c r="E198" s="24">
        <v>0</v>
      </c>
      <c r="F198" s="24" t="s">
        <v>129</v>
      </c>
    </row>
    <row r="199" spans="1:6" x14ac:dyDescent="0.3">
      <c r="A199" s="24" t="s">
        <v>45</v>
      </c>
      <c r="B199" s="24" t="s">
        <v>24</v>
      </c>
      <c r="C199" s="24" t="s">
        <v>111</v>
      </c>
      <c r="D199" s="24" t="s">
        <v>486</v>
      </c>
      <c r="E199" s="24">
        <v>0</v>
      </c>
      <c r="F199" s="24" t="s">
        <v>129</v>
      </c>
    </row>
    <row r="200" spans="1:6" x14ac:dyDescent="0.3">
      <c r="A200" s="24" t="s">
        <v>63</v>
      </c>
      <c r="B200" s="24" t="s">
        <v>24</v>
      </c>
      <c r="C200" s="24" t="s">
        <v>77</v>
      </c>
      <c r="D200" s="24" t="s">
        <v>485</v>
      </c>
      <c r="E200" s="24">
        <v>0</v>
      </c>
      <c r="F200" s="24" t="s">
        <v>126</v>
      </c>
    </row>
    <row r="201" spans="1:6" x14ac:dyDescent="0.3">
      <c r="A201" s="24" t="s">
        <v>63</v>
      </c>
      <c r="B201" s="24" t="s">
        <v>24</v>
      </c>
      <c r="C201" s="24" t="s">
        <v>79</v>
      </c>
      <c r="D201" s="24" t="s">
        <v>485</v>
      </c>
      <c r="E201" s="24">
        <v>0</v>
      </c>
      <c r="F201" s="24" t="s">
        <v>126</v>
      </c>
    </row>
    <row r="202" spans="1:6" x14ac:dyDescent="0.3">
      <c r="A202" s="24" t="s">
        <v>63</v>
      </c>
      <c r="B202" s="24" t="s">
        <v>24</v>
      </c>
      <c r="C202" s="24" t="s">
        <v>81</v>
      </c>
      <c r="D202" s="24" t="s">
        <v>486</v>
      </c>
      <c r="E202" s="24">
        <v>1</v>
      </c>
      <c r="F202" s="24" t="s">
        <v>129</v>
      </c>
    </row>
    <row r="203" spans="1:6" x14ac:dyDescent="0.3">
      <c r="A203" s="24" t="s">
        <v>63</v>
      </c>
      <c r="B203" s="24" t="s">
        <v>24</v>
      </c>
      <c r="C203" s="24" t="s">
        <v>83</v>
      </c>
      <c r="D203" s="24" t="s">
        <v>485</v>
      </c>
      <c r="E203" s="24">
        <v>1</v>
      </c>
      <c r="F203" s="24" t="s">
        <v>128</v>
      </c>
    </row>
    <row r="204" spans="1:6" x14ac:dyDescent="0.3">
      <c r="A204" s="24" t="s">
        <v>63</v>
      </c>
      <c r="B204" s="24" t="s">
        <v>24</v>
      </c>
      <c r="C204" s="24" t="s">
        <v>85</v>
      </c>
      <c r="D204" s="24" t="s">
        <v>486</v>
      </c>
      <c r="E204" s="24">
        <v>0</v>
      </c>
      <c r="F204" s="24" t="s">
        <v>129</v>
      </c>
    </row>
    <row r="205" spans="1:6" x14ac:dyDescent="0.3">
      <c r="A205" s="24" t="s">
        <v>63</v>
      </c>
      <c r="B205" s="24" t="s">
        <v>24</v>
      </c>
      <c r="C205" s="24" t="s">
        <v>87</v>
      </c>
      <c r="D205" s="24" t="s">
        <v>485</v>
      </c>
      <c r="E205" s="24">
        <v>0</v>
      </c>
      <c r="F205" s="24" t="s">
        <v>126</v>
      </c>
    </row>
    <row r="206" spans="1:6" x14ac:dyDescent="0.3">
      <c r="A206" s="24" t="s">
        <v>63</v>
      </c>
      <c r="B206" s="24" t="s">
        <v>24</v>
      </c>
      <c r="C206" s="24" t="s">
        <v>89</v>
      </c>
      <c r="D206" s="24" t="s">
        <v>486</v>
      </c>
      <c r="E206" s="24">
        <v>0</v>
      </c>
      <c r="F206" s="24" t="s">
        <v>129</v>
      </c>
    </row>
    <row r="207" spans="1:6" x14ac:dyDescent="0.3">
      <c r="A207" s="24" t="s">
        <v>63</v>
      </c>
      <c r="B207" s="24" t="s">
        <v>24</v>
      </c>
      <c r="C207" s="24" t="s">
        <v>91</v>
      </c>
      <c r="D207" s="24" t="s">
        <v>486</v>
      </c>
      <c r="E207" s="24">
        <v>0</v>
      </c>
      <c r="F207" s="24" t="s">
        <v>129</v>
      </c>
    </row>
    <row r="208" spans="1:6" x14ac:dyDescent="0.3">
      <c r="A208" s="24" t="s">
        <v>63</v>
      </c>
      <c r="B208" s="24" t="s">
        <v>24</v>
      </c>
      <c r="C208" s="24" t="s">
        <v>93</v>
      </c>
      <c r="D208" s="24" t="s">
        <v>486</v>
      </c>
      <c r="E208" s="24">
        <v>1</v>
      </c>
      <c r="F208" s="24" t="s">
        <v>128</v>
      </c>
    </row>
    <row r="209" spans="1:6" x14ac:dyDescent="0.3">
      <c r="A209" s="24" t="s">
        <v>63</v>
      </c>
      <c r="B209" s="24" t="s">
        <v>24</v>
      </c>
      <c r="C209" s="24" t="s">
        <v>95</v>
      </c>
      <c r="D209" s="24" t="s">
        <v>486</v>
      </c>
      <c r="E209" s="24">
        <v>1</v>
      </c>
      <c r="F209" s="24" t="s">
        <v>128</v>
      </c>
    </row>
    <row r="210" spans="1:6" x14ac:dyDescent="0.3">
      <c r="A210" s="24" t="s">
        <v>63</v>
      </c>
      <c r="B210" s="24" t="s">
        <v>24</v>
      </c>
      <c r="C210" s="24" t="s">
        <v>97</v>
      </c>
      <c r="D210" s="24" t="s">
        <v>485</v>
      </c>
      <c r="E210" s="24">
        <v>1</v>
      </c>
      <c r="F210" s="24" t="s">
        <v>128</v>
      </c>
    </row>
    <row r="211" spans="1:6" x14ac:dyDescent="0.3">
      <c r="A211" s="24" t="s">
        <v>63</v>
      </c>
      <c r="B211" s="24" t="s">
        <v>24</v>
      </c>
      <c r="C211" s="24" t="s">
        <v>99</v>
      </c>
      <c r="D211" s="24" t="s">
        <v>486</v>
      </c>
      <c r="E211" s="24">
        <v>1</v>
      </c>
      <c r="F211" s="24" t="s">
        <v>128</v>
      </c>
    </row>
    <row r="212" spans="1:6" x14ac:dyDescent="0.3">
      <c r="A212" s="24" t="s">
        <v>63</v>
      </c>
      <c r="B212" s="24" t="s">
        <v>24</v>
      </c>
      <c r="C212" s="24" t="s">
        <v>101</v>
      </c>
      <c r="D212" s="24" t="s">
        <v>487</v>
      </c>
      <c r="E212" s="24">
        <v>1</v>
      </c>
      <c r="F212" s="24" t="s">
        <v>128</v>
      </c>
    </row>
    <row r="213" spans="1:6" x14ac:dyDescent="0.3">
      <c r="A213" s="24" t="s">
        <v>63</v>
      </c>
      <c r="B213" s="24" t="s">
        <v>24</v>
      </c>
      <c r="C213" s="24" t="s">
        <v>103</v>
      </c>
      <c r="D213" s="24" t="s">
        <v>486</v>
      </c>
      <c r="E213" s="24">
        <v>0</v>
      </c>
      <c r="F213" s="24" t="s">
        <v>129</v>
      </c>
    </row>
    <row r="214" spans="1:6" x14ac:dyDescent="0.3">
      <c r="A214" s="24" t="s">
        <v>63</v>
      </c>
      <c r="B214" s="24" t="s">
        <v>24</v>
      </c>
      <c r="C214" s="24" t="s">
        <v>105</v>
      </c>
      <c r="D214" s="24" t="s">
        <v>486</v>
      </c>
      <c r="E214" s="24">
        <v>0</v>
      </c>
      <c r="F214" s="24" t="s">
        <v>129</v>
      </c>
    </row>
    <row r="215" spans="1:6" x14ac:dyDescent="0.3">
      <c r="A215" s="24" t="s">
        <v>63</v>
      </c>
      <c r="B215" s="24" t="s">
        <v>24</v>
      </c>
      <c r="C215" s="24" t="s">
        <v>107</v>
      </c>
      <c r="D215" s="24" t="s">
        <v>485</v>
      </c>
      <c r="E215" s="24">
        <v>0</v>
      </c>
      <c r="F215" s="24" t="s">
        <v>126</v>
      </c>
    </row>
    <row r="216" spans="1:6" x14ac:dyDescent="0.3">
      <c r="A216" s="24" t="s">
        <v>63</v>
      </c>
      <c r="B216" s="24" t="s">
        <v>24</v>
      </c>
      <c r="C216" s="24" t="s">
        <v>109</v>
      </c>
      <c r="D216" s="24" t="s">
        <v>485</v>
      </c>
      <c r="E216" s="24">
        <v>0</v>
      </c>
      <c r="F216" s="24" t="s">
        <v>129</v>
      </c>
    </row>
    <row r="217" spans="1:6" x14ac:dyDescent="0.3">
      <c r="A217" s="24" t="s">
        <v>63</v>
      </c>
      <c r="B217" s="24" t="s">
        <v>24</v>
      </c>
      <c r="C217" s="24" t="s">
        <v>111</v>
      </c>
      <c r="D217" s="24" t="s">
        <v>486</v>
      </c>
      <c r="E217" s="24">
        <v>0</v>
      </c>
      <c r="F217" s="24" t="s">
        <v>129</v>
      </c>
    </row>
    <row r="218" spans="1:6" x14ac:dyDescent="0.3">
      <c r="A218" s="24" t="s">
        <v>47</v>
      </c>
      <c r="B218" s="24" t="s">
        <v>24</v>
      </c>
      <c r="C218" s="24" t="s">
        <v>77</v>
      </c>
      <c r="D218" s="24" t="s">
        <v>485</v>
      </c>
      <c r="E218" s="24">
        <v>0</v>
      </c>
      <c r="F218" s="24" t="s">
        <v>126</v>
      </c>
    </row>
    <row r="219" spans="1:6" x14ac:dyDescent="0.3">
      <c r="A219" s="24" t="s">
        <v>47</v>
      </c>
      <c r="B219" s="24" t="s">
        <v>24</v>
      </c>
      <c r="C219" s="24" t="s">
        <v>79</v>
      </c>
      <c r="D219" s="24" t="s">
        <v>485</v>
      </c>
      <c r="E219" s="24">
        <v>0</v>
      </c>
      <c r="F219" s="24" t="s">
        <v>129</v>
      </c>
    </row>
    <row r="220" spans="1:6" x14ac:dyDescent="0.3">
      <c r="A220" s="24" t="s">
        <v>47</v>
      </c>
      <c r="B220" s="24" t="s">
        <v>24</v>
      </c>
      <c r="C220" s="24" t="s">
        <v>81</v>
      </c>
      <c r="D220" s="24" t="s">
        <v>486</v>
      </c>
      <c r="E220" s="24">
        <v>1</v>
      </c>
      <c r="F220" s="24" t="s">
        <v>129</v>
      </c>
    </row>
    <row r="221" spans="1:6" x14ac:dyDescent="0.3">
      <c r="A221" s="24" t="s">
        <v>47</v>
      </c>
      <c r="B221" s="24" t="s">
        <v>24</v>
      </c>
      <c r="C221" s="24" t="s">
        <v>83</v>
      </c>
      <c r="D221" s="24" t="s">
        <v>485</v>
      </c>
      <c r="E221" s="24">
        <v>0</v>
      </c>
      <c r="F221" s="24" t="s">
        <v>129</v>
      </c>
    </row>
    <row r="222" spans="1:6" x14ac:dyDescent="0.3">
      <c r="A222" s="24" t="s">
        <v>47</v>
      </c>
      <c r="B222" s="24" t="s">
        <v>24</v>
      </c>
      <c r="C222" s="24" t="s">
        <v>85</v>
      </c>
      <c r="D222" s="24" t="s">
        <v>486</v>
      </c>
      <c r="E222" s="24">
        <v>0</v>
      </c>
      <c r="F222" s="24" t="s">
        <v>129</v>
      </c>
    </row>
    <row r="223" spans="1:6" x14ac:dyDescent="0.3">
      <c r="A223" s="24" t="s">
        <v>47</v>
      </c>
      <c r="B223" s="24" t="s">
        <v>24</v>
      </c>
      <c r="C223" s="24" t="s">
        <v>87</v>
      </c>
      <c r="D223" s="24" t="s">
        <v>485</v>
      </c>
      <c r="E223" s="24">
        <v>0</v>
      </c>
      <c r="F223" s="24" t="s">
        <v>129</v>
      </c>
    </row>
    <row r="224" spans="1:6" x14ac:dyDescent="0.3">
      <c r="A224" s="24" t="s">
        <v>47</v>
      </c>
      <c r="B224" s="24" t="s">
        <v>24</v>
      </c>
      <c r="C224" s="24" t="s">
        <v>89</v>
      </c>
      <c r="D224" s="24" t="s">
        <v>486</v>
      </c>
      <c r="E224" s="24">
        <v>0</v>
      </c>
      <c r="F224" s="24" t="s">
        <v>129</v>
      </c>
    </row>
    <row r="225" spans="1:6" x14ac:dyDescent="0.3">
      <c r="A225" s="24" t="s">
        <v>47</v>
      </c>
      <c r="B225" s="24" t="s">
        <v>24</v>
      </c>
      <c r="C225" s="24" t="s">
        <v>91</v>
      </c>
      <c r="D225" s="24" t="s">
        <v>486</v>
      </c>
      <c r="E225" s="24">
        <v>0</v>
      </c>
      <c r="F225" s="24" t="s">
        <v>129</v>
      </c>
    </row>
    <row r="226" spans="1:6" x14ac:dyDescent="0.3">
      <c r="A226" s="24" t="s">
        <v>47</v>
      </c>
      <c r="B226" s="24" t="s">
        <v>24</v>
      </c>
      <c r="C226" s="24" t="s">
        <v>93</v>
      </c>
      <c r="D226" s="24" t="s">
        <v>486</v>
      </c>
      <c r="E226" s="24">
        <v>0</v>
      </c>
      <c r="F226" s="24" t="s">
        <v>129</v>
      </c>
    </row>
    <row r="227" spans="1:6" x14ac:dyDescent="0.3">
      <c r="A227" s="24" t="s">
        <v>47</v>
      </c>
      <c r="B227" s="24" t="s">
        <v>24</v>
      </c>
      <c r="C227" s="24" t="s">
        <v>95</v>
      </c>
      <c r="D227" s="24" t="s">
        <v>486</v>
      </c>
      <c r="E227" s="24">
        <v>0</v>
      </c>
      <c r="F227" s="24" t="s">
        <v>129</v>
      </c>
    </row>
    <row r="228" spans="1:6" x14ac:dyDescent="0.3">
      <c r="A228" s="24" t="s">
        <v>47</v>
      </c>
      <c r="B228" s="24" t="s">
        <v>24</v>
      </c>
      <c r="C228" s="24" t="s">
        <v>97</v>
      </c>
      <c r="D228" s="24" t="s">
        <v>485</v>
      </c>
      <c r="E228" s="24">
        <v>0</v>
      </c>
      <c r="F228" s="24" t="s">
        <v>129</v>
      </c>
    </row>
    <row r="229" spans="1:6" x14ac:dyDescent="0.3">
      <c r="A229" s="24" t="s">
        <v>47</v>
      </c>
      <c r="B229" s="24" t="s">
        <v>24</v>
      </c>
      <c r="C229" s="24" t="s">
        <v>99</v>
      </c>
      <c r="D229" s="24" t="s">
        <v>486</v>
      </c>
      <c r="E229" s="24">
        <v>0</v>
      </c>
      <c r="F229" s="24" t="s">
        <v>129</v>
      </c>
    </row>
    <row r="230" spans="1:6" x14ac:dyDescent="0.3">
      <c r="A230" s="24" t="s">
        <v>47</v>
      </c>
      <c r="B230" s="24" t="s">
        <v>24</v>
      </c>
      <c r="C230" s="24" t="s">
        <v>101</v>
      </c>
      <c r="D230" s="24" t="s">
        <v>487</v>
      </c>
      <c r="E230" s="24">
        <v>0</v>
      </c>
      <c r="F230" s="24" t="s">
        <v>129</v>
      </c>
    </row>
    <row r="231" spans="1:6" x14ac:dyDescent="0.3">
      <c r="A231" s="24" t="s">
        <v>47</v>
      </c>
      <c r="B231" s="24" t="s">
        <v>24</v>
      </c>
      <c r="C231" s="24" t="s">
        <v>103</v>
      </c>
      <c r="D231" s="24" t="s">
        <v>486</v>
      </c>
      <c r="E231" s="24">
        <v>0</v>
      </c>
      <c r="F231" s="24" t="s">
        <v>129</v>
      </c>
    </row>
    <row r="232" spans="1:6" x14ac:dyDescent="0.3">
      <c r="A232" s="24" t="s">
        <v>47</v>
      </c>
      <c r="B232" s="24" t="s">
        <v>24</v>
      </c>
      <c r="C232" s="24" t="s">
        <v>105</v>
      </c>
      <c r="D232" s="24" t="s">
        <v>486</v>
      </c>
      <c r="E232" s="24">
        <v>0</v>
      </c>
      <c r="F232" s="24" t="s">
        <v>129</v>
      </c>
    </row>
    <row r="233" spans="1:6" x14ac:dyDescent="0.3">
      <c r="A233" s="24" t="s">
        <v>47</v>
      </c>
      <c r="B233" s="24" t="s">
        <v>24</v>
      </c>
      <c r="C233" s="24" t="s">
        <v>107</v>
      </c>
      <c r="D233" s="24" t="s">
        <v>485</v>
      </c>
      <c r="E233" s="24">
        <v>0</v>
      </c>
      <c r="F233" s="24" t="s">
        <v>129</v>
      </c>
    </row>
    <row r="234" spans="1:6" x14ac:dyDescent="0.3">
      <c r="A234" s="24" t="s">
        <v>47</v>
      </c>
      <c r="B234" s="24" t="s">
        <v>24</v>
      </c>
      <c r="C234" s="24" t="s">
        <v>109</v>
      </c>
      <c r="D234" s="24" t="s">
        <v>485</v>
      </c>
      <c r="E234" s="24">
        <v>1</v>
      </c>
      <c r="F234" s="24" t="s">
        <v>129</v>
      </c>
    </row>
    <row r="235" spans="1:6" x14ac:dyDescent="0.3">
      <c r="A235" s="24" t="s">
        <v>47</v>
      </c>
      <c r="B235" s="24" t="s">
        <v>24</v>
      </c>
      <c r="C235" s="24" t="s">
        <v>111</v>
      </c>
      <c r="D235" s="24" t="s">
        <v>486</v>
      </c>
      <c r="E235" s="24">
        <v>0</v>
      </c>
      <c r="F235" s="24" t="s">
        <v>129</v>
      </c>
    </row>
    <row r="236" spans="1:6" x14ac:dyDescent="0.3">
      <c r="A236" s="24" t="s">
        <v>49</v>
      </c>
      <c r="B236" s="24" t="s">
        <v>24</v>
      </c>
      <c r="C236" s="24" t="s">
        <v>77</v>
      </c>
      <c r="D236" s="24" t="s">
        <v>485</v>
      </c>
      <c r="E236" s="24">
        <v>0</v>
      </c>
      <c r="F236" s="24" t="s">
        <v>126</v>
      </c>
    </row>
    <row r="237" spans="1:6" x14ac:dyDescent="0.3">
      <c r="A237" s="24" t="s">
        <v>49</v>
      </c>
      <c r="B237" s="24" t="s">
        <v>24</v>
      </c>
      <c r="C237" s="24" t="s">
        <v>79</v>
      </c>
      <c r="D237" s="24" t="s">
        <v>485</v>
      </c>
      <c r="E237" s="24">
        <v>0</v>
      </c>
      <c r="F237" s="24" t="s">
        <v>129</v>
      </c>
    </row>
    <row r="238" spans="1:6" x14ac:dyDescent="0.3">
      <c r="A238" s="24" t="s">
        <v>49</v>
      </c>
      <c r="B238" s="24" t="s">
        <v>24</v>
      </c>
      <c r="C238" s="24" t="s">
        <v>81</v>
      </c>
      <c r="D238" s="24" t="s">
        <v>486</v>
      </c>
      <c r="E238" s="24">
        <v>1</v>
      </c>
      <c r="F238" s="24" t="s">
        <v>129</v>
      </c>
    </row>
    <row r="239" spans="1:6" x14ac:dyDescent="0.3">
      <c r="A239" s="24" t="s">
        <v>49</v>
      </c>
      <c r="B239" s="24" t="s">
        <v>24</v>
      </c>
      <c r="C239" s="24" t="s">
        <v>83</v>
      </c>
      <c r="D239" s="24" t="s">
        <v>485</v>
      </c>
      <c r="E239" s="24">
        <v>1</v>
      </c>
      <c r="F239" s="24" t="s">
        <v>128</v>
      </c>
    </row>
    <row r="240" spans="1:6" x14ac:dyDescent="0.3">
      <c r="A240" s="24" t="s">
        <v>49</v>
      </c>
      <c r="B240" s="24" t="s">
        <v>24</v>
      </c>
      <c r="C240" s="24" t="s">
        <v>85</v>
      </c>
      <c r="D240" s="24" t="s">
        <v>486</v>
      </c>
      <c r="E240" s="24">
        <v>0</v>
      </c>
      <c r="F240" s="24" t="s">
        <v>129</v>
      </c>
    </row>
    <row r="241" spans="1:6" x14ac:dyDescent="0.3">
      <c r="A241" s="24" t="s">
        <v>49</v>
      </c>
      <c r="B241" s="24" t="s">
        <v>24</v>
      </c>
      <c r="C241" s="24" t="s">
        <v>87</v>
      </c>
      <c r="D241" s="24" t="s">
        <v>485</v>
      </c>
      <c r="E241" s="24">
        <v>0</v>
      </c>
      <c r="F241" s="24" t="s">
        <v>129</v>
      </c>
    </row>
    <row r="242" spans="1:6" x14ac:dyDescent="0.3">
      <c r="A242" s="24" t="s">
        <v>49</v>
      </c>
      <c r="B242" s="24" t="s">
        <v>24</v>
      </c>
      <c r="C242" s="24" t="s">
        <v>89</v>
      </c>
      <c r="D242" s="24" t="s">
        <v>486</v>
      </c>
      <c r="E242" s="24">
        <v>0</v>
      </c>
      <c r="F242" s="24" t="s">
        <v>129</v>
      </c>
    </row>
    <row r="243" spans="1:6" x14ac:dyDescent="0.3">
      <c r="A243" s="24" t="s">
        <v>49</v>
      </c>
      <c r="B243" s="24" t="s">
        <v>24</v>
      </c>
      <c r="C243" s="24" t="s">
        <v>91</v>
      </c>
      <c r="D243" s="24" t="s">
        <v>486</v>
      </c>
      <c r="E243" s="24">
        <v>0</v>
      </c>
      <c r="F243" s="24" t="s">
        <v>129</v>
      </c>
    </row>
    <row r="244" spans="1:6" x14ac:dyDescent="0.3">
      <c r="A244" s="24" t="s">
        <v>49</v>
      </c>
      <c r="B244" s="24" t="s">
        <v>24</v>
      </c>
      <c r="C244" s="24" t="s">
        <v>93</v>
      </c>
      <c r="D244" s="24" t="s">
        <v>486</v>
      </c>
      <c r="E244" s="24">
        <v>0</v>
      </c>
      <c r="F244" s="24" t="s">
        <v>129</v>
      </c>
    </row>
    <row r="245" spans="1:6" x14ac:dyDescent="0.3">
      <c r="A245" s="24" t="s">
        <v>49</v>
      </c>
      <c r="B245" s="24" t="s">
        <v>24</v>
      </c>
      <c r="C245" s="24" t="s">
        <v>95</v>
      </c>
      <c r="D245" s="24" t="s">
        <v>486</v>
      </c>
      <c r="E245" s="24">
        <v>0</v>
      </c>
      <c r="F245" s="24" t="s">
        <v>129</v>
      </c>
    </row>
    <row r="246" spans="1:6" x14ac:dyDescent="0.3">
      <c r="A246" s="24" t="s">
        <v>49</v>
      </c>
      <c r="B246" s="24" t="s">
        <v>24</v>
      </c>
      <c r="C246" s="24" t="s">
        <v>97</v>
      </c>
      <c r="D246" s="24" t="s">
        <v>485</v>
      </c>
      <c r="E246" s="24">
        <v>0</v>
      </c>
      <c r="F246" s="24" t="s">
        <v>129</v>
      </c>
    </row>
    <row r="247" spans="1:6" x14ac:dyDescent="0.3">
      <c r="A247" s="24" t="s">
        <v>49</v>
      </c>
      <c r="B247" s="24" t="s">
        <v>24</v>
      </c>
      <c r="C247" s="24" t="s">
        <v>99</v>
      </c>
      <c r="D247" s="24" t="s">
        <v>486</v>
      </c>
      <c r="E247" s="24">
        <v>0</v>
      </c>
      <c r="F247" s="24" t="s">
        <v>129</v>
      </c>
    </row>
    <row r="248" spans="1:6" x14ac:dyDescent="0.3">
      <c r="A248" s="24" t="s">
        <v>49</v>
      </c>
      <c r="B248" s="24" t="s">
        <v>24</v>
      </c>
      <c r="C248" s="24" t="s">
        <v>101</v>
      </c>
      <c r="D248" s="24" t="s">
        <v>487</v>
      </c>
      <c r="E248" s="24">
        <v>1</v>
      </c>
      <c r="F248" s="24" t="s">
        <v>129</v>
      </c>
    </row>
    <row r="249" spans="1:6" x14ac:dyDescent="0.3">
      <c r="A249" s="24" t="s">
        <v>49</v>
      </c>
      <c r="B249" s="24" t="s">
        <v>24</v>
      </c>
      <c r="C249" s="24" t="s">
        <v>103</v>
      </c>
      <c r="D249" s="24" t="s">
        <v>486</v>
      </c>
      <c r="E249" s="24">
        <v>0</v>
      </c>
      <c r="F249" s="24" t="s">
        <v>129</v>
      </c>
    </row>
    <row r="250" spans="1:6" x14ac:dyDescent="0.3">
      <c r="A250" s="24" t="s">
        <v>49</v>
      </c>
      <c r="B250" s="24" t="s">
        <v>24</v>
      </c>
      <c r="C250" s="24" t="s">
        <v>105</v>
      </c>
      <c r="D250" s="24" t="s">
        <v>486</v>
      </c>
      <c r="E250" s="24">
        <v>0</v>
      </c>
      <c r="F250" s="24" t="s">
        <v>129</v>
      </c>
    </row>
    <row r="251" spans="1:6" x14ac:dyDescent="0.3">
      <c r="A251" s="24" t="s">
        <v>49</v>
      </c>
      <c r="B251" s="24" t="s">
        <v>24</v>
      </c>
      <c r="C251" s="24" t="s">
        <v>107</v>
      </c>
      <c r="D251" s="24" t="s">
        <v>485</v>
      </c>
      <c r="E251" s="24">
        <v>0</v>
      </c>
      <c r="F251" s="24" t="s">
        <v>129</v>
      </c>
    </row>
    <row r="252" spans="1:6" x14ac:dyDescent="0.3">
      <c r="A252" s="24" t="s">
        <v>49</v>
      </c>
      <c r="B252" s="24" t="s">
        <v>24</v>
      </c>
      <c r="C252" s="24" t="s">
        <v>109</v>
      </c>
      <c r="D252" s="24" t="s">
        <v>485</v>
      </c>
      <c r="E252" s="24">
        <v>0</v>
      </c>
      <c r="F252" s="24" t="s">
        <v>128</v>
      </c>
    </row>
    <row r="253" spans="1:6" x14ac:dyDescent="0.3">
      <c r="A253" s="24" t="s">
        <v>49</v>
      </c>
      <c r="B253" s="24" t="s">
        <v>24</v>
      </c>
      <c r="C253" s="24" t="s">
        <v>111</v>
      </c>
      <c r="D253" s="24" t="s">
        <v>486</v>
      </c>
      <c r="E253" s="24">
        <v>0</v>
      </c>
      <c r="F253" s="24" t="s">
        <v>129</v>
      </c>
    </row>
    <row r="254" spans="1:6" x14ac:dyDescent="0.3">
      <c r="A254" s="24" t="s">
        <v>51</v>
      </c>
      <c r="B254" s="24" t="s">
        <v>24</v>
      </c>
      <c r="C254" s="24" t="s">
        <v>77</v>
      </c>
      <c r="D254" s="24" t="s">
        <v>485</v>
      </c>
      <c r="E254" s="24">
        <v>0</v>
      </c>
      <c r="F254" s="24" t="s">
        <v>126</v>
      </c>
    </row>
    <row r="255" spans="1:6" x14ac:dyDescent="0.3">
      <c r="A255" s="24" t="s">
        <v>51</v>
      </c>
      <c r="B255" s="24" t="s">
        <v>24</v>
      </c>
      <c r="C255" s="24" t="s">
        <v>79</v>
      </c>
      <c r="D255" s="24" t="s">
        <v>485</v>
      </c>
      <c r="E255" s="24">
        <v>0</v>
      </c>
      <c r="F255" s="24" t="s">
        <v>126</v>
      </c>
    </row>
    <row r="256" spans="1:6" x14ac:dyDescent="0.3">
      <c r="A256" s="24" t="s">
        <v>51</v>
      </c>
      <c r="B256" s="24" t="s">
        <v>24</v>
      </c>
      <c r="C256" s="24" t="s">
        <v>81</v>
      </c>
      <c r="D256" s="24" t="s">
        <v>486</v>
      </c>
      <c r="E256" s="24">
        <v>1</v>
      </c>
      <c r="F256" s="24" t="s">
        <v>129</v>
      </c>
    </row>
    <row r="257" spans="1:6" x14ac:dyDescent="0.3">
      <c r="A257" s="24" t="s">
        <v>51</v>
      </c>
      <c r="B257" s="24" t="s">
        <v>24</v>
      </c>
      <c r="C257" s="24" t="s">
        <v>83</v>
      </c>
      <c r="D257" s="24" t="s">
        <v>485</v>
      </c>
      <c r="E257" s="24">
        <v>0</v>
      </c>
      <c r="F257" s="24" t="s">
        <v>126</v>
      </c>
    </row>
    <row r="258" spans="1:6" x14ac:dyDescent="0.3">
      <c r="A258" s="24" t="s">
        <v>51</v>
      </c>
      <c r="B258" s="24" t="s">
        <v>24</v>
      </c>
      <c r="C258" s="24" t="s">
        <v>85</v>
      </c>
      <c r="D258" s="24" t="s">
        <v>486</v>
      </c>
      <c r="E258" s="24">
        <v>0</v>
      </c>
      <c r="F258" s="24" t="s">
        <v>126</v>
      </c>
    </row>
    <row r="259" spans="1:6" x14ac:dyDescent="0.3">
      <c r="A259" s="24" t="s">
        <v>51</v>
      </c>
      <c r="B259" s="24" t="s">
        <v>24</v>
      </c>
      <c r="C259" s="24" t="s">
        <v>87</v>
      </c>
      <c r="D259" s="24" t="s">
        <v>485</v>
      </c>
      <c r="E259" s="24">
        <v>0</v>
      </c>
      <c r="F259" s="24" t="s">
        <v>126</v>
      </c>
    </row>
    <row r="260" spans="1:6" x14ac:dyDescent="0.3">
      <c r="A260" s="24" t="s">
        <v>51</v>
      </c>
      <c r="B260" s="24" t="s">
        <v>24</v>
      </c>
      <c r="C260" s="24" t="s">
        <v>89</v>
      </c>
      <c r="D260" s="24" t="s">
        <v>486</v>
      </c>
      <c r="E260" s="24">
        <v>0</v>
      </c>
      <c r="F260" s="24" t="s">
        <v>129</v>
      </c>
    </row>
    <row r="261" spans="1:6" x14ac:dyDescent="0.3">
      <c r="A261" s="24" t="s">
        <v>51</v>
      </c>
      <c r="B261" s="24" t="s">
        <v>24</v>
      </c>
      <c r="C261" s="24" t="s">
        <v>91</v>
      </c>
      <c r="D261" s="24" t="s">
        <v>486</v>
      </c>
      <c r="E261" s="24">
        <v>0</v>
      </c>
      <c r="F261" s="24" t="s">
        <v>129</v>
      </c>
    </row>
    <row r="262" spans="1:6" x14ac:dyDescent="0.3">
      <c r="A262" s="24" t="s">
        <v>51</v>
      </c>
      <c r="B262" s="24" t="s">
        <v>24</v>
      </c>
      <c r="C262" s="24" t="s">
        <v>93</v>
      </c>
      <c r="D262" s="24" t="s">
        <v>486</v>
      </c>
      <c r="E262" s="24">
        <v>0</v>
      </c>
      <c r="F262" s="24" t="s">
        <v>129</v>
      </c>
    </row>
    <row r="263" spans="1:6" x14ac:dyDescent="0.3">
      <c r="A263" s="24" t="s">
        <v>51</v>
      </c>
      <c r="B263" s="24" t="s">
        <v>24</v>
      </c>
      <c r="C263" s="24" t="s">
        <v>95</v>
      </c>
      <c r="D263" s="24" t="s">
        <v>486</v>
      </c>
      <c r="E263" s="24">
        <v>0</v>
      </c>
      <c r="F263" s="24" t="s">
        <v>129</v>
      </c>
    </row>
    <row r="264" spans="1:6" x14ac:dyDescent="0.3">
      <c r="A264" s="24" t="s">
        <v>51</v>
      </c>
      <c r="B264" s="24" t="s">
        <v>24</v>
      </c>
      <c r="C264" s="24" t="s">
        <v>97</v>
      </c>
      <c r="D264" s="24" t="s">
        <v>485</v>
      </c>
      <c r="E264" s="24">
        <v>0</v>
      </c>
      <c r="F264" s="24" t="s">
        <v>129</v>
      </c>
    </row>
    <row r="265" spans="1:6" x14ac:dyDescent="0.3">
      <c r="A265" s="24" t="s">
        <v>51</v>
      </c>
      <c r="B265" s="24" t="s">
        <v>24</v>
      </c>
      <c r="C265" s="24" t="s">
        <v>99</v>
      </c>
      <c r="D265" s="24" t="s">
        <v>486</v>
      </c>
      <c r="E265" s="24">
        <v>0</v>
      </c>
      <c r="F265" s="24" t="s">
        <v>129</v>
      </c>
    </row>
    <row r="266" spans="1:6" x14ac:dyDescent="0.3">
      <c r="A266" s="24" t="s">
        <v>51</v>
      </c>
      <c r="B266" s="24" t="s">
        <v>24</v>
      </c>
      <c r="C266" s="24" t="s">
        <v>101</v>
      </c>
      <c r="D266" s="24" t="s">
        <v>487</v>
      </c>
      <c r="E266" s="24">
        <v>0</v>
      </c>
      <c r="F266" s="24" t="s">
        <v>129</v>
      </c>
    </row>
    <row r="267" spans="1:6" x14ac:dyDescent="0.3">
      <c r="A267" s="24" t="s">
        <v>51</v>
      </c>
      <c r="B267" s="24" t="s">
        <v>24</v>
      </c>
      <c r="C267" s="24" t="s">
        <v>103</v>
      </c>
      <c r="D267" s="24" t="s">
        <v>486</v>
      </c>
      <c r="E267" s="24">
        <v>0</v>
      </c>
      <c r="F267" s="24" t="s">
        <v>129</v>
      </c>
    </row>
    <row r="268" spans="1:6" x14ac:dyDescent="0.3">
      <c r="A268" s="24" t="s">
        <v>51</v>
      </c>
      <c r="B268" s="24" t="s">
        <v>24</v>
      </c>
      <c r="C268" s="24" t="s">
        <v>105</v>
      </c>
      <c r="D268" s="24" t="s">
        <v>486</v>
      </c>
      <c r="E268" s="24">
        <v>0</v>
      </c>
      <c r="F268" s="24" t="s">
        <v>129</v>
      </c>
    </row>
    <row r="269" spans="1:6" x14ac:dyDescent="0.3">
      <c r="A269" s="24" t="s">
        <v>51</v>
      </c>
      <c r="B269" s="24" t="s">
        <v>24</v>
      </c>
      <c r="C269" s="24" t="s">
        <v>107</v>
      </c>
      <c r="D269" s="24" t="s">
        <v>485</v>
      </c>
      <c r="E269" s="24">
        <v>0</v>
      </c>
      <c r="F269" s="24" t="s">
        <v>126</v>
      </c>
    </row>
    <row r="270" spans="1:6" x14ac:dyDescent="0.3">
      <c r="A270" s="24" t="s">
        <v>51</v>
      </c>
      <c r="B270" s="24" t="s">
        <v>24</v>
      </c>
      <c r="C270" s="24" t="s">
        <v>109</v>
      </c>
      <c r="D270" s="24" t="s">
        <v>485</v>
      </c>
      <c r="E270" s="24">
        <v>1</v>
      </c>
      <c r="F270" s="24" t="s">
        <v>129</v>
      </c>
    </row>
    <row r="271" spans="1:6" x14ac:dyDescent="0.3">
      <c r="A271" s="24" t="s">
        <v>51</v>
      </c>
      <c r="B271" s="24" t="s">
        <v>24</v>
      </c>
      <c r="C271" s="24" t="s">
        <v>111</v>
      </c>
      <c r="D271" s="24" t="s">
        <v>486</v>
      </c>
      <c r="E271" s="24">
        <v>0</v>
      </c>
      <c r="F271" s="24" t="s">
        <v>129</v>
      </c>
    </row>
    <row r="272" spans="1:6" x14ac:dyDescent="0.3">
      <c r="A272" s="24" t="s">
        <v>53</v>
      </c>
      <c r="B272" s="24" t="s">
        <v>24</v>
      </c>
      <c r="C272" s="24" t="s">
        <v>77</v>
      </c>
      <c r="D272" s="24" t="s">
        <v>485</v>
      </c>
      <c r="E272" s="24">
        <v>0</v>
      </c>
      <c r="F272" s="24" t="s">
        <v>126</v>
      </c>
    </row>
    <row r="273" spans="1:6" x14ac:dyDescent="0.3">
      <c r="A273" s="24" t="s">
        <v>53</v>
      </c>
      <c r="B273" s="24" t="s">
        <v>24</v>
      </c>
      <c r="C273" s="24" t="s">
        <v>79</v>
      </c>
      <c r="D273" s="24" t="s">
        <v>485</v>
      </c>
      <c r="E273" s="24">
        <v>0</v>
      </c>
      <c r="F273" s="24" t="s">
        <v>129</v>
      </c>
    </row>
    <row r="274" spans="1:6" x14ac:dyDescent="0.3">
      <c r="A274" s="24" t="s">
        <v>53</v>
      </c>
      <c r="B274" s="24" t="s">
        <v>24</v>
      </c>
      <c r="C274" s="24" t="s">
        <v>81</v>
      </c>
      <c r="D274" s="24" t="s">
        <v>486</v>
      </c>
      <c r="E274" s="24">
        <v>1</v>
      </c>
      <c r="F274" s="24" t="s">
        <v>128</v>
      </c>
    </row>
    <row r="275" spans="1:6" x14ac:dyDescent="0.3">
      <c r="A275" s="24" t="s">
        <v>53</v>
      </c>
      <c r="B275" s="24" t="s">
        <v>24</v>
      </c>
      <c r="C275" s="24" t="s">
        <v>83</v>
      </c>
      <c r="D275" s="24" t="s">
        <v>485</v>
      </c>
      <c r="E275" s="24">
        <v>1</v>
      </c>
      <c r="F275" s="24" t="s">
        <v>127</v>
      </c>
    </row>
    <row r="276" spans="1:6" x14ac:dyDescent="0.3">
      <c r="A276" s="24" t="s">
        <v>53</v>
      </c>
      <c r="B276" s="24" t="s">
        <v>24</v>
      </c>
      <c r="C276" s="24" t="s">
        <v>85</v>
      </c>
      <c r="D276" s="24" t="s">
        <v>486</v>
      </c>
      <c r="E276" s="24">
        <v>0</v>
      </c>
      <c r="F276" s="24" t="s">
        <v>129</v>
      </c>
    </row>
    <row r="277" spans="1:6" x14ac:dyDescent="0.3">
      <c r="A277" s="24" t="s">
        <v>53</v>
      </c>
      <c r="B277" s="24" t="s">
        <v>24</v>
      </c>
      <c r="C277" s="24" t="s">
        <v>87</v>
      </c>
      <c r="D277" s="24" t="s">
        <v>485</v>
      </c>
      <c r="E277" s="24">
        <v>0</v>
      </c>
      <c r="F277" s="24" t="s">
        <v>129</v>
      </c>
    </row>
    <row r="278" spans="1:6" x14ac:dyDescent="0.3">
      <c r="A278" s="24" t="s">
        <v>53</v>
      </c>
      <c r="B278" s="24" t="s">
        <v>24</v>
      </c>
      <c r="C278" s="24" t="s">
        <v>89</v>
      </c>
      <c r="D278" s="24" t="s">
        <v>486</v>
      </c>
      <c r="E278" s="24">
        <v>0</v>
      </c>
      <c r="F278" s="24" t="s">
        <v>129</v>
      </c>
    </row>
    <row r="279" spans="1:6" x14ac:dyDescent="0.3">
      <c r="A279" s="24" t="s">
        <v>53</v>
      </c>
      <c r="B279" s="24" t="s">
        <v>24</v>
      </c>
      <c r="C279" s="24" t="s">
        <v>91</v>
      </c>
      <c r="D279" s="24" t="s">
        <v>486</v>
      </c>
      <c r="E279" s="24">
        <v>0</v>
      </c>
      <c r="F279" s="24" t="s">
        <v>129</v>
      </c>
    </row>
    <row r="280" spans="1:6" x14ac:dyDescent="0.3">
      <c r="A280" s="24" t="s">
        <v>53</v>
      </c>
      <c r="B280" s="24" t="s">
        <v>24</v>
      </c>
      <c r="C280" s="24" t="s">
        <v>93</v>
      </c>
      <c r="D280" s="24" t="s">
        <v>486</v>
      </c>
      <c r="E280" s="24">
        <v>0</v>
      </c>
      <c r="F280" s="24" t="s">
        <v>129</v>
      </c>
    </row>
    <row r="281" spans="1:6" x14ac:dyDescent="0.3">
      <c r="A281" s="24" t="s">
        <v>53</v>
      </c>
      <c r="B281" s="24" t="s">
        <v>24</v>
      </c>
      <c r="C281" s="24" t="s">
        <v>95</v>
      </c>
      <c r="D281" s="24" t="s">
        <v>486</v>
      </c>
      <c r="E281" s="24">
        <v>0</v>
      </c>
      <c r="F281" s="24" t="s">
        <v>129</v>
      </c>
    </row>
    <row r="282" spans="1:6" x14ac:dyDescent="0.3">
      <c r="A282" s="24" t="s">
        <v>53</v>
      </c>
      <c r="B282" s="24" t="s">
        <v>24</v>
      </c>
      <c r="C282" s="24" t="s">
        <v>97</v>
      </c>
      <c r="D282" s="24" t="s">
        <v>485</v>
      </c>
      <c r="E282" s="24">
        <v>0</v>
      </c>
      <c r="F282" s="24" t="s">
        <v>129</v>
      </c>
    </row>
    <row r="283" spans="1:6" x14ac:dyDescent="0.3">
      <c r="A283" s="24" t="s">
        <v>53</v>
      </c>
      <c r="B283" s="24" t="s">
        <v>24</v>
      </c>
      <c r="C283" s="24" t="s">
        <v>99</v>
      </c>
      <c r="D283" s="24" t="s">
        <v>486</v>
      </c>
      <c r="E283" s="24">
        <v>0</v>
      </c>
      <c r="F283" s="24" t="s">
        <v>129</v>
      </c>
    </row>
    <row r="284" spans="1:6" x14ac:dyDescent="0.3">
      <c r="A284" s="24" t="s">
        <v>53</v>
      </c>
      <c r="B284" s="24" t="s">
        <v>24</v>
      </c>
      <c r="C284" s="24" t="s">
        <v>101</v>
      </c>
      <c r="D284" s="24" t="s">
        <v>487</v>
      </c>
      <c r="E284" s="24">
        <v>0</v>
      </c>
      <c r="F284" s="24" t="s">
        <v>129</v>
      </c>
    </row>
    <row r="285" spans="1:6" x14ac:dyDescent="0.3">
      <c r="A285" s="24" t="s">
        <v>53</v>
      </c>
      <c r="B285" s="24" t="s">
        <v>24</v>
      </c>
      <c r="C285" s="24" t="s">
        <v>103</v>
      </c>
      <c r="D285" s="24" t="s">
        <v>486</v>
      </c>
      <c r="E285" s="24">
        <v>0</v>
      </c>
      <c r="F285" s="24" t="s">
        <v>129</v>
      </c>
    </row>
    <row r="286" spans="1:6" x14ac:dyDescent="0.3">
      <c r="A286" s="24" t="s">
        <v>53</v>
      </c>
      <c r="B286" s="24" t="s">
        <v>24</v>
      </c>
      <c r="C286" s="24" t="s">
        <v>105</v>
      </c>
      <c r="D286" s="24" t="s">
        <v>486</v>
      </c>
      <c r="E286" s="24">
        <v>0</v>
      </c>
      <c r="F286" s="24" t="s">
        <v>129</v>
      </c>
    </row>
    <row r="287" spans="1:6" x14ac:dyDescent="0.3">
      <c r="A287" s="24" t="s">
        <v>53</v>
      </c>
      <c r="B287" s="24" t="s">
        <v>24</v>
      </c>
      <c r="C287" s="24" t="s">
        <v>107</v>
      </c>
      <c r="D287" s="24" t="s">
        <v>485</v>
      </c>
      <c r="E287" s="24">
        <v>0</v>
      </c>
      <c r="F287" s="24" t="s">
        <v>129</v>
      </c>
    </row>
    <row r="288" spans="1:6" x14ac:dyDescent="0.3">
      <c r="A288" s="24" t="s">
        <v>53</v>
      </c>
      <c r="B288" s="24" t="s">
        <v>24</v>
      </c>
      <c r="C288" s="24" t="s">
        <v>109</v>
      </c>
      <c r="D288" s="24" t="s">
        <v>485</v>
      </c>
      <c r="E288" s="24">
        <v>1</v>
      </c>
      <c r="F288" s="24" t="s">
        <v>129</v>
      </c>
    </row>
    <row r="289" spans="1:6" x14ac:dyDescent="0.3">
      <c r="A289" s="24" t="s">
        <v>53</v>
      </c>
      <c r="B289" s="24" t="s">
        <v>24</v>
      </c>
      <c r="C289" s="24" t="s">
        <v>111</v>
      </c>
      <c r="D289" s="24" t="s">
        <v>486</v>
      </c>
      <c r="E289" s="24">
        <v>0</v>
      </c>
      <c r="F289" s="24" t="s">
        <v>129</v>
      </c>
    </row>
    <row r="290" spans="1:6" x14ac:dyDescent="0.3">
      <c r="A290" s="24" t="s">
        <v>55</v>
      </c>
      <c r="B290" s="24" t="s">
        <v>24</v>
      </c>
      <c r="C290" s="24" t="s">
        <v>77</v>
      </c>
      <c r="D290" s="24" t="s">
        <v>485</v>
      </c>
      <c r="E290" s="24">
        <v>0</v>
      </c>
      <c r="F290" s="24" t="s">
        <v>126</v>
      </c>
    </row>
    <row r="291" spans="1:6" x14ac:dyDescent="0.3">
      <c r="A291" s="24" t="s">
        <v>55</v>
      </c>
      <c r="B291" s="24" t="s">
        <v>24</v>
      </c>
      <c r="C291" s="24" t="s">
        <v>79</v>
      </c>
      <c r="D291" s="24" t="s">
        <v>485</v>
      </c>
      <c r="E291" s="24">
        <v>0</v>
      </c>
      <c r="F291" s="24" t="s">
        <v>126</v>
      </c>
    </row>
    <row r="292" spans="1:6" x14ac:dyDescent="0.3">
      <c r="A292" s="24" t="s">
        <v>55</v>
      </c>
      <c r="B292" s="24" t="s">
        <v>24</v>
      </c>
      <c r="C292" s="24" t="s">
        <v>81</v>
      </c>
      <c r="D292" s="24" t="s">
        <v>486</v>
      </c>
      <c r="E292" s="24">
        <v>1</v>
      </c>
      <c r="F292" s="24" t="s">
        <v>129</v>
      </c>
    </row>
    <row r="293" spans="1:6" x14ac:dyDescent="0.3">
      <c r="A293" s="24" t="s">
        <v>55</v>
      </c>
      <c r="B293" s="24" t="s">
        <v>24</v>
      </c>
      <c r="C293" s="24" t="s">
        <v>83</v>
      </c>
      <c r="D293" s="24" t="s">
        <v>485</v>
      </c>
      <c r="E293" s="24">
        <v>0</v>
      </c>
      <c r="F293" s="24" t="s">
        <v>126</v>
      </c>
    </row>
    <row r="294" spans="1:6" x14ac:dyDescent="0.3">
      <c r="A294" s="24" t="s">
        <v>55</v>
      </c>
      <c r="B294" s="24" t="s">
        <v>24</v>
      </c>
      <c r="C294" s="24" t="s">
        <v>85</v>
      </c>
      <c r="D294" s="24" t="s">
        <v>486</v>
      </c>
      <c r="E294" s="24">
        <v>0</v>
      </c>
      <c r="F294" s="24" t="s">
        <v>129</v>
      </c>
    </row>
    <row r="295" spans="1:6" x14ac:dyDescent="0.3">
      <c r="A295" s="24" t="s">
        <v>55</v>
      </c>
      <c r="B295" s="24" t="s">
        <v>24</v>
      </c>
      <c r="C295" s="24" t="s">
        <v>87</v>
      </c>
      <c r="D295" s="24" t="s">
        <v>485</v>
      </c>
      <c r="E295" s="24">
        <v>0</v>
      </c>
      <c r="F295" s="24" t="s">
        <v>126</v>
      </c>
    </row>
    <row r="296" spans="1:6" x14ac:dyDescent="0.3">
      <c r="A296" s="24" t="s">
        <v>55</v>
      </c>
      <c r="B296" s="24" t="s">
        <v>24</v>
      </c>
      <c r="C296" s="24" t="s">
        <v>89</v>
      </c>
      <c r="D296" s="24" t="s">
        <v>486</v>
      </c>
      <c r="E296" s="24">
        <v>0</v>
      </c>
      <c r="F296" s="24" t="s">
        <v>129</v>
      </c>
    </row>
    <row r="297" spans="1:6" x14ac:dyDescent="0.3">
      <c r="A297" s="24" t="s">
        <v>55</v>
      </c>
      <c r="B297" s="24" t="s">
        <v>24</v>
      </c>
      <c r="C297" s="24" t="s">
        <v>91</v>
      </c>
      <c r="D297" s="24" t="s">
        <v>486</v>
      </c>
      <c r="E297" s="24">
        <v>0</v>
      </c>
      <c r="F297" s="24" t="s">
        <v>129</v>
      </c>
    </row>
    <row r="298" spans="1:6" x14ac:dyDescent="0.3">
      <c r="A298" s="24" t="s">
        <v>55</v>
      </c>
      <c r="B298" s="24" t="s">
        <v>24</v>
      </c>
      <c r="C298" s="24" t="s">
        <v>93</v>
      </c>
      <c r="D298" s="24" t="s">
        <v>486</v>
      </c>
      <c r="E298" s="24">
        <v>0</v>
      </c>
      <c r="F298" s="24" t="s">
        <v>127</v>
      </c>
    </row>
    <row r="299" spans="1:6" x14ac:dyDescent="0.3">
      <c r="A299" s="24" t="s">
        <v>55</v>
      </c>
      <c r="B299" s="24" t="s">
        <v>24</v>
      </c>
      <c r="C299" s="24" t="s">
        <v>95</v>
      </c>
      <c r="D299" s="24" t="s">
        <v>486</v>
      </c>
      <c r="E299" s="24">
        <v>1</v>
      </c>
      <c r="F299" s="24" t="s">
        <v>128</v>
      </c>
    </row>
    <row r="300" spans="1:6" x14ac:dyDescent="0.3">
      <c r="A300" s="24" t="s">
        <v>55</v>
      </c>
      <c r="B300" s="24" t="s">
        <v>24</v>
      </c>
      <c r="C300" s="24" t="s">
        <v>97</v>
      </c>
      <c r="D300" s="24" t="s">
        <v>485</v>
      </c>
      <c r="E300" s="24">
        <v>1</v>
      </c>
      <c r="F300" s="24" t="s">
        <v>128</v>
      </c>
    </row>
    <row r="301" spans="1:6" x14ac:dyDescent="0.3">
      <c r="A301" s="24" t="s">
        <v>55</v>
      </c>
      <c r="B301" s="24" t="s">
        <v>24</v>
      </c>
      <c r="C301" s="24" t="s">
        <v>99</v>
      </c>
      <c r="D301" s="24" t="s">
        <v>486</v>
      </c>
      <c r="E301" s="24">
        <v>1</v>
      </c>
      <c r="F301" s="24" t="s">
        <v>128</v>
      </c>
    </row>
    <row r="302" spans="1:6" x14ac:dyDescent="0.3">
      <c r="A302" s="24" t="s">
        <v>55</v>
      </c>
      <c r="B302" s="24" t="s">
        <v>24</v>
      </c>
      <c r="C302" s="24" t="s">
        <v>101</v>
      </c>
      <c r="D302" s="24" t="s">
        <v>487</v>
      </c>
      <c r="E302" s="24">
        <v>1</v>
      </c>
      <c r="F302" s="24" t="s">
        <v>129</v>
      </c>
    </row>
    <row r="303" spans="1:6" x14ac:dyDescent="0.3">
      <c r="A303" s="24" t="s">
        <v>55</v>
      </c>
      <c r="B303" s="24" t="s">
        <v>24</v>
      </c>
      <c r="C303" s="24" t="s">
        <v>103</v>
      </c>
      <c r="D303" s="24" t="s">
        <v>486</v>
      </c>
      <c r="E303" s="24">
        <v>0</v>
      </c>
      <c r="F303" s="24" t="s">
        <v>129</v>
      </c>
    </row>
    <row r="304" spans="1:6" x14ac:dyDescent="0.3">
      <c r="A304" s="24" t="s">
        <v>55</v>
      </c>
      <c r="B304" s="24" t="s">
        <v>24</v>
      </c>
      <c r="C304" s="24" t="s">
        <v>105</v>
      </c>
      <c r="D304" s="24" t="s">
        <v>486</v>
      </c>
      <c r="E304" s="24">
        <v>0</v>
      </c>
      <c r="F304" s="24" t="s">
        <v>129</v>
      </c>
    </row>
    <row r="305" spans="1:6" x14ac:dyDescent="0.3">
      <c r="A305" s="24" t="s">
        <v>55</v>
      </c>
      <c r="B305" s="24" t="s">
        <v>24</v>
      </c>
      <c r="C305" s="24" t="s">
        <v>107</v>
      </c>
      <c r="D305" s="24" t="s">
        <v>485</v>
      </c>
      <c r="E305" s="24">
        <v>0</v>
      </c>
      <c r="F305" s="24" t="s">
        <v>126</v>
      </c>
    </row>
    <row r="306" spans="1:6" x14ac:dyDescent="0.3">
      <c r="A306" s="24" t="s">
        <v>55</v>
      </c>
      <c r="B306" s="24" t="s">
        <v>24</v>
      </c>
      <c r="C306" s="24" t="s">
        <v>109</v>
      </c>
      <c r="D306" s="24" t="s">
        <v>485</v>
      </c>
      <c r="E306" s="24">
        <v>0</v>
      </c>
      <c r="F306" s="24" t="s">
        <v>129</v>
      </c>
    </row>
    <row r="307" spans="1:6" x14ac:dyDescent="0.3">
      <c r="A307" s="24" t="s">
        <v>55</v>
      </c>
      <c r="B307" s="24" t="s">
        <v>24</v>
      </c>
      <c r="C307" s="24" t="s">
        <v>111</v>
      </c>
      <c r="D307" s="24" t="s">
        <v>486</v>
      </c>
      <c r="E307" s="24">
        <v>0</v>
      </c>
      <c r="F307" s="24" t="s">
        <v>126</v>
      </c>
    </row>
    <row r="308" spans="1:6" x14ac:dyDescent="0.3">
      <c r="A308" s="24" t="s">
        <v>57</v>
      </c>
      <c r="B308" s="24" t="s">
        <v>24</v>
      </c>
      <c r="C308" s="24" t="s">
        <v>77</v>
      </c>
      <c r="D308" s="24" t="s">
        <v>485</v>
      </c>
      <c r="E308" s="24">
        <v>0</v>
      </c>
      <c r="F308" s="24" t="s">
        <v>126</v>
      </c>
    </row>
    <row r="309" spans="1:6" x14ac:dyDescent="0.3">
      <c r="A309" s="24" t="s">
        <v>57</v>
      </c>
      <c r="B309" s="24" t="s">
        <v>24</v>
      </c>
      <c r="C309" s="24" t="s">
        <v>79</v>
      </c>
      <c r="D309" s="24" t="s">
        <v>485</v>
      </c>
      <c r="E309" s="24">
        <v>0</v>
      </c>
      <c r="F309" s="24" t="s">
        <v>129</v>
      </c>
    </row>
    <row r="310" spans="1:6" x14ac:dyDescent="0.3">
      <c r="A310" s="24" t="s">
        <v>57</v>
      </c>
      <c r="B310" s="24" t="s">
        <v>24</v>
      </c>
      <c r="C310" s="24" t="s">
        <v>81</v>
      </c>
      <c r="D310" s="24" t="s">
        <v>486</v>
      </c>
      <c r="E310" s="24">
        <v>1</v>
      </c>
      <c r="F310" s="24" t="s">
        <v>128</v>
      </c>
    </row>
    <row r="311" spans="1:6" x14ac:dyDescent="0.3">
      <c r="A311" s="24" t="s">
        <v>57</v>
      </c>
      <c r="B311" s="24" t="s">
        <v>24</v>
      </c>
      <c r="C311" s="24" t="s">
        <v>83</v>
      </c>
      <c r="D311" s="24" t="s">
        <v>485</v>
      </c>
      <c r="E311" s="24">
        <v>0</v>
      </c>
      <c r="F311" s="24" t="s">
        <v>129</v>
      </c>
    </row>
    <row r="312" spans="1:6" x14ac:dyDescent="0.3">
      <c r="A312" s="24" t="s">
        <v>57</v>
      </c>
      <c r="B312" s="24" t="s">
        <v>24</v>
      </c>
      <c r="C312" s="24" t="s">
        <v>85</v>
      </c>
      <c r="D312" s="24" t="s">
        <v>486</v>
      </c>
      <c r="E312" s="24">
        <v>0</v>
      </c>
      <c r="F312" s="24" t="s">
        <v>129</v>
      </c>
    </row>
    <row r="313" spans="1:6" x14ac:dyDescent="0.3">
      <c r="A313" s="24" t="s">
        <v>57</v>
      </c>
      <c r="B313" s="24" t="s">
        <v>24</v>
      </c>
      <c r="C313" s="24" t="s">
        <v>87</v>
      </c>
      <c r="D313" s="24" t="s">
        <v>485</v>
      </c>
      <c r="E313" s="24">
        <v>0</v>
      </c>
      <c r="F313" s="24" t="s">
        <v>129</v>
      </c>
    </row>
    <row r="314" spans="1:6" x14ac:dyDescent="0.3">
      <c r="A314" s="24" t="s">
        <v>57</v>
      </c>
      <c r="B314" s="24" t="s">
        <v>24</v>
      </c>
      <c r="C314" s="24" t="s">
        <v>89</v>
      </c>
      <c r="D314" s="24" t="s">
        <v>486</v>
      </c>
      <c r="E314" s="24">
        <v>0</v>
      </c>
      <c r="F314" s="24" t="s">
        <v>129</v>
      </c>
    </row>
    <row r="315" spans="1:6" x14ac:dyDescent="0.3">
      <c r="A315" s="24" t="s">
        <v>57</v>
      </c>
      <c r="B315" s="24" t="s">
        <v>24</v>
      </c>
      <c r="C315" s="24" t="s">
        <v>91</v>
      </c>
      <c r="D315" s="24" t="s">
        <v>486</v>
      </c>
      <c r="E315" s="24">
        <v>0</v>
      </c>
      <c r="F315" s="24" t="s">
        <v>129</v>
      </c>
    </row>
    <row r="316" spans="1:6" x14ac:dyDescent="0.3">
      <c r="A316" s="24" t="s">
        <v>57</v>
      </c>
      <c r="B316" s="24" t="s">
        <v>24</v>
      </c>
      <c r="C316" s="24" t="s">
        <v>93</v>
      </c>
      <c r="D316" s="24" t="s">
        <v>486</v>
      </c>
      <c r="E316" s="24">
        <v>0</v>
      </c>
      <c r="F316" s="24" t="s">
        <v>129</v>
      </c>
    </row>
    <row r="317" spans="1:6" x14ac:dyDescent="0.3">
      <c r="A317" s="24" t="s">
        <v>57</v>
      </c>
      <c r="B317" s="24" t="s">
        <v>24</v>
      </c>
      <c r="C317" s="24" t="s">
        <v>95</v>
      </c>
      <c r="D317" s="24" t="s">
        <v>486</v>
      </c>
      <c r="E317" s="24">
        <v>1</v>
      </c>
      <c r="F317" s="24" t="s">
        <v>128</v>
      </c>
    </row>
    <row r="318" spans="1:6" x14ac:dyDescent="0.3">
      <c r="A318" s="24" t="s">
        <v>57</v>
      </c>
      <c r="B318" s="24" t="s">
        <v>24</v>
      </c>
      <c r="C318" s="24" t="s">
        <v>97</v>
      </c>
      <c r="D318" s="24" t="s">
        <v>485</v>
      </c>
      <c r="E318" s="24">
        <v>0</v>
      </c>
      <c r="F318" s="24" t="s">
        <v>129</v>
      </c>
    </row>
    <row r="319" spans="1:6" x14ac:dyDescent="0.3">
      <c r="A319" s="24" t="s">
        <v>57</v>
      </c>
      <c r="B319" s="24" t="s">
        <v>24</v>
      </c>
      <c r="C319" s="24" t="s">
        <v>99</v>
      </c>
      <c r="D319" s="24" t="s">
        <v>486</v>
      </c>
      <c r="E319" s="24">
        <v>0</v>
      </c>
      <c r="F319" s="24" t="s">
        <v>129</v>
      </c>
    </row>
    <row r="320" spans="1:6" x14ac:dyDescent="0.3">
      <c r="A320" s="24" t="s">
        <v>57</v>
      </c>
      <c r="B320" s="24" t="s">
        <v>24</v>
      </c>
      <c r="C320" s="24" t="s">
        <v>101</v>
      </c>
      <c r="D320" s="24" t="s">
        <v>487</v>
      </c>
      <c r="E320" s="24">
        <v>0</v>
      </c>
      <c r="F320" s="24" t="s">
        <v>129</v>
      </c>
    </row>
    <row r="321" spans="1:6" x14ac:dyDescent="0.3">
      <c r="A321" s="24" t="s">
        <v>57</v>
      </c>
      <c r="B321" s="24" t="s">
        <v>24</v>
      </c>
      <c r="C321" s="24" t="s">
        <v>103</v>
      </c>
      <c r="D321" s="24" t="s">
        <v>486</v>
      </c>
      <c r="E321" s="24">
        <v>0</v>
      </c>
      <c r="F321" s="24" t="s">
        <v>129</v>
      </c>
    </row>
    <row r="322" spans="1:6" x14ac:dyDescent="0.3">
      <c r="A322" s="24" t="s">
        <v>57</v>
      </c>
      <c r="B322" s="24" t="s">
        <v>24</v>
      </c>
      <c r="C322" s="24" t="s">
        <v>105</v>
      </c>
      <c r="D322" s="24" t="s">
        <v>486</v>
      </c>
      <c r="E322" s="24">
        <v>0</v>
      </c>
      <c r="F322" s="24" t="s">
        <v>129</v>
      </c>
    </row>
    <row r="323" spans="1:6" x14ac:dyDescent="0.3">
      <c r="A323" s="24" t="s">
        <v>57</v>
      </c>
      <c r="B323" s="24" t="s">
        <v>24</v>
      </c>
      <c r="C323" s="24" t="s">
        <v>107</v>
      </c>
      <c r="D323" s="24" t="s">
        <v>485</v>
      </c>
      <c r="E323" s="24">
        <v>0</v>
      </c>
      <c r="F323" s="24" t="s">
        <v>129</v>
      </c>
    </row>
    <row r="324" spans="1:6" x14ac:dyDescent="0.3">
      <c r="A324" s="24" t="s">
        <v>57</v>
      </c>
      <c r="B324" s="24" t="s">
        <v>24</v>
      </c>
      <c r="C324" s="24" t="s">
        <v>109</v>
      </c>
      <c r="D324" s="24" t="s">
        <v>485</v>
      </c>
      <c r="E324" s="24">
        <v>1</v>
      </c>
      <c r="F324" s="24" t="s">
        <v>129</v>
      </c>
    </row>
    <row r="325" spans="1:6" x14ac:dyDescent="0.3">
      <c r="A325" s="24" t="s">
        <v>57</v>
      </c>
      <c r="B325" s="24" t="s">
        <v>24</v>
      </c>
      <c r="C325" s="24" t="s">
        <v>111</v>
      </c>
      <c r="D325" s="24" t="s">
        <v>486</v>
      </c>
      <c r="E325" s="24">
        <v>0</v>
      </c>
      <c r="F325" s="24" t="s">
        <v>129</v>
      </c>
    </row>
    <row r="326" spans="1:6" x14ac:dyDescent="0.3">
      <c r="A326" s="24" t="s">
        <v>59</v>
      </c>
      <c r="B326" s="24" t="s">
        <v>24</v>
      </c>
      <c r="C326" s="24" t="s">
        <v>77</v>
      </c>
      <c r="D326" s="24" t="s">
        <v>485</v>
      </c>
      <c r="E326" s="24">
        <v>0</v>
      </c>
      <c r="F326" s="24" t="s">
        <v>126</v>
      </c>
    </row>
    <row r="327" spans="1:6" x14ac:dyDescent="0.3">
      <c r="A327" s="24" t="s">
        <v>59</v>
      </c>
      <c r="B327" s="24" t="s">
        <v>24</v>
      </c>
      <c r="C327" s="24" t="s">
        <v>79</v>
      </c>
      <c r="D327" s="24" t="s">
        <v>485</v>
      </c>
      <c r="E327" s="24">
        <v>0</v>
      </c>
      <c r="F327" s="24" t="s">
        <v>129</v>
      </c>
    </row>
    <row r="328" spans="1:6" x14ac:dyDescent="0.3">
      <c r="A328" s="24" t="s">
        <v>59</v>
      </c>
      <c r="B328" s="24" t="s">
        <v>24</v>
      </c>
      <c r="C328" s="24" t="s">
        <v>81</v>
      </c>
      <c r="D328" s="24" t="s">
        <v>486</v>
      </c>
      <c r="E328" s="24">
        <v>1</v>
      </c>
      <c r="F328" s="24" t="s">
        <v>129</v>
      </c>
    </row>
    <row r="329" spans="1:6" x14ac:dyDescent="0.3">
      <c r="A329" s="24" t="s">
        <v>59</v>
      </c>
      <c r="B329" s="24" t="s">
        <v>24</v>
      </c>
      <c r="C329" s="24" t="s">
        <v>83</v>
      </c>
      <c r="D329" s="24" t="s">
        <v>485</v>
      </c>
      <c r="E329" s="24">
        <v>0</v>
      </c>
      <c r="F329" s="24" t="s">
        <v>129</v>
      </c>
    </row>
    <row r="330" spans="1:6" x14ac:dyDescent="0.3">
      <c r="A330" s="24" t="s">
        <v>59</v>
      </c>
      <c r="B330" s="24" t="s">
        <v>24</v>
      </c>
      <c r="C330" s="24" t="s">
        <v>85</v>
      </c>
      <c r="D330" s="24" t="s">
        <v>486</v>
      </c>
      <c r="E330" s="24">
        <v>0</v>
      </c>
      <c r="F330" s="24" t="s">
        <v>129</v>
      </c>
    </row>
    <row r="331" spans="1:6" x14ac:dyDescent="0.3">
      <c r="A331" s="24" t="s">
        <v>59</v>
      </c>
      <c r="B331" s="24" t="s">
        <v>24</v>
      </c>
      <c r="C331" s="24" t="s">
        <v>87</v>
      </c>
      <c r="D331" s="24" t="s">
        <v>485</v>
      </c>
      <c r="E331" s="24">
        <v>0</v>
      </c>
      <c r="F331" s="24" t="s">
        <v>129</v>
      </c>
    </row>
    <row r="332" spans="1:6" x14ac:dyDescent="0.3">
      <c r="A332" s="24" t="s">
        <v>59</v>
      </c>
      <c r="B332" s="24" t="s">
        <v>24</v>
      </c>
      <c r="C332" s="24" t="s">
        <v>89</v>
      </c>
      <c r="D332" s="24" t="s">
        <v>486</v>
      </c>
      <c r="E332" s="24">
        <v>0</v>
      </c>
      <c r="F332" s="24" t="s">
        <v>129</v>
      </c>
    </row>
    <row r="333" spans="1:6" x14ac:dyDescent="0.3">
      <c r="A333" s="24" t="s">
        <v>59</v>
      </c>
      <c r="B333" s="24" t="s">
        <v>24</v>
      </c>
      <c r="C333" s="24" t="s">
        <v>91</v>
      </c>
      <c r="D333" s="24" t="s">
        <v>486</v>
      </c>
      <c r="E333" s="24">
        <v>0</v>
      </c>
      <c r="F333" s="24" t="s">
        <v>129</v>
      </c>
    </row>
    <row r="334" spans="1:6" x14ac:dyDescent="0.3">
      <c r="A334" s="24" t="s">
        <v>59</v>
      </c>
      <c r="B334" s="24" t="s">
        <v>24</v>
      </c>
      <c r="C334" s="24" t="s">
        <v>93</v>
      </c>
      <c r="D334" s="24" t="s">
        <v>486</v>
      </c>
      <c r="E334" s="24">
        <v>0</v>
      </c>
      <c r="F334" s="24" t="s">
        <v>129</v>
      </c>
    </row>
    <row r="335" spans="1:6" x14ac:dyDescent="0.3">
      <c r="A335" s="24" t="s">
        <v>59</v>
      </c>
      <c r="B335" s="24" t="s">
        <v>24</v>
      </c>
      <c r="C335" s="24" t="s">
        <v>95</v>
      </c>
      <c r="D335" s="24" t="s">
        <v>486</v>
      </c>
      <c r="E335" s="24">
        <v>0</v>
      </c>
      <c r="F335" s="24" t="s">
        <v>129</v>
      </c>
    </row>
    <row r="336" spans="1:6" x14ac:dyDescent="0.3">
      <c r="A336" s="24" t="s">
        <v>59</v>
      </c>
      <c r="B336" s="24" t="s">
        <v>24</v>
      </c>
      <c r="C336" s="24" t="s">
        <v>97</v>
      </c>
      <c r="D336" s="24" t="s">
        <v>485</v>
      </c>
      <c r="E336" s="24">
        <v>0</v>
      </c>
      <c r="F336" s="24" t="s">
        <v>129</v>
      </c>
    </row>
    <row r="337" spans="1:6" x14ac:dyDescent="0.3">
      <c r="A337" s="24" t="s">
        <v>59</v>
      </c>
      <c r="B337" s="24" t="s">
        <v>24</v>
      </c>
      <c r="C337" s="24" t="s">
        <v>99</v>
      </c>
      <c r="D337" s="24" t="s">
        <v>486</v>
      </c>
      <c r="E337" s="24">
        <v>0</v>
      </c>
      <c r="F337" s="24" t="s">
        <v>129</v>
      </c>
    </row>
    <row r="338" spans="1:6" x14ac:dyDescent="0.3">
      <c r="A338" s="24" t="s">
        <v>59</v>
      </c>
      <c r="B338" s="24" t="s">
        <v>24</v>
      </c>
      <c r="C338" s="24" t="s">
        <v>101</v>
      </c>
      <c r="D338" s="24" t="s">
        <v>487</v>
      </c>
      <c r="E338" s="24">
        <v>0</v>
      </c>
      <c r="F338" s="24" t="s">
        <v>129</v>
      </c>
    </row>
    <row r="339" spans="1:6" x14ac:dyDescent="0.3">
      <c r="A339" s="24" t="s">
        <v>59</v>
      </c>
      <c r="B339" s="24" t="s">
        <v>24</v>
      </c>
      <c r="C339" s="24" t="s">
        <v>103</v>
      </c>
      <c r="D339" s="24" t="s">
        <v>486</v>
      </c>
      <c r="E339" s="24">
        <v>0</v>
      </c>
      <c r="F339" s="24" t="s">
        <v>129</v>
      </c>
    </row>
    <row r="340" spans="1:6" x14ac:dyDescent="0.3">
      <c r="A340" s="24" t="s">
        <v>59</v>
      </c>
      <c r="B340" s="24" t="s">
        <v>24</v>
      </c>
      <c r="C340" s="24" t="s">
        <v>105</v>
      </c>
      <c r="D340" s="24" t="s">
        <v>486</v>
      </c>
      <c r="E340" s="24">
        <v>0</v>
      </c>
      <c r="F340" s="24" t="s">
        <v>127</v>
      </c>
    </row>
    <row r="341" spans="1:6" x14ac:dyDescent="0.3">
      <c r="A341" s="24" t="s">
        <v>59</v>
      </c>
      <c r="B341" s="24" t="s">
        <v>24</v>
      </c>
      <c r="C341" s="24" t="s">
        <v>107</v>
      </c>
      <c r="D341" s="24" t="s">
        <v>485</v>
      </c>
      <c r="E341" s="24">
        <v>0</v>
      </c>
      <c r="F341" s="24" t="s">
        <v>129</v>
      </c>
    </row>
    <row r="342" spans="1:6" x14ac:dyDescent="0.3">
      <c r="A342" s="24" t="s">
        <v>59</v>
      </c>
      <c r="B342" s="24" t="s">
        <v>24</v>
      </c>
      <c r="C342" s="24" t="s">
        <v>109</v>
      </c>
      <c r="D342" s="24" t="s">
        <v>485</v>
      </c>
      <c r="E342" s="24">
        <v>0</v>
      </c>
      <c r="F342" s="24" t="s">
        <v>128</v>
      </c>
    </row>
    <row r="343" spans="1:6" x14ac:dyDescent="0.3">
      <c r="A343" s="24" t="s">
        <v>59</v>
      </c>
      <c r="B343" s="24" t="s">
        <v>24</v>
      </c>
      <c r="C343" s="24" t="s">
        <v>111</v>
      </c>
      <c r="D343" s="24" t="s">
        <v>486</v>
      </c>
      <c r="E343" s="24">
        <v>0</v>
      </c>
      <c r="F343" s="24" t="s">
        <v>129</v>
      </c>
    </row>
    <row r="344" spans="1:6" x14ac:dyDescent="0.3">
      <c r="A344" s="24" t="s">
        <v>61</v>
      </c>
      <c r="B344" s="24" t="s">
        <v>24</v>
      </c>
      <c r="C344" s="24" t="s">
        <v>77</v>
      </c>
      <c r="D344" s="24" t="s">
        <v>485</v>
      </c>
      <c r="E344" s="24">
        <v>0</v>
      </c>
      <c r="F344" s="24" t="s">
        <v>126</v>
      </c>
    </row>
    <row r="345" spans="1:6" x14ac:dyDescent="0.3">
      <c r="A345" s="24" t="s">
        <v>61</v>
      </c>
      <c r="B345" s="24" t="s">
        <v>24</v>
      </c>
      <c r="C345" s="24" t="s">
        <v>79</v>
      </c>
      <c r="D345" s="24" t="s">
        <v>485</v>
      </c>
      <c r="E345" s="24">
        <v>0</v>
      </c>
      <c r="F345" s="24" t="s">
        <v>129</v>
      </c>
    </row>
    <row r="346" spans="1:6" x14ac:dyDescent="0.3">
      <c r="A346" s="24" t="s">
        <v>61</v>
      </c>
      <c r="B346" s="24" t="s">
        <v>24</v>
      </c>
      <c r="C346" s="24" t="s">
        <v>81</v>
      </c>
      <c r="D346" s="24" t="s">
        <v>486</v>
      </c>
      <c r="E346" s="24">
        <v>1</v>
      </c>
      <c r="F346" s="24" t="s">
        <v>128</v>
      </c>
    </row>
    <row r="347" spans="1:6" x14ac:dyDescent="0.3">
      <c r="A347" s="24" t="s">
        <v>61</v>
      </c>
      <c r="B347" s="24" t="s">
        <v>24</v>
      </c>
      <c r="C347" s="24" t="s">
        <v>83</v>
      </c>
      <c r="D347" s="24" t="s">
        <v>485</v>
      </c>
      <c r="E347" s="24">
        <v>0</v>
      </c>
      <c r="F347" s="24" t="s">
        <v>129</v>
      </c>
    </row>
    <row r="348" spans="1:6" x14ac:dyDescent="0.3">
      <c r="A348" s="24" t="s">
        <v>61</v>
      </c>
      <c r="B348" s="24" t="s">
        <v>24</v>
      </c>
      <c r="C348" s="24" t="s">
        <v>85</v>
      </c>
      <c r="D348" s="24" t="s">
        <v>486</v>
      </c>
      <c r="E348" s="24">
        <v>0</v>
      </c>
      <c r="F348" s="24" t="s">
        <v>129</v>
      </c>
    </row>
    <row r="349" spans="1:6" x14ac:dyDescent="0.3">
      <c r="A349" s="24" t="s">
        <v>61</v>
      </c>
      <c r="B349" s="24" t="s">
        <v>24</v>
      </c>
      <c r="C349" s="24" t="s">
        <v>87</v>
      </c>
      <c r="D349" s="24" t="s">
        <v>485</v>
      </c>
      <c r="E349" s="24">
        <v>0</v>
      </c>
      <c r="F349" s="24" t="s">
        <v>126</v>
      </c>
    </row>
    <row r="350" spans="1:6" x14ac:dyDescent="0.3">
      <c r="A350" s="24" t="s">
        <v>61</v>
      </c>
      <c r="B350" s="24" t="s">
        <v>24</v>
      </c>
      <c r="C350" s="24" t="s">
        <v>89</v>
      </c>
      <c r="D350" s="24" t="s">
        <v>486</v>
      </c>
      <c r="E350" s="24">
        <v>0</v>
      </c>
      <c r="F350" s="24" t="s">
        <v>129</v>
      </c>
    </row>
    <row r="351" spans="1:6" x14ac:dyDescent="0.3">
      <c r="A351" s="24" t="s">
        <v>61</v>
      </c>
      <c r="B351" s="24" t="s">
        <v>24</v>
      </c>
      <c r="C351" s="24" t="s">
        <v>91</v>
      </c>
      <c r="D351" s="24" t="s">
        <v>486</v>
      </c>
      <c r="E351" s="24">
        <v>0</v>
      </c>
      <c r="F351" s="24" t="s">
        <v>129</v>
      </c>
    </row>
    <row r="352" spans="1:6" x14ac:dyDescent="0.3">
      <c r="A352" s="24" t="s">
        <v>61</v>
      </c>
      <c r="B352" s="24" t="s">
        <v>24</v>
      </c>
      <c r="C352" s="24" t="s">
        <v>93</v>
      </c>
      <c r="D352" s="24" t="s">
        <v>486</v>
      </c>
      <c r="E352" s="24">
        <v>0</v>
      </c>
      <c r="F352" s="24" t="s">
        <v>129</v>
      </c>
    </row>
    <row r="353" spans="1:6" x14ac:dyDescent="0.3">
      <c r="A353" s="24" t="s">
        <v>61</v>
      </c>
      <c r="B353" s="24" t="s">
        <v>24</v>
      </c>
      <c r="C353" s="24" t="s">
        <v>95</v>
      </c>
      <c r="D353" s="24" t="s">
        <v>486</v>
      </c>
      <c r="E353" s="24">
        <v>0</v>
      </c>
      <c r="F353" s="24" t="s">
        <v>129</v>
      </c>
    </row>
    <row r="354" spans="1:6" x14ac:dyDescent="0.3">
      <c r="A354" s="24" t="s">
        <v>61</v>
      </c>
      <c r="B354" s="24" t="s">
        <v>24</v>
      </c>
      <c r="C354" s="24" t="s">
        <v>97</v>
      </c>
      <c r="D354" s="24" t="s">
        <v>485</v>
      </c>
      <c r="E354" s="24">
        <v>1</v>
      </c>
      <c r="F354" s="24" t="s">
        <v>128</v>
      </c>
    </row>
    <row r="355" spans="1:6" x14ac:dyDescent="0.3">
      <c r="A355" s="24" t="s">
        <v>61</v>
      </c>
      <c r="B355" s="24" t="s">
        <v>24</v>
      </c>
      <c r="C355" s="24" t="s">
        <v>99</v>
      </c>
      <c r="D355" s="24" t="s">
        <v>486</v>
      </c>
      <c r="E355" s="24">
        <v>0</v>
      </c>
      <c r="F355" s="24" t="s">
        <v>129</v>
      </c>
    </row>
    <row r="356" spans="1:6" x14ac:dyDescent="0.3">
      <c r="A356" s="24" t="s">
        <v>61</v>
      </c>
      <c r="B356" s="24" t="s">
        <v>24</v>
      </c>
      <c r="C356" s="24" t="s">
        <v>101</v>
      </c>
      <c r="D356" s="24" t="s">
        <v>487</v>
      </c>
      <c r="E356" s="24">
        <v>1</v>
      </c>
      <c r="F356" s="24" t="s">
        <v>128</v>
      </c>
    </row>
    <row r="357" spans="1:6" x14ac:dyDescent="0.3">
      <c r="A357" s="24" t="s">
        <v>61</v>
      </c>
      <c r="B357" s="24" t="s">
        <v>24</v>
      </c>
      <c r="C357" s="24" t="s">
        <v>103</v>
      </c>
      <c r="D357" s="24" t="s">
        <v>486</v>
      </c>
      <c r="E357" s="24">
        <v>0</v>
      </c>
      <c r="F357" s="24" t="s">
        <v>129</v>
      </c>
    </row>
    <row r="358" spans="1:6" x14ac:dyDescent="0.3">
      <c r="A358" s="24" t="s">
        <v>61</v>
      </c>
      <c r="B358" s="24" t="s">
        <v>24</v>
      </c>
      <c r="C358" s="24" t="s">
        <v>105</v>
      </c>
      <c r="D358" s="24" t="s">
        <v>486</v>
      </c>
      <c r="E358" s="24">
        <v>0</v>
      </c>
      <c r="F358" s="24" t="s">
        <v>129</v>
      </c>
    </row>
    <row r="359" spans="1:6" x14ac:dyDescent="0.3">
      <c r="A359" s="24" t="s">
        <v>61</v>
      </c>
      <c r="B359" s="24" t="s">
        <v>24</v>
      </c>
      <c r="C359" s="24" t="s">
        <v>107</v>
      </c>
      <c r="D359" s="24" t="s">
        <v>485</v>
      </c>
      <c r="E359" s="24">
        <v>0</v>
      </c>
      <c r="F359" s="24" t="s">
        <v>126</v>
      </c>
    </row>
    <row r="360" spans="1:6" x14ac:dyDescent="0.3">
      <c r="A360" s="24" t="s">
        <v>61</v>
      </c>
      <c r="B360" s="24" t="s">
        <v>24</v>
      </c>
      <c r="C360" s="24" t="s">
        <v>109</v>
      </c>
      <c r="D360" s="24" t="s">
        <v>485</v>
      </c>
      <c r="E360" s="24">
        <v>1</v>
      </c>
      <c r="F360" s="24" t="s">
        <v>129</v>
      </c>
    </row>
    <row r="361" spans="1:6" x14ac:dyDescent="0.3">
      <c r="A361" s="24" t="s">
        <v>61</v>
      </c>
      <c r="B361" s="24" t="s">
        <v>24</v>
      </c>
      <c r="C361" s="24" t="s">
        <v>111</v>
      </c>
      <c r="D361" s="24" t="s">
        <v>486</v>
      </c>
      <c r="E361" s="24">
        <v>0</v>
      </c>
      <c r="F361" s="24" t="s">
        <v>129</v>
      </c>
    </row>
    <row r="362" spans="1:6" x14ac:dyDescent="0.3">
      <c r="A362" s="24" t="s">
        <v>19</v>
      </c>
      <c r="B362" s="24" t="s">
        <v>21</v>
      </c>
      <c r="C362" s="24" t="s">
        <v>77</v>
      </c>
      <c r="D362" s="24" t="s">
        <v>485</v>
      </c>
      <c r="E362" s="24">
        <v>1</v>
      </c>
      <c r="F362" s="24" t="s">
        <v>129</v>
      </c>
    </row>
    <row r="363" spans="1:6" x14ac:dyDescent="0.3">
      <c r="A363" s="24" t="s">
        <v>19</v>
      </c>
      <c r="B363" s="24" t="s">
        <v>21</v>
      </c>
      <c r="C363" s="24" t="s">
        <v>79</v>
      </c>
      <c r="D363" s="24" t="s">
        <v>485</v>
      </c>
      <c r="E363" s="24">
        <v>0</v>
      </c>
      <c r="F363" s="24" t="s">
        <v>129</v>
      </c>
    </row>
    <row r="364" spans="1:6" x14ac:dyDescent="0.3">
      <c r="A364" s="24" t="s">
        <v>19</v>
      </c>
      <c r="B364" s="24" t="s">
        <v>21</v>
      </c>
      <c r="C364" s="24" t="s">
        <v>81</v>
      </c>
      <c r="D364" s="24" t="s">
        <v>486</v>
      </c>
      <c r="E364" s="24">
        <v>0</v>
      </c>
      <c r="F364" s="24" t="s">
        <v>129</v>
      </c>
    </row>
    <row r="365" spans="1:6" x14ac:dyDescent="0.3">
      <c r="A365" s="24" t="s">
        <v>19</v>
      </c>
      <c r="B365" s="24" t="s">
        <v>21</v>
      </c>
      <c r="C365" s="24" t="s">
        <v>83</v>
      </c>
      <c r="D365" s="24" t="s">
        <v>485</v>
      </c>
      <c r="E365" s="24">
        <v>0</v>
      </c>
      <c r="F365" s="24" t="s">
        <v>129</v>
      </c>
    </row>
    <row r="366" spans="1:6" x14ac:dyDescent="0.3">
      <c r="A366" s="24" t="s">
        <v>19</v>
      </c>
      <c r="B366" s="24" t="s">
        <v>21</v>
      </c>
      <c r="C366" s="24" t="s">
        <v>85</v>
      </c>
      <c r="D366" s="24" t="s">
        <v>486</v>
      </c>
      <c r="E366" s="24">
        <v>0</v>
      </c>
      <c r="F366" s="24" t="s">
        <v>129</v>
      </c>
    </row>
    <row r="367" spans="1:6" x14ac:dyDescent="0.3">
      <c r="A367" s="24" t="s">
        <v>19</v>
      </c>
      <c r="B367" s="24" t="s">
        <v>21</v>
      </c>
      <c r="C367" s="24" t="s">
        <v>87</v>
      </c>
      <c r="D367" s="24" t="s">
        <v>485</v>
      </c>
      <c r="E367" s="24">
        <v>0</v>
      </c>
      <c r="F367" s="24" t="s">
        <v>129</v>
      </c>
    </row>
    <row r="368" spans="1:6" x14ac:dyDescent="0.3">
      <c r="A368" s="24" t="s">
        <v>19</v>
      </c>
      <c r="B368" s="24" t="s">
        <v>21</v>
      </c>
      <c r="C368" s="24" t="s">
        <v>89</v>
      </c>
      <c r="D368" s="24" t="s">
        <v>486</v>
      </c>
      <c r="E368" s="24">
        <v>0</v>
      </c>
      <c r="F368" s="24" t="s">
        <v>129</v>
      </c>
    </row>
    <row r="369" spans="1:6" x14ac:dyDescent="0.3">
      <c r="A369" s="24" t="s">
        <v>19</v>
      </c>
      <c r="B369" s="24" t="s">
        <v>21</v>
      </c>
      <c r="C369" s="24" t="s">
        <v>91</v>
      </c>
      <c r="D369" s="24" t="s">
        <v>486</v>
      </c>
      <c r="E369" s="24">
        <v>0</v>
      </c>
      <c r="F369" s="24" t="s">
        <v>129</v>
      </c>
    </row>
    <row r="370" spans="1:6" x14ac:dyDescent="0.3">
      <c r="A370" s="24" t="s">
        <v>19</v>
      </c>
      <c r="B370" s="24" t="s">
        <v>21</v>
      </c>
      <c r="C370" s="24" t="s">
        <v>93</v>
      </c>
      <c r="D370" s="24" t="s">
        <v>486</v>
      </c>
      <c r="E370" s="24">
        <v>0</v>
      </c>
      <c r="F370" s="24" t="s">
        <v>129</v>
      </c>
    </row>
    <row r="371" spans="1:6" x14ac:dyDescent="0.3">
      <c r="A371" s="24" t="s">
        <v>19</v>
      </c>
      <c r="B371" s="24" t="s">
        <v>21</v>
      </c>
      <c r="C371" s="24" t="s">
        <v>95</v>
      </c>
      <c r="D371" s="24" t="s">
        <v>486</v>
      </c>
      <c r="E371" s="24">
        <v>0</v>
      </c>
      <c r="F371" s="24" t="s">
        <v>129</v>
      </c>
    </row>
    <row r="372" spans="1:6" x14ac:dyDescent="0.3">
      <c r="A372" s="24" t="s">
        <v>19</v>
      </c>
      <c r="B372" s="24" t="s">
        <v>21</v>
      </c>
      <c r="C372" s="24" t="s">
        <v>97</v>
      </c>
      <c r="D372" s="24" t="s">
        <v>485</v>
      </c>
      <c r="E372" s="24">
        <v>0</v>
      </c>
      <c r="F372" s="24" t="s">
        <v>129</v>
      </c>
    </row>
    <row r="373" spans="1:6" x14ac:dyDescent="0.3">
      <c r="A373" s="24" t="s">
        <v>19</v>
      </c>
      <c r="B373" s="24" t="s">
        <v>21</v>
      </c>
      <c r="C373" s="24" t="s">
        <v>99</v>
      </c>
      <c r="D373" s="24" t="s">
        <v>486</v>
      </c>
      <c r="E373" s="24">
        <v>0</v>
      </c>
      <c r="F373" s="24" t="s">
        <v>129</v>
      </c>
    </row>
    <row r="374" spans="1:6" x14ac:dyDescent="0.3">
      <c r="A374" s="24" t="s">
        <v>19</v>
      </c>
      <c r="B374" s="24" t="s">
        <v>21</v>
      </c>
      <c r="C374" s="24" t="s">
        <v>101</v>
      </c>
      <c r="D374" s="24" t="s">
        <v>487</v>
      </c>
      <c r="E374" s="24">
        <v>0</v>
      </c>
      <c r="F374" s="24" t="s">
        <v>129</v>
      </c>
    </row>
    <row r="375" spans="1:6" x14ac:dyDescent="0.3">
      <c r="A375" s="24" t="s">
        <v>19</v>
      </c>
      <c r="B375" s="24" t="s">
        <v>21</v>
      </c>
      <c r="C375" s="24" t="s">
        <v>103</v>
      </c>
      <c r="D375" s="24" t="s">
        <v>486</v>
      </c>
      <c r="E375" s="24">
        <v>0</v>
      </c>
      <c r="F375" s="24" t="s">
        <v>129</v>
      </c>
    </row>
    <row r="376" spans="1:6" x14ac:dyDescent="0.3">
      <c r="A376" s="24" t="s">
        <v>19</v>
      </c>
      <c r="B376" s="24" t="s">
        <v>21</v>
      </c>
      <c r="C376" s="24" t="s">
        <v>105</v>
      </c>
      <c r="D376" s="24" t="s">
        <v>486</v>
      </c>
      <c r="E376" s="24">
        <v>0</v>
      </c>
      <c r="F376" s="24" t="s">
        <v>129</v>
      </c>
    </row>
    <row r="377" spans="1:6" x14ac:dyDescent="0.3">
      <c r="A377" s="24" t="s">
        <v>19</v>
      </c>
      <c r="B377" s="24" t="s">
        <v>21</v>
      </c>
      <c r="C377" s="24" t="s">
        <v>107</v>
      </c>
      <c r="D377" s="24" t="s">
        <v>485</v>
      </c>
      <c r="E377" s="24">
        <v>0</v>
      </c>
      <c r="F377" s="24" t="s">
        <v>129</v>
      </c>
    </row>
    <row r="378" spans="1:6" x14ac:dyDescent="0.3">
      <c r="A378" s="24" t="s">
        <v>19</v>
      </c>
      <c r="B378" s="24" t="s">
        <v>21</v>
      </c>
      <c r="C378" s="24" t="s">
        <v>109</v>
      </c>
      <c r="D378" s="24" t="s">
        <v>485</v>
      </c>
      <c r="E378" s="24">
        <v>0</v>
      </c>
      <c r="F378" s="24" t="s">
        <v>129</v>
      </c>
    </row>
    <row r="379" spans="1:6" x14ac:dyDescent="0.3">
      <c r="A379" s="24" t="s">
        <v>19</v>
      </c>
      <c r="B379" s="24" t="s">
        <v>21</v>
      </c>
      <c r="C379" s="24" t="s">
        <v>111</v>
      </c>
      <c r="D379" s="24" t="s">
        <v>486</v>
      </c>
      <c r="E379" s="24">
        <v>0</v>
      </c>
      <c r="F379" s="24" t="s">
        <v>129</v>
      </c>
    </row>
    <row r="380" spans="1:6" x14ac:dyDescent="0.3">
      <c r="A380" s="24" t="s">
        <v>26</v>
      </c>
      <c r="B380" s="24" t="s">
        <v>21</v>
      </c>
      <c r="C380" s="24" t="s">
        <v>77</v>
      </c>
      <c r="D380" s="24" t="s">
        <v>485</v>
      </c>
      <c r="E380" s="24">
        <v>0</v>
      </c>
      <c r="F380" s="24" t="s">
        <v>126</v>
      </c>
    </row>
    <row r="381" spans="1:6" x14ac:dyDescent="0.3">
      <c r="A381" s="24" t="s">
        <v>26</v>
      </c>
      <c r="B381" s="24" t="s">
        <v>21</v>
      </c>
      <c r="C381" s="24" t="s">
        <v>79</v>
      </c>
      <c r="D381" s="24" t="s">
        <v>485</v>
      </c>
      <c r="E381" s="24">
        <v>0</v>
      </c>
      <c r="F381" s="24" t="s">
        <v>129</v>
      </c>
    </row>
    <row r="382" spans="1:6" x14ac:dyDescent="0.3">
      <c r="A382" s="24" t="s">
        <v>26</v>
      </c>
      <c r="B382" s="24" t="s">
        <v>21</v>
      </c>
      <c r="C382" s="24" t="s">
        <v>81</v>
      </c>
      <c r="D382" s="24" t="s">
        <v>486</v>
      </c>
      <c r="E382" s="24">
        <v>1</v>
      </c>
      <c r="F382" s="24" t="s">
        <v>129</v>
      </c>
    </row>
    <row r="383" spans="1:6" x14ac:dyDescent="0.3">
      <c r="A383" s="24" t="s">
        <v>26</v>
      </c>
      <c r="B383" s="24" t="s">
        <v>21</v>
      </c>
      <c r="C383" s="24" t="s">
        <v>83</v>
      </c>
      <c r="D383" s="24" t="s">
        <v>485</v>
      </c>
      <c r="E383" s="24">
        <v>0</v>
      </c>
      <c r="F383" s="24" t="s">
        <v>129</v>
      </c>
    </row>
    <row r="384" spans="1:6" x14ac:dyDescent="0.3">
      <c r="A384" s="24" t="s">
        <v>26</v>
      </c>
      <c r="B384" s="24" t="s">
        <v>21</v>
      </c>
      <c r="C384" s="24" t="s">
        <v>85</v>
      </c>
      <c r="D384" s="24" t="s">
        <v>486</v>
      </c>
      <c r="E384" s="24">
        <v>0</v>
      </c>
      <c r="F384" s="24" t="s">
        <v>129</v>
      </c>
    </row>
    <row r="385" spans="1:6" x14ac:dyDescent="0.3">
      <c r="A385" s="24" t="s">
        <v>26</v>
      </c>
      <c r="B385" s="24" t="s">
        <v>21</v>
      </c>
      <c r="C385" s="24" t="s">
        <v>87</v>
      </c>
      <c r="D385" s="24" t="s">
        <v>485</v>
      </c>
      <c r="E385" s="24">
        <v>0</v>
      </c>
      <c r="F385" s="24" t="s">
        <v>126</v>
      </c>
    </row>
    <row r="386" spans="1:6" x14ac:dyDescent="0.3">
      <c r="A386" s="24" t="s">
        <v>26</v>
      </c>
      <c r="B386" s="24" t="s">
        <v>21</v>
      </c>
      <c r="C386" s="24" t="s">
        <v>89</v>
      </c>
      <c r="D386" s="24" t="s">
        <v>486</v>
      </c>
      <c r="E386" s="24">
        <v>0</v>
      </c>
      <c r="F386" s="24" t="s">
        <v>129</v>
      </c>
    </row>
    <row r="387" spans="1:6" x14ac:dyDescent="0.3">
      <c r="A387" s="24" t="s">
        <v>26</v>
      </c>
      <c r="B387" s="24" t="s">
        <v>21</v>
      </c>
      <c r="C387" s="24" t="s">
        <v>91</v>
      </c>
      <c r="D387" s="24" t="s">
        <v>486</v>
      </c>
      <c r="E387" s="24">
        <v>0</v>
      </c>
      <c r="F387" s="24" t="s">
        <v>129</v>
      </c>
    </row>
    <row r="388" spans="1:6" x14ac:dyDescent="0.3">
      <c r="A388" s="24" t="s">
        <v>26</v>
      </c>
      <c r="B388" s="24" t="s">
        <v>21</v>
      </c>
      <c r="C388" s="24" t="s">
        <v>93</v>
      </c>
      <c r="D388" s="24" t="s">
        <v>486</v>
      </c>
      <c r="E388" s="24">
        <v>0</v>
      </c>
      <c r="F388" s="24" t="s">
        <v>129</v>
      </c>
    </row>
    <row r="389" spans="1:6" x14ac:dyDescent="0.3">
      <c r="A389" s="24" t="s">
        <v>26</v>
      </c>
      <c r="B389" s="24" t="s">
        <v>21</v>
      </c>
      <c r="C389" s="24" t="s">
        <v>95</v>
      </c>
      <c r="D389" s="24" t="s">
        <v>486</v>
      </c>
      <c r="E389" s="24">
        <v>0</v>
      </c>
      <c r="F389" s="24" t="s">
        <v>129</v>
      </c>
    </row>
    <row r="390" spans="1:6" x14ac:dyDescent="0.3">
      <c r="A390" s="24" t="s">
        <v>26</v>
      </c>
      <c r="B390" s="24" t="s">
        <v>21</v>
      </c>
      <c r="C390" s="24" t="s">
        <v>97</v>
      </c>
      <c r="D390" s="24" t="s">
        <v>485</v>
      </c>
      <c r="E390" s="24">
        <v>0</v>
      </c>
      <c r="F390" s="24" t="s">
        <v>129</v>
      </c>
    </row>
    <row r="391" spans="1:6" x14ac:dyDescent="0.3">
      <c r="A391" s="24" t="s">
        <v>26</v>
      </c>
      <c r="B391" s="24" t="s">
        <v>21</v>
      </c>
      <c r="C391" s="24" t="s">
        <v>99</v>
      </c>
      <c r="D391" s="24" t="s">
        <v>486</v>
      </c>
      <c r="E391" s="24">
        <v>0</v>
      </c>
      <c r="F391" s="24" t="s">
        <v>129</v>
      </c>
    </row>
    <row r="392" spans="1:6" x14ac:dyDescent="0.3">
      <c r="A392" s="24" t="s">
        <v>26</v>
      </c>
      <c r="B392" s="24" t="s">
        <v>21</v>
      </c>
      <c r="C392" s="24" t="s">
        <v>101</v>
      </c>
      <c r="D392" s="24" t="s">
        <v>487</v>
      </c>
      <c r="E392" s="24">
        <v>0</v>
      </c>
      <c r="F392" s="24" t="s">
        <v>129</v>
      </c>
    </row>
    <row r="393" spans="1:6" x14ac:dyDescent="0.3">
      <c r="A393" s="24" t="s">
        <v>26</v>
      </c>
      <c r="B393" s="24" t="s">
        <v>21</v>
      </c>
      <c r="C393" s="24" t="s">
        <v>103</v>
      </c>
      <c r="D393" s="24" t="s">
        <v>486</v>
      </c>
      <c r="E393" s="24">
        <v>0</v>
      </c>
      <c r="F393" s="24" t="s">
        <v>129</v>
      </c>
    </row>
    <row r="394" spans="1:6" x14ac:dyDescent="0.3">
      <c r="A394" s="24" t="s">
        <v>26</v>
      </c>
      <c r="B394" s="24" t="s">
        <v>21</v>
      </c>
      <c r="C394" s="24" t="s">
        <v>105</v>
      </c>
      <c r="D394" s="24" t="s">
        <v>486</v>
      </c>
      <c r="E394" s="24">
        <v>0</v>
      </c>
      <c r="F394" s="24" t="s">
        <v>129</v>
      </c>
    </row>
    <row r="395" spans="1:6" x14ac:dyDescent="0.3">
      <c r="A395" s="24" t="s">
        <v>26</v>
      </c>
      <c r="B395" s="24" t="s">
        <v>21</v>
      </c>
      <c r="C395" s="24" t="s">
        <v>107</v>
      </c>
      <c r="D395" s="24" t="s">
        <v>485</v>
      </c>
      <c r="E395" s="24">
        <v>0</v>
      </c>
      <c r="F395" s="24" t="s">
        <v>126</v>
      </c>
    </row>
    <row r="396" spans="1:6" x14ac:dyDescent="0.3">
      <c r="A396" s="24" t="s">
        <v>26</v>
      </c>
      <c r="B396" s="24" t="s">
        <v>21</v>
      </c>
      <c r="C396" s="24" t="s">
        <v>109</v>
      </c>
      <c r="D396" s="24" t="s">
        <v>485</v>
      </c>
      <c r="E396" s="24">
        <v>0</v>
      </c>
      <c r="F396" s="24" t="s">
        <v>129</v>
      </c>
    </row>
    <row r="397" spans="1:6" x14ac:dyDescent="0.3">
      <c r="A397" s="24" t="s">
        <v>26</v>
      </c>
      <c r="B397" s="24" t="s">
        <v>21</v>
      </c>
      <c r="C397" s="24" t="s">
        <v>111</v>
      </c>
      <c r="D397" s="24" t="s">
        <v>486</v>
      </c>
      <c r="E397" s="24">
        <v>0</v>
      </c>
      <c r="F397" s="24" t="s">
        <v>129</v>
      </c>
    </row>
    <row r="398" spans="1:6" x14ac:dyDescent="0.3">
      <c r="A398" s="24" t="s">
        <v>28</v>
      </c>
      <c r="B398" s="24" t="s">
        <v>21</v>
      </c>
      <c r="C398" s="24" t="s">
        <v>77</v>
      </c>
      <c r="D398" s="24" t="s">
        <v>485</v>
      </c>
      <c r="E398" s="24">
        <v>0</v>
      </c>
      <c r="F398" s="24" t="s">
        <v>126</v>
      </c>
    </row>
    <row r="399" spans="1:6" x14ac:dyDescent="0.3">
      <c r="A399" s="24" t="s">
        <v>28</v>
      </c>
      <c r="B399" s="24" t="s">
        <v>21</v>
      </c>
      <c r="C399" s="24" t="s">
        <v>79</v>
      </c>
      <c r="D399" s="24" t="s">
        <v>485</v>
      </c>
      <c r="E399" s="24">
        <v>0</v>
      </c>
      <c r="F399" s="24" t="s">
        <v>129</v>
      </c>
    </row>
    <row r="400" spans="1:6" x14ac:dyDescent="0.3">
      <c r="A400" s="24" t="s">
        <v>28</v>
      </c>
      <c r="B400" s="24" t="s">
        <v>21</v>
      </c>
      <c r="C400" s="24" t="s">
        <v>81</v>
      </c>
      <c r="D400" s="24" t="s">
        <v>486</v>
      </c>
      <c r="E400" s="24">
        <v>1</v>
      </c>
      <c r="F400" s="24" t="s">
        <v>129</v>
      </c>
    </row>
    <row r="401" spans="1:6" x14ac:dyDescent="0.3">
      <c r="A401" s="24" t="s">
        <v>28</v>
      </c>
      <c r="B401" s="24" t="s">
        <v>21</v>
      </c>
      <c r="C401" s="24" t="s">
        <v>83</v>
      </c>
      <c r="D401" s="24" t="s">
        <v>485</v>
      </c>
      <c r="E401" s="24">
        <v>0</v>
      </c>
      <c r="F401" s="24" t="s">
        <v>129</v>
      </c>
    </row>
    <row r="402" spans="1:6" x14ac:dyDescent="0.3">
      <c r="A402" s="24" t="s">
        <v>28</v>
      </c>
      <c r="B402" s="24" t="s">
        <v>21</v>
      </c>
      <c r="C402" s="24" t="s">
        <v>85</v>
      </c>
      <c r="D402" s="24" t="s">
        <v>486</v>
      </c>
      <c r="E402" s="24">
        <v>0</v>
      </c>
      <c r="F402" s="24" t="s">
        <v>129</v>
      </c>
    </row>
    <row r="403" spans="1:6" x14ac:dyDescent="0.3">
      <c r="A403" s="24" t="s">
        <v>28</v>
      </c>
      <c r="B403" s="24" t="s">
        <v>21</v>
      </c>
      <c r="C403" s="24" t="s">
        <v>87</v>
      </c>
      <c r="D403" s="24" t="s">
        <v>485</v>
      </c>
      <c r="E403" s="24">
        <v>0</v>
      </c>
      <c r="F403" s="24" t="s">
        <v>126</v>
      </c>
    </row>
    <row r="404" spans="1:6" x14ac:dyDescent="0.3">
      <c r="A404" s="24" t="s">
        <v>28</v>
      </c>
      <c r="B404" s="24" t="s">
        <v>21</v>
      </c>
      <c r="C404" s="24" t="s">
        <v>89</v>
      </c>
      <c r="D404" s="24" t="s">
        <v>486</v>
      </c>
      <c r="E404" s="24">
        <v>0</v>
      </c>
      <c r="F404" s="24" t="s">
        <v>129</v>
      </c>
    </row>
    <row r="405" spans="1:6" x14ac:dyDescent="0.3">
      <c r="A405" s="24" t="s">
        <v>28</v>
      </c>
      <c r="B405" s="24" t="s">
        <v>21</v>
      </c>
      <c r="C405" s="24" t="s">
        <v>91</v>
      </c>
      <c r="D405" s="24" t="s">
        <v>486</v>
      </c>
      <c r="E405" s="24">
        <v>0</v>
      </c>
      <c r="F405" s="24" t="s">
        <v>129</v>
      </c>
    </row>
    <row r="406" spans="1:6" x14ac:dyDescent="0.3">
      <c r="A406" s="24" t="s">
        <v>28</v>
      </c>
      <c r="B406" s="24" t="s">
        <v>21</v>
      </c>
      <c r="C406" s="24" t="s">
        <v>93</v>
      </c>
      <c r="D406" s="24" t="s">
        <v>486</v>
      </c>
      <c r="E406" s="24">
        <v>0</v>
      </c>
      <c r="F406" s="24" t="s">
        <v>129</v>
      </c>
    </row>
    <row r="407" spans="1:6" x14ac:dyDescent="0.3">
      <c r="A407" s="24" t="s">
        <v>28</v>
      </c>
      <c r="B407" s="24" t="s">
        <v>21</v>
      </c>
      <c r="C407" s="24" t="s">
        <v>95</v>
      </c>
      <c r="D407" s="24" t="s">
        <v>486</v>
      </c>
      <c r="E407" s="24">
        <v>0</v>
      </c>
      <c r="F407" s="24" t="s">
        <v>129</v>
      </c>
    </row>
    <row r="408" spans="1:6" x14ac:dyDescent="0.3">
      <c r="A408" s="24" t="s">
        <v>28</v>
      </c>
      <c r="B408" s="24" t="s">
        <v>21</v>
      </c>
      <c r="C408" s="24" t="s">
        <v>97</v>
      </c>
      <c r="D408" s="24" t="s">
        <v>485</v>
      </c>
      <c r="E408" s="24">
        <v>0</v>
      </c>
      <c r="F408" s="24" t="s">
        <v>129</v>
      </c>
    </row>
    <row r="409" spans="1:6" x14ac:dyDescent="0.3">
      <c r="A409" s="24" t="s">
        <v>28</v>
      </c>
      <c r="B409" s="24" t="s">
        <v>21</v>
      </c>
      <c r="C409" s="24" t="s">
        <v>99</v>
      </c>
      <c r="D409" s="24" t="s">
        <v>486</v>
      </c>
      <c r="E409" s="24">
        <v>0</v>
      </c>
      <c r="F409" s="24" t="s">
        <v>129</v>
      </c>
    </row>
    <row r="410" spans="1:6" x14ac:dyDescent="0.3">
      <c r="A410" s="24" t="s">
        <v>28</v>
      </c>
      <c r="B410" s="24" t="s">
        <v>21</v>
      </c>
      <c r="C410" s="24" t="s">
        <v>101</v>
      </c>
      <c r="D410" s="24" t="s">
        <v>487</v>
      </c>
      <c r="E410" s="24">
        <v>0</v>
      </c>
      <c r="F410" s="24" t="s">
        <v>129</v>
      </c>
    </row>
    <row r="411" spans="1:6" x14ac:dyDescent="0.3">
      <c r="A411" s="24" t="s">
        <v>28</v>
      </c>
      <c r="B411" s="24" t="s">
        <v>21</v>
      </c>
      <c r="C411" s="24" t="s">
        <v>103</v>
      </c>
      <c r="D411" s="24" t="s">
        <v>486</v>
      </c>
      <c r="E411" s="24">
        <v>0</v>
      </c>
      <c r="F411" s="24" t="s">
        <v>129</v>
      </c>
    </row>
    <row r="412" spans="1:6" x14ac:dyDescent="0.3">
      <c r="A412" s="24" t="s">
        <v>28</v>
      </c>
      <c r="B412" s="24" t="s">
        <v>21</v>
      </c>
      <c r="C412" s="24" t="s">
        <v>105</v>
      </c>
      <c r="D412" s="24" t="s">
        <v>486</v>
      </c>
      <c r="E412" s="24">
        <v>0</v>
      </c>
      <c r="F412" s="24" t="s">
        <v>129</v>
      </c>
    </row>
    <row r="413" spans="1:6" x14ac:dyDescent="0.3">
      <c r="A413" s="24" t="s">
        <v>28</v>
      </c>
      <c r="B413" s="24" t="s">
        <v>21</v>
      </c>
      <c r="C413" s="24" t="s">
        <v>107</v>
      </c>
      <c r="D413" s="24" t="s">
        <v>485</v>
      </c>
      <c r="E413" s="24">
        <v>0</v>
      </c>
      <c r="F413" s="24" t="s">
        <v>129</v>
      </c>
    </row>
    <row r="414" spans="1:6" x14ac:dyDescent="0.3">
      <c r="A414" s="24" t="s">
        <v>28</v>
      </c>
      <c r="B414" s="24" t="s">
        <v>21</v>
      </c>
      <c r="C414" s="24" t="s">
        <v>109</v>
      </c>
      <c r="D414" s="24" t="s">
        <v>485</v>
      </c>
      <c r="E414" s="24">
        <v>1</v>
      </c>
      <c r="F414" s="24" t="s">
        <v>129</v>
      </c>
    </row>
    <row r="415" spans="1:6" x14ac:dyDescent="0.3">
      <c r="A415" s="24" t="s">
        <v>28</v>
      </c>
      <c r="B415" s="24" t="s">
        <v>21</v>
      </c>
      <c r="C415" s="24" t="s">
        <v>111</v>
      </c>
      <c r="D415" s="24" t="s">
        <v>486</v>
      </c>
      <c r="E415" s="24">
        <v>0</v>
      </c>
      <c r="F415" s="24" t="s">
        <v>129</v>
      </c>
    </row>
    <row r="416" spans="1:6" x14ac:dyDescent="0.3">
      <c r="A416" s="24" t="s">
        <v>30</v>
      </c>
      <c r="B416" s="24" t="s">
        <v>21</v>
      </c>
      <c r="C416" s="24" t="s">
        <v>77</v>
      </c>
      <c r="D416" s="24" t="s">
        <v>485</v>
      </c>
      <c r="E416" s="24">
        <v>0</v>
      </c>
      <c r="F416" s="24" t="s">
        <v>126</v>
      </c>
    </row>
    <row r="417" spans="1:6" x14ac:dyDescent="0.3">
      <c r="A417" s="24" t="s">
        <v>30</v>
      </c>
      <c r="B417" s="24" t="s">
        <v>21</v>
      </c>
      <c r="C417" s="24" t="s">
        <v>79</v>
      </c>
      <c r="D417" s="24" t="s">
        <v>485</v>
      </c>
      <c r="E417" s="24">
        <v>0</v>
      </c>
      <c r="F417" s="24" t="s">
        <v>129</v>
      </c>
    </row>
    <row r="418" spans="1:6" x14ac:dyDescent="0.3">
      <c r="A418" s="24" t="s">
        <v>30</v>
      </c>
      <c r="B418" s="24" t="s">
        <v>21</v>
      </c>
      <c r="C418" s="24" t="s">
        <v>81</v>
      </c>
      <c r="D418" s="24" t="s">
        <v>486</v>
      </c>
      <c r="E418" s="24">
        <v>0</v>
      </c>
      <c r="F418" s="24" t="s">
        <v>129</v>
      </c>
    </row>
    <row r="419" spans="1:6" x14ac:dyDescent="0.3">
      <c r="A419" s="24" t="s">
        <v>30</v>
      </c>
      <c r="B419" s="24" t="s">
        <v>21</v>
      </c>
      <c r="C419" s="24" t="s">
        <v>83</v>
      </c>
      <c r="D419" s="24" t="s">
        <v>485</v>
      </c>
      <c r="E419" s="24">
        <v>0</v>
      </c>
      <c r="F419" s="24" t="s">
        <v>129</v>
      </c>
    </row>
    <row r="420" spans="1:6" x14ac:dyDescent="0.3">
      <c r="A420" s="24" t="s">
        <v>30</v>
      </c>
      <c r="B420" s="24" t="s">
        <v>21</v>
      </c>
      <c r="C420" s="24" t="s">
        <v>85</v>
      </c>
      <c r="D420" s="24" t="s">
        <v>486</v>
      </c>
      <c r="E420" s="24">
        <v>0</v>
      </c>
      <c r="F420" s="24" t="s">
        <v>129</v>
      </c>
    </row>
    <row r="421" spans="1:6" x14ac:dyDescent="0.3">
      <c r="A421" s="24" t="s">
        <v>30</v>
      </c>
      <c r="B421" s="24" t="s">
        <v>21</v>
      </c>
      <c r="C421" s="24" t="s">
        <v>87</v>
      </c>
      <c r="D421" s="24" t="s">
        <v>485</v>
      </c>
      <c r="E421" s="24">
        <v>0</v>
      </c>
      <c r="F421" s="24" t="s">
        <v>129</v>
      </c>
    </row>
    <row r="422" spans="1:6" x14ac:dyDescent="0.3">
      <c r="A422" s="24" t="s">
        <v>30</v>
      </c>
      <c r="B422" s="24" t="s">
        <v>21</v>
      </c>
      <c r="C422" s="24" t="s">
        <v>89</v>
      </c>
      <c r="D422" s="24" t="s">
        <v>486</v>
      </c>
      <c r="E422" s="24">
        <v>0</v>
      </c>
      <c r="F422" s="24" t="s">
        <v>129</v>
      </c>
    </row>
    <row r="423" spans="1:6" x14ac:dyDescent="0.3">
      <c r="A423" s="24" t="s">
        <v>30</v>
      </c>
      <c r="B423" s="24" t="s">
        <v>21</v>
      </c>
      <c r="C423" s="24" t="s">
        <v>91</v>
      </c>
      <c r="D423" s="24" t="s">
        <v>486</v>
      </c>
      <c r="E423" s="24">
        <v>0</v>
      </c>
      <c r="F423" s="24" t="s">
        <v>129</v>
      </c>
    </row>
    <row r="424" spans="1:6" x14ac:dyDescent="0.3">
      <c r="A424" s="24" t="s">
        <v>30</v>
      </c>
      <c r="B424" s="24" t="s">
        <v>21</v>
      </c>
      <c r="C424" s="24" t="s">
        <v>93</v>
      </c>
      <c r="D424" s="24" t="s">
        <v>486</v>
      </c>
      <c r="E424" s="24">
        <v>0</v>
      </c>
      <c r="F424" s="24" t="s">
        <v>129</v>
      </c>
    </row>
    <row r="425" spans="1:6" x14ac:dyDescent="0.3">
      <c r="A425" s="24" t="s">
        <v>30</v>
      </c>
      <c r="B425" s="24" t="s">
        <v>21</v>
      </c>
      <c r="C425" s="24" t="s">
        <v>95</v>
      </c>
      <c r="D425" s="24" t="s">
        <v>486</v>
      </c>
      <c r="E425" s="24">
        <v>0</v>
      </c>
      <c r="F425" s="24" t="s">
        <v>129</v>
      </c>
    </row>
    <row r="426" spans="1:6" x14ac:dyDescent="0.3">
      <c r="A426" s="24" t="s">
        <v>30</v>
      </c>
      <c r="B426" s="24" t="s">
        <v>21</v>
      </c>
      <c r="C426" s="24" t="s">
        <v>97</v>
      </c>
      <c r="D426" s="24" t="s">
        <v>485</v>
      </c>
      <c r="E426" s="24">
        <v>0</v>
      </c>
      <c r="F426" s="24" t="s">
        <v>129</v>
      </c>
    </row>
    <row r="427" spans="1:6" x14ac:dyDescent="0.3">
      <c r="A427" s="24" t="s">
        <v>30</v>
      </c>
      <c r="B427" s="24" t="s">
        <v>21</v>
      </c>
      <c r="C427" s="24" t="s">
        <v>99</v>
      </c>
      <c r="D427" s="24" t="s">
        <v>486</v>
      </c>
      <c r="E427" s="24">
        <v>0</v>
      </c>
      <c r="F427" s="24" t="s">
        <v>129</v>
      </c>
    </row>
    <row r="428" spans="1:6" x14ac:dyDescent="0.3">
      <c r="A428" s="24" t="s">
        <v>30</v>
      </c>
      <c r="B428" s="24" t="s">
        <v>21</v>
      </c>
      <c r="C428" s="24" t="s">
        <v>101</v>
      </c>
      <c r="D428" s="24" t="s">
        <v>487</v>
      </c>
      <c r="E428" s="24">
        <v>1</v>
      </c>
      <c r="F428" s="24" t="s">
        <v>128</v>
      </c>
    </row>
    <row r="429" spans="1:6" x14ac:dyDescent="0.3">
      <c r="A429" s="24" t="s">
        <v>30</v>
      </c>
      <c r="B429" s="24" t="s">
        <v>21</v>
      </c>
      <c r="C429" s="24" t="s">
        <v>103</v>
      </c>
      <c r="D429" s="24" t="s">
        <v>486</v>
      </c>
      <c r="E429" s="24">
        <v>0</v>
      </c>
      <c r="F429" s="24" t="s">
        <v>129</v>
      </c>
    </row>
    <row r="430" spans="1:6" x14ac:dyDescent="0.3">
      <c r="A430" s="24" t="s">
        <v>30</v>
      </c>
      <c r="B430" s="24" t="s">
        <v>21</v>
      </c>
      <c r="C430" s="24" t="s">
        <v>105</v>
      </c>
      <c r="D430" s="24" t="s">
        <v>486</v>
      </c>
      <c r="E430" s="24">
        <v>0</v>
      </c>
      <c r="F430" s="24" t="s">
        <v>129</v>
      </c>
    </row>
    <row r="431" spans="1:6" x14ac:dyDescent="0.3">
      <c r="A431" s="24" t="s">
        <v>30</v>
      </c>
      <c r="B431" s="24" t="s">
        <v>21</v>
      </c>
      <c r="C431" s="24" t="s">
        <v>107</v>
      </c>
      <c r="D431" s="24" t="s">
        <v>485</v>
      </c>
      <c r="E431" s="24">
        <v>0</v>
      </c>
      <c r="F431" s="24" t="s">
        <v>129</v>
      </c>
    </row>
    <row r="432" spans="1:6" x14ac:dyDescent="0.3">
      <c r="A432" s="24" t="s">
        <v>30</v>
      </c>
      <c r="B432" s="24" t="s">
        <v>21</v>
      </c>
      <c r="C432" s="24" t="s">
        <v>109</v>
      </c>
      <c r="D432" s="24" t="s">
        <v>485</v>
      </c>
      <c r="E432" s="24">
        <v>1</v>
      </c>
      <c r="F432" s="24" t="s">
        <v>129</v>
      </c>
    </row>
    <row r="433" spans="1:6" x14ac:dyDescent="0.3">
      <c r="A433" s="24" t="s">
        <v>30</v>
      </c>
      <c r="B433" s="24" t="s">
        <v>21</v>
      </c>
      <c r="C433" s="24" t="s">
        <v>111</v>
      </c>
      <c r="D433" s="24" t="s">
        <v>486</v>
      </c>
      <c r="E433" s="24">
        <v>0</v>
      </c>
      <c r="F433" s="24" t="s">
        <v>129</v>
      </c>
    </row>
    <row r="434" spans="1:6" x14ac:dyDescent="0.3">
      <c r="A434" s="24" t="s">
        <v>32</v>
      </c>
      <c r="B434" s="24" t="s">
        <v>21</v>
      </c>
      <c r="C434" s="24" t="s">
        <v>77</v>
      </c>
      <c r="D434" s="24" t="s">
        <v>485</v>
      </c>
      <c r="E434" s="24">
        <v>0</v>
      </c>
      <c r="F434" s="24" t="s">
        <v>129</v>
      </c>
    </row>
    <row r="435" spans="1:6" x14ac:dyDescent="0.3">
      <c r="A435" s="24" t="s">
        <v>32</v>
      </c>
      <c r="B435" s="24" t="s">
        <v>21</v>
      </c>
      <c r="C435" s="24" t="s">
        <v>79</v>
      </c>
      <c r="D435" s="24" t="s">
        <v>485</v>
      </c>
      <c r="E435" s="24">
        <v>0</v>
      </c>
      <c r="F435" s="24" t="s">
        <v>129</v>
      </c>
    </row>
    <row r="436" spans="1:6" x14ac:dyDescent="0.3">
      <c r="A436" s="24" t="s">
        <v>32</v>
      </c>
      <c r="B436" s="24" t="s">
        <v>21</v>
      </c>
      <c r="C436" s="24" t="s">
        <v>81</v>
      </c>
      <c r="D436" s="24" t="s">
        <v>486</v>
      </c>
      <c r="E436" s="24">
        <v>1</v>
      </c>
      <c r="F436" s="24" t="s">
        <v>129</v>
      </c>
    </row>
    <row r="437" spans="1:6" x14ac:dyDescent="0.3">
      <c r="A437" s="24" t="s">
        <v>32</v>
      </c>
      <c r="B437" s="24" t="s">
        <v>21</v>
      </c>
      <c r="C437" s="24" t="s">
        <v>83</v>
      </c>
      <c r="D437" s="24" t="s">
        <v>485</v>
      </c>
      <c r="E437" s="24">
        <v>0</v>
      </c>
      <c r="F437" s="24" t="s">
        <v>129</v>
      </c>
    </row>
    <row r="438" spans="1:6" x14ac:dyDescent="0.3">
      <c r="A438" s="24" t="s">
        <v>32</v>
      </c>
      <c r="B438" s="24" t="s">
        <v>21</v>
      </c>
      <c r="C438" s="24" t="s">
        <v>85</v>
      </c>
      <c r="D438" s="24" t="s">
        <v>486</v>
      </c>
      <c r="E438" s="24">
        <v>0</v>
      </c>
      <c r="F438" s="24" t="s">
        <v>129</v>
      </c>
    </row>
    <row r="439" spans="1:6" x14ac:dyDescent="0.3">
      <c r="A439" s="24" t="s">
        <v>32</v>
      </c>
      <c r="B439" s="24" t="s">
        <v>21</v>
      </c>
      <c r="C439" s="24" t="s">
        <v>87</v>
      </c>
      <c r="D439" s="24" t="s">
        <v>485</v>
      </c>
      <c r="E439" s="24">
        <v>0</v>
      </c>
      <c r="F439" s="24" t="s">
        <v>129</v>
      </c>
    </row>
    <row r="440" spans="1:6" x14ac:dyDescent="0.3">
      <c r="A440" s="24" t="s">
        <v>32</v>
      </c>
      <c r="B440" s="24" t="s">
        <v>21</v>
      </c>
      <c r="C440" s="24" t="s">
        <v>89</v>
      </c>
      <c r="D440" s="24" t="s">
        <v>486</v>
      </c>
      <c r="E440" s="24">
        <v>0</v>
      </c>
      <c r="F440" s="24" t="s">
        <v>129</v>
      </c>
    </row>
    <row r="441" spans="1:6" x14ac:dyDescent="0.3">
      <c r="A441" s="24" t="s">
        <v>32</v>
      </c>
      <c r="B441" s="24" t="s">
        <v>21</v>
      </c>
      <c r="C441" s="24" t="s">
        <v>91</v>
      </c>
      <c r="D441" s="24" t="s">
        <v>486</v>
      </c>
      <c r="E441" s="24">
        <v>0</v>
      </c>
      <c r="F441" s="24" t="s">
        <v>129</v>
      </c>
    </row>
    <row r="442" spans="1:6" x14ac:dyDescent="0.3">
      <c r="A442" s="24" t="s">
        <v>32</v>
      </c>
      <c r="B442" s="24" t="s">
        <v>21</v>
      </c>
      <c r="C442" s="24" t="s">
        <v>93</v>
      </c>
      <c r="D442" s="24" t="s">
        <v>486</v>
      </c>
      <c r="E442" s="24">
        <v>0</v>
      </c>
      <c r="F442" s="24" t="s">
        <v>129</v>
      </c>
    </row>
    <row r="443" spans="1:6" x14ac:dyDescent="0.3">
      <c r="A443" s="24" t="s">
        <v>32</v>
      </c>
      <c r="B443" s="24" t="s">
        <v>21</v>
      </c>
      <c r="C443" s="24" t="s">
        <v>95</v>
      </c>
      <c r="D443" s="24" t="s">
        <v>486</v>
      </c>
      <c r="E443" s="24">
        <v>0</v>
      </c>
      <c r="F443" s="24" t="s">
        <v>129</v>
      </c>
    </row>
    <row r="444" spans="1:6" x14ac:dyDescent="0.3">
      <c r="A444" s="24" t="s">
        <v>32</v>
      </c>
      <c r="B444" s="24" t="s">
        <v>21</v>
      </c>
      <c r="C444" s="24" t="s">
        <v>97</v>
      </c>
      <c r="D444" s="24" t="s">
        <v>485</v>
      </c>
      <c r="E444" s="24">
        <v>0</v>
      </c>
      <c r="F444" s="24" t="s">
        <v>129</v>
      </c>
    </row>
    <row r="445" spans="1:6" x14ac:dyDescent="0.3">
      <c r="A445" s="24" t="s">
        <v>32</v>
      </c>
      <c r="B445" s="24" t="s">
        <v>21</v>
      </c>
      <c r="C445" s="24" t="s">
        <v>99</v>
      </c>
      <c r="D445" s="24" t="s">
        <v>486</v>
      </c>
      <c r="E445" s="24">
        <v>0</v>
      </c>
      <c r="F445" s="24" t="s">
        <v>129</v>
      </c>
    </row>
    <row r="446" spans="1:6" x14ac:dyDescent="0.3">
      <c r="A446" s="24" t="s">
        <v>32</v>
      </c>
      <c r="B446" s="24" t="s">
        <v>21</v>
      </c>
      <c r="C446" s="24" t="s">
        <v>101</v>
      </c>
      <c r="D446" s="24" t="s">
        <v>487</v>
      </c>
      <c r="E446" s="24">
        <v>0</v>
      </c>
      <c r="F446" s="24" t="s">
        <v>129</v>
      </c>
    </row>
    <row r="447" spans="1:6" x14ac:dyDescent="0.3">
      <c r="A447" s="24" t="s">
        <v>32</v>
      </c>
      <c r="B447" s="24" t="s">
        <v>21</v>
      </c>
      <c r="C447" s="24" t="s">
        <v>103</v>
      </c>
      <c r="D447" s="24" t="s">
        <v>486</v>
      </c>
      <c r="E447" s="24">
        <v>0</v>
      </c>
      <c r="F447" s="24" t="s">
        <v>129</v>
      </c>
    </row>
    <row r="448" spans="1:6" x14ac:dyDescent="0.3">
      <c r="A448" s="24" t="s">
        <v>32</v>
      </c>
      <c r="B448" s="24" t="s">
        <v>21</v>
      </c>
      <c r="C448" s="24" t="s">
        <v>105</v>
      </c>
      <c r="D448" s="24" t="s">
        <v>486</v>
      </c>
      <c r="E448" s="24">
        <v>0</v>
      </c>
      <c r="F448" s="24" t="s">
        <v>129</v>
      </c>
    </row>
    <row r="449" spans="1:6" x14ac:dyDescent="0.3">
      <c r="A449" s="24" t="s">
        <v>32</v>
      </c>
      <c r="B449" s="24" t="s">
        <v>21</v>
      </c>
      <c r="C449" s="24" t="s">
        <v>107</v>
      </c>
      <c r="D449" s="24" t="s">
        <v>485</v>
      </c>
      <c r="E449" s="24">
        <v>0</v>
      </c>
      <c r="F449" s="24" t="s">
        <v>129</v>
      </c>
    </row>
    <row r="450" spans="1:6" x14ac:dyDescent="0.3">
      <c r="A450" s="24" t="s">
        <v>32</v>
      </c>
      <c r="B450" s="24" t="s">
        <v>21</v>
      </c>
      <c r="C450" s="24" t="s">
        <v>109</v>
      </c>
      <c r="D450" s="24" t="s">
        <v>485</v>
      </c>
      <c r="E450" s="24">
        <v>1</v>
      </c>
      <c r="F450" s="24" t="s">
        <v>129</v>
      </c>
    </row>
    <row r="451" spans="1:6" x14ac:dyDescent="0.3">
      <c r="A451" s="24" t="s">
        <v>32</v>
      </c>
      <c r="B451" s="24" t="s">
        <v>21</v>
      </c>
      <c r="C451" s="24" t="s">
        <v>111</v>
      </c>
      <c r="D451" s="24" t="s">
        <v>486</v>
      </c>
      <c r="E451" s="24">
        <v>0</v>
      </c>
      <c r="F451" s="24" t="s">
        <v>129</v>
      </c>
    </row>
    <row r="452" spans="1:6" x14ac:dyDescent="0.3">
      <c r="A452" s="24" t="s">
        <v>34</v>
      </c>
      <c r="B452" s="24" t="s">
        <v>21</v>
      </c>
      <c r="C452" s="24" t="s">
        <v>77</v>
      </c>
      <c r="D452" s="24" t="s">
        <v>485</v>
      </c>
      <c r="E452" s="24">
        <v>0</v>
      </c>
      <c r="F452" s="24" t="s">
        <v>126</v>
      </c>
    </row>
    <row r="453" spans="1:6" x14ac:dyDescent="0.3">
      <c r="A453" s="24" t="s">
        <v>34</v>
      </c>
      <c r="B453" s="24" t="s">
        <v>21</v>
      </c>
      <c r="C453" s="24" t="s">
        <v>79</v>
      </c>
      <c r="D453" s="24" t="s">
        <v>485</v>
      </c>
      <c r="E453" s="24">
        <v>0</v>
      </c>
      <c r="F453" s="24" t="s">
        <v>129</v>
      </c>
    </row>
    <row r="454" spans="1:6" x14ac:dyDescent="0.3">
      <c r="A454" s="24" t="s">
        <v>34</v>
      </c>
      <c r="B454" s="24" t="s">
        <v>21</v>
      </c>
      <c r="C454" s="24" t="s">
        <v>81</v>
      </c>
      <c r="D454" s="24" t="s">
        <v>486</v>
      </c>
      <c r="E454" s="24">
        <v>0</v>
      </c>
      <c r="F454" s="24" t="s">
        <v>129</v>
      </c>
    </row>
    <row r="455" spans="1:6" x14ac:dyDescent="0.3">
      <c r="A455" s="24" t="s">
        <v>34</v>
      </c>
      <c r="B455" s="24" t="s">
        <v>21</v>
      </c>
      <c r="C455" s="24" t="s">
        <v>83</v>
      </c>
      <c r="D455" s="24" t="s">
        <v>485</v>
      </c>
      <c r="E455" s="24">
        <v>0</v>
      </c>
      <c r="F455" s="24" t="s">
        <v>129</v>
      </c>
    </row>
    <row r="456" spans="1:6" x14ac:dyDescent="0.3">
      <c r="A456" s="24" t="s">
        <v>34</v>
      </c>
      <c r="B456" s="24" t="s">
        <v>21</v>
      </c>
      <c r="C456" s="24" t="s">
        <v>85</v>
      </c>
      <c r="D456" s="24" t="s">
        <v>486</v>
      </c>
      <c r="E456" s="24">
        <v>0</v>
      </c>
      <c r="F456" s="24" t="s">
        <v>129</v>
      </c>
    </row>
    <row r="457" spans="1:6" x14ac:dyDescent="0.3">
      <c r="A457" s="24" t="s">
        <v>34</v>
      </c>
      <c r="B457" s="24" t="s">
        <v>21</v>
      </c>
      <c r="C457" s="24" t="s">
        <v>87</v>
      </c>
      <c r="D457" s="24" t="s">
        <v>485</v>
      </c>
      <c r="E457" s="24">
        <v>0</v>
      </c>
      <c r="F457" s="24" t="s">
        <v>126</v>
      </c>
    </row>
    <row r="458" spans="1:6" x14ac:dyDescent="0.3">
      <c r="A458" s="24" t="s">
        <v>34</v>
      </c>
      <c r="B458" s="24" t="s">
        <v>21</v>
      </c>
      <c r="C458" s="24" t="s">
        <v>89</v>
      </c>
      <c r="D458" s="24" t="s">
        <v>486</v>
      </c>
      <c r="E458" s="24">
        <v>0</v>
      </c>
      <c r="F458" s="24" t="s">
        <v>129</v>
      </c>
    </row>
    <row r="459" spans="1:6" x14ac:dyDescent="0.3">
      <c r="A459" s="24" t="s">
        <v>34</v>
      </c>
      <c r="B459" s="24" t="s">
        <v>21</v>
      </c>
      <c r="C459" s="24" t="s">
        <v>91</v>
      </c>
      <c r="D459" s="24" t="s">
        <v>486</v>
      </c>
      <c r="E459" s="24">
        <v>0</v>
      </c>
      <c r="F459" s="24" t="s">
        <v>129</v>
      </c>
    </row>
    <row r="460" spans="1:6" x14ac:dyDescent="0.3">
      <c r="A460" s="24" t="s">
        <v>34</v>
      </c>
      <c r="B460" s="24" t="s">
        <v>21</v>
      </c>
      <c r="C460" s="24" t="s">
        <v>93</v>
      </c>
      <c r="D460" s="24" t="s">
        <v>486</v>
      </c>
      <c r="E460" s="24">
        <v>0</v>
      </c>
      <c r="F460" s="24" t="s">
        <v>129</v>
      </c>
    </row>
    <row r="461" spans="1:6" x14ac:dyDescent="0.3">
      <c r="A461" s="24" t="s">
        <v>34</v>
      </c>
      <c r="B461" s="24" t="s">
        <v>21</v>
      </c>
      <c r="C461" s="24" t="s">
        <v>95</v>
      </c>
      <c r="D461" s="24" t="s">
        <v>486</v>
      </c>
      <c r="E461" s="24">
        <v>0</v>
      </c>
      <c r="F461" s="24" t="s">
        <v>129</v>
      </c>
    </row>
    <row r="462" spans="1:6" x14ac:dyDescent="0.3">
      <c r="A462" s="24" t="s">
        <v>34</v>
      </c>
      <c r="B462" s="24" t="s">
        <v>21</v>
      </c>
      <c r="C462" s="24" t="s">
        <v>97</v>
      </c>
      <c r="D462" s="24" t="s">
        <v>485</v>
      </c>
      <c r="E462" s="24">
        <v>0</v>
      </c>
      <c r="F462" s="24" t="s">
        <v>129</v>
      </c>
    </row>
    <row r="463" spans="1:6" x14ac:dyDescent="0.3">
      <c r="A463" s="24" t="s">
        <v>34</v>
      </c>
      <c r="B463" s="24" t="s">
        <v>21</v>
      </c>
      <c r="C463" s="24" t="s">
        <v>99</v>
      </c>
      <c r="D463" s="24" t="s">
        <v>486</v>
      </c>
      <c r="E463" s="24">
        <v>0</v>
      </c>
      <c r="F463" s="24" t="s">
        <v>129</v>
      </c>
    </row>
    <row r="464" spans="1:6" x14ac:dyDescent="0.3">
      <c r="A464" s="24" t="s">
        <v>34</v>
      </c>
      <c r="B464" s="24" t="s">
        <v>21</v>
      </c>
      <c r="C464" s="24" t="s">
        <v>101</v>
      </c>
      <c r="D464" s="24" t="s">
        <v>487</v>
      </c>
      <c r="E464" s="24">
        <v>0</v>
      </c>
      <c r="F464" s="24" t="s">
        <v>129</v>
      </c>
    </row>
    <row r="465" spans="1:6" x14ac:dyDescent="0.3">
      <c r="A465" s="24" t="s">
        <v>34</v>
      </c>
      <c r="B465" s="24" t="s">
        <v>21</v>
      </c>
      <c r="C465" s="24" t="s">
        <v>103</v>
      </c>
      <c r="D465" s="24" t="s">
        <v>486</v>
      </c>
      <c r="E465" s="24">
        <v>0</v>
      </c>
      <c r="F465" s="24" t="s">
        <v>129</v>
      </c>
    </row>
    <row r="466" spans="1:6" x14ac:dyDescent="0.3">
      <c r="A466" s="24" t="s">
        <v>34</v>
      </c>
      <c r="B466" s="24" t="s">
        <v>21</v>
      </c>
      <c r="C466" s="24" t="s">
        <v>105</v>
      </c>
      <c r="D466" s="24" t="s">
        <v>486</v>
      </c>
      <c r="E466" s="24">
        <v>0</v>
      </c>
      <c r="F466" s="24" t="s">
        <v>129</v>
      </c>
    </row>
    <row r="467" spans="1:6" x14ac:dyDescent="0.3">
      <c r="A467" s="24" t="s">
        <v>34</v>
      </c>
      <c r="B467" s="24" t="s">
        <v>21</v>
      </c>
      <c r="C467" s="24" t="s">
        <v>107</v>
      </c>
      <c r="D467" s="24" t="s">
        <v>485</v>
      </c>
      <c r="E467" s="24">
        <v>0</v>
      </c>
      <c r="F467" s="24" t="s">
        <v>126</v>
      </c>
    </row>
    <row r="468" spans="1:6" x14ac:dyDescent="0.3">
      <c r="A468" s="24" t="s">
        <v>34</v>
      </c>
      <c r="B468" s="24" t="s">
        <v>21</v>
      </c>
      <c r="C468" s="24" t="s">
        <v>109</v>
      </c>
      <c r="D468" s="24" t="s">
        <v>485</v>
      </c>
      <c r="E468" s="24">
        <v>1</v>
      </c>
      <c r="F468" s="24" t="s">
        <v>128</v>
      </c>
    </row>
    <row r="469" spans="1:6" x14ac:dyDescent="0.3">
      <c r="A469" s="24" t="s">
        <v>34</v>
      </c>
      <c r="B469" s="24" t="s">
        <v>21</v>
      </c>
      <c r="C469" s="24" t="s">
        <v>111</v>
      </c>
      <c r="D469" s="24" t="s">
        <v>486</v>
      </c>
      <c r="E469" s="24">
        <v>0</v>
      </c>
      <c r="F469" s="24" t="s">
        <v>129</v>
      </c>
    </row>
    <row r="470" spans="1:6" x14ac:dyDescent="0.3">
      <c r="A470" s="24" t="s">
        <v>36</v>
      </c>
      <c r="B470" s="24" t="s">
        <v>21</v>
      </c>
      <c r="C470" s="24" t="s">
        <v>77</v>
      </c>
      <c r="D470" s="24" t="s">
        <v>485</v>
      </c>
      <c r="E470" s="24">
        <v>0</v>
      </c>
      <c r="F470" s="24" t="s">
        <v>126</v>
      </c>
    </row>
    <row r="471" spans="1:6" x14ac:dyDescent="0.3">
      <c r="A471" s="24" t="s">
        <v>36</v>
      </c>
      <c r="B471" s="24" t="s">
        <v>21</v>
      </c>
      <c r="C471" s="24" t="s">
        <v>79</v>
      </c>
      <c r="D471" s="24" t="s">
        <v>485</v>
      </c>
      <c r="E471" s="24">
        <v>0</v>
      </c>
      <c r="F471" s="24" t="s">
        <v>129</v>
      </c>
    </row>
    <row r="472" spans="1:6" x14ac:dyDescent="0.3">
      <c r="A472" s="24" t="s">
        <v>36</v>
      </c>
      <c r="B472" s="24" t="s">
        <v>21</v>
      </c>
      <c r="C472" s="24" t="s">
        <v>81</v>
      </c>
      <c r="D472" s="24" t="s">
        <v>486</v>
      </c>
      <c r="E472" s="24">
        <v>1</v>
      </c>
      <c r="F472" s="24" t="s">
        <v>129</v>
      </c>
    </row>
    <row r="473" spans="1:6" x14ac:dyDescent="0.3">
      <c r="A473" s="24" t="s">
        <v>36</v>
      </c>
      <c r="B473" s="24" t="s">
        <v>21</v>
      </c>
      <c r="C473" s="24" t="s">
        <v>83</v>
      </c>
      <c r="D473" s="24" t="s">
        <v>485</v>
      </c>
      <c r="E473" s="24">
        <v>0</v>
      </c>
      <c r="F473" s="24" t="s">
        <v>129</v>
      </c>
    </row>
    <row r="474" spans="1:6" x14ac:dyDescent="0.3">
      <c r="A474" s="24" t="s">
        <v>36</v>
      </c>
      <c r="B474" s="24" t="s">
        <v>21</v>
      </c>
      <c r="C474" s="24" t="s">
        <v>85</v>
      </c>
      <c r="D474" s="24" t="s">
        <v>486</v>
      </c>
      <c r="E474" s="24">
        <v>0</v>
      </c>
      <c r="F474" s="24" t="s">
        <v>129</v>
      </c>
    </row>
    <row r="475" spans="1:6" x14ac:dyDescent="0.3">
      <c r="A475" s="24" t="s">
        <v>36</v>
      </c>
      <c r="B475" s="24" t="s">
        <v>21</v>
      </c>
      <c r="C475" s="24" t="s">
        <v>87</v>
      </c>
      <c r="D475" s="24" t="s">
        <v>485</v>
      </c>
      <c r="E475" s="24">
        <v>0</v>
      </c>
      <c r="F475" s="24" t="s">
        <v>129</v>
      </c>
    </row>
    <row r="476" spans="1:6" x14ac:dyDescent="0.3">
      <c r="A476" s="24" t="s">
        <v>36</v>
      </c>
      <c r="B476" s="24" t="s">
        <v>21</v>
      </c>
      <c r="C476" s="24" t="s">
        <v>89</v>
      </c>
      <c r="D476" s="24" t="s">
        <v>486</v>
      </c>
      <c r="E476" s="24">
        <v>0</v>
      </c>
      <c r="F476" s="24" t="s">
        <v>129</v>
      </c>
    </row>
    <row r="477" spans="1:6" x14ac:dyDescent="0.3">
      <c r="A477" s="24" t="s">
        <v>36</v>
      </c>
      <c r="B477" s="24" t="s">
        <v>21</v>
      </c>
      <c r="C477" s="24" t="s">
        <v>91</v>
      </c>
      <c r="D477" s="24" t="s">
        <v>486</v>
      </c>
      <c r="E477" s="24">
        <v>0</v>
      </c>
      <c r="F477" s="24" t="s">
        <v>129</v>
      </c>
    </row>
    <row r="478" spans="1:6" x14ac:dyDescent="0.3">
      <c r="A478" s="24" t="s">
        <v>36</v>
      </c>
      <c r="B478" s="24" t="s">
        <v>21</v>
      </c>
      <c r="C478" s="24" t="s">
        <v>93</v>
      </c>
      <c r="D478" s="24" t="s">
        <v>486</v>
      </c>
      <c r="E478" s="24">
        <v>0</v>
      </c>
      <c r="F478" s="24" t="s">
        <v>129</v>
      </c>
    </row>
    <row r="479" spans="1:6" x14ac:dyDescent="0.3">
      <c r="A479" s="24" t="s">
        <v>36</v>
      </c>
      <c r="B479" s="24" t="s">
        <v>21</v>
      </c>
      <c r="C479" s="24" t="s">
        <v>95</v>
      </c>
      <c r="D479" s="24" t="s">
        <v>486</v>
      </c>
      <c r="E479" s="24">
        <v>0</v>
      </c>
      <c r="F479" s="24" t="s">
        <v>129</v>
      </c>
    </row>
    <row r="480" spans="1:6" x14ac:dyDescent="0.3">
      <c r="A480" s="24" t="s">
        <v>36</v>
      </c>
      <c r="B480" s="24" t="s">
        <v>21</v>
      </c>
      <c r="C480" s="24" t="s">
        <v>97</v>
      </c>
      <c r="D480" s="24" t="s">
        <v>485</v>
      </c>
      <c r="E480" s="24">
        <v>0</v>
      </c>
      <c r="F480" s="24" t="s">
        <v>129</v>
      </c>
    </row>
    <row r="481" spans="1:6" x14ac:dyDescent="0.3">
      <c r="A481" s="24" t="s">
        <v>36</v>
      </c>
      <c r="B481" s="24" t="s">
        <v>21</v>
      </c>
      <c r="C481" s="24" t="s">
        <v>99</v>
      </c>
      <c r="D481" s="24" t="s">
        <v>486</v>
      </c>
      <c r="E481" s="24">
        <v>0</v>
      </c>
      <c r="F481" s="24" t="s">
        <v>129</v>
      </c>
    </row>
    <row r="482" spans="1:6" x14ac:dyDescent="0.3">
      <c r="A482" s="24" t="s">
        <v>36</v>
      </c>
      <c r="B482" s="24" t="s">
        <v>21</v>
      </c>
      <c r="C482" s="24" t="s">
        <v>101</v>
      </c>
      <c r="D482" s="24" t="s">
        <v>487</v>
      </c>
      <c r="E482" s="24">
        <v>0</v>
      </c>
      <c r="F482" s="24" t="s">
        <v>129</v>
      </c>
    </row>
    <row r="483" spans="1:6" x14ac:dyDescent="0.3">
      <c r="A483" s="24" t="s">
        <v>36</v>
      </c>
      <c r="B483" s="24" t="s">
        <v>21</v>
      </c>
      <c r="C483" s="24" t="s">
        <v>103</v>
      </c>
      <c r="D483" s="24" t="s">
        <v>486</v>
      </c>
      <c r="E483" s="24">
        <v>0</v>
      </c>
      <c r="F483" s="24" t="s">
        <v>129</v>
      </c>
    </row>
    <row r="484" spans="1:6" x14ac:dyDescent="0.3">
      <c r="A484" s="24" t="s">
        <v>36</v>
      </c>
      <c r="B484" s="24" t="s">
        <v>21</v>
      </c>
      <c r="C484" s="24" t="s">
        <v>105</v>
      </c>
      <c r="D484" s="24" t="s">
        <v>486</v>
      </c>
      <c r="E484" s="24">
        <v>0</v>
      </c>
      <c r="F484" s="24" t="s">
        <v>129</v>
      </c>
    </row>
    <row r="485" spans="1:6" x14ac:dyDescent="0.3">
      <c r="A485" s="24" t="s">
        <v>36</v>
      </c>
      <c r="B485" s="24" t="s">
        <v>21</v>
      </c>
      <c r="C485" s="24" t="s">
        <v>107</v>
      </c>
      <c r="D485" s="24" t="s">
        <v>485</v>
      </c>
      <c r="E485" s="24">
        <v>0</v>
      </c>
      <c r="F485" s="24" t="s">
        <v>129</v>
      </c>
    </row>
    <row r="486" spans="1:6" x14ac:dyDescent="0.3">
      <c r="A486" s="24" t="s">
        <v>36</v>
      </c>
      <c r="B486" s="24" t="s">
        <v>21</v>
      </c>
      <c r="C486" s="24" t="s">
        <v>109</v>
      </c>
      <c r="D486" s="24" t="s">
        <v>485</v>
      </c>
      <c r="E486" s="24">
        <v>1</v>
      </c>
      <c r="F486" s="24" t="s">
        <v>129</v>
      </c>
    </row>
    <row r="487" spans="1:6" x14ac:dyDescent="0.3">
      <c r="A487" s="24" t="s">
        <v>36</v>
      </c>
      <c r="B487" s="24" t="s">
        <v>21</v>
      </c>
      <c r="C487" s="24" t="s">
        <v>111</v>
      </c>
      <c r="D487" s="24" t="s">
        <v>486</v>
      </c>
      <c r="E487" s="24">
        <v>0</v>
      </c>
      <c r="F487" s="24" t="s">
        <v>126</v>
      </c>
    </row>
    <row r="488" spans="1:6" x14ac:dyDescent="0.3">
      <c r="A488" s="24" t="s">
        <v>38</v>
      </c>
      <c r="B488" s="24" t="s">
        <v>21</v>
      </c>
      <c r="C488" s="24" t="s">
        <v>77</v>
      </c>
      <c r="D488" s="24" t="s">
        <v>485</v>
      </c>
      <c r="E488" s="24">
        <v>0</v>
      </c>
      <c r="F488" s="24" t="s">
        <v>129</v>
      </c>
    </row>
    <row r="489" spans="1:6" x14ac:dyDescent="0.3">
      <c r="A489" s="24" t="s">
        <v>38</v>
      </c>
      <c r="B489" s="24" t="s">
        <v>21</v>
      </c>
      <c r="C489" s="24" t="s">
        <v>79</v>
      </c>
      <c r="D489" s="24" t="s">
        <v>485</v>
      </c>
      <c r="E489" s="24">
        <v>0</v>
      </c>
      <c r="F489" s="24" t="s">
        <v>129</v>
      </c>
    </row>
    <row r="490" spans="1:6" x14ac:dyDescent="0.3">
      <c r="A490" s="24" t="s">
        <v>38</v>
      </c>
      <c r="B490" s="24" t="s">
        <v>21</v>
      </c>
      <c r="C490" s="24" t="s">
        <v>81</v>
      </c>
      <c r="D490" s="24" t="s">
        <v>486</v>
      </c>
      <c r="E490" s="24">
        <v>1</v>
      </c>
      <c r="F490" s="24" t="s">
        <v>129</v>
      </c>
    </row>
    <row r="491" spans="1:6" x14ac:dyDescent="0.3">
      <c r="A491" s="24" t="s">
        <v>38</v>
      </c>
      <c r="B491" s="24" t="s">
        <v>21</v>
      </c>
      <c r="C491" s="24" t="s">
        <v>83</v>
      </c>
      <c r="D491" s="24" t="s">
        <v>485</v>
      </c>
      <c r="E491" s="24">
        <v>0</v>
      </c>
      <c r="F491" s="24" t="s">
        <v>129</v>
      </c>
    </row>
    <row r="492" spans="1:6" x14ac:dyDescent="0.3">
      <c r="A492" s="24" t="s">
        <v>38</v>
      </c>
      <c r="B492" s="24" t="s">
        <v>21</v>
      </c>
      <c r="C492" s="24" t="s">
        <v>85</v>
      </c>
      <c r="D492" s="24" t="s">
        <v>486</v>
      </c>
      <c r="E492" s="24">
        <v>0</v>
      </c>
      <c r="F492" s="24" t="s">
        <v>129</v>
      </c>
    </row>
    <row r="493" spans="1:6" x14ac:dyDescent="0.3">
      <c r="A493" s="24" t="s">
        <v>38</v>
      </c>
      <c r="B493" s="24" t="s">
        <v>21</v>
      </c>
      <c r="C493" s="24" t="s">
        <v>87</v>
      </c>
      <c r="D493" s="24" t="s">
        <v>485</v>
      </c>
      <c r="E493" s="24">
        <v>0</v>
      </c>
      <c r="F493" s="24" t="s">
        <v>126</v>
      </c>
    </row>
    <row r="494" spans="1:6" x14ac:dyDescent="0.3">
      <c r="A494" s="24" t="s">
        <v>38</v>
      </c>
      <c r="B494" s="24" t="s">
        <v>21</v>
      </c>
      <c r="C494" s="24" t="s">
        <v>89</v>
      </c>
      <c r="D494" s="24" t="s">
        <v>486</v>
      </c>
      <c r="E494" s="24">
        <v>0</v>
      </c>
      <c r="F494" s="24" t="s">
        <v>129</v>
      </c>
    </row>
    <row r="495" spans="1:6" x14ac:dyDescent="0.3">
      <c r="A495" s="24" t="s">
        <v>38</v>
      </c>
      <c r="B495" s="24" t="s">
        <v>21</v>
      </c>
      <c r="C495" s="24" t="s">
        <v>91</v>
      </c>
      <c r="D495" s="24" t="s">
        <v>486</v>
      </c>
      <c r="E495" s="24">
        <v>0</v>
      </c>
      <c r="F495" s="24" t="s">
        <v>129</v>
      </c>
    </row>
    <row r="496" spans="1:6" x14ac:dyDescent="0.3">
      <c r="A496" s="24" t="s">
        <v>38</v>
      </c>
      <c r="B496" s="24" t="s">
        <v>21</v>
      </c>
      <c r="C496" s="24" t="s">
        <v>93</v>
      </c>
      <c r="D496" s="24" t="s">
        <v>486</v>
      </c>
      <c r="E496" s="24">
        <v>0</v>
      </c>
      <c r="F496" s="24" t="s">
        <v>129</v>
      </c>
    </row>
    <row r="497" spans="1:6" x14ac:dyDescent="0.3">
      <c r="A497" s="24" t="s">
        <v>38</v>
      </c>
      <c r="B497" s="24" t="s">
        <v>21</v>
      </c>
      <c r="C497" s="24" t="s">
        <v>95</v>
      </c>
      <c r="D497" s="24" t="s">
        <v>486</v>
      </c>
      <c r="E497" s="24">
        <v>0</v>
      </c>
      <c r="F497" s="24" t="s">
        <v>129</v>
      </c>
    </row>
    <row r="498" spans="1:6" x14ac:dyDescent="0.3">
      <c r="A498" s="24" t="s">
        <v>38</v>
      </c>
      <c r="B498" s="24" t="s">
        <v>21</v>
      </c>
      <c r="C498" s="24" t="s">
        <v>97</v>
      </c>
      <c r="D498" s="24" t="s">
        <v>485</v>
      </c>
      <c r="E498" s="24">
        <v>0</v>
      </c>
      <c r="F498" s="24" t="s">
        <v>129</v>
      </c>
    </row>
    <row r="499" spans="1:6" x14ac:dyDescent="0.3">
      <c r="A499" s="24" t="s">
        <v>38</v>
      </c>
      <c r="B499" s="24" t="s">
        <v>21</v>
      </c>
      <c r="C499" s="24" t="s">
        <v>99</v>
      </c>
      <c r="D499" s="24" t="s">
        <v>486</v>
      </c>
      <c r="E499" s="24">
        <v>0</v>
      </c>
      <c r="F499" s="24" t="s">
        <v>129</v>
      </c>
    </row>
    <row r="500" spans="1:6" x14ac:dyDescent="0.3">
      <c r="A500" s="24" t="s">
        <v>38</v>
      </c>
      <c r="B500" s="24" t="s">
        <v>21</v>
      </c>
      <c r="C500" s="24" t="s">
        <v>101</v>
      </c>
      <c r="D500" s="24" t="s">
        <v>487</v>
      </c>
      <c r="E500" s="24">
        <v>0</v>
      </c>
      <c r="F500" s="24" t="s">
        <v>129</v>
      </c>
    </row>
    <row r="501" spans="1:6" x14ac:dyDescent="0.3">
      <c r="A501" s="24" t="s">
        <v>38</v>
      </c>
      <c r="B501" s="24" t="s">
        <v>21</v>
      </c>
      <c r="C501" s="24" t="s">
        <v>103</v>
      </c>
      <c r="D501" s="24" t="s">
        <v>486</v>
      </c>
      <c r="E501" s="24">
        <v>0</v>
      </c>
      <c r="F501" s="24" t="s">
        <v>129</v>
      </c>
    </row>
    <row r="502" spans="1:6" x14ac:dyDescent="0.3">
      <c r="A502" s="24" t="s">
        <v>38</v>
      </c>
      <c r="B502" s="24" t="s">
        <v>21</v>
      </c>
      <c r="C502" s="24" t="s">
        <v>105</v>
      </c>
      <c r="D502" s="24" t="s">
        <v>486</v>
      </c>
      <c r="E502" s="24">
        <v>0</v>
      </c>
      <c r="F502" s="24" t="s">
        <v>129</v>
      </c>
    </row>
    <row r="503" spans="1:6" x14ac:dyDescent="0.3">
      <c r="A503" s="24" t="s">
        <v>38</v>
      </c>
      <c r="B503" s="24" t="s">
        <v>21</v>
      </c>
      <c r="C503" s="24" t="s">
        <v>107</v>
      </c>
      <c r="D503" s="24" t="s">
        <v>485</v>
      </c>
      <c r="E503" s="24">
        <v>0</v>
      </c>
      <c r="F503" s="24" t="s">
        <v>126</v>
      </c>
    </row>
    <row r="504" spans="1:6" x14ac:dyDescent="0.3">
      <c r="A504" s="24" t="s">
        <v>38</v>
      </c>
      <c r="B504" s="24" t="s">
        <v>21</v>
      </c>
      <c r="C504" s="24" t="s">
        <v>109</v>
      </c>
      <c r="D504" s="24" t="s">
        <v>485</v>
      </c>
      <c r="E504" s="24">
        <v>1</v>
      </c>
      <c r="F504" s="24" t="s">
        <v>129</v>
      </c>
    </row>
    <row r="505" spans="1:6" x14ac:dyDescent="0.3">
      <c r="A505" s="24" t="s">
        <v>38</v>
      </c>
      <c r="B505" s="24" t="s">
        <v>21</v>
      </c>
      <c r="C505" s="24" t="s">
        <v>111</v>
      </c>
      <c r="D505" s="24" t="s">
        <v>486</v>
      </c>
      <c r="E505" s="24">
        <v>0</v>
      </c>
      <c r="F505" s="24" t="s">
        <v>129</v>
      </c>
    </row>
    <row r="506" spans="1:6" x14ac:dyDescent="0.3">
      <c r="A506" s="24" t="s">
        <v>40</v>
      </c>
      <c r="B506" s="24" t="s">
        <v>21</v>
      </c>
      <c r="C506" s="24" t="s">
        <v>77</v>
      </c>
      <c r="D506" s="24" t="s">
        <v>485</v>
      </c>
      <c r="E506" s="24">
        <v>0</v>
      </c>
      <c r="F506" s="24" t="s">
        <v>128</v>
      </c>
    </row>
    <row r="507" spans="1:6" x14ac:dyDescent="0.3">
      <c r="A507" s="24" t="s">
        <v>40</v>
      </c>
      <c r="B507" s="24" t="s">
        <v>21</v>
      </c>
      <c r="C507" s="24" t="s">
        <v>79</v>
      </c>
      <c r="D507" s="24" t="s">
        <v>485</v>
      </c>
      <c r="E507" s="24">
        <v>0</v>
      </c>
      <c r="F507" s="24" t="s">
        <v>129</v>
      </c>
    </row>
    <row r="508" spans="1:6" x14ac:dyDescent="0.3">
      <c r="A508" s="24" t="s">
        <v>40</v>
      </c>
      <c r="B508" s="24" t="s">
        <v>21</v>
      </c>
      <c r="C508" s="24" t="s">
        <v>81</v>
      </c>
      <c r="D508" s="24" t="s">
        <v>486</v>
      </c>
      <c r="E508" s="24">
        <v>1</v>
      </c>
      <c r="F508" s="24" t="s">
        <v>129</v>
      </c>
    </row>
    <row r="509" spans="1:6" x14ac:dyDescent="0.3">
      <c r="A509" s="24" t="s">
        <v>40</v>
      </c>
      <c r="B509" s="24" t="s">
        <v>21</v>
      </c>
      <c r="C509" s="24" t="s">
        <v>83</v>
      </c>
      <c r="D509" s="24" t="s">
        <v>485</v>
      </c>
      <c r="E509" s="24">
        <v>0</v>
      </c>
      <c r="F509" s="24" t="s">
        <v>129</v>
      </c>
    </row>
    <row r="510" spans="1:6" x14ac:dyDescent="0.3">
      <c r="A510" s="24" t="s">
        <v>40</v>
      </c>
      <c r="B510" s="24" t="s">
        <v>21</v>
      </c>
      <c r="C510" s="24" t="s">
        <v>85</v>
      </c>
      <c r="D510" s="24" t="s">
        <v>486</v>
      </c>
      <c r="E510" s="24">
        <v>0</v>
      </c>
      <c r="F510" s="24" t="s">
        <v>129</v>
      </c>
    </row>
    <row r="511" spans="1:6" x14ac:dyDescent="0.3">
      <c r="A511" s="24" t="s">
        <v>40</v>
      </c>
      <c r="B511" s="24" t="s">
        <v>21</v>
      </c>
      <c r="C511" s="24" t="s">
        <v>87</v>
      </c>
      <c r="D511" s="24" t="s">
        <v>485</v>
      </c>
      <c r="E511" s="24">
        <v>0</v>
      </c>
      <c r="F511" s="24" t="s">
        <v>126</v>
      </c>
    </row>
    <row r="512" spans="1:6" x14ac:dyDescent="0.3">
      <c r="A512" s="24" t="s">
        <v>40</v>
      </c>
      <c r="B512" s="24" t="s">
        <v>21</v>
      </c>
      <c r="C512" s="24" t="s">
        <v>89</v>
      </c>
      <c r="D512" s="24" t="s">
        <v>486</v>
      </c>
      <c r="E512" s="24">
        <v>0</v>
      </c>
      <c r="F512" s="24" t="s">
        <v>129</v>
      </c>
    </row>
    <row r="513" spans="1:6" x14ac:dyDescent="0.3">
      <c r="A513" s="24" t="s">
        <v>40</v>
      </c>
      <c r="B513" s="24" t="s">
        <v>21</v>
      </c>
      <c r="C513" s="24" t="s">
        <v>91</v>
      </c>
      <c r="D513" s="24" t="s">
        <v>486</v>
      </c>
      <c r="E513" s="24">
        <v>0</v>
      </c>
      <c r="F513" s="24" t="s">
        <v>129</v>
      </c>
    </row>
    <row r="514" spans="1:6" x14ac:dyDescent="0.3">
      <c r="A514" s="24" t="s">
        <v>40</v>
      </c>
      <c r="B514" s="24" t="s">
        <v>21</v>
      </c>
      <c r="C514" s="24" t="s">
        <v>93</v>
      </c>
      <c r="D514" s="24" t="s">
        <v>486</v>
      </c>
      <c r="E514" s="24">
        <v>0</v>
      </c>
      <c r="F514" s="24" t="s">
        <v>129</v>
      </c>
    </row>
    <row r="515" spans="1:6" x14ac:dyDescent="0.3">
      <c r="A515" s="24" t="s">
        <v>40</v>
      </c>
      <c r="B515" s="24" t="s">
        <v>21</v>
      </c>
      <c r="C515" s="24" t="s">
        <v>95</v>
      </c>
      <c r="D515" s="24" t="s">
        <v>486</v>
      </c>
      <c r="E515" s="24">
        <v>0</v>
      </c>
      <c r="F515" s="24" t="s">
        <v>129</v>
      </c>
    </row>
    <row r="516" spans="1:6" x14ac:dyDescent="0.3">
      <c r="A516" s="24" t="s">
        <v>40</v>
      </c>
      <c r="B516" s="24" t="s">
        <v>21</v>
      </c>
      <c r="C516" s="24" t="s">
        <v>97</v>
      </c>
      <c r="D516" s="24" t="s">
        <v>485</v>
      </c>
      <c r="E516" s="24">
        <v>0</v>
      </c>
      <c r="F516" s="24" t="s">
        <v>129</v>
      </c>
    </row>
    <row r="517" spans="1:6" x14ac:dyDescent="0.3">
      <c r="A517" s="24" t="s">
        <v>40</v>
      </c>
      <c r="B517" s="24" t="s">
        <v>21</v>
      </c>
      <c r="C517" s="24" t="s">
        <v>99</v>
      </c>
      <c r="D517" s="24" t="s">
        <v>486</v>
      </c>
      <c r="E517" s="24">
        <v>0</v>
      </c>
      <c r="F517" s="24" t="s">
        <v>129</v>
      </c>
    </row>
    <row r="518" spans="1:6" x14ac:dyDescent="0.3">
      <c r="A518" s="24" t="s">
        <v>40</v>
      </c>
      <c r="B518" s="24" t="s">
        <v>21</v>
      </c>
      <c r="C518" s="24" t="s">
        <v>101</v>
      </c>
      <c r="D518" s="24" t="s">
        <v>487</v>
      </c>
      <c r="E518" s="24">
        <v>0</v>
      </c>
      <c r="F518" s="24" t="s">
        <v>129</v>
      </c>
    </row>
    <row r="519" spans="1:6" x14ac:dyDescent="0.3">
      <c r="A519" s="24" t="s">
        <v>40</v>
      </c>
      <c r="B519" s="24" t="s">
        <v>21</v>
      </c>
      <c r="C519" s="24" t="s">
        <v>103</v>
      </c>
      <c r="D519" s="24" t="s">
        <v>486</v>
      </c>
      <c r="E519" s="24">
        <v>0</v>
      </c>
      <c r="F519" s="24" t="s">
        <v>129</v>
      </c>
    </row>
    <row r="520" spans="1:6" x14ac:dyDescent="0.3">
      <c r="A520" s="24" t="s">
        <v>40</v>
      </c>
      <c r="B520" s="24" t="s">
        <v>21</v>
      </c>
      <c r="C520" s="24" t="s">
        <v>105</v>
      </c>
      <c r="D520" s="24" t="s">
        <v>486</v>
      </c>
      <c r="E520" s="24">
        <v>0</v>
      </c>
      <c r="F520" s="24" t="s">
        <v>129</v>
      </c>
    </row>
    <row r="521" spans="1:6" x14ac:dyDescent="0.3">
      <c r="A521" s="24" t="s">
        <v>40</v>
      </c>
      <c r="B521" s="24" t="s">
        <v>21</v>
      </c>
      <c r="C521" s="24" t="s">
        <v>107</v>
      </c>
      <c r="D521" s="24" t="s">
        <v>485</v>
      </c>
      <c r="E521" s="24">
        <v>0</v>
      </c>
      <c r="F521" s="24" t="s">
        <v>126</v>
      </c>
    </row>
    <row r="522" spans="1:6" x14ac:dyDescent="0.3">
      <c r="A522" s="24" t="s">
        <v>40</v>
      </c>
      <c r="B522" s="24" t="s">
        <v>21</v>
      </c>
      <c r="C522" s="24" t="s">
        <v>109</v>
      </c>
      <c r="D522" s="24" t="s">
        <v>485</v>
      </c>
      <c r="E522" s="24">
        <v>1</v>
      </c>
      <c r="F522" s="24" t="s">
        <v>129</v>
      </c>
    </row>
    <row r="523" spans="1:6" x14ac:dyDescent="0.3">
      <c r="A523" s="24" t="s">
        <v>40</v>
      </c>
      <c r="B523" s="24" t="s">
        <v>21</v>
      </c>
      <c r="C523" s="24" t="s">
        <v>111</v>
      </c>
      <c r="D523" s="24" t="s">
        <v>486</v>
      </c>
      <c r="E523" s="24">
        <v>0</v>
      </c>
      <c r="F523" s="24" t="s">
        <v>126</v>
      </c>
    </row>
    <row r="524" spans="1:6" x14ac:dyDescent="0.3">
      <c r="A524" s="24" t="s">
        <v>43</v>
      </c>
      <c r="B524" s="24" t="s">
        <v>21</v>
      </c>
      <c r="C524" s="24" t="s">
        <v>77</v>
      </c>
      <c r="D524" s="24" t="s">
        <v>485</v>
      </c>
      <c r="E524" s="24">
        <v>0</v>
      </c>
      <c r="F524" s="24" t="s">
        <v>129</v>
      </c>
    </row>
    <row r="525" spans="1:6" x14ac:dyDescent="0.3">
      <c r="A525" s="24" t="s">
        <v>43</v>
      </c>
      <c r="B525" s="24" t="s">
        <v>21</v>
      </c>
      <c r="C525" s="24" t="s">
        <v>79</v>
      </c>
      <c r="D525" s="24" t="s">
        <v>485</v>
      </c>
      <c r="E525" s="24">
        <v>0</v>
      </c>
      <c r="F525" s="24" t="s">
        <v>129</v>
      </c>
    </row>
    <row r="526" spans="1:6" x14ac:dyDescent="0.3">
      <c r="A526" s="24" t="s">
        <v>43</v>
      </c>
      <c r="B526" s="24" t="s">
        <v>21</v>
      </c>
      <c r="C526" s="24" t="s">
        <v>81</v>
      </c>
      <c r="D526" s="24" t="s">
        <v>486</v>
      </c>
      <c r="E526" s="24">
        <v>1</v>
      </c>
      <c r="F526" s="24" t="s">
        <v>129</v>
      </c>
    </row>
    <row r="527" spans="1:6" x14ac:dyDescent="0.3">
      <c r="A527" s="24" t="s">
        <v>43</v>
      </c>
      <c r="B527" s="24" t="s">
        <v>21</v>
      </c>
      <c r="C527" s="24" t="s">
        <v>83</v>
      </c>
      <c r="D527" s="24" t="s">
        <v>485</v>
      </c>
      <c r="E527" s="24">
        <v>0</v>
      </c>
      <c r="F527" s="24" t="s">
        <v>129</v>
      </c>
    </row>
    <row r="528" spans="1:6" x14ac:dyDescent="0.3">
      <c r="A528" s="24" t="s">
        <v>43</v>
      </c>
      <c r="B528" s="24" t="s">
        <v>21</v>
      </c>
      <c r="C528" s="24" t="s">
        <v>85</v>
      </c>
      <c r="D528" s="24" t="s">
        <v>486</v>
      </c>
      <c r="E528" s="24">
        <v>0</v>
      </c>
      <c r="F528" s="24" t="s">
        <v>129</v>
      </c>
    </row>
    <row r="529" spans="1:6" x14ac:dyDescent="0.3">
      <c r="A529" s="24" t="s">
        <v>43</v>
      </c>
      <c r="B529" s="24" t="s">
        <v>21</v>
      </c>
      <c r="C529" s="24" t="s">
        <v>87</v>
      </c>
      <c r="D529" s="24" t="s">
        <v>485</v>
      </c>
      <c r="E529" s="24">
        <v>0</v>
      </c>
      <c r="F529" s="24" t="s">
        <v>129</v>
      </c>
    </row>
    <row r="530" spans="1:6" x14ac:dyDescent="0.3">
      <c r="A530" s="24" t="s">
        <v>43</v>
      </c>
      <c r="B530" s="24" t="s">
        <v>21</v>
      </c>
      <c r="C530" s="24" t="s">
        <v>89</v>
      </c>
      <c r="D530" s="24" t="s">
        <v>486</v>
      </c>
      <c r="E530" s="24">
        <v>0</v>
      </c>
      <c r="F530" s="24" t="s">
        <v>129</v>
      </c>
    </row>
    <row r="531" spans="1:6" x14ac:dyDescent="0.3">
      <c r="A531" s="24" t="s">
        <v>43</v>
      </c>
      <c r="B531" s="24" t="s">
        <v>21</v>
      </c>
      <c r="C531" s="24" t="s">
        <v>91</v>
      </c>
      <c r="D531" s="24" t="s">
        <v>486</v>
      </c>
      <c r="E531" s="24">
        <v>0</v>
      </c>
      <c r="F531" s="24" t="s">
        <v>129</v>
      </c>
    </row>
    <row r="532" spans="1:6" x14ac:dyDescent="0.3">
      <c r="A532" s="24" t="s">
        <v>43</v>
      </c>
      <c r="B532" s="24" t="s">
        <v>21</v>
      </c>
      <c r="C532" s="24" t="s">
        <v>93</v>
      </c>
      <c r="D532" s="24" t="s">
        <v>486</v>
      </c>
      <c r="E532" s="24">
        <v>0</v>
      </c>
      <c r="F532" s="24" t="s">
        <v>129</v>
      </c>
    </row>
    <row r="533" spans="1:6" x14ac:dyDescent="0.3">
      <c r="A533" s="24" t="s">
        <v>43</v>
      </c>
      <c r="B533" s="24" t="s">
        <v>21</v>
      </c>
      <c r="C533" s="24" t="s">
        <v>95</v>
      </c>
      <c r="D533" s="24" t="s">
        <v>486</v>
      </c>
      <c r="E533" s="24">
        <v>0</v>
      </c>
      <c r="F533" s="24" t="s">
        <v>129</v>
      </c>
    </row>
    <row r="534" spans="1:6" x14ac:dyDescent="0.3">
      <c r="A534" s="24" t="s">
        <v>43</v>
      </c>
      <c r="B534" s="24" t="s">
        <v>21</v>
      </c>
      <c r="C534" s="24" t="s">
        <v>97</v>
      </c>
      <c r="D534" s="24" t="s">
        <v>485</v>
      </c>
      <c r="E534" s="24">
        <v>0</v>
      </c>
      <c r="F534" s="24" t="s">
        <v>129</v>
      </c>
    </row>
    <row r="535" spans="1:6" x14ac:dyDescent="0.3">
      <c r="A535" s="24" t="s">
        <v>43</v>
      </c>
      <c r="B535" s="24" t="s">
        <v>21</v>
      </c>
      <c r="C535" s="24" t="s">
        <v>99</v>
      </c>
      <c r="D535" s="24" t="s">
        <v>486</v>
      </c>
      <c r="E535" s="24">
        <v>0</v>
      </c>
      <c r="F535" s="24" t="s">
        <v>129</v>
      </c>
    </row>
    <row r="536" spans="1:6" x14ac:dyDescent="0.3">
      <c r="A536" s="24" t="s">
        <v>43</v>
      </c>
      <c r="B536" s="24" t="s">
        <v>21</v>
      </c>
      <c r="C536" s="24" t="s">
        <v>101</v>
      </c>
      <c r="D536" s="24" t="s">
        <v>487</v>
      </c>
      <c r="E536" s="24">
        <v>0</v>
      </c>
      <c r="F536" s="24" t="s">
        <v>129</v>
      </c>
    </row>
    <row r="537" spans="1:6" x14ac:dyDescent="0.3">
      <c r="A537" s="24" t="s">
        <v>43</v>
      </c>
      <c r="B537" s="24" t="s">
        <v>21</v>
      </c>
      <c r="C537" s="24" t="s">
        <v>103</v>
      </c>
      <c r="D537" s="24" t="s">
        <v>486</v>
      </c>
      <c r="E537" s="24">
        <v>0</v>
      </c>
      <c r="F537" s="24" t="s">
        <v>129</v>
      </c>
    </row>
    <row r="538" spans="1:6" x14ac:dyDescent="0.3">
      <c r="A538" s="24" t="s">
        <v>43</v>
      </c>
      <c r="B538" s="24" t="s">
        <v>21</v>
      </c>
      <c r="C538" s="24" t="s">
        <v>105</v>
      </c>
      <c r="D538" s="24" t="s">
        <v>486</v>
      </c>
      <c r="E538" s="24">
        <v>0</v>
      </c>
      <c r="F538" s="24" t="s">
        <v>129</v>
      </c>
    </row>
    <row r="539" spans="1:6" x14ac:dyDescent="0.3">
      <c r="A539" s="24" t="s">
        <v>43</v>
      </c>
      <c r="B539" s="24" t="s">
        <v>21</v>
      </c>
      <c r="C539" s="24" t="s">
        <v>107</v>
      </c>
      <c r="D539" s="24" t="s">
        <v>485</v>
      </c>
      <c r="E539" s="24">
        <v>1</v>
      </c>
      <c r="F539" s="24" t="s">
        <v>129</v>
      </c>
    </row>
    <row r="540" spans="1:6" x14ac:dyDescent="0.3">
      <c r="A540" s="24" t="s">
        <v>43</v>
      </c>
      <c r="B540" s="24" t="s">
        <v>21</v>
      </c>
      <c r="C540" s="24" t="s">
        <v>109</v>
      </c>
      <c r="D540" s="24" t="s">
        <v>485</v>
      </c>
      <c r="E540" s="24">
        <v>1</v>
      </c>
      <c r="F540" s="24" t="s">
        <v>129</v>
      </c>
    </row>
    <row r="541" spans="1:6" x14ac:dyDescent="0.3">
      <c r="A541" s="24" t="s">
        <v>43</v>
      </c>
      <c r="B541" s="24" t="s">
        <v>21</v>
      </c>
      <c r="C541" s="24" t="s">
        <v>111</v>
      </c>
      <c r="D541" s="24" t="s">
        <v>486</v>
      </c>
      <c r="E541" s="24">
        <v>0</v>
      </c>
      <c r="F541" s="24" t="s">
        <v>129</v>
      </c>
    </row>
    <row r="542" spans="1:6" x14ac:dyDescent="0.3">
      <c r="A542" s="24" t="s">
        <v>45</v>
      </c>
      <c r="B542" s="24" t="s">
        <v>21</v>
      </c>
      <c r="C542" s="24" t="s">
        <v>77</v>
      </c>
      <c r="D542" s="24" t="s">
        <v>485</v>
      </c>
      <c r="E542" s="24">
        <v>0</v>
      </c>
      <c r="F542" s="24" t="s">
        <v>129</v>
      </c>
    </row>
    <row r="543" spans="1:6" x14ac:dyDescent="0.3">
      <c r="A543" s="24" t="s">
        <v>45</v>
      </c>
      <c r="B543" s="24" t="s">
        <v>21</v>
      </c>
      <c r="C543" s="24" t="s">
        <v>79</v>
      </c>
      <c r="D543" s="24" t="s">
        <v>485</v>
      </c>
      <c r="E543" s="24">
        <v>0</v>
      </c>
      <c r="F543" s="24" t="s">
        <v>129</v>
      </c>
    </row>
    <row r="544" spans="1:6" x14ac:dyDescent="0.3">
      <c r="A544" s="24" t="s">
        <v>45</v>
      </c>
      <c r="B544" s="24" t="s">
        <v>21</v>
      </c>
      <c r="C544" s="24" t="s">
        <v>81</v>
      </c>
      <c r="D544" s="24" t="s">
        <v>486</v>
      </c>
      <c r="E544" s="24">
        <v>1</v>
      </c>
      <c r="F544" s="24" t="s">
        <v>129</v>
      </c>
    </row>
    <row r="545" spans="1:6" x14ac:dyDescent="0.3">
      <c r="A545" s="24" t="s">
        <v>45</v>
      </c>
      <c r="B545" s="24" t="s">
        <v>21</v>
      </c>
      <c r="C545" s="24" t="s">
        <v>83</v>
      </c>
      <c r="D545" s="24" t="s">
        <v>485</v>
      </c>
      <c r="E545" s="24">
        <v>0</v>
      </c>
      <c r="F545" s="24" t="s">
        <v>129</v>
      </c>
    </row>
    <row r="546" spans="1:6" x14ac:dyDescent="0.3">
      <c r="A546" s="24" t="s">
        <v>45</v>
      </c>
      <c r="B546" s="24" t="s">
        <v>21</v>
      </c>
      <c r="C546" s="24" t="s">
        <v>85</v>
      </c>
      <c r="D546" s="24" t="s">
        <v>486</v>
      </c>
      <c r="E546" s="24">
        <v>0</v>
      </c>
      <c r="F546" s="24" t="s">
        <v>129</v>
      </c>
    </row>
    <row r="547" spans="1:6" x14ac:dyDescent="0.3">
      <c r="A547" s="24" t="s">
        <v>45</v>
      </c>
      <c r="B547" s="24" t="s">
        <v>21</v>
      </c>
      <c r="C547" s="24" t="s">
        <v>87</v>
      </c>
      <c r="D547" s="24" t="s">
        <v>485</v>
      </c>
      <c r="E547" s="24">
        <v>0</v>
      </c>
      <c r="F547" s="24" t="s">
        <v>126</v>
      </c>
    </row>
    <row r="548" spans="1:6" x14ac:dyDescent="0.3">
      <c r="A548" s="24" t="s">
        <v>45</v>
      </c>
      <c r="B548" s="24" t="s">
        <v>21</v>
      </c>
      <c r="C548" s="24" t="s">
        <v>89</v>
      </c>
      <c r="D548" s="24" t="s">
        <v>486</v>
      </c>
      <c r="E548" s="24">
        <v>0</v>
      </c>
      <c r="F548" s="24" t="s">
        <v>129</v>
      </c>
    </row>
    <row r="549" spans="1:6" x14ac:dyDescent="0.3">
      <c r="A549" s="24" t="s">
        <v>45</v>
      </c>
      <c r="B549" s="24" t="s">
        <v>21</v>
      </c>
      <c r="C549" s="24" t="s">
        <v>91</v>
      </c>
      <c r="D549" s="24" t="s">
        <v>486</v>
      </c>
      <c r="E549" s="24">
        <v>0</v>
      </c>
      <c r="F549" s="24" t="s">
        <v>129</v>
      </c>
    </row>
    <row r="550" spans="1:6" x14ac:dyDescent="0.3">
      <c r="A550" s="24" t="s">
        <v>45</v>
      </c>
      <c r="B550" s="24" t="s">
        <v>21</v>
      </c>
      <c r="C550" s="24" t="s">
        <v>93</v>
      </c>
      <c r="D550" s="24" t="s">
        <v>486</v>
      </c>
      <c r="E550" s="24">
        <v>0</v>
      </c>
      <c r="F550" s="24" t="s">
        <v>129</v>
      </c>
    </row>
    <row r="551" spans="1:6" x14ac:dyDescent="0.3">
      <c r="A551" s="24" t="s">
        <v>45</v>
      </c>
      <c r="B551" s="24" t="s">
        <v>21</v>
      </c>
      <c r="C551" s="24" t="s">
        <v>95</v>
      </c>
      <c r="D551" s="24" t="s">
        <v>486</v>
      </c>
      <c r="E551" s="24">
        <v>0</v>
      </c>
      <c r="F551" s="24" t="s">
        <v>129</v>
      </c>
    </row>
    <row r="552" spans="1:6" x14ac:dyDescent="0.3">
      <c r="A552" s="24" t="s">
        <v>45</v>
      </c>
      <c r="B552" s="24" t="s">
        <v>21</v>
      </c>
      <c r="C552" s="24" t="s">
        <v>97</v>
      </c>
      <c r="D552" s="24" t="s">
        <v>485</v>
      </c>
      <c r="E552" s="24">
        <v>0</v>
      </c>
      <c r="F552" s="24" t="s">
        <v>129</v>
      </c>
    </row>
    <row r="553" spans="1:6" x14ac:dyDescent="0.3">
      <c r="A553" s="24" t="s">
        <v>45</v>
      </c>
      <c r="B553" s="24" t="s">
        <v>21</v>
      </c>
      <c r="C553" s="24" t="s">
        <v>99</v>
      </c>
      <c r="D553" s="24" t="s">
        <v>486</v>
      </c>
      <c r="E553" s="24">
        <v>0</v>
      </c>
      <c r="F553" s="24" t="s">
        <v>129</v>
      </c>
    </row>
    <row r="554" spans="1:6" x14ac:dyDescent="0.3">
      <c r="A554" s="24" t="s">
        <v>45</v>
      </c>
      <c r="B554" s="24" t="s">
        <v>21</v>
      </c>
      <c r="C554" s="24" t="s">
        <v>101</v>
      </c>
      <c r="D554" s="24" t="s">
        <v>487</v>
      </c>
      <c r="E554" s="24">
        <v>0</v>
      </c>
      <c r="F554" s="24" t="s">
        <v>129</v>
      </c>
    </row>
    <row r="555" spans="1:6" x14ac:dyDescent="0.3">
      <c r="A555" s="24" t="s">
        <v>45</v>
      </c>
      <c r="B555" s="24" t="s">
        <v>21</v>
      </c>
      <c r="C555" s="24" t="s">
        <v>103</v>
      </c>
      <c r="D555" s="24" t="s">
        <v>486</v>
      </c>
      <c r="E555" s="24">
        <v>0</v>
      </c>
      <c r="F555" s="24" t="s">
        <v>129</v>
      </c>
    </row>
    <row r="556" spans="1:6" x14ac:dyDescent="0.3">
      <c r="A556" s="24" t="s">
        <v>45</v>
      </c>
      <c r="B556" s="24" t="s">
        <v>21</v>
      </c>
      <c r="C556" s="24" t="s">
        <v>105</v>
      </c>
      <c r="D556" s="24" t="s">
        <v>486</v>
      </c>
      <c r="E556" s="24">
        <v>0</v>
      </c>
      <c r="F556" s="24" t="s">
        <v>129</v>
      </c>
    </row>
    <row r="557" spans="1:6" x14ac:dyDescent="0.3">
      <c r="A557" s="24" t="s">
        <v>45</v>
      </c>
      <c r="B557" s="24" t="s">
        <v>21</v>
      </c>
      <c r="C557" s="24" t="s">
        <v>107</v>
      </c>
      <c r="D557" s="24" t="s">
        <v>485</v>
      </c>
      <c r="E557" s="24">
        <v>0</v>
      </c>
      <c r="F557" s="24" t="s">
        <v>126</v>
      </c>
    </row>
    <row r="558" spans="1:6" x14ac:dyDescent="0.3">
      <c r="A558" s="24" t="s">
        <v>45</v>
      </c>
      <c r="B558" s="24" t="s">
        <v>21</v>
      </c>
      <c r="C558" s="24" t="s">
        <v>109</v>
      </c>
      <c r="D558" s="24" t="s">
        <v>485</v>
      </c>
      <c r="E558" s="24">
        <v>0</v>
      </c>
      <c r="F558" s="24" t="s">
        <v>129</v>
      </c>
    </row>
    <row r="559" spans="1:6" x14ac:dyDescent="0.3">
      <c r="A559" s="24" t="s">
        <v>45</v>
      </c>
      <c r="B559" s="24" t="s">
        <v>21</v>
      </c>
      <c r="C559" s="24" t="s">
        <v>111</v>
      </c>
      <c r="D559" s="24" t="s">
        <v>486</v>
      </c>
      <c r="E559" s="24">
        <v>0</v>
      </c>
      <c r="F559" s="24" t="s">
        <v>129</v>
      </c>
    </row>
    <row r="560" spans="1:6" x14ac:dyDescent="0.3">
      <c r="A560" s="24" t="s">
        <v>63</v>
      </c>
      <c r="B560" s="24" t="s">
        <v>21</v>
      </c>
      <c r="C560" s="24" t="s">
        <v>77</v>
      </c>
      <c r="D560" s="24" t="s">
        <v>485</v>
      </c>
      <c r="E560" s="24">
        <v>0</v>
      </c>
      <c r="F560" s="24" t="s">
        <v>129</v>
      </c>
    </row>
    <row r="561" spans="1:6" x14ac:dyDescent="0.3">
      <c r="A561" s="24" t="s">
        <v>63</v>
      </c>
      <c r="B561" s="24" t="s">
        <v>21</v>
      </c>
      <c r="C561" s="24" t="s">
        <v>79</v>
      </c>
      <c r="D561" s="24" t="s">
        <v>485</v>
      </c>
      <c r="E561" s="24">
        <v>0</v>
      </c>
      <c r="F561" s="24" t="s">
        <v>129</v>
      </c>
    </row>
    <row r="562" spans="1:6" x14ac:dyDescent="0.3">
      <c r="A562" s="24" t="s">
        <v>63</v>
      </c>
      <c r="B562" s="24" t="s">
        <v>21</v>
      </c>
      <c r="C562" s="24" t="s">
        <v>81</v>
      </c>
      <c r="D562" s="24" t="s">
        <v>486</v>
      </c>
      <c r="E562" s="24">
        <v>1</v>
      </c>
      <c r="F562" s="24" t="s">
        <v>129</v>
      </c>
    </row>
    <row r="563" spans="1:6" x14ac:dyDescent="0.3">
      <c r="A563" s="24" t="s">
        <v>63</v>
      </c>
      <c r="B563" s="24" t="s">
        <v>21</v>
      </c>
      <c r="C563" s="24" t="s">
        <v>83</v>
      </c>
      <c r="D563" s="24" t="s">
        <v>485</v>
      </c>
      <c r="E563" s="24">
        <v>0</v>
      </c>
      <c r="F563" s="24" t="s">
        <v>129</v>
      </c>
    </row>
    <row r="564" spans="1:6" x14ac:dyDescent="0.3">
      <c r="A564" s="24" t="s">
        <v>63</v>
      </c>
      <c r="B564" s="24" t="s">
        <v>21</v>
      </c>
      <c r="C564" s="24" t="s">
        <v>85</v>
      </c>
      <c r="D564" s="24" t="s">
        <v>486</v>
      </c>
      <c r="E564" s="24">
        <v>0</v>
      </c>
      <c r="F564" s="24" t="s">
        <v>129</v>
      </c>
    </row>
    <row r="565" spans="1:6" x14ac:dyDescent="0.3">
      <c r="A565" s="24" t="s">
        <v>63</v>
      </c>
      <c r="B565" s="24" t="s">
        <v>21</v>
      </c>
      <c r="C565" s="24" t="s">
        <v>87</v>
      </c>
      <c r="D565" s="24" t="s">
        <v>485</v>
      </c>
      <c r="E565" s="24">
        <v>0</v>
      </c>
      <c r="F565" s="24" t="s">
        <v>129</v>
      </c>
    </row>
    <row r="566" spans="1:6" x14ac:dyDescent="0.3">
      <c r="A566" s="24" t="s">
        <v>63</v>
      </c>
      <c r="B566" s="24" t="s">
        <v>21</v>
      </c>
      <c r="C566" s="24" t="s">
        <v>89</v>
      </c>
      <c r="D566" s="24" t="s">
        <v>486</v>
      </c>
      <c r="E566" s="24">
        <v>0</v>
      </c>
      <c r="F566" s="24" t="s">
        <v>129</v>
      </c>
    </row>
    <row r="567" spans="1:6" x14ac:dyDescent="0.3">
      <c r="A567" s="24" t="s">
        <v>63</v>
      </c>
      <c r="B567" s="24" t="s">
        <v>21</v>
      </c>
      <c r="C567" s="24" t="s">
        <v>91</v>
      </c>
      <c r="D567" s="24" t="s">
        <v>486</v>
      </c>
      <c r="E567" s="24">
        <v>0</v>
      </c>
      <c r="F567" s="24" t="s">
        <v>129</v>
      </c>
    </row>
    <row r="568" spans="1:6" x14ac:dyDescent="0.3">
      <c r="A568" s="24" t="s">
        <v>63</v>
      </c>
      <c r="B568" s="24" t="s">
        <v>21</v>
      </c>
      <c r="C568" s="24" t="s">
        <v>93</v>
      </c>
      <c r="D568" s="24" t="s">
        <v>486</v>
      </c>
      <c r="E568" s="24">
        <v>0</v>
      </c>
      <c r="F568" s="24" t="s">
        <v>129</v>
      </c>
    </row>
    <row r="569" spans="1:6" x14ac:dyDescent="0.3">
      <c r="A569" s="24" t="s">
        <v>63</v>
      </c>
      <c r="B569" s="24" t="s">
        <v>21</v>
      </c>
      <c r="C569" s="24" t="s">
        <v>95</v>
      </c>
      <c r="D569" s="24" t="s">
        <v>486</v>
      </c>
      <c r="E569" s="24">
        <v>0</v>
      </c>
      <c r="F569" s="24" t="s">
        <v>129</v>
      </c>
    </row>
    <row r="570" spans="1:6" x14ac:dyDescent="0.3">
      <c r="A570" s="24" t="s">
        <v>63</v>
      </c>
      <c r="B570" s="24" t="s">
        <v>21</v>
      </c>
      <c r="C570" s="24" t="s">
        <v>97</v>
      </c>
      <c r="D570" s="24" t="s">
        <v>485</v>
      </c>
      <c r="E570" s="24">
        <v>0</v>
      </c>
      <c r="F570" s="24" t="s">
        <v>129</v>
      </c>
    </row>
    <row r="571" spans="1:6" x14ac:dyDescent="0.3">
      <c r="A571" s="24" t="s">
        <v>63</v>
      </c>
      <c r="B571" s="24" t="s">
        <v>21</v>
      </c>
      <c r="C571" s="24" t="s">
        <v>99</v>
      </c>
      <c r="D571" s="24" t="s">
        <v>486</v>
      </c>
      <c r="E571" s="24">
        <v>0</v>
      </c>
      <c r="F571" s="24" t="s">
        <v>129</v>
      </c>
    </row>
    <row r="572" spans="1:6" x14ac:dyDescent="0.3">
      <c r="A572" s="24" t="s">
        <v>63</v>
      </c>
      <c r="B572" s="24" t="s">
        <v>21</v>
      </c>
      <c r="C572" s="24" t="s">
        <v>101</v>
      </c>
      <c r="D572" s="24" t="s">
        <v>487</v>
      </c>
      <c r="E572" s="24">
        <v>1</v>
      </c>
      <c r="F572" s="24" t="s">
        <v>128</v>
      </c>
    </row>
    <row r="573" spans="1:6" x14ac:dyDescent="0.3">
      <c r="A573" s="24" t="s">
        <v>63</v>
      </c>
      <c r="B573" s="24" t="s">
        <v>21</v>
      </c>
      <c r="C573" s="24" t="s">
        <v>103</v>
      </c>
      <c r="D573" s="24" t="s">
        <v>486</v>
      </c>
      <c r="E573" s="24">
        <v>0</v>
      </c>
      <c r="F573" s="24" t="s">
        <v>129</v>
      </c>
    </row>
    <row r="574" spans="1:6" x14ac:dyDescent="0.3">
      <c r="A574" s="24" t="s">
        <v>63</v>
      </c>
      <c r="B574" s="24" t="s">
        <v>21</v>
      </c>
      <c r="C574" s="24" t="s">
        <v>105</v>
      </c>
      <c r="D574" s="24" t="s">
        <v>486</v>
      </c>
      <c r="E574" s="24">
        <v>0</v>
      </c>
      <c r="F574" s="24" t="s">
        <v>129</v>
      </c>
    </row>
    <row r="575" spans="1:6" x14ac:dyDescent="0.3">
      <c r="A575" s="24" t="s">
        <v>63</v>
      </c>
      <c r="B575" s="24" t="s">
        <v>21</v>
      </c>
      <c r="C575" s="24" t="s">
        <v>107</v>
      </c>
      <c r="D575" s="24" t="s">
        <v>485</v>
      </c>
      <c r="E575" s="24">
        <v>0</v>
      </c>
      <c r="F575" s="24" t="s">
        <v>129</v>
      </c>
    </row>
    <row r="576" spans="1:6" x14ac:dyDescent="0.3">
      <c r="A576" s="24" t="s">
        <v>63</v>
      </c>
      <c r="B576" s="24" t="s">
        <v>21</v>
      </c>
      <c r="C576" s="24" t="s">
        <v>109</v>
      </c>
      <c r="D576" s="24" t="s">
        <v>485</v>
      </c>
      <c r="E576" s="24">
        <v>0</v>
      </c>
      <c r="F576" s="24" t="s">
        <v>129</v>
      </c>
    </row>
    <row r="577" spans="1:6" x14ac:dyDescent="0.3">
      <c r="A577" s="24" t="s">
        <v>63</v>
      </c>
      <c r="B577" s="24" t="s">
        <v>21</v>
      </c>
      <c r="C577" s="24" t="s">
        <v>111</v>
      </c>
      <c r="D577" s="24" t="s">
        <v>486</v>
      </c>
      <c r="E577" s="24">
        <v>0</v>
      </c>
      <c r="F577" s="24" t="s">
        <v>129</v>
      </c>
    </row>
    <row r="578" spans="1:6" x14ac:dyDescent="0.3">
      <c r="A578" s="24" t="s">
        <v>47</v>
      </c>
      <c r="B578" s="24" t="s">
        <v>21</v>
      </c>
      <c r="C578" s="24" t="s">
        <v>77</v>
      </c>
      <c r="D578" s="24" t="s">
        <v>485</v>
      </c>
      <c r="E578" s="24">
        <v>0</v>
      </c>
      <c r="F578" s="24" t="s">
        <v>126</v>
      </c>
    </row>
    <row r="579" spans="1:6" x14ac:dyDescent="0.3">
      <c r="A579" s="24" t="s">
        <v>47</v>
      </c>
      <c r="B579" s="24" t="s">
        <v>21</v>
      </c>
      <c r="C579" s="24" t="s">
        <v>79</v>
      </c>
      <c r="D579" s="24" t="s">
        <v>485</v>
      </c>
      <c r="E579" s="24">
        <v>0</v>
      </c>
      <c r="F579" s="24" t="s">
        <v>129</v>
      </c>
    </row>
    <row r="580" spans="1:6" x14ac:dyDescent="0.3">
      <c r="A580" s="24" t="s">
        <v>47</v>
      </c>
      <c r="B580" s="24" t="s">
        <v>21</v>
      </c>
      <c r="C580" s="24" t="s">
        <v>81</v>
      </c>
      <c r="D580" s="24" t="s">
        <v>486</v>
      </c>
      <c r="E580" s="24">
        <v>1</v>
      </c>
      <c r="F580" s="24" t="s">
        <v>129</v>
      </c>
    </row>
    <row r="581" spans="1:6" x14ac:dyDescent="0.3">
      <c r="A581" s="24" t="s">
        <v>47</v>
      </c>
      <c r="B581" s="24" t="s">
        <v>21</v>
      </c>
      <c r="C581" s="24" t="s">
        <v>83</v>
      </c>
      <c r="D581" s="24" t="s">
        <v>485</v>
      </c>
      <c r="E581" s="24">
        <v>0</v>
      </c>
      <c r="F581" s="24" t="s">
        <v>129</v>
      </c>
    </row>
    <row r="582" spans="1:6" x14ac:dyDescent="0.3">
      <c r="A582" s="24" t="s">
        <v>47</v>
      </c>
      <c r="B582" s="24" t="s">
        <v>21</v>
      </c>
      <c r="C582" s="24" t="s">
        <v>85</v>
      </c>
      <c r="D582" s="24" t="s">
        <v>486</v>
      </c>
      <c r="E582" s="24">
        <v>0</v>
      </c>
      <c r="F582" s="24" t="s">
        <v>129</v>
      </c>
    </row>
    <row r="583" spans="1:6" x14ac:dyDescent="0.3">
      <c r="A583" s="24" t="s">
        <v>47</v>
      </c>
      <c r="B583" s="24" t="s">
        <v>21</v>
      </c>
      <c r="C583" s="24" t="s">
        <v>87</v>
      </c>
      <c r="D583" s="24" t="s">
        <v>485</v>
      </c>
      <c r="E583" s="24">
        <v>0</v>
      </c>
      <c r="F583" s="24" t="s">
        <v>129</v>
      </c>
    </row>
    <row r="584" spans="1:6" x14ac:dyDescent="0.3">
      <c r="A584" s="24" t="s">
        <v>47</v>
      </c>
      <c r="B584" s="24" t="s">
        <v>21</v>
      </c>
      <c r="C584" s="24" t="s">
        <v>89</v>
      </c>
      <c r="D584" s="24" t="s">
        <v>486</v>
      </c>
      <c r="E584" s="24">
        <v>0</v>
      </c>
      <c r="F584" s="24" t="s">
        <v>129</v>
      </c>
    </row>
    <row r="585" spans="1:6" x14ac:dyDescent="0.3">
      <c r="A585" s="24" t="s">
        <v>47</v>
      </c>
      <c r="B585" s="24" t="s">
        <v>21</v>
      </c>
      <c r="C585" s="24" t="s">
        <v>91</v>
      </c>
      <c r="D585" s="24" t="s">
        <v>486</v>
      </c>
      <c r="E585" s="24">
        <v>0</v>
      </c>
      <c r="F585" s="24" t="s">
        <v>129</v>
      </c>
    </row>
    <row r="586" spans="1:6" x14ac:dyDescent="0.3">
      <c r="A586" s="24" t="s">
        <v>47</v>
      </c>
      <c r="B586" s="24" t="s">
        <v>21</v>
      </c>
      <c r="C586" s="24" t="s">
        <v>93</v>
      </c>
      <c r="D586" s="24" t="s">
        <v>486</v>
      </c>
      <c r="E586" s="24">
        <v>0</v>
      </c>
      <c r="F586" s="24" t="s">
        <v>129</v>
      </c>
    </row>
    <row r="587" spans="1:6" x14ac:dyDescent="0.3">
      <c r="A587" s="24" t="s">
        <v>47</v>
      </c>
      <c r="B587" s="24" t="s">
        <v>21</v>
      </c>
      <c r="C587" s="24" t="s">
        <v>95</v>
      </c>
      <c r="D587" s="24" t="s">
        <v>486</v>
      </c>
      <c r="E587" s="24">
        <v>0</v>
      </c>
      <c r="F587" s="24" t="s">
        <v>129</v>
      </c>
    </row>
    <row r="588" spans="1:6" x14ac:dyDescent="0.3">
      <c r="A588" s="24" t="s">
        <v>47</v>
      </c>
      <c r="B588" s="24" t="s">
        <v>21</v>
      </c>
      <c r="C588" s="24" t="s">
        <v>97</v>
      </c>
      <c r="D588" s="24" t="s">
        <v>485</v>
      </c>
      <c r="E588" s="24">
        <v>0</v>
      </c>
      <c r="F588" s="24" t="s">
        <v>129</v>
      </c>
    </row>
    <row r="589" spans="1:6" x14ac:dyDescent="0.3">
      <c r="A589" s="24" t="s">
        <v>47</v>
      </c>
      <c r="B589" s="24" t="s">
        <v>21</v>
      </c>
      <c r="C589" s="24" t="s">
        <v>99</v>
      </c>
      <c r="D589" s="24" t="s">
        <v>486</v>
      </c>
      <c r="E589" s="24">
        <v>0</v>
      </c>
      <c r="F589" s="24" t="s">
        <v>129</v>
      </c>
    </row>
    <row r="590" spans="1:6" x14ac:dyDescent="0.3">
      <c r="A590" s="24" t="s">
        <v>47</v>
      </c>
      <c r="B590" s="24" t="s">
        <v>21</v>
      </c>
      <c r="C590" s="24" t="s">
        <v>101</v>
      </c>
      <c r="D590" s="24" t="s">
        <v>487</v>
      </c>
      <c r="E590" s="24">
        <v>0</v>
      </c>
      <c r="F590" s="24" t="s">
        <v>129</v>
      </c>
    </row>
    <row r="591" spans="1:6" x14ac:dyDescent="0.3">
      <c r="A591" s="24" t="s">
        <v>47</v>
      </c>
      <c r="B591" s="24" t="s">
        <v>21</v>
      </c>
      <c r="C591" s="24" t="s">
        <v>103</v>
      </c>
      <c r="D591" s="24" t="s">
        <v>486</v>
      </c>
      <c r="E591" s="24">
        <v>0</v>
      </c>
      <c r="F591" s="24" t="s">
        <v>129</v>
      </c>
    </row>
    <row r="592" spans="1:6" x14ac:dyDescent="0.3">
      <c r="A592" s="24" t="s">
        <v>47</v>
      </c>
      <c r="B592" s="24" t="s">
        <v>21</v>
      </c>
      <c r="C592" s="24" t="s">
        <v>105</v>
      </c>
      <c r="D592" s="24" t="s">
        <v>486</v>
      </c>
      <c r="E592" s="24">
        <v>0</v>
      </c>
      <c r="F592" s="24" t="s">
        <v>129</v>
      </c>
    </row>
    <row r="593" spans="1:6" x14ac:dyDescent="0.3">
      <c r="A593" s="24" t="s">
        <v>47</v>
      </c>
      <c r="B593" s="24" t="s">
        <v>21</v>
      </c>
      <c r="C593" s="24" t="s">
        <v>107</v>
      </c>
      <c r="D593" s="24" t="s">
        <v>485</v>
      </c>
      <c r="E593" s="24">
        <v>1</v>
      </c>
      <c r="F593" s="24" t="s">
        <v>128</v>
      </c>
    </row>
    <row r="594" spans="1:6" x14ac:dyDescent="0.3">
      <c r="A594" s="24" t="s">
        <v>47</v>
      </c>
      <c r="B594" s="24" t="s">
        <v>21</v>
      </c>
      <c r="C594" s="24" t="s">
        <v>109</v>
      </c>
      <c r="D594" s="24" t="s">
        <v>485</v>
      </c>
      <c r="E594" s="24">
        <v>1</v>
      </c>
      <c r="F594" s="24" t="s">
        <v>129</v>
      </c>
    </row>
    <row r="595" spans="1:6" x14ac:dyDescent="0.3">
      <c r="A595" s="24" t="s">
        <v>47</v>
      </c>
      <c r="B595" s="24" t="s">
        <v>21</v>
      </c>
      <c r="C595" s="24" t="s">
        <v>111</v>
      </c>
      <c r="D595" s="24" t="s">
        <v>486</v>
      </c>
      <c r="E595" s="24">
        <v>0</v>
      </c>
      <c r="F595" s="24" t="s">
        <v>129</v>
      </c>
    </row>
    <row r="596" spans="1:6" x14ac:dyDescent="0.3">
      <c r="A596" s="24" t="s">
        <v>49</v>
      </c>
      <c r="B596" s="24" t="s">
        <v>21</v>
      </c>
      <c r="C596" s="24" t="s">
        <v>77</v>
      </c>
      <c r="D596" s="24" t="s">
        <v>485</v>
      </c>
      <c r="E596" s="24">
        <v>0</v>
      </c>
      <c r="F596" s="24" t="s">
        <v>126</v>
      </c>
    </row>
    <row r="597" spans="1:6" x14ac:dyDescent="0.3">
      <c r="A597" s="24" t="s">
        <v>49</v>
      </c>
      <c r="B597" s="24" t="s">
        <v>21</v>
      </c>
      <c r="C597" s="24" t="s">
        <v>79</v>
      </c>
      <c r="D597" s="24" t="s">
        <v>485</v>
      </c>
      <c r="E597" s="24">
        <v>0</v>
      </c>
      <c r="F597" s="24" t="s">
        <v>129</v>
      </c>
    </row>
    <row r="598" spans="1:6" x14ac:dyDescent="0.3">
      <c r="A598" s="24" t="s">
        <v>49</v>
      </c>
      <c r="B598" s="24" t="s">
        <v>21</v>
      </c>
      <c r="C598" s="24" t="s">
        <v>81</v>
      </c>
      <c r="D598" s="24" t="s">
        <v>486</v>
      </c>
      <c r="E598" s="24">
        <v>1</v>
      </c>
      <c r="F598" s="24" t="s">
        <v>129</v>
      </c>
    </row>
    <row r="599" spans="1:6" x14ac:dyDescent="0.3">
      <c r="A599" s="24" t="s">
        <v>49</v>
      </c>
      <c r="B599" s="24" t="s">
        <v>21</v>
      </c>
      <c r="C599" s="24" t="s">
        <v>83</v>
      </c>
      <c r="D599" s="24" t="s">
        <v>485</v>
      </c>
      <c r="E599" s="24">
        <v>0</v>
      </c>
      <c r="F599" s="24" t="s">
        <v>129</v>
      </c>
    </row>
    <row r="600" spans="1:6" x14ac:dyDescent="0.3">
      <c r="A600" s="24" t="s">
        <v>49</v>
      </c>
      <c r="B600" s="24" t="s">
        <v>21</v>
      </c>
      <c r="C600" s="24" t="s">
        <v>85</v>
      </c>
      <c r="D600" s="24" t="s">
        <v>486</v>
      </c>
      <c r="E600" s="24">
        <v>0</v>
      </c>
      <c r="F600" s="24" t="s">
        <v>129</v>
      </c>
    </row>
    <row r="601" spans="1:6" x14ac:dyDescent="0.3">
      <c r="A601" s="24" t="s">
        <v>49</v>
      </c>
      <c r="B601" s="24" t="s">
        <v>21</v>
      </c>
      <c r="C601" s="24" t="s">
        <v>87</v>
      </c>
      <c r="D601" s="24" t="s">
        <v>485</v>
      </c>
      <c r="E601" s="24">
        <v>0</v>
      </c>
      <c r="F601" s="24" t="s">
        <v>129</v>
      </c>
    </row>
    <row r="602" spans="1:6" x14ac:dyDescent="0.3">
      <c r="A602" s="24" t="s">
        <v>49</v>
      </c>
      <c r="B602" s="24" t="s">
        <v>21</v>
      </c>
      <c r="C602" s="24" t="s">
        <v>89</v>
      </c>
      <c r="D602" s="24" t="s">
        <v>486</v>
      </c>
      <c r="E602" s="24">
        <v>0</v>
      </c>
      <c r="F602" s="24" t="s">
        <v>129</v>
      </c>
    </row>
    <row r="603" spans="1:6" x14ac:dyDescent="0.3">
      <c r="A603" s="24" t="s">
        <v>49</v>
      </c>
      <c r="B603" s="24" t="s">
        <v>21</v>
      </c>
      <c r="C603" s="24" t="s">
        <v>91</v>
      </c>
      <c r="D603" s="24" t="s">
        <v>486</v>
      </c>
      <c r="E603" s="24">
        <v>0</v>
      </c>
      <c r="F603" s="24" t="s">
        <v>129</v>
      </c>
    </row>
    <row r="604" spans="1:6" x14ac:dyDescent="0.3">
      <c r="A604" s="24" t="s">
        <v>49</v>
      </c>
      <c r="B604" s="24" t="s">
        <v>21</v>
      </c>
      <c r="C604" s="24" t="s">
        <v>93</v>
      </c>
      <c r="D604" s="24" t="s">
        <v>486</v>
      </c>
      <c r="E604" s="24">
        <v>0</v>
      </c>
      <c r="F604" s="24" t="s">
        <v>129</v>
      </c>
    </row>
    <row r="605" spans="1:6" x14ac:dyDescent="0.3">
      <c r="A605" s="24" t="s">
        <v>49</v>
      </c>
      <c r="B605" s="24" t="s">
        <v>21</v>
      </c>
      <c r="C605" s="24" t="s">
        <v>95</v>
      </c>
      <c r="D605" s="24" t="s">
        <v>486</v>
      </c>
      <c r="E605" s="24">
        <v>0</v>
      </c>
      <c r="F605" s="24" t="s">
        <v>129</v>
      </c>
    </row>
    <row r="606" spans="1:6" x14ac:dyDescent="0.3">
      <c r="A606" s="24" t="s">
        <v>49</v>
      </c>
      <c r="B606" s="24" t="s">
        <v>21</v>
      </c>
      <c r="C606" s="24" t="s">
        <v>97</v>
      </c>
      <c r="D606" s="24" t="s">
        <v>485</v>
      </c>
      <c r="E606" s="24">
        <v>0</v>
      </c>
      <c r="F606" s="24" t="s">
        <v>129</v>
      </c>
    </row>
    <row r="607" spans="1:6" x14ac:dyDescent="0.3">
      <c r="A607" s="24" t="s">
        <v>49</v>
      </c>
      <c r="B607" s="24" t="s">
        <v>21</v>
      </c>
      <c r="C607" s="24" t="s">
        <v>99</v>
      </c>
      <c r="D607" s="24" t="s">
        <v>486</v>
      </c>
      <c r="E607" s="24">
        <v>0</v>
      </c>
      <c r="F607" s="24" t="s">
        <v>129</v>
      </c>
    </row>
    <row r="608" spans="1:6" x14ac:dyDescent="0.3">
      <c r="A608" s="24" t="s">
        <v>49</v>
      </c>
      <c r="B608" s="24" t="s">
        <v>21</v>
      </c>
      <c r="C608" s="24" t="s">
        <v>101</v>
      </c>
      <c r="D608" s="24" t="s">
        <v>487</v>
      </c>
      <c r="E608" s="24">
        <v>1</v>
      </c>
      <c r="F608" s="24" t="s">
        <v>129</v>
      </c>
    </row>
    <row r="609" spans="1:6" x14ac:dyDescent="0.3">
      <c r="A609" s="24" t="s">
        <v>49</v>
      </c>
      <c r="B609" s="24" t="s">
        <v>21</v>
      </c>
      <c r="C609" s="24" t="s">
        <v>103</v>
      </c>
      <c r="D609" s="24" t="s">
        <v>486</v>
      </c>
      <c r="E609" s="24">
        <v>0</v>
      </c>
      <c r="F609" s="24" t="s">
        <v>129</v>
      </c>
    </row>
    <row r="610" spans="1:6" x14ac:dyDescent="0.3">
      <c r="A610" s="24" t="s">
        <v>49</v>
      </c>
      <c r="B610" s="24" t="s">
        <v>21</v>
      </c>
      <c r="C610" s="24" t="s">
        <v>105</v>
      </c>
      <c r="D610" s="24" t="s">
        <v>486</v>
      </c>
      <c r="E610" s="24">
        <v>0</v>
      </c>
      <c r="F610" s="24" t="s">
        <v>129</v>
      </c>
    </row>
    <row r="611" spans="1:6" x14ac:dyDescent="0.3">
      <c r="A611" s="24" t="s">
        <v>49</v>
      </c>
      <c r="B611" s="24" t="s">
        <v>21</v>
      </c>
      <c r="C611" s="24" t="s">
        <v>107</v>
      </c>
      <c r="D611" s="24" t="s">
        <v>485</v>
      </c>
      <c r="E611" s="24">
        <v>0</v>
      </c>
      <c r="F611" s="24" t="s">
        <v>129</v>
      </c>
    </row>
    <row r="612" spans="1:6" x14ac:dyDescent="0.3">
      <c r="A612" s="24" t="s">
        <v>49</v>
      </c>
      <c r="B612" s="24" t="s">
        <v>21</v>
      </c>
      <c r="C612" s="24" t="s">
        <v>109</v>
      </c>
      <c r="D612" s="24" t="s">
        <v>485</v>
      </c>
      <c r="E612" s="24">
        <v>1</v>
      </c>
      <c r="F612" s="24" t="s">
        <v>129</v>
      </c>
    </row>
    <row r="613" spans="1:6" x14ac:dyDescent="0.3">
      <c r="A613" s="24" t="s">
        <v>49</v>
      </c>
      <c r="B613" s="24" t="s">
        <v>21</v>
      </c>
      <c r="C613" s="24" t="s">
        <v>111</v>
      </c>
      <c r="D613" s="24" t="s">
        <v>486</v>
      </c>
      <c r="E613" s="24">
        <v>0</v>
      </c>
      <c r="F613" s="24" t="s">
        <v>129</v>
      </c>
    </row>
    <row r="614" spans="1:6" x14ac:dyDescent="0.3">
      <c r="A614" s="24" t="s">
        <v>51</v>
      </c>
      <c r="B614" s="24" t="s">
        <v>21</v>
      </c>
      <c r="C614" s="24" t="s">
        <v>77</v>
      </c>
      <c r="D614" s="24" t="s">
        <v>485</v>
      </c>
      <c r="E614" s="24">
        <v>0</v>
      </c>
      <c r="F614" s="24" t="s">
        <v>126</v>
      </c>
    </row>
    <row r="615" spans="1:6" x14ac:dyDescent="0.3">
      <c r="A615" s="24" t="s">
        <v>51</v>
      </c>
      <c r="B615" s="24" t="s">
        <v>21</v>
      </c>
      <c r="C615" s="24" t="s">
        <v>79</v>
      </c>
      <c r="D615" s="24" t="s">
        <v>485</v>
      </c>
      <c r="E615" s="24">
        <v>0</v>
      </c>
      <c r="F615" s="24" t="s">
        <v>129</v>
      </c>
    </row>
    <row r="616" spans="1:6" x14ac:dyDescent="0.3">
      <c r="A616" s="24" t="s">
        <v>51</v>
      </c>
      <c r="B616" s="24" t="s">
        <v>21</v>
      </c>
      <c r="C616" s="24" t="s">
        <v>81</v>
      </c>
      <c r="D616" s="24" t="s">
        <v>486</v>
      </c>
      <c r="E616" s="24">
        <v>1</v>
      </c>
      <c r="F616" s="24" t="s">
        <v>129</v>
      </c>
    </row>
    <row r="617" spans="1:6" x14ac:dyDescent="0.3">
      <c r="A617" s="24" t="s">
        <v>51</v>
      </c>
      <c r="B617" s="24" t="s">
        <v>21</v>
      </c>
      <c r="C617" s="24" t="s">
        <v>83</v>
      </c>
      <c r="D617" s="24" t="s">
        <v>485</v>
      </c>
      <c r="E617" s="24">
        <v>0</v>
      </c>
      <c r="F617" s="24" t="s">
        <v>129</v>
      </c>
    </row>
    <row r="618" spans="1:6" x14ac:dyDescent="0.3">
      <c r="A618" s="24" t="s">
        <v>51</v>
      </c>
      <c r="B618" s="24" t="s">
        <v>21</v>
      </c>
      <c r="C618" s="24" t="s">
        <v>85</v>
      </c>
      <c r="D618" s="24" t="s">
        <v>486</v>
      </c>
      <c r="E618" s="24">
        <v>0</v>
      </c>
      <c r="F618" s="24" t="s">
        <v>129</v>
      </c>
    </row>
    <row r="619" spans="1:6" x14ac:dyDescent="0.3">
      <c r="A619" s="24" t="s">
        <v>51</v>
      </c>
      <c r="B619" s="24" t="s">
        <v>21</v>
      </c>
      <c r="C619" s="24" t="s">
        <v>87</v>
      </c>
      <c r="D619" s="24" t="s">
        <v>485</v>
      </c>
      <c r="E619" s="24">
        <v>0</v>
      </c>
      <c r="F619" s="24" t="s">
        <v>126</v>
      </c>
    </row>
    <row r="620" spans="1:6" x14ac:dyDescent="0.3">
      <c r="A620" s="24" t="s">
        <v>51</v>
      </c>
      <c r="B620" s="24" t="s">
        <v>21</v>
      </c>
      <c r="C620" s="24" t="s">
        <v>89</v>
      </c>
      <c r="D620" s="24" t="s">
        <v>486</v>
      </c>
      <c r="E620" s="24">
        <v>0</v>
      </c>
      <c r="F620" s="24" t="s">
        <v>129</v>
      </c>
    </row>
    <row r="621" spans="1:6" x14ac:dyDescent="0.3">
      <c r="A621" s="24" t="s">
        <v>51</v>
      </c>
      <c r="B621" s="24" t="s">
        <v>21</v>
      </c>
      <c r="C621" s="24" t="s">
        <v>91</v>
      </c>
      <c r="D621" s="24" t="s">
        <v>486</v>
      </c>
      <c r="E621" s="24">
        <v>0</v>
      </c>
      <c r="F621" s="24" t="s">
        <v>129</v>
      </c>
    </row>
    <row r="622" spans="1:6" x14ac:dyDescent="0.3">
      <c r="A622" s="24" t="s">
        <v>51</v>
      </c>
      <c r="B622" s="24" t="s">
        <v>21</v>
      </c>
      <c r="C622" s="24" t="s">
        <v>93</v>
      </c>
      <c r="D622" s="24" t="s">
        <v>486</v>
      </c>
      <c r="E622" s="24">
        <v>0</v>
      </c>
      <c r="F622" s="24" t="s">
        <v>129</v>
      </c>
    </row>
    <row r="623" spans="1:6" x14ac:dyDescent="0.3">
      <c r="A623" s="24" t="s">
        <v>51</v>
      </c>
      <c r="B623" s="24" t="s">
        <v>21</v>
      </c>
      <c r="C623" s="24" t="s">
        <v>95</v>
      </c>
      <c r="D623" s="24" t="s">
        <v>486</v>
      </c>
      <c r="E623" s="24">
        <v>0</v>
      </c>
      <c r="F623" s="24" t="s">
        <v>129</v>
      </c>
    </row>
    <row r="624" spans="1:6" x14ac:dyDescent="0.3">
      <c r="A624" s="24" t="s">
        <v>51</v>
      </c>
      <c r="B624" s="24" t="s">
        <v>21</v>
      </c>
      <c r="C624" s="24" t="s">
        <v>97</v>
      </c>
      <c r="D624" s="24" t="s">
        <v>485</v>
      </c>
      <c r="E624" s="24">
        <v>0</v>
      </c>
      <c r="F624" s="24" t="s">
        <v>129</v>
      </c>
    </row>
    <row r="625" spans="1:6" x14ac:dyDescent="0.3">
      <c r="A625" s="24" t="s">
        <v>51</v>
      </c>
      <c r="B625" s="24" t="s">
        <v>21</v>
      </c>
      <c r="C625" s="24" t="s">
        <v>99</v>
      </c>
      <c r="D625" s="24" t="s">
        <v>486</v>
      </c>
      <c r="E625" s="24">
        <v>0</v>
      </c>
      <c r="F625" s="24" t="s">
        <v>129</v>
      </c>
    </row>
    <row r="626" spans="1:6" x14ac:dyDescent="0.3">
      <c r="A626" s="24" t="s">
        <v>51</v>
      </c>
      <c r="B626" s="24" t="s">
        <v>21</v>
      </c>
      <c r="C626" s="24" t="s">
        <v>101</v>
      </c>
      <c r="D626" s="24" t="s">
        <v>487</v>
      </c>
      <c r="E626" s="24">
        <v>0</v>
      </c>
      <c r="F626" s="24" t="s">
        <v>129</v>
      </c>
    </row>
    <row r="627" spans="1:6" x14ac:dyDescent="0.3">
      <c r="A627" s="24" t="s">
        <v>51</v>
      </c>
      <c r="B627" s="24" t="s">
        <v>21</v>
      </c>
      <c r="C627" s="24" t="s">
        <v>103</v>
      </c>
      <c r="D627" s="24" t="s">
        <v>486</v>
      </c>
      <c r="E627" s="24">
        <v>0</v>
      </c>
      <c r="F627" s="24" t="s">
        <v>129</v>
      </c>
    </row>
    <row r="628" spans="1:6" x14ac:dyDescent="0.3">
      <c r="A628" s="24" t="s">
        <v>51</v>
      </c>
      <c r="B628" s="24" t="s">
        <v>21</v>
      </c>
      <c r="C628" s="24" t="s">
        <v>105</v>
      </c>
      <c r="D628" s="24" t="s">
        <v>486</v>
      </c>
      <c r="E628" s="24">
        <v>0</v>
      </c>
      <c r="F628" s="24" t="s">
        <v>129</v>
      </c>
    </row>
    <row r="629" spans="1:6" x14ac:dyDescent="0.3">
      <c r="A629" s="24" t="s">
        <v>51</v>
      </c>
      <c r="B629" s="24" t="s">
        <v>21</v>
      </c>
      <c r="C629" s="24" t="s">
        <v>107</v>
      </c>
      <c r="D629" s="24" t="s">
        <v>485</v>
      </c>
      <c r="E629" s="24">
        <v>0</v>
      </c>
      <c r="F629" s="24" t="s">
        <v>126</v>
      </c>
    </row>
    <row r="630" spans="1:6" x14ac:dyDescent="0.3">
      <c r="A630" s="24" t="s">
        <v>51</v>
      </c>
      <c r="B630" s="24" t="s">
        <v>21</v>
      </c>
      <c r="C630" s="24" t="s">
        <v>109</v>
      </c>
      <c r="D630" s="24" t="s">
        <v>485</v>
      </c>
      <c r="E630" s="24">
        <v>1</v>
      </c>
      <c r="F630" s="24" t="s">
        <v>129</v>
      </c>
    </row>
    <row r="631" spans="1:6" x14ac:dyDescent="0.3">
      <c r="A631" s="24" t="s">
        <v>51</v>
      </c>
      <c r="B631" s="24" t="s">
        <v>21</v>
      </c>
      <c r="C631" s="24" t="s">
        <v>111</v>
      </c>
      <c r="D631" s="24" t="s">
        <v>486</v>
      </c>
      <c r="E631" s="24">
        <v>0</v>
      </c>
      <c r="F631" s="24" t="s">
        <v>129</v>
      </c>
    </row>
    <row r="632" spans="1:6" x14ac:dyDescent="0.3">
      <c r="A632" s="24" t="s">
        <v>53</v>
      </c>
      <c r="B632" s="24" t="s">
        <v>21</v>
      </c>
      <c r="C632" s="24" t="s">
        <v>77</v>
      </c>
      <c r="D632" s="24" t="s">
        <v>485</v>
      </c>
      <c r="E632" s="24">
        <v>0</v>
      </c>
      <c r="F632" s="24" t="s">
        <v>126</v>
      </c>
    </row>
    <row r="633" spans="1:6" x14ac:dyDescent="0.3">
      <c r="A633" s="24" t="s">
        <v>53</v>
      </c>
      <c r="B633" s="24" t="s">
        <v>21</v>
      </c>
      <c r="C633" s="24" t="s">
        <v>79</v>
      </c>
      <c r="D633" s="24" t="s">
        <v>485</v>
      </c>
      <c r="E633" s="24">
        <v>0</v>
      </c>
      <c r="F633" s="24" t="s">
        <v>129</v>
      </c>
    </row>
    <row r="634" spans="1:6" x14ac:dyDescent="0.3">
      <c r="A634" s="24" t="s">
        <v>53</v>
      </c>
      <c r="B634" s="24" t="s">
        <v>21</v>
      </c>
      <c r="C634" s="24" t="s">
        <v>81</v>
      </c>
      <c r="D634" s="24" t="s">
        <v>486</v>
      </c>
      <c r="E634" s="24">
        <v>0</v>
      </c>
      <c r="F634" s="24" t="s">
        <v>129</v>
      </c>
    </row>
    <row r="635" spans="1:6" x14ac:dyDescent="0.3">
      <c r="A635" s="24" t="s">
        <v>53</v>
      </c>
      <c r="B635" s="24" t="s">
        <v>21</v>
      </c>
      <c r="C635" s="24" t="s">
        <v>83</v>
      </c>
      <c r="D635" s="24" t="s">
        <v>485</v>
      </c>
      <c r="E635" s="24">
        <v>0</v>
      </c>
      <c r="F635" s="24" t="s">
        <v>129</v>
      </c>
    </row>
    <row r="636" spans="1:6" x14ac:dyDescent="0.3">
      <c r="A636" s="24" t="s">
        <v>53</v>
      </c>
      <c r="B636" s="24" t="s">
        <v>21</v>
      </c>
      <c r="C636" s="24" t="s">
        <v>85</v>
      </c>
      <c r="D636" s="24" t="s">
        <v>486</v>
      </c>
      <c r="E636" s="24">
        <v>0</v>
      </c>
      <c r="F636" s="24" t="s">
        <v>129</v>
      </c>
    </row>
    <row r="637" spans="1:6" x14ac:dyDescent="0.3">
      <c r="A637" s="24" t="s">
        <v>53</v>
      </c>
      <c r="B637" s="24" t="s">
        <v>21</v>
      </c>
      <c r="C637" s="24" t="s">
        <v>87</v>
      </c>
      <c r="D637" s="24" t="s">
        <v>485</v>
      </c>
      <c r="E637" s="24">
        <v>0</v>
      </c>
      <c r="F637" s="24" t="s">
        <v>129</v>
      </c>
    </row>
    <row r="638" spans="1:6" x14ac:dyDescent="0.3">
      <c r="A638" s="24" t="s">
        <v>53</v>
      </c>
      <c r="B638" s="24" t="s">
        <v>21</v>
      </c>
      <c r="C638" s="24" t="s">
        <v>89</v>
      </c>
      <c r="D638" s="24" t="s">
        <v>486</v>
      </c>
      <c r="E638" s="24">
        <v>0</v>
      </c>
      <c r="F638" s="24" t="s">
        <v>129</v>
      </c>
    </row>
    <row r="639" spans="1:6" x14ac:dyDescent="0.3">
      <c r="A639" s="24" t="s">
        <v>53</v>
      </c>
      <c r="B639" s="24" t="s">
        <v>21</v>
      </c>
      <c r="C639" s="24" t="s">
        <v>91</v>
      </c>
      <c r="D639" s="24" t="s">
        <v>486</v>
      </c>
      <c r="E639" s="24">
        <v>0</v>
      </c>
      <c r="F639" s="24" t="s">
        <v>129</v>
      </c>
    </row>
    <row r="640" spans="1:6" x14ac:dyDescent="0.3">
      <c r="A640" s="24" t="s">
        <v>53</v>
      </c>
      <c r="B640" s="24" t="s">
        <v>21</v>
      </c>
      <c r="C640" s="24" t="s">
        <v>93</v>
      </c>
      <c r="D640" s="24" t="s">
        <v>486</v>
      </c>
      <c r="E640" s="24">
        <v>0</v>
      </c>
      <c r="F640" s="24" t="s">
        <v>129</v>
      </c>
    </row>
    <row r="641" spans="1:6" x14ac:dyDescent="0.3">
      <c r="A641" s="24" t="s">
        <v>53</v>
      </c>
      <c r="B641" s="24" t="s">
        <v>21</v>
      </c>
      <c r="C641" s="24" t="s">
        <v>95</v>
      </c>
      <c r="D641" s="24" t="s">
        <v>486</v>
      </c>
      <c r="E641" s="24">
        <v>0</v>
      </c>
      <c r="F641" s="24" t="s">
        <v>129</v>
      </c>
    </row>
    <row r="642" spans="1:6" x14ac:dyDescent="0.3">
      <c r="A642" s="24" t="s">
        <v>53</v>
      </c>
      <c r="B642" s="24" t="s">
        <v>21</v>
      </c>
      <c r="C642" s="24" t="s">
        <v>97</v>
      </c>
      <c r="D642" s="24" t="s">
        <v>485</v>
      </c>
      <c r="E642" s="24">
        <v>0</v>
      </c>
      <c r="F642" s="24" t="s">
        <v>129</v>
      </c>
    </row>
    <row r="643" spans="1:6" x14ac:dyDescent="0.3">
      <c r="A643" s="24" t="s">
        <v>53</v>
      </c>
      <c r="B643" s="24" t="s">
        <v>21</v>
      </c>
      <c r="C643" s="24" t="s">
        <v>99</v>
      </c>
      <c r="D643" s="24" t="s">
        <v>486</v>
      </c>
      <c r="E643" s="24">
        <v>0</v>
      </c>
      <c r="F643" s="24" t="s">
        <v>129</v>
      </c>
    </row>
    <row r="644" spans="1:6" x14ac:dyDescent="0.3">
      <c r="A644" s="24" t="s">
        <v>53</v>
      </c>
      <c r="B644" s="24" t="s">
        <v>21</v>
      </c>
      <c r="C644" s="24" t="s">
        <v>101</v>
      </c>
      <c r="D644" s="24" t="s">
        <v>487</v>
      </c>
      <c r="E644" s="24">
        <v>0</v>
      </c>
      <c r="F644" s="24" t="s">
        <v>129</v>
      </c>
    </row>
    <row r="645" spans="1:6" x14ac:dyDescent="0.3">
      <c r="A645" s="24" t="s">
        <v>53</v>
      </c>
      <c r="B645" s="24" t="s">
        <v>21</v>
      </c>
      <c r="C645" s="24" t="s">
        <v>103</v>
      </c>
      <c r="D645" s="24" t="s">
        <v>486</v>
      </c>
      <c r="E645" s="24">
        <v>0</v>
      </c>
      <c r="F645" s="24" t="s">
        <v>129</v>
      </c>
    </row>
    <row r="646" spans="1:6" x14ac:dyDescent="0.3">
      <c r="A646" s="24" t="s">
        <v>53</v>
      </c>
      <c r="B646" s="24" t="s">
        <v>21</v>
      </c>
      <c r="C646" s="24" t="s">
        <v>105</v>
      </c>
      <c r="D646" s="24" t="s">
        <v>486</v>
      </c>
      <c r="E646" s="24">
        <v>0</v>
      </c>
      <c r="F646" s="24" t="s">
        <v>129</v>
      </c>
    </row>
    <row r="647" spans="1:6" x14ac:dyDescent="0.3">
      <c r="A647" s="24" t="s">
        <v>53</v>
      </c>
      <c r="B647" s="24" t="s">
        <v>21</v>
      </c>
      <c r="C647" s="24" t="s">
        <v>107</v>
      </c>
      <c r="D647" s="24" t="s">
        <v>485</v>
      </c>
      <c r="E647" s="24">
        <v>0</v>
      </c>
      <c r="F647" s="24" t="s">
        <v>129</v>
      </c>
    </row>
    <row r="648" spans="1:6" x14ac:dyDescent="0.3">
      <c r="A648" s="24" t="s">
        <v>53</v>
      </c>
      <c r="B648" s="24" t="s">
        <v>21</v>
      </c>
      <c r="C648" s="24" t="s">
        <v>109</v>
      </c>
      <c r="D648" s="24" t="s">
        <v>485</v>
      </c>
      <c r="E648" s="24">
        <v>1</v>
      </c>
      <c r="F648" s="24" t="s">
        <v>129</v>
      </c>
    </row>
    <row r="649" spans="1:6" x14ac:dyDescent="0.3">
      <c r="A649" s="24" t="s">
        <v>53</v>
      </c>
      <c r="B649" s="24" t="s">
        <v>21</v>
      </c>
      <c r="C649" s="24" t="s">
        <v>111</v>
      </c>
      <c r="D649" s="24" t="s">
        <v>486</v>
      </c>
      <c r="E649" s="24">
        <v>0</v>
      </c>
      <c r="F649" s="24" t="s">
        <v>129</v>
      </c>
    </row>
    <row r="650" spans="1:6" x14ac:dyDescent="0.3">
      <c r="A650" s="24" t="s">
        <v>55</v>
      </c>
      <c r="B650" s="24" t="s">
        <v>21</v>
      </c>
      <c r="C650" s="24" t="s">
        <v>77</v>
      </c>
      <c r="D650" s="24" t="s">
        <v>485</v>
      </c>
      <c r="E650" s="24">
        <v>0</v>
      </c>
      <c r="F650" s="24" t="s">
        <v>126</v>
      </c>
    </row>
    <row r="651" spans="1:6" x14ac:dyDescent="0.3">
      <c r="A651" s="24" t="s">
        <v>55</v>
      </c>
      <c r="B651" s="24" t="s">
        <v>21</v>
      </c>
      <c r="C651" s="24" t="s">
        <v>79</v>
      </c>
      <c r="D651" s="24" t="s">
        <v>485</v>
      </c>
      <c r="E651" s="24">
        <v>0</v>
      </c>
      <c r="F651" s="24" t="s">
        <v>129</v>
      </c>
    </row>
    <row r="652" spans="1:6" x14ac:dyDescent="0.3">
      <c r="A652" s="24" t="s">
        <v>55</v>
      </c>
      <c r="B652" s="24" t="s">
        <v>21</v>
      </c>
      <c r="C652" s="24" t="s">
        <v>81</v>
      </c>
      <c r="D652" s="24" t="s">
        <v>486</v>
      </c>
      <c r="E652" s="24">
        <v>1</v>
      </c>
      <c r="F652" s="24" t="s">
        <v>129</v>
      </c>
    </row>
    <row r="653" spans="1:6" x14ac:dyDescent="0.3">
      <c r="A653" s="24" t="s">
        <v>55</v>
      </c>
      <c r="B653" s="24" t="s">
        <v>21</v>
      </c>
      <c r="C653" s="24" t="s">
        <v>83</v>
      </c>
      <c r="D653" s="24" t="s">
        <v>485</v>
      </c>
      <c r="E653" s="24">
        <v>0</v>
      </c>
      <c r="F653" s="24" t="s">
        <v>129</v>
      </c>
    </row>
    <row r="654" spans="1:6" x14ac:dyDescent="0.3">
      <c r="A654" s="24" t="s">
        <v>55</v>
      </c>
      <c r="B654" s="24" t="s">
        <v>21</v>
      </c>
      <c r="C654" s="24" t="s">
        <v>85</v>
      </c>
      <c r="D654" s="24" t="s">
        <v>486</v>
      </c>
      <c r="E654" s="24">
        <v>0</v>
      </c>
      <c r="F654" s="24" t="s">
        <v>129</v>
      </c>
    </row>
    <row r="655" spans="1:6" x14ac:dyDescent="0.3">
      <c r="A655" s="24" t="s">
        <v>55</v>
      </c>
      <c r="B655" s="24" t="s">
        <v>21</v>
      </c>
      <c r="C655" s="24" t="s">
        <v>87</v>
      </c>
      <c r="D655" s="24" t="s">
        <v>485</v>
      </c>
      <c r="E655" s="24">
        <v>0</v>
      </c>
      <c r="F655" s="24" t="s">
        <v>126</v>
      </c>
    </row>
    <row r="656" spans="1:6" x14ac:dyDescent="0.3">
      <c r="A656" s="24" t="s">
        <v>55</v>
      </c>
      <c r="B656" s="24" t="s">
        <v>21</v>
      </c>
      <c r="C656" s="24" t="s">
        <v>89</v>
      </c>
      <c r="D656" s="24" t="s">
        <v>486</v>
      </c>
      <c r="E656" s="24">
        <v>0</v>
      </c>
      <c r="F656" s="24" t="s">
        <v>129</v>
      </c>
    </row>
    <row r="657" spans="1:6" x14ac:dyDescent="0.3">
      <c r="A657" s="24" t="s">
        <v>55</v>
      </c>
      <c r="B657" s="24" t="s">
        <v>21</v>
      </c>
      <c r="C657" s="24" t="s">
        <v>91</v>
      </c>
      <c r="D657" s="24" t="s">
        <v>486</v>
      </c>
      <c r="E657" s="24">
        <v>0</v>
      </c>
      <c r="F657" s="24" t="s">
        <v>129</v>
      </c>
    </row>
    <row r="658" spans="1:6" x14ac:dyDescent="0.3">
      <c r="A658" s="24" t="s">
        <v>55</v>
      </c>
      <c r="B658" s="24" t="s">
        <v>21</v>
      </c>
      <c r="C658" s="24" t="s">
        <v>93</v>
      </c>
      <c r="D658" s="24" t="s">
        <v>486</v>
      </c>
      <c r="E658" s="24">
        <v>0</v>
      </c>
      <c r="F658" s="24" t="s">
        <v>129</v>
      </c>
    </row>
    <row r="659" spans="1:6" x14ac:dyDescent="0.3">
      <c r="A659" s="24" t="s">
        <v>55</v>
      </c>
      <c r="B659" s="24" t="s">
        <v>21</v>
      </c>
      <c r="C659" s="24" t="s">
        <v>95</v>
      </c>
      <c r="D659" s="24" t="s">
        <v>486</v>
      </c>
      <c r="E659" s="24">
        <v>0</v>
      </c>
      <c r="F659" s="24" t="s">
        <v>129</v>
      </c>
    </row>
    <row r="660" spans="1:6" x14ac:dyDescent="0.3">
      <c r="A660" s="24" t="s">
        <v>55</v>
      </c>
      <c r="B660" s="24" t="s">
        <v>21</v>
      </c>
      <c r="C660" s="24" t="s">
        <v>97</v>
      </c>
      <c r="D660" s="24" t="s">
        <v>485</v>
      </c>
      <c r="E660" s="24">
        <v>0</v>
      </c>
      <c r="F660" s="24" t="s">
        <v>129</v>
      </c>
    </row>
    <row r="661" spans="1:6" x14ac:dyDescent="0.3">
      <c r="A661" s="24" t="s">
        <v>55</v>
      </c>
      <c r="B661" s="24" t="s">
        <v>21</v>
      </c>
      <c r="C661" s="24" t="s">
        <v>99</v>
      </c>
      <c r="D661" s="24" t="s">
        <v>486</v>
      </c>
      <c r="E661" s="24">
        <v>0</v>
      </c>
      <c r="F661" s="24" t="s">
        <v>129</v>
      </c>
    </row>
    <row r="662" spans="1:6" x14ac:dyDescent="0.3">
      <c r="A662" s="24" t="s">
        <v>55</v>
      </c>
      <c r="B662" s="24" t="s">
        <v>21</v>
      </c>
      <c r="C662" s="24" t="s">
        <v>101</v>
      </c>
      <c r="D662" s="24" t="s">
        <v>487</v>
      </c>
      <c r="E662" s="24">
        <v>1</v>
      </c>
      <c r="F662" s="24" t="s">
        <v>129</v>
      </c>
    </row>
    <row r="663" spans="1:6" x14ac:dyDescent="0.3">
      <c r="A663" s="24" t="s">
        <v>55</v>
      </c>
      <c r="B663" s="24" t="s">
        <v>21</v>
      </c>
      <c r="C663" s="24" t="s">
        <v>103</v>
      </c>
      <c r="D663" s="24" t="s">
        <v>486</v>
      </c>
      <c r="E663" s="24">
        <v>0</v>
      </c>
      <c r="F663" s="24" t="s">
        <v>129</v>
      </c>
    </row>
    <row r="664" spans="1:6" x14ac:dyDescent="0.3">
      <c r="A664" s="24" t="s">
        <v>55</v>
      </c>
      <c r="B664" s="24" t="s">
        <v>21</v>
      </c>
      <c r="C664" s="24" t="s">
        <v>105</v>
      </c>
      <c r="D664" s="24" t="s">
        <v>486</v>
      </c>
      <c r="E664" s="24">
        <v>0</v>
      </c>
      <c r="F664" s="24" t="s">
        <v>129</v>
      </c>
    </row>
    <row r="665" spans="1:6" x14ac:dyDescent="0.3">
      <c r="A665" s="24" t="s">
        <v>55</v>
      </c>
      <c r="B665" s="24" t="s">
        <v>21</v>
      </c>
      <c r="C665" s="24" t="s">
        <v>107</v>
      </c>
      <c r="D665" s="24" t="s">
        <v>485</v>
      </c>
      <c r="E665" s="24">
        <v>0</v>
      </c>
      <c r="F665" s="24" t="s">
        <v>126</v>
      </c>
    </row>
    <row r="666" spans="1:6" x14ac:dyDescent="0.3">
      <c r="A666" s="24" t="s">
        <v>55</v>
      </c>
      <c r="B666" s="24" t="s">
        <v>21</v>
      </c>
      <c r="C666" s="24" t="s">
        <v>109</v>
      </c>
      <c r="D666" s="24" t="s">
        <v>485</v>
      </c>
      <c r="E666" s="24">
        <v>1</v>
      </c>
      <c r="F666" s="24" t="s">
        <v>128</v>
      </c>
    </row>
    <row r="667" spans="1:6" x14ac:dyDescent="0.3">
      <c r="A667" s="24" t="s">
        <v>55</v>
      </c>
      <c r="B667" s="24" t="s">
        <v>21</v>
      </c>
      <c r="C667" s="24" t="s">
        <v>111</v>
      </c>
      <c r="D667" s="24" t="s">
        <v>486</v>
      </c>
      <c r="E667" s="24">
        <v>0</v>
      </c>
      <c r="F667" s="24" t="s">
        <v>126</v>
      </c>
    </row>
    <row r="668" spans="1:6" x14ac:dyDescent="0.3">
      <c r="A668" s="24" t="s">
        <v>57</v>
      </c>
      <c r="B668" s="24" t="s">
        <v>21</v>
      </c>
      <c r="C668" s="24" t="s">
        <v>77</v>
      </c>
      <c r="D668" s="24" t="s">
        <v>485</v>
      </c>
      <c r="E668" s="24">
        <v>0</v>
      </c>
      <c r="F668" s="24" t="s">
        <v>129</v>
      </c>
    </row>
    <row r="669" spans="1:6" x14ac:dyDescent="0.3">
      <c r="A669" s="24" t="s">
        <v>57</v>
      </c>
      <c r="B669" s="24" t="s">
        <v>21</v>
      </c>
      <c r="C669" s="24" t="s">
        <v>79</v>
      </c>
      <c r="D669" s="24" t="s">
        <v>485</v>
      </c>
      <c r="E669" s="24">
        <v>0</v>
      </c>
      <c r="F669" s="24" t="s">
        <v>129</v>
      </c>
    </row>
    <row r="670" spans="1:6" x14ac:dyDescent="0.3">
      <c r="A670" s="24" t="s">
        <v>57</v>
      </c>
      <c r="B670" s="24" t="s">
        <v>21</v>
      </c>
      <c r="C670" s="24" t="s">
        <v>81</v>
      </c>
      <c r="D670" s="24" t="s">
        <v>486</v>
      </c>
      <c r="E670" s="24">
        <v>0</v>
      </c>
      <c r="F670" s="24" t="s">
        <v>129</v>
      </c>
    </row>
    <row r="671" spans="1:6" x14ac:dyDescent="0.3">
      <c r="A671" s="24" t="s">
        <v>57</v>
      </c>
      <c r="B671" s="24" t="s">
        <v>21</v>
      </c>
      <c r="C671" s="24" t="s">
        <v>83</v>
      </c>
      <c r="D671" s="24" t="s">
        <v>485</v>
      </c>
      <c r="E671" s="24">
        <v>0</v>
      </c>
      <c r="F671" s="24" t="s">
        <v>129</v>
      </c>
    </row>
    <row r="672" spans="1:6" x14ac:dyDescent="0.3">
      <c r="A672" s="24" t="s">
        <v>57</v>
      </c>
      <c r="B672" s="24" t="s">
        <v>21</v>
      </c>
      <c r="C672" s="24" t="s">
        <v>85</v>
      </c>
      <c r="D672" s="24" t="s">
        <v>486</v>
      </c>
      <c r="E672" s="24">
        <v>0</v>
      </c>
      <c r="F672" s="24" t="s">
        <v>129</v>
      </c>
    </row>
    <row r="673" spans="1:6" x14ac:dyDescent="0.3">
      <c r="A673" s="24" t="s">
        <v>57</v>
      </c>
      <c r="B673" s="24" t="s">
        <v>21</v>
      </c>
      <c r="C673" s="24" t="s">
        <v>87</v>
      </c>
      <c r="D673" s="24" t="s">
        <v>485</v>
      </c>
      <c r="E673" s="24">
        <v>0</v>
      </c>
      <c r="F673" s="24" t="s">
        <v>126</v>
      </c>
    </row>
    <row r="674" spans="1:6" x14ac:dyDescent="0.3">
      <c r="A674" s="24" t="s">
        <v>57</v>
      </c>
      <c r="B674" s="24" t="s">
        <v>21</v>
      </c>
      <c r="C674" s="24" t="s">
        <v>89</v>
      </c>
      <c r="D674" s="24" t="s">
        <v>486</v>
      </c>
      <c r="E674" s="24">
        <v>0</v>
      </c>
      <c r="F674" s="24" t="s">
        <v>129</v>
      </c>
    </row>
    <row r="675" spans="1:6" x14ac:dyDescent="0.3">
      <c r="A675" s="24" t="s">
        <v>57</v>
      </c>
      <c r="B675" s="24" t="s">
        <v>21</v>
      </c>
      <c r="C675" s="24" t="s">
        <v>91</v>
      </c>
      <c r="D675" s="24" t="s">
        <v>486</v>
      </c>
      <c r="E675" s="24">
        <v>0</v>
      </c>
      <c r="F675" s="24" t="s">
        <v>129</v>
      </c>
    </row>
    <row r="676" spans="1:6" x14ac:dyDescent="0.3">
      <c r="A676" s="24" t="s">
        <v>57</v>
      </c>
      <c r="B676" s="24" t="s">
        <v>21</v>
      </c>
      <c r="C676" s="24" t="s">
        <v>93</v>
      </c>
      <c r="D676" s="24" t="s">
        <v>486</v>
      </c>
      <c r="E676" s="24">
        <v>0</v>
      </c>
      <c r="F676" s="24" t="s">
        <v>129</v>
      </c>
    </row>
    <row r="677" spans="1:6" x14ac:dyDescent="0.3">
      <c r="A677" s="24" t="s">
        <v>57</v>
      </c>
      <c r="B677" s="24" t="s">
        <v>21</v>
      </c>
      <c r="C677" s="24" t="s">
        <v>95</v>
      </c>
      <c r="D677" s="24" t="s">
        <v>486</v>
      </c>
      <c r="E677" s="24">
        <v>0</v>
      </c>
      <c r="F677" s="24" t="s">
        <v>129</v>
      </c>
    </row>
    <row r="678" spans="1:6" x14ac:dyDescent="0.3">
      <c r="A678" s="24" t="s">
        <v>57</v>
      </c>
      <c r="B678" s="24" t="s">
        <v>21</v>
      </c>
      <c r="C678" s="24" t="s">
        <v>97</v>
      </c>
      <c r="D678" s="24" t="s">
        <v>485</v>
      </c>
      <c r="E678" s="24">
        <v>0</v>
      </c>
      <c r="F678" s="24" t="s">
        <v>129</v>
      </c>
    </row>
    <row r="679" spans="1:6" x14ac:dyDescent="0.3">
      <c r="A679" s="24" t="s">
        <v>57</v>
      </c>
      <c r="B679" s="24" t="s">
        <v>21</v>
      </c>
      <c r="C679" s="24" t="s">
        <v>99</v>
      </c>
      <c r="D679" s="24" t="s">
        <v>486</v>
      </c>
      <c r="E679" s="24">
        <v>0</v>
      </c>
      <c r="F679" s="24" t="s">
        <v>129</v>
      </c>
    </row>
    <row r="680" spans="1:6" x14ac:dyDescent="0.3">
      <c r="A680" s="24" t="s">
        <v>57</v>
      </c>
      <c r="B680" s="24" t="s">
        <v>21</v>
      </c>
      <c r="C680" s="24" t="s">
        <v>101</v>
      </c>
      <c r="D680" s="24" t="s">
        <v>487</v>
      </c>
      <c r="E680" s="24">
        <v>0</v>
      </c>
      <c r="F680" s="24" t="s">
        <v>129</v>
      </c>
    </row>
    <row r="681" spans="1:6" x14ac:dyDescent="0.3">
      <c r="A681" s="24" t="s">
        <v>57</v>
      </c>
      <c r="B681" s="24" t="s">
        <v>21</v>
      </c>
      <c r="C681" s="24" t="s">
        <v>103</v>
      </c>
      <c r="D681" s="24" t="s">
        <v>486</v>
      </c>
      <c r="E681" s="24">
        <v>0</v>
      </c>
      <c r="F681" s="24" t="s">
        <v>129</v>
      </c>
    </row>
    <row r="682" spans="1:6" x14ac:dyDescent="0.3">
      <c r="A682" s="24" t="s">
        <v>57</v>
      </c>
      <c r="B682" s="24" t="s">
        <v>21</v>
      </c>
      <c r="C682" s="24" t="s">
        <v>105</v>
      </c>
      <c r="D682" s="24" t="s">
        <v>486</v>
      </c>
      <c r="E682" s="24">
        <v>0</v>
      </c>
      <c r="F682" s="24" t="s">
        <v>129</v>
      </c>
    </row>
    <row r="683" spans="1:6" x14ac:dyDescent="0.3">
      <c r="A683" s="24" t="s">
        <v>57</v>
      </c>
      <c r="B683" s="24" t="s">
        <v>21</v>
      </c>
      <c r="C683" s="24" t="s">
        <v>107</v>
      </c>
      <c r="D683" s="24" t="s">
        <v>485</v>
      </c>
      <c r="E683" s="24">
        <v>0</v>
      </c>
      <c r="F683" s="24" t="s">
        <v>126</v>
      </c>
    </row>
    <row r="684" spans="1:6" x14ac:dyDescent="0.3">
      <c r="A684" s="24" t="s">
        <v>57</v>
      </c>
      <c r="B684" s="24" t="s">
        <v>21</v>
      </c>
      <c r="C684" s="24" t="s">
        <v>109</v>
      </c>
      <c r="D684" s="24" t="s">
        <v>485</v>
      </c>
      <c r="E684" s="24">
        <v>1</v>
      </c>
      <c r="F684" s="24" t="s">
        <v>129</v>
      </c>
    </row>
    <row r="685" spans="1:6" x14ac:dyDescent="0.3">
      <c r="A685" s="24" t="s">
        <v>57</v>
      </c>
      <c r="B685" s="24" t="s">
        <v>21</v>
      </c>
      <c r="C685" s="24" t="s">
        <v>111</v>
      </c>
      <c r="D685" s="24" t="s">
        <v>486</v>
      </c>
      <c r="E685" s="24">
        <v>0</v>
      </c>
      <c r="F685" s="24" t="s">
        <v>129</v>
      </c>
    </row>
    <row r="686" spans="1:6" x14ac:dyDescent="0.3">
      <c r="A686" s="24" t="s">
        <v>59</v>
      </c>
      <c r="B686" s="24" t="s">
        <v>21</v>
      </c>
      <c r="C686" s="24" t="s">
        <v>77</v>
      </c>
      <c r="D686" s="24" t="s">
        <v>485</v>
      </c>
      <c r="E686" s="24">
        <v>0</v>
      </c>
      <c r="F686" s="24" t="s">
        <v>126</v>
      </c>
    </row>
    <row r="687" spans="1:6" x14ac:dyDescent="0.3">
      <c r="A687" s="24" t="s">
        <v>59</v>
      </c>
      <c r="B687" s="24" t="s">
        <v>21</v>
      </c>
      <c r="C687" s="24" t="s">
        <v>79</v>
      </c>
      <c r="D687" s="24" t="s">
        <v>485</v>
      </c>
      <c r="E687" s="24">
        <v>0</v>
      </c>
      <c r="F687" s="24" t="s">
        <v>129</v>
      </c>
    </row>
    <row r="688" spans="1:6" x14ac:dyDescent="0.3">
      <c r="A688" s="24" t="s">
        <v>59</v>
      </c>
      <c r="B688" s="24" t="s">
        <v>21</v>
      </c>
      <c r="C688" s="24" t="s">
        <v>81</v>
      </c>
      <c r="D688" s="24" t="s">
        <v>486</v>
      </c>
      <c r="E688" s="24">
        <v>1</v>
      </c>
      <c r="F688" s="24" t="s">
        <v>129</v>
      </c>
    </row>
    <row r="689" spans="1:6" x14ac:dyDescent="0.3">
      <c r="A689" s="24" t="s">
        <v>59</v>
      </c>
      <c r="B689" s="24" t="s">
        <v>21</v>
      </c>
      <c r="C689" s="24" t="s">
        <v>83</v>
      </c>
      <c r="D689" s="24" t="s">
        <v>485</v>
      </c>
      <c r="E689" s="24">
        <v>0</v>
      </c>
      <c r="F689" s="24" t="s">
        <v>129</v>
      </c>
    </row>
    <row r="690" spans="1:6" x14ac:dyDescent="0.3">
      <c r="A690" s="24" t="s">
        <v>59</v>
      </c>
      <c r="B690" s="24" t="s">
        <v>21</v>
      </c>
      <c r="C690" s="24" t="s">
        <v>85</v>
      </c>
      <c r="D690" s="24" t="s">
        <v>486</v>
      </c>
      <c r="E690" s="24">
        <v>0</v>
      </c>
      <c r="F690" s="24" t="s">
        <v>129</v>
      </c>
    </row>
    <row r="691" spans="1:6" x14ac:dyDescent="0.3">
      <c r="A691" s="24" t="s">
        <v>59</v>
      </c>
      <c r="B691" s="24" t="s">
        <v>21</v>
      </c>
      <c r="C691" s="24" t="s">
        <v>87</v>
      </c>
      <c r="D691" s="24" t="s">
        <v>485</v>
      </c>
      <c r="E691" s="24">
        <v>0</v>
      </c>
      <c r="F691" s="24" t="s">
        <v>126</v>
      </c>
    </row>
    <row r="692" spans="1:6" x14ac:dyDescent="0.3">
      <c r="A692" s="24" t="s">
        <v>59</v>
      </c>
      <c r="B692" s="24" t="s">
        <v>21</v>
      </c>
      <c r="C692" s="24" t="s">
        <v>89</v>
      </c>
      <c r="D692" s="24" t="s">
        <v>486</v>
      </c>
      <c r="E692" s="24">
        <v>0</v>
      </c>
      <c r="F692" s="24" t="s">
        <v>129</v>
      </c>
    </row>
    <row r="693" spans="1:6" x14ac:dyDescent="0.3">
      <c r="A693" s="24" t="s">
        <v>59</v>
      </c>
      <c r="B693" s="24" t="s">
        <v>21</v>
      </c>
      <c r="C693" s="24" t="s">
        <v>91</v>
      </c>
      <c r="D693" s="24" t="s">
        <v>486</v>
      </c>
      <c r="E693" s="24">
        <v>0</v>
      </c>
      <c r="F693" s="24" t="s">
        <v>129</v>
      </c>
    </row>
    <row r="694" spans="1:6" x14ac:dyDescent="0.3">
      <c r="A694" s="24" t="s">
        <v>59</v>
      </c>
      <c r="B694" s="24" t="s">
        <v>21</v>
      </c>
      <c r="C694" s="24" t="s">
        <v>93</v>
      </c>
      <c r="D694" s="24" t="s">
        <v>486</v>
      </c>
      <c r="E694" s="24">
        <v>0</v>
      </c>
      <c r="F694" s="24" t="s">
        <v>129</v>
      </c>
    </row>
    <row r="695" spans="1:6" x14ac:dyDescent="0.3">
      <c r="A695" s="24" t="s">
        <v>59</v>
      </c>
      <c r="B695" s="24" t="s">
        <v>21</v>
      </c>
      <c r="C695" s="24" t="s">
        <v>95</v>
      </c>
      <c r="D695" s="24" t="s">
        <v>486</v>
      </c>
      <c r="E695" s="24">
        <v>0</v>
      </c>
      <c r="F695" s="24" t="s">
        <v>129</v>
      </c>
    </row>
    <row r="696" spans="1:6" x14ac:dyDescent="0.3">
      <c r="A696" s="24" t="s">
        <v>59</v>
      </c>
      <c r="B696" s="24" t="s">
        <v>21</v>
      </c>
      <c r="C696" s="24" t="s">
        <v>97</v>
      </c>
      <c r="D696" s="24" t="s">
        <v>485</v>
      </c>
      <c r="E696" s="24">
        <v>0</v>
      </c>
      <c r="F696" s="24" t="s">
        <v>129</v>
      </c>
    </row>
    <row r="697" spans="1:6" x14ac:dyDescent="0.3">
      <c r="A697" s="24" t="s">
        <v>59</v>
      </c>
      <c r="B697" s="24" t="s">
        <v>21</v>
      </c>
      <c r="C697" s="24" t="s">
        <v>99</v>
      </c>
      <c r="D697" s="24" t="s">
        <v>486</v>
      </c>
      <c r="E697" s="24">
        <v>0</v>
      </c>
      <c r="F697" s="24" t="s">
        <v>129</v>
      </c>
    </row>
    <row r="698" spans="1:6" x14ac:dyDescent="0.3">
      <c r="A698" s="24" t="s">
        <v>59</v>
      </c>
      <c r="B698" s="24" t="s">
        <v>21</v>
      </c>
      <c r="C698" s="24" t="s">
        <v>101</v>
      </c>
      <c r="D698" s="24" t="s">
        <v>487</v>
      </c>
      <c r="E698" s="24">
        <v>0</v>
      </c>
      <c r="F698" s="24" t="s">
        <v>129</v>
      </c>
    </row>
    <row r="699" spans="1:6" x14ac:dyDescent="0.3">
      <c r="A699" s="24" t="s">
        <v>59</v>
      </c>
      <c r="B699" s="24" t="s">
        <v>21</v>
      </c>
      <c r="C699" s="24" t="s">
        <v>103</v>
      </c>
      <c r="D699" s="24" t="s">
        <v>486</v>
      </c>
      <c r="E699" s="24">
        <v>0</v>
      </c>
      <c r="F699" s="24" t="s">
        <v>129</v>
      </c>
    </row>
    <row r="700" spans="1:6" x14ac:dyDescent="0.3">
      <c r="A700" s="24" t="s">
        <v>59</v>
      </c>
      <c r="B700" s="24" t="s">
        <v>21</v>
      </c>
      <c r="C700" s="24" t="s">
        <v>105</v>
      </c>
      <c r="D700" s="24" t="s">
        <v>486</v>
      </c>
      <c r="E700" s="24">
        <v>0</v>
      </c>
      <c r="F700" s="24" t="s">
        <v>129</v>
      </c>
    </row>
    <row r="701" spans="1:6" x14ac:dyDescent="0.3">
      <c r="A701" s="24" t="s">
        <v>59</v>
      </c>
      <c r="B701" s="24" t="s">
        <v>21</v>
      </c>
      <c r="C701" s="24" t="s">
        <v>107</v>
      </c>
      <c r="D701" s="24" t="s">
        <v>485</v>
      </c>
      <c r="E701" s="24">
        <v>0</v>
      </c>
      <c r="F701" s="24" t="s">
        <v>126</v>
      </c>
    </row>
    <row r="702" spans="1:6" x14ac:dyDescent="0.3">
      <c r="A702" s="24" t="s">
        <v>59</v>
      </c>
      <c r="B702" s="24" t="s">
        <v>21</v>
      </c>
      <c r="C702" s="24" t="s">
        <v>109</v>
      </c>
      <c r="D702" s="24" t="s">
        <v>485</v>
      </c>
      <c r="E702" s="24">
        <v>1</v>
      </c>
      <c r="F702" s="24" t="s">
        <v>129</v>
      </c>
    </row>
    <row r="703" spans="1:6" x14ac:dyDescent="0.3">
      <c r="A703" s="24" t="s">
        <v>59</v>
      </c>
      <c r="B703" s="24" t="s">
        <v>21</v>
      </c>
      <c r="C703" s="24" t="s">
        <v>111</v>
      </c>
      <c r="D703" s="24" t="s">
        <v>486</v>
      </c>
      <c r="E703" s="24">
        <v>0</v>
      </c>
      <c r="F703" s="24" t="s">
        <v>129</v>
      </c>
    </row>
    <row r="704" spans="1:6" x14ac:dyDescent="0.3">
      <c r="A704" s="24" t="s">
        <v>61</v>
      </c>
      <c r="B704" s="24" t="s">
        <v>21</v>
      </c>
      <c r="C704" s="24" t="s">
        <v>77</v>
      </c>
      <c r="D704" s="24" t="s">
        <v>485</v>
      </c>
      <c r="E704" s="24">
        <v>0</v>
      </c>
      <c r="F704" s="24" t="s">
        <v>126</v>
      </c>
    </row>
    <row r="705" spans="1:6" x14ac:dyDescent="0.3">
      <c r="A705" s="24" t="s">
        <v>61</v>
      </c>
      <c r="B705" s="24" t="s">
        <v>21</v>
      </c>
      <c r="C705" s="24" t="s">
        <v>79</v>
      </c>
      <c r="D705" s="24" t="s">
        <v>485</v>
      </c>
      <c r="E705" s="24">
        <v>0</v>
      </c>
      <c r="F705" s="24" t="s">
        <v>129</v>
      </c>
    </row>
    <row r="706" spans="1:6" x14ac:dyDescent="0.3">
      <c r="A706" s="24" t="s">
        <v>61</v>
      </c>
      <c r="B706" s="24" t="s">
        <v>21</v>
      </c>
      <c r="C706" s="24" t="s">
        <v>81</v>
      </c>
      <c r="D706" s="24" t="s">
        <v>486</v>
      </c>
      <c r="E706" s="24">
        <v>0</v>
      </c>
      <c r="F706" s="24" t="s">
        <v>129</v>
      </c>
    </row>
    <row r="707" spans="1:6" x14ac:dyDescent="0.3">
      <c r="A707" s="24" t="s">
        <v>61</v>
      </c>
      <c r="B707" s="24" t="s">
        <v>21</v>
      </c>
      <c r="C707" s="24" t="s">
        <v>83</v>
      </c>
      <c r="D707" s="24" t="s">
        <v>485</v>
      </c>
      <c r="E707" s="24">
        <v>0</v>
      </c>
      <c r="F707" s="24" t="s">
        <v>129</v>
      </c>
    </row>
    <row r="708" spans="1:6" x14ac:dyDescent="0.3">
      <c r="A708" s="24" t="s">
        <v>61</v>
      </c>
      <c r="B708" s="24" t="s">
        <v>21</v>
      </c>
      <c r="C708" s="24" t="s">
        <v>85</v>
      </c>
      <c r="D708" s="24" t="s">
        <v>486</v>
      </c>
      <c r="E708" s="24">
        <v>0</v>
      </c>
      <c r="F708" s="24" t="s">
        <v>129</v>
      </c>
    </row>
    <row r="709" spans="1:6" x14ac:dyDescent="0.3">
      <c r="A709" s="24" t="s">
        <v>61</v>
      </c>
      <c r="B709" s="24" t="s">
        <v>21</v>
      </c>
      <c r="C709" s="24" t="s">
        <v>87</v>
      </c>
      <c r="D709" s="24" t="s">
        <v>485</v>
      </c>
      <c r="E709" s="24">
        <v>0</v>
      </c>
      <c r="F709" s="24" t="s">
        <v>126</v>
      </c>
    </row>
    <row r="710" spans="1:6" x14ac:dyDescent="0.3">
      <c r="A710" s="24" t="s">
        <v>61</v>
      </c>
      <c r="B710" s="24" t="s">
        <v>21</v>
      </c>
      <c r="C710" s="24" t="s">
        <v>89</v>
      </c>
      <c r="D710" s="24" t="s">
        <v>486</v>
      </c>
      <c r="E710" s="24">
        <v>0</v>
      </c>
      <c r="F710" s="24" t="s">
        <v>129</v>
      </c>
    </row>
    <row r="711" spans="1:6" x14ac:dyDescent="0.3">
      <c r="A711" s="24" t="s">
        <v>61</v>
      </c>
      <c r="B711" s="24" t="s">
        <v>21</v>
      </c>
      <c r="C711" s="24" t="s">
        <v>91</v>
      </c>
      <c r="D711" s="24" t="s">
        <v>486</v>
      </c>
      <c r="E711" s="24">
        <v>0</v>
      </c>
      <c r="F711" s="24" t="s">
        <v>129</v>
      </c>
    </row>
    <row r="712" spans="1:6" x14ac:dyDescent="0.3">
      <c r="A712" s="24" t="s">
        <v>61</v>
      </c>
      <c r="B712" s="24" t="s">
        <v>21</v>
      </c>
      <c r="C712" s="24" t="s">
        <v>93</v>
      </c>
      <c r="D712" s="24" t="s">
        <v>486</v>
      </c>
      <c r="E712" s="24">
        <v>0</v>
      </c>
      <c r="F712" s="24" t="s">
        <v>129</v>
      </c>
    </row>
    <row r="713" spans="1:6" x14ac:dyDescent="0.3">
      <c r="A713" s="24" t="s">
        <v>61</v>
      </c>
      <c r="B713" s="24" t="s">
        <v>21</v>
      </c>
      <c r="C713" s="24" t="s">
        <v>95</v>
      </c>
      <c r="D713" s="24" t="s">
        <v>486</v>
      </c>
      <c r="E713" s="24">
        <v>0</v>
      </c>
      <c r="F713" s="24" t="s">
        <v>129</v>
      </c>
    </row>
    <row r="714" spans="1:6" x14ac:dyDescent="0.3">
      <c r="A714" s="24" t="s">
        <v>61</v>
      </c>
      <c r="B714" s="24" t="s">
        <v>21</v>
      </c>
      <c r="C714" s="24" t="s">
        <v>97</v>
      </c>
      <c r="D714" s="24" t="s">
        <v>485</v>
      </c>
      <c r="E714" s="24">
        <v>0</v>
      </c>
      <c r="F714" s="24" t="s">
        <v>129</v>
      </c>
    </row>
    <row r="715" spans="1:6" x14ac:dyDescent="0.3">
      <c r="A715" s="24" t="s">
        <v>61</v>
      </c>
      <c r="B715" s="24" t="s">
        <v>21</v>
      </c>
      <c r="C715" s="24" t="s">
        <v>99</v>
      </c>
      <c r="D715" s="24" t="s">
        <v>486</v>
      </c>
      <c r="E715" s="24">
        <v>0</v>
      </c>
      <c r="F715" s="24" t="s">
        <v>129</v>
      </c>
    </row>
    <row r="716" spans="1:6" x14ac:dyDescent="0.3">
      <c r="A716" s="24" t="s">
        <v>61</v>
      </c>
      <c r="B716" s="24" t="s">
        <v>21</v>
      </c>
      <c r="C716" s="24" t="s">
        <v>101</v>
      </c>
      <c r="D716" s="24" t="s">
        <v>487</v>
      </c>
      <c r="E716" s="24">
        <v>0</v>
      </c>
      <c r="F716" s="24" t="s">
        <v>129</v>
      </c>
    </row>
    <row r="717" spans="1:6" x14ac:dyDescent="0.3">
      <c r="A717" s="24" t="s">
        <v>61</v>
      </c>
      <c r="B717" s="24" t="s">
        <v>21</v>
      </c>
      <c r="C717" s="24" t="s">
        <v>103</v>
      </c>
      <c r="D717" s="24" t="s">
        <v>486</v>
      </c>
      <c r="E717" s="24">
        <v>0</v>
      </c>
      <c r="F717" s="24" t="s">
        <v>129</v>
      </c>
    </row>
    <row r="718" spans="1:6" x14ac:dyDescent="0.3">
      <c r="A718" s="24" t="s">
        <v>61</v>
      </c>
      <c r="B718" s="24" t="s">
        <v>21</v>
      </c>
      <c r="C718" s="24" t="s">
        <v>105</v>
      </c>
      <c r="D718" s="24" t="s">
        <v>486</v>
      </c>
      <c r="E718" s="24">
        <v>0</v>
      </c>
      <c r="F718" s="24" t="s">
        <v>129</v>
      </c>
    </row>
    <row r="719" spans="1:6" x14ac:dyDescent="0.3">
      <c r="A719" s="24" t="s">
        <v>61</v>
      </c>
      <c r="B719" s="24" t="s">
        <v>21</v>
      </c>
      <c r="C719" s="24" t="s">
        <v>107</v>
      </c>
      <c r="D719" s="24" t="s">
        <v>485</v>
      </c>
      <c r="E719" s="24">
        <v>0</v>
      </c>
      <c r="F719" s="24" t="s">
        <v>126</v>
      </c>
    </row>
    <row r="720" spans="1:6" x14ac:dyDescent="0.3">
      <c r="A720" s="24" t="s">
        <v>61</v>
      </c>
      <c r="B720" s="24" t="s">
        <v>21</v>
      </c>
      <c r="C720" s="24" t="s">
        <v>109</v>
      </c>
      <c r="D720" s="24" t="s">
        <v>485</v>
      </c>
      <c r="E720" s="24">
        <v>1</v>
      </c>
      <c r="F720" s="24" t="s">
        <v>129</v>
      </c>
    </row>
    <row r="721" spans="1:6" x14ac:dyDescent="0.3">
      <c r="A721" s="24" t="s">
        <v>61</v>
      </c>
      <c r="B721" s="24" t="s">
        <v>21</v>
      </c>
      <c r="C721" s="24" t="s">
        <v>111</v>
      </c>
      <c r="D721" s="24" t="s">
        <v>486</v>
      </c>
      <c r="E721" s="24">
        <v>0</v>
      </c>
      <c r="F721" s="24" t="s">
        <v>129</v>
      </c>
    </row>
    <row r="722" spans="1:6" x14ac:dyDescent="0.3">
      <c r="A722" s="24" t="s">
        <v>19</v>
      </c>
      <c r="B722" s="24" t="s">
        <v>23</v>
      </c>
      <c r="C722" s="24" t="s">
        <v>77</v>
      </c>
      <c r="D722" s="24" t="s">
        <v>485</v>
      </c>
      <c r="E722" s="24">
        <v>1</v>
      </c>
      <c r="F722" s="24" t="s">
        <v>129</v>
      </c>
    </row>
    <row r="723" spans="1:6" x14ac:dyDescent="0.3">
      <c r="A723" s="24" t="s">
        <v>19</v>
      </c>
      <c r="B723" s="24" t="s">
        <v>23</v>
      </c>
      <c r="C723" s="24" t="s">
        <v>79</v>
      </c>
      <c r="D723" s="24" t="s">
        <v>485</v>
      </c>
      <c r="E723" s="24">
        <v>0</v>
      </c>
      <c r="F723" s="24" t="s">
        <v>129</v>
      </c>
    </row>
    <row r="724" spans="1:6" x14ac:dyDescent="0.3">
      <c r="A724" s="24" t="s">
        <v>19</v>
      </c>
      <c r="B724" s="24" t="s">
        <v>23</v>
      </c>
      <c r="C724" s="24" t="s">
        <v>81</v>
      </c>
      <c r="D724" s="24" t="s">
        <v>486</v>
      </c>
      <c r="E724" s="24">
        <v>0</v>
      </c>
      <c r="F724" s="24" t="s">
        <v>129</v>
      </c>
    </row>
    <row r="725" spans="1:6" x14ac:dyDescent="0.3">
      <c r="A725" s="24" t="s">
        <v>19</v>
      </c>
      <c r="B725" s="24" t="s">
        <v>23</v>
      </c>
      <c r="C725" s="24" t="s">
        <v>83</v>
      </c>
      <c r="D725" s="24" t="s">
        <v>485</v>
      </c>
      <c r="E725" s="24">
        <v>0</v>
      </c>
      <c r="F725" s="24" t="s">
        <v>129</v>
      </c>
    </row>
    <row r="726" spans="1:6" x14ac:dyDescent="0.3">
      <c r="A726" s="24" t="s">
        <v>19</v>
      </c>
      <c r="B726" s="24" t="s">
        <v>23</v>
      </c>
      <c r="C726" s="24" t="s">
        <v>85</v>
      </c>
      <c r="D726" s="24" t="s">
        <v>486</v>
      </c>
      <c r="E726" s="24">
        <v>0</v>
      </c>
      <c r="F726" s="24" t="s">
        <v>129</v>
      </c>
    </row>
    <row r="727" spans="1:6" x14ac:dyDescent="0.3">
      <c r="A727" s="24" t="s">
        <v>19</v>
      </c>
      <c r="B727" s="24" t="s">
        <v>23</v>
      </c>
      <c r="C727" s="24" t="s">
        <v>87</v>
      </c>
      <c r="D727" s="24" t="s">
        <v>485</v>
      </c>
      <c r="E727" s="24">
        <v>0</v>
      </c>
      <c r="F727" s="24" t="s">
        <v>129</v>
      </c>
    </row>
    <row r="728" spans="1:6" x14ac:dyDescent="0.3">
      <c r="A728" s="24" t="s">
        <v>19</v>
      </c>
      <c r="B728" s="24" t="s">
        <v>23</v>
      </c>
      <c r="C728" s="24" t="s">
        <v>89</v>
      </c>
      <c r="D728" s="24" t="s">
        <v>486</v>
      </c>
      <c r="E728" s="24">
        <v>0</v>
      </c>
      <c r="F728" s="24" t="s">
        <v>129</v>
      </c>
    </row>
    <row r="729" spans="1:6" x14ac:dyDescent="0.3">
      <c r="A729" s="24" t="s">
        <v>19</v>
      </c>
      <c r="B729" s="24" t="s">
        <v>23</v>
      </c>
      <c r="C729" s="24" t="s">
        <v>91</v>
      </c>
      <c r="D729" s="24" t="s">
        <v>486</v>
      </c>
      <c r="E729" s="24">
        <v>0</v>
      </c>
      <c r="F729" s="24" t="s">
        <v>129</v>
      </c>
    </row>
    <row r="730" spans="1:6" x14ac:dyDescent="0.3">
      <c r="A730" s="24" t="s">
        <v>19</v>
      </c>
      <c r="B730" s="24" t="s">
        <v>23</v>
      </c>
      <c r="C730" s="24" t="s">
        <v>93</v>
      </c>
      <c r="D730" s="24" t="s">
        <v>486</v>
      </c>
      <c r="E730" s="24">
        <v>0</v>
      </c>
      <c r="F730" s="24" t="s">
        <v>129</v>
      </c>
    </row>
    <row r="731" spans="1:6" x14ac:dyDescent="0.3">
      <c r="A731" s="24" t="s">
        <v>19</v>
      </c>
      <c r="B731" s="24" t="s">
        <v>23</v>
      </c>
      <c r="C731" s="24" t="s">
        <v>95</v>
      </c>
      <c r="D731" s="24" t="s">
        <v>486</v>
      </c>
      <c r="E731" s="24">
        <v>0</v>
      </c>
      <c r="F731" s="24" t="s">
        <v>129</v>
      </c>
    </row>
    <row r="732" spans="1:6" x14ac:dyDescent="0.3">
      <c r="A732" s="24" t="s">
        <v>19</v>
      </c>
      <c r="B732" s="24" t="s">
        <v>23</v>
      </c>
      <c r="C732" s="24" t="s">
        <v>97</v>
      </c>
      <c r="D732" s="24" t="s">
        <v>485</v>
      </c>
      <c r="E732" s="24">
        <v>0</v>
      </c>
      <c r="F732" s="24" t="s">
        <v>129</v>
      </c>
    </row>
    <row r="733" spans="1:6" x14ac:dyDescent="0.3">
      <c r="A733" s="24" t="s">
        <v>19</v>
      </c>
      <c r="B733" s="24" t="s">
        <v>23</v>
      </c>
      <c r="C733" s="24" t="s">
        <v>99</v>
      </c>
      <c r="D733" s="24" t="s">
        <v>486</v>
      </c>
      <c r="E733" s="24">
        <v>0</v>
      </c>
      <c r="F733" s="24" t="s">
        <v>129</v>
      </c>
    </row>
    <row r="734" spans="1:6" x14ac:dyDescent="0.3">
      <c r="A734" s="24" t="s">
        <v>19</v>
      </c>
      <c r="B734" s="24" t="s">
        <v>23</v>
      </c>
      <c r="C734" s="24" t="s">
        <v>101</v>
      </c>
      <c r="D734" s="24" t="s">
        <v>487</v>
      </c>
      <c r="E734" s="24">
        <v>0</v>
      </c>
      <c r="F734" s="24" t="s">
        <v>129</v>
      </c>
    </row>
    <row r="735" spans="1:6" x14ac:dyDescent="0.3">
      <c r="A735" s="24" t="s">
        <v>19</v>
      </c>
      <c r="B735" s="24" t="s">
        <v>23</v>
      </c>
      <c r="C735" s="24" t="s">
        <v>103</v>
      </c>
      <c r="D735" s="24" t="s">
        <v>486</v>
      </c>
      <c r="E735" s="24">
        <v>0</v>
      </c>
      <c r="F735" s="24" t="s">
        <v>129</v>
      </c>
    </row>
    <row r="736" spans="1:6" x14ac:dyDescent="0.3">
      <c r="A736" s="24" t="s">
        <v>19</v>
      </c>
      <c r="B736" s="24" t="s">
        <v>23</v>
      </c>
      <c r="C736" s="24" t="s">
        <v>105</v>
      </c>
      <c r="D736" s="24" t="s">
        <v>486</v>
      </c>
      <c r="E736" s="24">
        <v>0</v>
      </c>
      <c r="F736" s="24" t="s">
        <v>129</v>
      </c>
    </row>
    <row r="737" spans="1:6" x14ac:dyDescent="0.3">
      <c r="A737" s="24" t="s">
        <v>19</v>
      </c>
      <c r="B737" s="24" t="s">
        <v>23</v>
      </c>
      <c r="C737" s="24" t="s">
        <v>107</v>
      </c>
      <c r="D737" s="24" t="s">
        <v>485</v>
      </c>
      <c r="E737" s="24">
        <v>0</v>
      </c>
      <c r="F737" s="24" t="s">
        <v>129</v>
      </c>
    </row>
    <row r="738" spans="1:6" x14ac:dyDescent="0.3">
      <c r="A738" s="24" t="s">
        <v>19</v>
      </c>
      <c r="B738" s="24" t="s">
        <v>23</v>
      </c>
      <c r="C738" s="24" t="s">
        <v>109</v>
      </c>
      <c r="D738" s="24" t="s">
        <v>485</v>
      </c>
      <c r="E738" s="24">
        <v>0</v>
      </c>
      <c r="F738" s="24" t="s">
        <v>129</v>
      </c>
    </row>
    <row r="739" spans="1:6" x14ac:dyDescent="0.3">
      <c r="A739" s="24" t="s">
        <v>19</v>
      </c>
      <c r="B739" s="24" t="s">
        <v>23</v>
      </c>
      <c r="C739" s="24" t="s">
        <v>111</v>
      </c>
      <c r="D739" s="24" t="s">
        <v>486</v>
      </c>
      <c r="E739" s="24">
        <v>0</v>
      </c>
      <c r="F739" s="24" t="s">
        <v>129</v>
      </c>
    </row>
    <row r="740" spans="1:6" x14ac:dyDescent="0.3">
      <c r="A740" s="24" t="s">
        <v>26</v>
      </c>
      <c r="B740" s="24" t="s">
        <v>23</v>
      </c>
      <c r="C740" s="24" t="s">
        <v>77</v>
      </c>
      <c r="D740" s="24" t="s">
        <v>485</v>
      </c>
      <c r="E740" s="24">
        <v>0</v>
      </c>
      <c r="F740" s="24" t="s">
        <v>129</v>
      </c>
    </row>
    <row r="741" spans="1:6" x14ac:dyDescent="0.3">
      <c r="A741" s="24" t="s">
        <v>26</v>
      </c>
      <c r="B741" s="24" t="s">
        <v>23</v>
      </c>
      <c r="C741" s="24" t="s">
        <v>79</v>
      </c>
      <c r="D741" s="24" t="s">
        <v>485</v>
      </c>
      <c r="E741" s="24">
        <v>1</v>
      </c>
      <c r="F741" s="24" t="s">
        <v>128</v>
      </c>
    </row>
    <row r="742" spans="1:6" x14ac:dyDescent="0.3">
      <c r="A742" s="24" t="s">
        <v>26</v>
      </c>
      <c r="B742" s="24" t="s">
        <v>23</v>
      </c>
      <c r="C742" s="24" t="s">
        <v>81</v>
      </c>
      <c r="D742" s="24" t="s">
        <v>486</v>
      </c>
      <c r="E742" s="24">
        <v>0</v>
      </c>
      <c r="F742" s="24" t="s">
        <v>128</v>
      </c>
    </row>
    <row r="743" spans="1:6" x14ac:dyDescent="0.3">
      <c r="A743" s="24" t="s">
        <v>26</v>
      </c>
      <c r="B743" s="24" t="s">
        <v>23</v>
      </c>
      <c r="C743" s="24" t="s">
        <v>83</v>
      </c>
      <c r="D743" s="24" t="s">
        <v>485</v>
      </c>
      <c r="E743" s="24">
        <v>0</v>
      </c>
      <c r="F743" s="24" t="s">
        <v>129</v>
      </c>
    </row>
    <row r="744" spans="1:6" x14ac:dyDescent="0.3">
      <c r="A744" s="24" t="s">
        <v>26</v>
      </c>
      <c r="B744" s="24" t="s">
        <v>23</v>
      </c>
      <c r="C744" s="24" t="s">
        <v>85</v>
      </c>
      <c r="D744" s="24" t="s">
        <v>486</v>
      </c>
      <c r="E744" s="24">
        <v>0</v>
      </c>
      <c r="F744" s="24" t="s">
        <v>129</v>
      </c>
    </row>
    <row r="745" spans="1:6" x14ac:dyDescent="0.3">
      <c r="A745" s="24" t="s">
        <v>26</v>
      </c>
      <c r="B745" s="24" t="s">
        <v>23</v>
      </c>
      <c r="C745" s="24" t="s">
        <v>87</v>
      </c>
      <c r="D745" s="24" t="s">
        <v>485</v>
      </c>
      <c r="E745" s="24">
        <v>0</v>
      </c>
      <c r="F745" s="24" t="s">
        <v>129</v>
      </c>
    </row>
    <row r="746" spans="1:6" x14ac:dyDescent="0.3">
      <c r="A746" s="24" t="s">
        <v>26</v>
      </c>
      <c r="B746" s="24" t="s">
        <v>23</v>
      </c>
      <c r="C746" s="24" t="s">
        <v>89</v>
      </c>
      <c r="D746" s="24" t="s">
        <v>486</v>
      </c>
      <c r="E746" s="24">
        <v>0</v>
      </c>
      <c r="F746" s="24" t="s">
        <v>129</v>
      </c>
    </row>
    <row r="747" spans="1:6" x14ac:dyDescent="0.3">
      <c r="A747" s="24" t="s">
        <v>26</v>
      </c>
      <c r="B747" s="24" t="s">
        <v>23</v>
      </c>
      <c r="C747" s="24" t="s">
        <v>91</v>
      </c>
      <c r="D747" s="24" t="s">
        <v>486</v>
      </c>
      <c r="E747" s="24">
        <v>0</v>
      </c>
      <c r="F747" s="24" t="s">
        <v>129</v>
      </c>
    </row>
    <row r="748" spans="1:6" x14ac:dyDescent="0.3">
      <c r="A748" s="24" t="s">
        <v>26</v>
      </c>
      <c r="B748" s="24" t="s">
        <v>23</v>
      </c>
      <c r="C748" s="24" t="s">
        <v>93</v>
      </c>
      <c r="D748" s="24" t="s">
        <v>486</v>
      </c>
      <c r="E748" s="24">
        <v>0</v>
      </c>
      <c r="F748" s="24" t="s">
        <v>129</v>
      </c>
    </row>
    <row r="749" spans="1:6" x14ac:dyDescent="0.3">
      <c r="A749" s="24" t="s">
        <v>26</v>
      </c>
      <c r="B749" s="24" t="s">
        <v>23</v>
      </c>
      <c r="C749" s="24" t="s">
        <v>95</v>
      </c>
      <c r="D749" s="24" t="s">
        <v>486</v>
      </c>
      <c r="E749" s="24">
        <v>0</v>
      </c>
      <c r="F749" s="24" t="s">
        <v>129</v>
      </c>
    </row>
    <row r="750" spans="1:6" x14ac:dyDescent="0.3">
      <c r="A750" s="24" t="s">
        <v>26</v>
      </c>
      <c r="B750" s="24" t="s">
        <v>23</v>
      </c>
      <c r="C750" s="24" t="s">
        <v>97</v>
      </c>
      <c r="D750" s="24" t="s">
        <v>485</v>
      </c>
      <c r="E750" s="24">
        <v>0</v>
      </c>
      <c r="F750" s="24" t="s">
        <v>129</v>
      </c>
    </row>
    <row r="751" spans="1:6" x14ac:dyDescent="0.3">
      <c r="A751" s="24" t="s">
        <v>26</v>
      </c>
      <c r="B751" s="24" t="s">
        <v>23</v>
      </c>
      <c r="C751" s="24" t="s">
        <v>99</v>
      </c>
      <c r="D751" s="24" t="s">
        <v>486</v>
      </c>
      <c r="E751" s="24">
        <v>0</v>
      </c>
      <c r="F751" s="24" t="s">
        <v>129</v>
      </c>
    </row>
    <row r="752" spans="1:6" x14ac:dyDescent="0.3">
      <c r="A752" s="24" t="s">
        <v>26</v>
      </c>
      <c r="B752" s="24" t="s">
        <v>23</v>
      </c>
      <c r="C752" s="24" t="s">
        <v>101</v>
      </c>
      <c r="D752" s="24" t="s">
        <v>487</v>
      </c>
      <c r="E752" s="24">
        <v>0</v>
      </c>
      <c r="F752" s="24" t="s">
        <v>129</v>
      </c>
    </row>
    <row r="753" spans="1:6" x14ac:dyDescent="0.3">
      <c r="A753" s="24" t="s">
        <v>26</v>
      </c>
      <c r="B753" s="24" t="s">
        <v>23</v>
      </c>
      <c r="C753" s="24" t="s">
        <v>103</v>
      </c>
      <c r="D753" s="24" t="s">
        <v>486</v>
      </c>
      <c r="E753" s="24">
        <v>0</v>
      </c>
      <c r="F753" s="24" t="s">
        <v>129</v>
      </c>
    </row>
    <row r="754" spans="1:6" x14ac:dyDescent="0.3">
      <c r="A754" s="24" t="s">
        <v>26</v>
      </c>
      <c r="B754" s="24" t="s">
        <v>23</v>
      </c>
      <c r="C754" s="24" t="s">
        <v>105</v>
      </c>
      <c r="D754" s="24" t="s">
        <v>486</v>
      </c>
      <c r="E754" s="24">
        <v>0</v>
      </c>
      <c r="F754" s="24" t="s">
        <v>129</v>
      </c>
    </row>
    <row r="755" spans="1:6" x14ac:dyDescent="0.3">
      <c r="A755" s="24" t="s">
        <v>26</v>
      </c>
      <c r="B755" s="24" t="s">
        <v>23</v>
      </c>
      <c r="C755" s="24" t="s">
        <v>107</v>
      </c>
      <c r="D755" s="24" t="s">
        <v>485</v>
      </c>
      <c r="E755" s="24">
        <v>0</v>
      </c>
      <c r="F755" s="24" t="s">
        <v>129</v>
      </c>
    </row>
    <row r="756" spans="1:6" x14ac:dyDescent="0.3">
      <c r="A756" s="24" t="s">
        <v>26</v>
      </c>
      <c r="B756" s="24" t="s">
        <v>23</v>
      </c>
      <c r="C756" s="24" t="s">
        <v>109</v>
      </c>
      <c r="D756" s="24" t="s">
        <v>485</v>
      </c>
      <c r="E756" s="24">
        <v>0</v>
      </c>
      <c r="F756" s="24" t="s">
        <v>129</v>
      </c>
    </row>
    <row r="757" spans="1:6" x14ac:dyDescent="0.3">
      <c r="A757" s="24" t="s">
        <v>26</v>
      </c>
      <c r="B757" s="24" t="s">
        <v>23</v>
      </c>
      <c r="C757" s="24" t="s">
        <v>111</v>
      </c>
      <c r="D757" s="24" t="s">
        <v>486</v>
      </c>
      <c r="E757" s="24">
        <v>0</v>
      </c>
      <c r="F757" s="24" t="s">
        <v>129</v>
      </c>
    </row>
    <row r="758" spans="1:6" x14ac:dyDescent="0.3">
      <c r="A758" s="24" t="s">
        <v>28</v>
      </c>
      <c r="B758" s="24" t="s">
        <v>23</v>
      </c>
      <c r="C758" s="24" t="s">
        <v>77</v>
      </c>
      <c r="D758" s="24" t="s">
        <v>485</v>
      </c>
      <c r="E758" s="24">
        <v>0</v>
      </c>
      <c r="F758" s="24" t="s">
        <v>129</v>
      </c>
    </row>
    <row r="759" spans="1:6" x14ac:dyDescent="0.3">
      <c r="A759" s="24" t="s">
        <v>28</v>
      </c>
      <c r="B759" s="24" t="s">
        <v>23</v>
      </c>
      <c r="C759" s="24" t="s">
        <v>79</v>
      </c>
      <c r="D759" s="24" t="s">
        <v>485</v>
      </c>
      <c r="E759" s="24">
        <v>0</v>
      </c>
      <c r="F759" s="24" t="s">
        <v>129</v>
      </c>
    </row>
    <row r="760" spans="1:6" x14ac:dyDescent="0.3">
      <c r="A760" s="24" t="s">
        <v>28</v>
      </c>
      <c r="B760" s="24" t="s">
        <v>23</v>
      </c>
      <c r="C760" s="24" t="s">
        <v>81</v>
      </c>
      <c r="D760" s="24" t="s">
        <v>486</v>
      </c>
      <c r="E760" s="24">
        <v>1</v>
      </c>
      <c r="F760" s="24" t="s">
        <v>129</v>
      </c>
    </row>
    <row r="761" spans="1:6" x14ac:dyDescent="0.3">
      <c r="A761" s="24" t="s">
        <v>28</v>
      </c>
      <c r="B761" s="24" t="s">
        <v>23</v>
      </c>
      <c r="C761" s="24" t="s">
        <v>83</v>
      </c>
      <c r="D761" s="24" t="s">
        <v>485</v>
      </c>
      <c r="E761" s="24">
        <v>0</v>
      </c>
      <c r="F761" s="24" t="s">
        <v>129</v>
      </c>
    </row>
    <row r="762" spans="1:6" x14ac:dyDescent="0.3">
      <c r="A762" s="24" t="s">
        <v>28</v>
      </c>
      <c r="B762" s="24" t="s">
        <v>23</v>
      </c>
      <c r="C762" s="24" t="s">
        <v>85</v>
      </c>
      <c r="D762" s="24" t="s">
        <v>486</v>
      </c>
      <c r="E762" s="24">
        <v>0</v>
      </c>
      <c r="F762" s="24" t="s">
        <v>129</v>
      </c>
    </row>
    <row r="763" spans="1:6" x14ac:dyDescent="0.3">
      <c r="A763" s="24" t="s">
        <v>28</v>
      </c>
      <c r="B763" s="24" t="s">
        <v>23</v>
      </c>
      <c r="C763" s="24" t="s">
        <v>87</v>
      </c>
      <c r="D763" s="24" t="s">
        <v>485</v>
      </c>
      <c r="E763" s="24">
        <v>0</v>
      </c>
      <c r="F763" s="24" t="s">
        <v>129</v>
      </c>
    </row>
    <row r="764" spans="1:6" x14ac:dyDescent="0.3">
      <c r="A764" s="24" t="s">
        <v>28</v>
      </c>
      <c r="B764" s="24" t="s">
        <v>23</v>
      </c>
      <c r="C764" s="24" t="s">
        <v>89</v>
      </c>
      <c r="D764" s="24" t="s">
        <v>486</v>
      </c>
      <c r="E764" s="24">
        <v>0</v>
      </c>
      <c r="F764" s="24" t="s">
        <v>129</v>
      </c>
    </row>
    <row r="765" spans="1:6" x14ac:dyDescent="0.3">
      <c r="A765" s="24" t="s">
        <v>28</v>
      </c>
      <c r="B765" s="24" t="s">
        <v>23</v>
      </c>
      <c r="C765" s="24" t="s">
        <v>91</v>
      </c>
      <c r="D765" s="24" t="s">
        <v>486</v>
      </c>
      <c r="E765" s="24">
        <v>0</v>
      </c>
      <c r="F765" s="24" t="s">
        <v>129</v>
      </c>
    </row>
    <row r="766" spans="1:6" x14ac:dyDescent="0.3">
      <c r="A766" s="24" t="s">
        <v>28</v>
      </c>
      <c r="B766" s="24" t="s">
        <v>23</v>
      </c>
      <c r="C766" s="24" t="s">
        <v>93</v>
      </c>
      <c r="D766" s="24" t="s">
        <v>486</v>
      </c>
      <c r="E766" s="24">
        <v>0</v>
      </c>
      <c r="F766" s="24" t="s">
        <v>129</v>
      </c>
    </row>
    <row r="767" spans="1:6" x14ac:dyDescent="0.3">
      <c r="A767" s="24" t="s">
        <v>28</v>
      </c>
      <c r="B767" s="24" t="s">
        <v>23</v>
      </c>
      <c r="C767" s="24" t="s">
        <v>95</v>
      </c>
      <c r="D767" s="24" t="s">
        <v>486</v>
      </c>
      <c r="E767" s="24">
        <v>0</v>
      </c>
      <c r="F767" s="24" t="s">
        <v>129</v>
      </c>
    </row>
    <row r="768" spans="1:6" x14ac:dyDescent="0.3">
      <c r="A768" s="24" t="s">
        <v>28</v>
      </c>
      <c r="B768" s="24" t="s">
        <v>23</v>
      </c>
      <c r="C768" s="24" t="s">
        <v>97</v>
      </c>
      <c r="D768" s="24" t="s">
        <v>485</v>
      </c>
      <c r="E768" s="24">
        <v>0</v>
      </c>
      <c r="F768" s="24" t="s">
        <v>129</v>
      </c>
    </row>
    <row r="769" spans="1:6" x14ac:dyDescent="0.3">
      <c r="A769" s="24" t="s">
        <v>28</v>
      </c>
      <c r="B769" s="24" t="s">
        <v>23</v>
      </c>
      <c r="C769" s="24" t="s">
        <v>99</v>
      </c>
      <c r="D769" s="24" t="s">
        <v>486</v>
      </c>
      <c r="E769" s="24">
        <v>0</v>
      </c>
      <c r="F769" s="24" t="s">
        <v>129</v>
      </c>
    </row>
    <row r="770" spans="1:6" x14ac:dyDescent="0.3">
      <c r="A770" s="24" t="s">
        <v>28</v>
      </c>
      <c r="B770" s="24" t="s">
        <v>23</v>
      </c>
      <c r="C770" s="24" t="s">
        <v>101</v>
      </c>
      <c r="D770" s="24" t="s">
        <v>487</v>
      </c>
      <c r="E770" s="24">
        <v>0</v>
      </c>
      <c r="F770" s="24" t="s">
        <v>129</v>
      </c>
    </row>
    <row r="771" spans="1:6" x14ac:dyDescent="0.3">
      <c r="A771" s="24" t="s">
        <v>28</v>
      </c>
      <c r="B771" s="24" t="s">
        <v>23</v>
      </c>
      <c r="C771" s="24" t="s">
        <v>103</v>
      </c>
      <c r="D771" s="24" t="s">
        <v>486</v>
      </c>
      <c r="E771" s="24">
        <v>0</v>
      </c>
      <c r="F771" s="24" t="s">
        <v>129</v>
      </c>
    </row>
    <row r="772" spans="1:6" x14ac:dyDescent="0.3">
      <c r="A772" s="24" t="s">
        <v>28</v>
      </c>
      <c r="B772" s="24" t="s">
        <v>23</v>
      </c>
      <c r="C772" s="24" t="s">
        <v>105</v>
      </c>
      <c r="D772" s="24" t="s">
        <v>486</v>
      </c>
      <c r="E772" s="24">
        <v>0</v>
      </c>
      <c r="F772" s="24" t="s">
        <v>129</v>
      </c>
    </row>
    <row r="773" spans="1:6" x14ac:dyDescent="0.3">
      <c r="A773" s="24" t="s">
        <v>28</v>
      </c>
      <c r="B773" s="24" t="s">
        <v>23</v>
      </c>
      <c r="C773" s="24" t="s">
        <v>107</v>
      </c>
      <c r="D773" s="24" t="s">
        <v>485</v>
      </c>
      <c r="E773" s="24">
        <v>1</v>
      </c>
      <c r="F773" s="24" t="s">
        <v>128</v>
      </c>
    </row>
    <row r="774" spans="1:6" x14ac:dyDescent="0.3">
      <c r="A774" s="24" t="s">
        <v>28</v>
      </c>
      <c r="B774" s="24" t="s">
        <v>23</v>
      </c>
      <c r="C774" s="24" t="s">
        <v>109</v>
      </c>
      <c r="D774" s="24" t="s">
        <v>485</v>
      </c>
      <c r="E774" s="24">
        <v>1</v>
      </c>
      <c r="F774" s="24" t="s">
        <v>129</v>
      </c>
    </row>
    <row r="775" spans="1:6" x14ac:dyDescent="0.3">
      <c r="A775" s="24" t="s">
        <v>28</v>
      </c>
      <c r="B775" s="24" t="s">
        <v>23</v>
      </c>
      <c r="C775" s="24" t="s">
        <v>111</v>
      </c>
      <c r="D775" s="24" t="s">
        <v>486</v>
      </c>
      <c r="E775" s="24">
        <v>0</v>
      </c>
      <c r="F775" s="24" t="s">
        <v>129</v>
      </c>
    </row>
    <row r="776" spans="1:6" x14ac:dyDescent="0.3">
      <c r="A776" s="24" t="s">
        <v>30</v>
      </c>
      <c r="B776" s="24" t="s">
        <v>23</v>
      </c>
      <c r="C776" s="24" t="s">
        <v>77</v>
      </c>
      <c r="D776" s="24" t="s">
        <v>485</v>
      </c>
      <c r="E776" s="24">
        <v>0</v>
      </c>
      <c r="F776" s="24" t="s">
        <v>129</v>
      </c>
    </row>
    <row r="777" spans="1:6" x14ac:dyDescent="0.3">
      <c r="A777" s="24" t="s">
        <v>30</v>
      </c>
      <c r="B777" s="24" t="s">
        <v>23</v>
      </c>
      <c r="C777" s="24" t="s">
        <v>79</v>
      </c>
      <c r="D777" s="24" t="s">
        <v>485</v>
      </c>
      <c r="E777" s="24">
        <v>0</v>
      </c>
      <c r="F777" s="24" t="s">
        <v>129</v>
      </c>
    </row>
    <row r="778" spans="1:6" x14ac:dyDescent="0.3">
      <c r="A778" s="24" t="s">
        <v>30</v>
      </c>
      <c r="B778" s="24" t="s">
        <v>23</v>
      </c>
      <c r="C778" s="24" t="s">
        <v>81</v>
      </c>
      <c r="D778" s="24" t="s">
        <v>486</v>
      </c>
      <c r="E778" s="24">
        <v>1</v>
      </c>
      <c r="F778" s="24" t="s">
        <v>128</v>
      </c>
    </row>
    <row r="779" spans="1:6" x14ac:dyDescent="0.3">
      <c r="A779" s="24" t="s">
        <v>30</v>
      </c>
      <c r="B779" s="24" t="s">
        <v>23</v>
      </c>
      <c r="C779" s="24" t="s">
        <v>83</v>
      </c>
      <c r="D779" s="24" t="s">
        <v>485</v>
      </c>
      <c r="E779" s="24">
        <v>0</v>
      </c>
      <c r="F779" s="24" t="s">
        <v>129</v>
      </c>
    </row>
    <row r="780" spans="1:6" x14ac:dyDescent="0.3">
      <c r="A780" s="24" t="s">
        <v>30</v>
      </c>
      <c r="B780" s="24" t="s">
        <v>23</v>
      </c>
      <c r="C780" s="24" t="s">
        <v>85</v>
      </c>
      <c r="D780" s="24" t="s">
        <v>486</v>
      </c>
      <c r="E780" s="24">
        <v>0</v>
      </c>
      <c r="F780" s="24" t="s">
        <v>129</v>
      </c>
    </row>
    <row r="781" spans="1:6" x14ac:dyDescent="0.3">
      <c r="A781" s="24" t="s">
        <v>30</v>
      </c>
      <c r="B781" s="24" t="s">
        <v>23</v>
      </c>
      <c r="C781" s="24" t="s">
        <v>87</v>
      </c>
      <c r="D781" s="24" t="s">
        <v>485</v>
      </c>
      <c r="E781" s="24">
        <v>0</v>
      </c>
      <c r="F781" s="24" t="s">
        <v>129</v>
      </c>
    </row>
    <row r="782" spans="1:6" x14ac:dyDescent="0.3">
      <c r="A782" s="24" t="s">
        <v>30</v>
      </c>
      <c r="B782" s="24" t="s">
        <v>23</v>
      </c>
      <c r="C782" s="24" t="s">
        <v>89</v>
      </c>
      <c r="D782" s="24" t="s">
        <v>486</v>
      </c>
      <c r="E782" s="24">
        <v>0</v>
      </c>
      <c r="F782" s="24" t="s">
        <v>129</v>
      </c>
    </row>
    <row r="783" spans="1:6" x14ac:dyDescent="0.3">
      <c r="A783" s="24" t="s">
        <v>30</v>
      </c>
      <c r="B783" s="24" t="s">
        <v>23</v>
      </c>
      <c r="C783" s="24" t="s">
        <v>91</v>
      </c>
      <c r="D783" s="24" t="s">
        <v>486</v>
      </c>
      <c r="E783" s="24">
        <v>0</v>
      </c>
      <c r="F783" s="24" t="s">
        <v>129</v>
      </c>
    </row>
    <row r="784" spans="1:6" x14ac:dyDescent="0.3">
      <c r="A784" s="24" t="s">
        <v>30</v>
      </c>
      <c r="B784" s="24" t="s">
        <v>23</v>
      </c>
      <c r="C784" s="24" t="s">
        <v>93</v>
      </c>
      <c r="D784" s="24" t="s">
        <v>486</v>
      </c>
      <c r="E784" s="24">
        <v>0</v>
      </c>
      <c r="F784" s="24" t="s">
        <v>129</v>
      </c>
    </row>
    <row r="785" spans="1:6" x14ac:dyDescent="0.3">
      <c r="A785" s="24" t="s">
        <v>30</v>
      </c>
      <c r="B785" s="24" t="s">
        <v>23</v>
      </c>
      <c r="C785" s="24" t="s">
        <v>95</v>
      </c>
      <c r="D785" s="24" t="s">
        <v>486</v>
      </c>
      <c r="E785" s="24">
        <v>0</v>
      </c>
      <c r="F785" s="24" t="s">
        <v>129</v>
      </c>
    </row>
    <row r="786" spans="1:6" x14ac:dyDescent="0.3">
      <c r="A786" s="24" t="s">
        <v>30</v>
      </c>
      <c r="B786" s="24" t="s">
        <v>23</v>
      </c>
      <c r="C786" s="24" t="s">
        <v>97</v>
      </c>
      <c r="D786" s="24" t="s">
        <v>485</v>
      </c>
      <c r="E786" s="24">
        <v>0</v>
      </c>
      <c r="F786" s="24" t="s">
        <v>129</v>
      </c>
    </row>
    <row r="787" spans="1:6" x14ac:dyDescent="0.3">
      <c r="A787" s="24" t="s">
        <v>30</v>
      </c>
      <c r="B787" s="24" t="s">
        <v>23</v>
      </c>
      <c r="C787" s="24" t="s">
        <v>99</v>
      </c>
      <c r="D787" s="24" t="s">
        <v>486</v>
      </c>
      <c r="E787" s="24">
        <v>0</v>
      </c>
      <c r="F787" s="24" t="s">
        <v>129</v>
      </c>
    </row>
    <row r="788" spans="1:6" x14ac:dyDescent="0.3">
      <c r="A788" s="24" t="s">
        <v>30</v>
      </c>
      <c r="B788" s="24" t="s">
        <v>23</v>
      </c>
      <c r="C788" s="24" t="s">
        <v>101</v>
      </c>
      <c r="D788" s="24" t="s">
        <v>487</v>
      </c>
      <c r="E788" s="24">
        <v>0</v>
      </c>
      <c r="F788" s="24" t="s">
        <v>129</v>
      </c>
    </row>
    <row r="789" spans="1:6" x14ac:dyDescent="0.3">
      <c r="A789" s="24" t="s">
        <v>30</v>
      </c>
      <c r="B789" s="24" t="s">
        <v>23</v>
      </c>
      <c r="C789" s="24" t="s">
        <v>103</v>
      </c>
      <c r="D789" s="24" t="s">
        <v>486</v>
      </c>
      <c r="E789" s="24">
        <v>0</v>
      </c>
      <c r="F789" s="24" t="s">
        <v>129</v>
      </c>
    </row>
    <row r="790" spans="1:6" x14ac:dyDescent="0.3">
      <c r="A790" s="24" t="s">
        <v>30</v>
      </c>
      <c r="B790" s="24" t="s">
        <v>23</v>
      </c>
      <c r="C790" s="24" t="s">
        <v>105</v>
      </c>
      <c r="D790" s="24" t="s">
        <v>486</v>
      </c>
      <c r="E790" s="24">
        <v>0</v>
      </c>
      <c r="F790" s="24" t="s">
        <v>129</v>
      </c>
    </row>
    <row r="791" spans="1:6" x14ac:dyDescent="0.3">
      <c r="A791" s="24" t="s">
        <v>30</v>
      </c>
      <c r="B791" s="24" t="s">
        <v>23</v>
      </c>
      <c r="C791" s="24" t="s">
        <v>107</v>
      </c>
      <c r="D791" s="24" t="s">
        <v>485</v>
      </c>
      <c r="E791" s="24">
        <v>0</v>
      </c>
      <c r="F791" s="24" t="s">
        <v>129</v>
      </c>
    </row>
    <row r="792" spans="1:6" x14ac:dyDescent="0.3">
      <c r="A792" s="24" t="s">
        <v>30</v>
      </c>
      <c r="B792" s="24" t="s">
        <v>23</v>
      </c>
      <c r="C792" s="24" t="s">
        <v>109</v>
      </c>
      <c r="D792" s="24" t="s">
        <v>485</v>
      </c>
      <c r="E792" s="24">
        <v>1</v>
      </c>
      <c r="F792" s="24" t="s">
        <v>129</v>
      </c>
    </row>
    <row r="793" spans="1:6" x14ac:dyDescent="0.3">
      <c r="A793" s="24" t="s">
        <v>30</v>
      </c>
      <c r="B793" s="24" t="s">
        <v>23</v>
      </c>
      <c r="C793" s="24" t="s">
        <v>111</v>
      </c>
      <c r="D793" s="24" t="s">
        <v>486</v>
      </c>
      <c r="E793" s="24">
        <v>0</v>
      </c>
      <c r="F793" s="24" t="s">
        <v>126</v>
      </c>
    </row>
    <row r="794" spans="1:6" x14ac:dyDescent="0.3">
      <c r="A794" s="24" t="s">
        <v>32</v>
      </c>
      <c r="B794" s="24" t="s">
        <v>23</v>
      </c>
      <c r="C794" s="24" t="s">
        <v>77</v>
      </c>
      <c r="D794" s="24" t="s">
        <v>485</v>
      </c>
      <c r="E794" s="24">
        <v>0</v>
      </c>
      <c r="F794" s="24" t="s">
        <v>129</v>
      </c>
    </row>
    <row r="795" spans="1:6" x14ac:dyDescent="0.3">
      <c r="A795" s="24" t="s">
        <v>32</v>
      </c>
      <c r="B795" s="24" t="s">
        <v>23</v>
      </c>
      <c r="C795" s="24" t="s">
        <v>79</v>
      </c>
      <c r="D795" s="24" t="s">
        <v>485</v>
      </c>
      <c r="E795" s="24">
        <v>0</v>
      </c>
      <c r="F795" s="24" t="s">
        <v>129</v>
      </c>
    </row>
    <row r="796" spans="1:6" x14ac:dyDescent="0.3">
      <c r="A796" s="24" t="s">
        <v>32</v>
      </c>
      <c r="B796" s="24" t="s">
        <v>23</v>
      </c>
      <c r="C796" s="24" t="s">
        <v>81</v>
      </c>
      <c r="D796" s="24" t="s">
        <v>486</v>
      </c>
      <c r="E796" s="24">
        <v>1</v>
      </c>
      <c r="F796" s="24" t="s">
        <v>129</v>
      </c>
    </row>
    <row r="797" spans="1:6" x14ac:dyDescent="0.3">
      <c r="A797" s="24" t="s">
        <v>32</v>
      </c>
      <c r="B797" s="24" t="s">
        <v>23</v>
      </c>
      <c r="C797" s="24" t="s">
        <v>83</v>
      </c>
      <c r="D797" s="24" t="s">
        <v>485</v>
      </c>
      <c r="E797" s="24">
        <v>0</v>
      </c>
      <c r="F797" s="24" t="s">
        <v>129</v>
      </c>
    </row>
    <row r="798" spans="1:6" x14ac:dyDescent="0.3">
      <c r="A798" s="24" t="s">
        <v>32</v>
      </c>
      <c r="B798" s="24" t="s">
        <v>23</v>
      </c>
      <c r="C798" s="24" t="s">
        <v>85</v>
      </c>
      <c r="D798" s="24" t="s">
        <v>486</v>
      </c>
      <c r="E798" s="24">
        <v>0</v>
      </c>
      <c r="F798" s="24" t="s">
        <v>129</v>
      </c>
    </row>
    <row r="799" spans="1:6" x14ac:dyDescent="0.3">
      <c r="A799" s="24" t="s">
        <v>32</v>
      </c>
      <c r="B799" s="24" t="s">
        <v>23</v>
      </c>
      <c r="C799" s="24" t="s">
        <v>87</v>
      </c>
      <c r="D799" s="24" t="s">
        <v>485</v>
      </c>
      <c r="E799" s="24">
        <v>0</v>
      </c>
      <c r="F799" s="24" t="s">
        <v>129</v>
      </c>
    </row>
    <row r="800" spans="1:6" x14ac:dyDescent="0.3">
      <c r="A800" s="24" t="s">
        <v>32</v>
      </c>
      <c r="B800" s="24" t="s">
        <v>23</v>
      </c>
      <c r="C800" s="24" t="s">
        <v>89</v>
      </c>
      <c r="D800" s="24" t="s">
        <v>486</v>
      </c>
      <c r="E800" s="24">
        <v>0</v>
      </c>
      <c r="F800" s="24" t="s">
        <v>129</v>
      </c>
    </row>
    <row r="801" spans="1:6" x14ac:dyDescent="0.3">
      <c r="A801" s="24" t="s">
        <v>32</v>
      </c>
      <c r="B801" s="24" t="s">
        <v>23</v>
      </c>
      <c r="C801" s="24" t="s">
        <v>91</v>
      </c>
      <c r="D801" s="24" t="s">
        <v>486</v>
      </c>
      <c r="E801" s="24">
        <v>0</v>
      </c>
      <c r="F801" s="24" t="s">
        <v>129</v>
      </c>
    </row>
    <row r="802" spans="1:6" x14ac:dyDescent="0.3">
      <c r="A802" s="24" t="s">
        <v>32</v>
      </c>
      <c r="B802" s="24" t="s">
        <v>23</v>
      </c>
      <c r="C802" s="24" t="s">
        <v>93</v>
      </c>
      <c r="D802" s="24" t="s">
        <v>486</v>
      </c>
      <c r="E802" s="24">
        <v>0</v>
      </c>
      <c r="F802" s="24" t="s">
        <v>129</v>
      </c>
    </row>
    <row r="803" spans="1:6" x14ac:dyDescent="0.3">
      <c r="A803" s="24" t="s">
        <v>32</v>
      </c>
      <c r="B803" s="24" t="s">
        <v>23</v>
      </c>
      <c r="C803" s="24" t="s">
        <v>95</v>
      </c>
      <c r="D803" s="24" t="s">
        <v>486</v>
      </c>
      <c r="E803" s="24">
        <v>0</v>
      </c>
      <c r="F803" s="24" t="s">
        <v>129</v>
      </c>
    </row>
    <row r="804" spans="1:6" x14ac:dyDescent="0.3">
      <c r="A804" s="24" t="s">
        <v>32</v>
      </c>
      <c r="B804" s="24" t="s">
        <v>23</v>
      </c>
      <c r="C804" s="24" t="s">
        <v>97</v>
      </c>
      <c r="D804" s="24" t="s">
        <v>485</v>
      </c>
      <c r="E804" s="24">
        <v>0</v>
      </c>
      <c r="F804" s="24" t="s">
        <v>129</v>
      </c>
    </row>
    <row r="805" spans="1:6" x14ac:dyDescent="0.3">
      <c r="A805" s="24" t="s">
        <v>32</v>
      </c>
      <c r="B805" s="24" t="s">
        <v>23</v>
      </c>
      <c r="C805" s="24" t="s">
        <v>99</v>
      </c>
      <c r="D805" s="24" t="s">
        <v>486</v>
      </c>
      <c r="E805" s="24">
        <v>0</v>
      </c>
      <c r="F805" s="24" t="s">
        <v>129</v>
      </c>
    </row>
    <row r="806" spans="1:6" x14ac:dyDescent="0.3">
      <c r="A806" s="24" t="s">
        <v>32</v>
      </c>
      <c r="B806" s="24" t="s">
        <v>23</v>
      </c>
      <c r="C806" s="24" t="s">
        <v>101</v>
      </c>
      <c r="D806" s="24" t="s">
        <v>487</v>
      </c>
      <c r="E806" s="24">
        <v>0</v>
      </c>
      <c r="F806" s="24" t="s">
        <v>129</v>
      </c>
    </row>
    <row r="807" spans="1:6" x14ac:dyDescent="0.3">
      <c r="A807" s="24" t="s">
        <v>32</v>
      </c>
      <c r="B807" s="24" t="s">
        <v>23</v>
      </c>
      <c r="C807" s="24" t="s">
        <v>103</v>
      </c>
      <c r="D807" s="24" t="s">
        <v>486</v>
      </c>
      <c r="E807" s="24">
        <v>0</v>
      </c>
      <c r="F807" s="24" t="s">
        <v>129</v>
      </c>
    </row>
    <row r="808" spans="1:6" x14ac:dyDescent="0.3">
      <c r="A808" s="24" t="s">
        <v>32</v>
      </c>
      <c r="B808" s="24" t="s">
        <v>23</v>
      </c>
      <c r="C808" s="24" t="s">
        <v>105</v>
      </c>
      <c r="D808" s="24" t="s">
        <v>486</v>
      </c>
      <c r="E808" s="24">
        <v>0</v>
      </c>
      <c r="F808" s="24" t="s">
        <v>129</v>
      </c>
    </row>
    <row r="809" spans="1:6" x14ac:dyDescent="0.3">
      <c r="A809" s="24" t="s">
        <v>32</v>
      </c>
      <c r="B809" s="24" t="s">
        <v>23</v>
      </c>
      <c r="C809" s="24" t="s">
        <v>107</v>
      </c>
      <c r="D809" s="24" t="s">
        <v>485</v>
      </c>
      <c r="E809" s="24">
        <v>0</v>
      </c>
      <c r="F809" s="24" t="s">
        <v>129</v>
      </c>
    </row>
    <row r="810" spans="1:6" x14ac:dyDescent="0.3">
      <c r="A810" s="24" t="s">
        <v>32</v>
      </c>
      <c r="B810" s="24" t="s">
        <v>23</v>
      </c>
      <c r="C810" s="24" t="s">
        <v>109</v>
      </c>
      <c r="D810" s="24" t="s">
        <v>485</v>
      </c>
      <c r="E810" s="24">
        <v>1</v>
      </c>
      <c r="F810" s="24" t="s">
        <v>129</v>
      </c>
    </row>
    <row r="811" spans="1:6" x14ac:dyDescent="0.3">
      <c r="A811" s="24" t="s">
        <v>32</v>
      </c>
      <c r="B811" s="24" t="s">
        <v>23</v>
      </c>
      <c r="C811" s="24" t="s">
        <v>111</v>
      </c>
      <c r="D811" s="24" t="s">
        <v>486</v>
      </c>
      <c r="E811" s="24">
        <v>0</v>
      </c>
      <c r="F811" s="24" t="s">
        <v>126</v>
      </c>
    </row>
    <row r="812" spans="1:6" x14ac:dyDescent="0.3">
      <c r="A812" s="24" t="s">
        <v>34</v>
      </c>
      <c r="B812" s="24" t="s">
        <v>23</v>
      </c>
      <c r="C812" s="24" t="s">
        <v>77</v>
      </c>
      <c r="D812" s="24" t="s">
        <v>485</v>
      </c>
      <c r="E812" s="24">
        <v>0</v>
      </c>
      <c r="F812" s="24" t="s">
        <v>129</v>
      </c>
    </row>
    <row r="813" spans="1:6" x14ac:dyDescent="0.3">
      <c r="A813" s="24" t="s">
        <v>34</v>
      </c>
      <c r="B813" s="24" t="s">
        <v>23</v>
      </c>
      <c r="C813" s="24" t="s">
        <v>79</v>
      </c>
      <c r="D813" s="24" t="s">
        <v>485</v>
      </c>
      <c r="E813" s="24">
        <v>0</v>
      </c>
      <c r="F813" s="24" t="s">
        <v>129</v>
      </c>
    </row>
    <row r="814" spans="1:6" x14ac:dyDescent="0.3">
      <c r="A814" s="24" t="s">
        <v>34</v>
      </c>
      <c r="B814" s="24" t="s">
        <v>23</v>
      </c>
      <c r="C814" s="24" t="s">
        <v>81</v>
      </c>
      <c r="D814" s="24" t="s">
        <v>486</v>
      </c>
      <c r="E814" s="24">
        <v>0</v>
      </c>
      <c r="F814" s="24" t="s">
        <v>129</v>
      </c>
    </row>
    <row r="815" spans="1:6" x14ac:dyDescent="0.3">
      <c r="A815" s="24" t="s">
        <v>34</v>
      </c>
      <c r="B815" s="24" t="s">
        <v>23</v>
      </c>
      <c r="C815" s="24" t="s">
        <v>83</v>
      </c>
      <c r="D815" s="24" t="s">
        <v>485</v>
      </c>
      <c r="E815" s="24">
        <v>0</v>
      </c>
      <c r="F815" s="24" t="s">
        <v>129</v>
      </c>
    </row>
    <row r="816" spans="1:6" x14ac:dyDescent="0.3">
      <c r="A816" s="24" t="s">
        <v>34</v>
      </c>
      <c r="B816" s="24" t="s">
        <v>23</v>
      </c>
      <c r="C816" s="24" t="s">
        <v>85</v>
      </c>
      <c r="D816" s="24" t="s">
        <v>486</v>
      </c>
      <c r="E816" s="24">
        <v>0</v>
      </c>
      <c r="F816" s="24" t="s">
        <v>129</v>
      </c>
    </row>
    <row r="817" spans="1:6" x14ac:dyDescent="0.3">
      <c r="A817" s="24" t="s">
        <v>34</v>
      </c>
      <c r="B817" s="24" t="s">
        <v>23</v>
      </c>
      <c r="C817" s="24" t="s">
        <v>87</v>
      </c>
      <c r="D817" s="24" t="s">
        <v>485</v>
      </c>
      <c r="E817" s="24">
        <v>0</v>
      </c>
      <c r="F817" s="24" t="s">
        <v>126</v>
      </c>
    </row>
    <row r="818" spans="1:6" x14ac:dyDescent="0.3">
      <c r="A818" s="24" t="s">
        <v>34</v>
      </c>
      <c r="B818" s="24" t="s">
        <v>23</v>
      </c>
      <c r="C818" s="24" t="s">
        <v>89</v>
      </c>
      <c r="D818" s="24" t="s">
        <v>486</v>
      </c>
      <c r="E818" s="24">
        <v>0</v>
      </c>
      <c r="F818" s="24" t="s">
        <v>129</v>
      </c>
    </row>
    <row r="819" spans="1:6" x14ac:dyDescent="0.3">
      <c r="A819" s="24" t="s">
        <v>34</v>
      </c>
      <c r="B819" s="24" t="s">
        <v>23</v>
      </c>
      <c r="C819" s="24" t="s">
        <v>91</v>
      </c>
      <c r="D819" s="24" t="s">
        <v>486</v>
      </c>
      <c r="E819" s="24">
        <v>0</v>
      </c>
      <c r="F819" s="24" t="s">
        <v>129</v>
      </c>
    </row>
    <row r="820" spans="1:6" x14ac:dyDescent="0.3">
      <c r="A820" s="24" t="s">
        <v>34</v>
      </c>
      <c r="B820" s="24" t="s">
        <v>23</v>
      </c>
      <c r="C820" s="24" t="s">
        <v>93</v>
      </c>
      <c r="D820" s="24" t="s">
        <v>486</v>
      </c>
      <c r="E820" s="24">
        <v>0</v>
      </c>
      <c r="F820" s="24" t="s">
        <v>129</v>
      </c>
    </row>
    <row r="821" spans="1:6" x14ac:dyDescent="0.3">
      <c r="A821" s="24" t="s">
        <v>34</v>
      </c>
      <c r="B821" s="24" t="s">
        <v>23</v>
      </c>
      <c r="C821" s="24" t="s">
        <v>95</v>
      </c>
      <c r="D821" s="24" t="s">
        <v>486</v>
      </c>
      <c r="E821" s="24">
        <v>0</v>
      </c>
      <c r="F821" s="24" t="s">
        <v>129</v>
      </c>
    </row>
    <row r="822" spans="1:6" x14ac:dyDescent="0.3">
      <c r="A822" s="24" t="s">
        <v>34</v>
      </c>
      <c r="B822" s="24" t="s">
        <v>23</v>
      </c>
      <c r="C822" s="24" t="s">
        <v>97</v>
      </c>
      <c r="D822" s="24" t="s">
        <v>485</v>
      </c>
      <c r="E822" s="24">
        <v>0</v>
      </c>
      <c r="F822" s="24" t="s">
        <v>129</v>
      </c>
    </row>
    <row r="823" spans="1:6" x14ac:dyDescent="0.3">
      <c r="A823" s="24" t="s">
        <v>34</v>
      </c>
      <c r="B823" s="24" t="s">
        <v>23</v>
      </c>
      <c r="C823" s="24" t="s">
        <v>99</v>
      </c>
      <c r="D823" s="24" t="s">
        <v>486</v>
      </c>
      <c r="E823" s="24">
        <v>0</v>
      </c>
      <c r="F823" s="24" t="s">
        <v>129</v>
      </c>
    </row>
    <row r="824" spans="1:6" x14ac:dyDescent="0.3">
      <c r="A824" s="24" t="s">
        <v>34</v>
      </c>
      <c r="B824" s="24" t="s">
        <v>23</v>
      </c>
      <c r="C824" s="24" t="s">
        <v>101</v>
      </c>
      <c r="D824" s="24" t="s">
        <v>487</v>
      </c>
      <c r="E824" s="24">
        <v>0</v>
      </c>
      <c r="F824" s="24" t="s">
        <v>129</v>
      </c>
    </row>
    <row r="825" spans="1:6" x14ac:dyDescent="0.3">
      <c r="A825" s="24" t="s">
        <v>34</v>
      </c>
      <c r="B825" s="24" t="s">
        <v>23</v>
      </c>
      <c r="C825" s="24" t="s">
        <v>103</v>
      </c>
      <c r="D825" s="24" t="s">
        <v>486</v>
      </c>
      <c r="E825" s="24">
        <v>0</v>
      </c>
      <c r="F825" s="24" t="s">
        <v>129</v>
      </c>
    </row>
    <row r="826" spans="1:6" x14ac:dyDescent="0.3">
      <c r="A826" s="24" t="s">
        <v>34</v>
      </c>
      <c r="B826" s="24" t="s">
        <v>23</v>
      </c>
      <c r="C826" s="24" t="s">
        <v>105</v>
      </c>
      <c r="D826" s="24" t="s">
        <v>486</v>
      </c>
      <c r="E826" s="24">
        <v>0</v>
      </c>
      <c r="F826" s="24" t="s">
        <v>129</v>
      </c>
    </row>
    <row r="827" spans="1:6" x14ac:dyDescent="0.3">
      <c r="A827" s="24" t="s">
        <v>34</v>
      </c>
      <c r="B827" s="24" t="s">
        <v>23</v>
      </c>
      <c r="C827" s="24" t="s">
        <v>107</v>
      </c>
      <c r="D827" s="24" t="s">
        <v>485</v>
      </c>
      <c r="E827" s="24">
        <v>0</v>
      </c>
      <c r="F827" s="24" t="s">
        <v>129</v>
      </c>
    </row>
    <row r="828" spans="1:6" x14ac:dyDescent="0.3">
      <c r="A828" s="24" t="s">
        <v>34</v>
      </c>
      <c r="B828" s="24" t="s">
        <v>23</v>
      </c>
      <c r="C828" s="24" t="s">
        <v>109</v>
      </c>
      <c r="D828" s="24" t="s">
        <v>485</v>
      </c>
      <c r="E828" s="24">
        <v>0</v>
      </c>
      <c r="F828" s="24" t="s">
        <v>129</v>
      </c>
    </row>
    <row r="829" spans="1:6" x14ac:dyDescent="0.3">
      <c r="A829" s="24" t="s">
        <v>34</v>
      </c>
      <c r="B829" s="24" t="s">
        <v>23</v>
      </c>
      <c r="C829" s="24" t="s">
        <v>111</v>
      </c>
      <c r="D829" s="24" t="s">
        <v>486</v>
      </c>
      <c r="E829" s="24">
        <v>0</v>
      </c>
      <c r="F829" s="24" t="s">
        <v>129</v>
      </c>
    </row>
    <row r="830" spans="1:6" x14ac:dyDescent="0.3">
      <c r="A830" s="24" t="s">
        <v>36</v>
      </c>
      <c r="B830" s="24" t="s">
        <v>23</v>
      </c>
      <c r="C830" s="24" t="s">
        <v>77</v>
      </c>
      <c r="D830" s="24" t="s">
        <v>485</v>
      </c>
      <c r="E830" s="24">
        <v>0</v>
      </c>
      <c r="F830" s="24" t="s">
        <v>126</v>
      </c>
    </row>
    <row r="831" spans="1:6" x14ac:dyDescent="0.3">
      <c r="A831" s="24" t="s">
        <v>36</v>
      </c>
      <c r="B831" s="24" t="s">
        <v>23</v>
      </c>
      <c r="C831" s="24" t="s">
        <v>79</v>
      </c>
      <c r="D831" s="24" t="s">
        <v>485</v>
      </c>
      <c r="E831" s="24">
        <v>0</v>
      </c>
      <c r="F831" s="24" t="s">
        <v>129</v>
      </c>
    </row>
    <row r="832" spans="1:6" x14ac:dyDescent="0.3">
      <c r="A832" s="24" t="s">
        <v>36</v>
      </c>
      <c r="B832" s="24" t="s">
        <v>23</v>
      </c>
      <c r="C832" s="24" t="s">
        <v>81</v>
      </c>
      <c r="D832" s="24" t="s">
        <v>486</v>
      </c>
      <c r="E832" s="24">
        <v>0</v>
      </c>
      <c r="F832" s="24" t="s">
        <v>128</v>
      </c>
    </row>
    <row r="833" spans="1:6" x14ac:dyDescent="0.3">
      <c r="A833" s="24" t="s">
        <v>36</v>
      </c>
      <c r="B833" s="24" t="s">
        <v>23</v>
      </c>
      <c r="C833" s="24" t="s">
        <v>83</v>
      </c>
      <c r="D833" s="24" t="s">
        <v>485</v>
      </c>
      <c r="E833" s="24">
        <v>0</v>
      </c>
      <c r="F833" s="24" t="s">
        <v>129</v>
      </c>
    </row>
    <row r="834" spans="1:6" x14ac:dyDescent="0.3">
      <c r="A834" s="24" t="s">
        <v>36</v>
      </c>
      <c r="B834" s="24" t="s">
        <v>23</v>
      </c>
      <c r="C834" s="24" t="s">
        <v>85</v>
      </c>
      <c r="D834" s="24" t="s">
        <v>486</v>
      </c>
      <c r="E834" s="24">
        <v>0</v>
      </c>
      <c r="F834" s="24" t="s">
        <v>129</v>
      </c>
    </row>
    <row r="835" spans="1:6" x14ac:dyDescent="0.3">
      <c r="A835" s="24" t="s">
        <v>36</v>
      </c>
      <c r="B835" s="24" t="s">
        <v>23</v>
      </c>
      <c r="C835" s="24" t="s">
        <v>87</v>
      </c>
      <c r="D835" s="24" t="s">
        <v>485</v>
      </c>
      <c r="E835" s="24">
        <v>0</v>
      </c>
      <c r="F835" s="24" t="s">
        <v>129</v>
      </c>
    </row>
    <row r="836" spans="1:6" x14ac:dyDescent="0.3">
      <c r="A836" s="24" t="s">
        <v>36</v>
      </c>
      <c r="B836" s="24" t="s">
        <v>23</v>
      </c>
      <c r="C836" s="24" t="s">
        <v>89</v>
      </c>
      <c r="D836" s="24" t="s">
        <v>486</v>
      </c>
      <c r="E836" s="24">
        <v>0</v>
      </c>
      <c r="F836" s="24" t="s">
        <v>129</v>
      </c>
    </row>
    <row r="837" spans="1:6" x14ac:dyDescent="0.3">
      <c r="A837" s="24" t="s">
        <v>36</v>
      </c>
      <c r="B837" s="24" t="s">
        <v>23</v>
      </c>
      <c r="C837" s="24" t="s">
        <v>91</v>
      </c>
      <c r="D837" s="24" t="s">
        <v>486</v>
      </c>
      <c r="E837" s="24">
        <v>0</v>
      </c>
      <c r="F837" s="24" t="s">
        <v>129</v>
      </c>
    </row>
    <row r="838" spans="1:6" x14ac:dyDescent="0.3">
      <c r="A838" s="24" t="s">
        <v>36</v>
      </c>
      <c r="B838" s="24" t="s">
        <v>23</v>
      </c>
      <c r="C838" s="24" t="s">
        <v>93</v>
      </c>
      <c r="D838" s="24" t="s">
        <v>486</v>
      </c>
      <c r="E838" s="24">
        <v>0</v>
      </c>
      <c r="F838" s="24" t="s">
        <v>129</v>
      </c>
    </row>
    <row r="839" spans="1:6" x14ac:dyDescent="0.3">
      <c r="A839" s="24" t="s">
        <v>36</v>
      </c>
      <c r="B839" s="24" t="s">
        <v>23</v>
      </c>
      <c r="C839" s="24" t="s">
        <v>95</v>
      </c>
      <c r="D839" s="24" t="s">
        <v>486</v>
      </c>
      <c r="E839" s="24">
        <v>0</v>
      </c>
      <c r="F839" s="24" t="s">
        <v>127</v>
      </c>
    </row>
    <row r="840" spans="1:6" x14ac:dyDescent="0.3">
      <c r="A840" s="24" t="s">
        <v>36</v>
      </c>
      <c r="B840" s="24" t="s">
        <v>23</v>
      </c>
      <c r="C840" s="24" t="s">
        <v>97</v>
      </c>
      <c r="D840" s="24" t="s">
        <v>485</v>
      </c>
      <c r="E840" s="24">
        <v>0</v>
      </c>
      <c r="F840" s="24" t="s">
        <v>129</v>
      </c>
    </row>
    <row r="841" spans="1:6" x14ac:dyDescent="0.3">
      <c r="A841" s="24" t="s">
        <v>36</v>
      </c>
      <c r="B841" s="24" t="s">
        <v>23</v>
      </c>
      <c r="C841" s="24" t="s">
        <v>99</v>
      </c>
      <c r="D841" s="24" t="s">
        <v>486</v>
      </c>
      <c r="E841" s="24">
        <v>0</v>
      </c>
      <c r="F841" s="24" t="s">
        <v>129</v>
      </c>
    </row>
    <row r="842" spans="1:6" x14ac:dyDescent="0.3">
      <c r="A842" s="24" t="s">
        <v>36</v>
      </c>
      <c r="B842" s="24" t="s">
        <v>23</v>
      </c>
      <c r="C842" s="24" t="s">
        <v>101</v>
      </c>
      <c r="D842" s="24" t="s">
        <v>487</v>
      </c>
      <c r="E842" s="24">
        <v>0</v>
      </c>
      <c r="F842" s="24" t="s">
        <v>129</v>
      </c>
    </row>
    <row r="843" spans="1:6" x14ac:dyDescent="0.3">
      <c r="A843" s="24" t="s">
        <v>36</v>
      </c>
      <c r="B843" s="24" t="s">
        <v>23</v>
      </c>
      <c r="C843" s="24" t="s">
        <v>103</v>
      </c>
      <c r="D843" s="24" t="s">
        <v>486</v>
      </c>
      <c r="E843" s="24">
        <v>0</v>
      </c>
      <c r="F843" s="24" t="s">
        <v>129</v>
      </c>
    </row>
    <row r="844" spans="1:6" x14ac:dyDescent="0.3">
      <c r="A844" s="24" t="s">
        <v>36</v>
      </c>
      <c r="B844" s="24" t="s">
        <v>23</v>
      </c>
      <c r="C844" s="24" t="s">
        <v>105</v>
      </c>
      <c r="D844" s="24" t="s">
        <v>486</v>
      </c>
      <c r="E844" s="24">
        <v>0</v>
      </c>
      <c r="F844" s="24" t="s">
        <v>129</v>
      </c>
    </row>
    <row r="845" spans="1:6" x14ac:dyDescent="0.3">
      <c r="A845" s="24" t="s">
        <v>36</v>
      </c>
      <c r="B845" s="24" t="s">
        <v>23</v>
      </c>
      <c r="C845" s="24" t="s">
        <v>107</v>
      </c>
      <c r="D845" s="24" t="s">
        <v>485</v>
      </c>
      <c r="E845" s="24">
        <v>0</v>
      </c>
      <c r="F845" s="24" t="s">
        <v>126</v>
      </c>
    </row>
    <row r="846" spans="1:6" x14ac:dyDescent="0.3">
      <c r="A846" s="24" t="s">
        <v>36</v>
      </c>
      <c r="B846" s="24" t="s">
        <v>23</v>
      </c>
      <c r="C846" s="24" t="s">
        <v>109</v>
      </c>
      <c r="D846" s="24" t="s">
        <v>485</v>
      </c>
      <c r="E846" s="24">
        <v>1</v>
      </c>
      <c r="F846" s="24" t="s">
        <v>129</v>
      </c>
    </row>
    <row r="847" spans="1:6" x14ac:dyDescent="0.3">
      <c r="A847" s="24" t="s">
        <v>36</v>
      </c>
      <c r="B847" s="24" t="s">
        <v>23</v>
      </c>
      <c r="C847" s="24" t="s">
        <v>111</v>
      </c>
      <c r="D847" s="24" t="s">
        <v>486</v>
      </c>
      <c r="E847" s="24">
        <v>0</v>
      </c>
      <c r="F847" s="24" t="s">
        <v>129</v>
      </c>
    </row>
    <row r="848" spans="1:6" x14ac:dyDescent="0.3">
      <c r="A848" s="24" t="s">
        <v>38</v>
      </c>
      <c r="B848" s="24" t="s">
        <v>23</v>
      </c>
      <c r="C848" s="24" t="s">
        <v>77</v>
      </c>
      <c r="D848" s="24" t="s">
        <v>485</v>
      </c>
      <c r="E848" s="24">
        <v>0</v>
      </c>
      <c r="F848" s="24" t="s">
        <v>129</v>
      </c>
    </row>
    <row r="849" spans="1:6" x14ac:dyDescent="0.3">
      <c r="A849" s="24" t="s">
        <v>38</v>
      </c>
      <c r="B849" s="24" t="s">
        <v>23</v>
      </c>
      <c r="C849" s="24" t="s">
        <v>79</v>
      </c>
      <c r="D849" s="24" t="s">
        <v>485</v>
      </c>
      <c r="E849" s="24">
        <v>0</v>
      </c>
      <c r="F849" s="24" t="s">
        <v>129</v>
      </c>
    </row>
    <row r="850" spans="1:6" x14ac:dyDescent="0.3">
      <c r="A850" s="24" t="s">
        <v>38</v>
      </c>
      <c r="B850" s="24" t="s">
        <v>23</v>
      </c>
      <c r="C850" s="24" t="s">
        <v>81</v>
      </c>
      <c r="D850" s="24" t="s">
        <v>486</v>
      </c>
      <c r="E850" s="24">
        <v>1</v>
      </c>
      <c r="F850" s="24" t="s">
        <v>129</v>
      </c>
    </row>
    <row r="851" spans="1:6" x14ac:dyDescent="0.3">
      <c r="A851" s="24" t="s">
        <v>38</v>
      </c>
      <c r="B851" s="24" t="s">
        <v>23</v>
      </c>
      <c r="C851" s="24" t="s">
        <v>83</v>
      </c>
      <c r="D851" s="24" t="s">
        <v>485</v>
      </c>
      <c r="E851" s="24">
        <v>0</v>
      </c>
      <c r="F851" s="24" t="s">
        <v>129</v>
      </c>
    </row>
    <row r="852" spans="1:6" x14ac:dyDescent="0.3">
      <c r="A852" s="24" t="s">
        <v>38</v>
      </c>
      <c r="B852" s="24" t="s">
        <v>23</v>
      </c>
      <c r="C852" s="24" t="s">
        <v>85</v>
      </c>
      <c r="D852" s="24" t="s">
        <v>486</v>
      </c>
      <c r="E852" s="24">
        <v>0</v>
      </c>
      <c r="F852" s="24" t="s">
        <v>129</v>
      </c>
    </row>
    <row r="853" spans="1:6" x14ac:dyDescent="0.3">
      <c r="A853" s="24" t="s">
        <v>38</v>
      </c>
      <c r="B853" s="24" t="s">
        <v>23</v>
      </c>
      <c r="C853" s="24" t="s">
        <v>87</v>
      </c>
      <c r="D853" s="24" t="s">
        <v>485</v>
      </c>
      <c r="E853" s="24">
        <v>0</v>
      </c>
      <c r="F853" s="24" t="s">
        <v>129</v>
      </c>
    </row>
    <row r="854" spans="1:6" x14ac:dyDescent="0.3">
      <c r="A854" s="24" t="s">
        <v>38</v>
      </c>
      <c r="B854" s="24" t="s">
        <v>23</v>
      </c>
      <c r="C854" s="24" t="s">
        <v>89</v>
      </c>
      <c r="D854" s="24" t="s">
        <v>486</v>
      </c>
      <c r="E854" s="24">
        <v>0</v>
      </c>
      <c r="F854" s="24" t="s">
        <v>129</v>
      </c>
    </row>
    <row r="855" spans="1:6" x14ac:dyDescent="0.3">
      <c r="A855" s="24" t="s">
        <v>38</v>
      </c>
      <c r="B855" s="24" t="s">
        <v>23</v>
      </c>
      <c r="C855" s="24" t="s">
        <v>91</v>
      </c>
      <c r="D855" s="24" t="s">
        <v>486</v>
      </c>
      <c r="E855" s="24">
        <v>0</v>
      </c>
      <c r="F855" s="24" t="s">
        <v>129</v>
      </c>
    </row>
    <row r="856" spans="1:6" x14ac:dyDescent="0.3">
      <c r="A856" s="24" t="s">
        <v>38</v>
      </c>
      <c r="B856" s="24" t="s">
        <v>23</v>
      </c>
      <c r="C856" s="24" t="s">
        <v>93</v>
      </c>
      <c r="D856" s="24" t="s">
        <v>486</v>
      </c>
      <c r="E856" s="24">
        <v>0</v>
      </c>
      <c r="F856" s="24" t="s">
        <v>129</v>
      </c>
    </row>
    <row r="857" spans="1:6" x14ac:dyDescent="0.3">
      <c r="A857" s="24" t="s">
        <v>38</v>
      </c>
      <c r="B857" s="24" t="s">
        <v>23</v>
      </c>
      <c r="C857" s="24" t="s">
        <v>95</v>
      </c>
      <c r="D857" s="24" t="s">
        <v>486</v>
      </c>
      <c r="E857" s="24">
        <v>0</v>
      </c>
      <c r="F857" s="24" t="s">
        <v>129</v>
      </c>
    </row>
    <row r="858" spans="1:6" x14ac:dyDescent="0.3">
      <c r="A858" s="24" t="s">
        <v>38</v>
      </c>
      <c r="B858" s="24" t="s">
        <v>23</v>
      </c>
      <c r="C858" s="24" t="s">
        <v>97</v>
      </c>
      <c r="D858" s="24" t="s">
        <v>485</v>
      </c>
      <c r="E858" s="24">
        <v>0</v>
      </c>
      <c r="F858" s="24" t="s">
        <v>129</v>
      </c>
    </row>
    <row r="859" spans="1:6" x14ac:dyDescent="0.3">
      <c r="A859" s="24" t="s">
        <v>38</v>
      </c>
      <c r="B859" s="24" t="s">
        <v>23</v>
      </c>
      <c r="C859" s="24" t="s">
        <v>99</v>
      </c>
      <c r="D859" s="24" t="s">
        <v>486</v>
      </c>
      <c r="E859" s="24">
        <v>0</v>
      </c>
      <c r="F859" s="24" t="s">
        <v>129</v>
      </c>
    </row>
    <row r="860" spans="1:6" x14ac:dyDescent="0.3">
      <c r="A860" s="24" t="s">
        <v>38</v>
      </c>
      <c r="B860" s="24" t="s">
        <v>23</v>
      </c>
      <c r="C860" s="24" t="s">
        <v>101</v>
      </c>
      <c r="D860" s="24" t="s">
        <v>487</v>
      </c>
      <c r="E860" s="24">
        <v>0</v>
      </c>
      <c r="F860" s="24" t="s">
        <v>129</v>
      </c>
    </row>
    <row r="861" spans="1:6" x14ac:dyDescent="0.3">
      <c r="A861" s="24" t="s">
        <v>38</v>
      </c>
      <c r="B861" s="24" t="s">
        <v>23</v>
      </c>
      <c r="C861" s="24" t="s">
        <v>103</v>
      </c>
      <c r="D861" s="24" t="s">
        <v>486</v>
      </c>
      <c r="E861" s="24">
        <v>0</v>
      </c>
      <c r="F861" s="24" t="s">
        <v>129</v>
      </c>
    </row>
    <row r="862" spans="1:6" x14ac:dyDescent="0.3">
      <c r="A862" s="24" t="s">
        <v>38</v>
      </c>
      <c r="B862" s="24" t="s">
        <v>23</v>
      </c>
      <c r="C862" s="24" t="s">
        <v>105</v>
      </c>
      <c r="D862" s="24" t="s">
        <v>486</v>
      </c>
      <c r="E862" s="24">
        <v>1</v>
      </c>
      <c r="F862" s="24" t="s">
        <v>128</v>
      </c>
    </row>
    <row r="863" spans="1:6" x14ac:dyDescent="0.3">
      <c r="A863" s="24" t="s">
        <v>38</v>
      </c>
      <c r="B863" s="24" t="s">
        <v>23</v>
      </c>
      <c r="C863" s="24" t="s">
        <v>107</v>
      </c>
      <c r="D863" s="24" t="s">
        <v>485</v>
      </c>
      <c r="E863" s="24">
        <v>0</v>
      </c>
      <c r="F863" s="24" t="s">
        <v>129</v>
      </c>
    </row>
    <row r="864" spans="1:6" x14ac:dyDescent="0.3">
      <c r="A864" s="24" t="s">
        <v>38</v>
      </c>
      <c r="B864" s="24" t="s">
        <v>23</v>
      </c>
      <c r="C864" s="24" t="s">
        <v>109</v>
      </c>
      <c r="D864" s="24" t="s">
        <v>485</v>
      </c>
      <c r="E864" s="24">
        <v>1</v>
      </c>
      <c r="F864" s="24" t="s">
        <v>129</v>
      </c>
    </row>
    <row r="865" spans="1:6" x14ac:dyDescent="0.3">
      <c r="A865" s="24" t="s">
        <v>38</v>
      </c>
      <c r="B865" s="24" t="s">
        <v>23</v>
      </c>
      <c r="C865" s="24" t="s">
        <v>111</v>
      </c>
      <c r="D865" s="24" t="s">
        <v>486</v>
      </c>
      <c r="E865" s="24">
        <v>0</v>
      </c>
      <c r="F865" s="24" t="s">
        <v>126</v>
      </c>
    </row>
    <row r="866" spans="1:6" x14ac:dyDescent="0.3">
      <c r="A866" s="24" t="s">
        <v>40</v>
      </c>
      <c r="B866" s="24" t="s">
        <v>23</v>
      </c>
      <c r="C866" s="24" t="s">
        <v>77</v>
      </c>
      <c r="D866" s="24" t="s">
        <v>485</v>
      </c>
      <c r="E866" s="24">
        <v>1</v>
      </c>
      <c r="F866" s="24" t="s">
        <v>129</v>
      </c>
    </row>
    <row r="867" spans="1:6" x14ac:dyDescent="0.3">
      <c r="A867" s="24" t="s">
        <v>40</v>
      </c>
      <c r="B867" s="24" t="s">
        <v>23</v>
      </c>
      <c r="C867" s="24" t="s">
        <v>79</v>
      </c>
      <c r="D867" s="24" t="s">
        <v>485</v>
      </c>
      <c r="E867" s="24">
        <v>0</v>
      </c>
      <c r="F867" s="24" t="s">
        <v>129</v>
      </c>
    </row>
    <row r="868" spans="1:6" x14ac:dyDescent="0.3">
      <c r="A868" s="24" t="s">
        <v>40</v>
      </c>
      <c r="B868" s="24" t="s">
        <v>23</v>
      </c>
      <c r="C868" s="24" t="s">
        <v>81</v>
      </c>
      <c r="D868" s="24" t="s">
        <v>486</v>
      </c>
      <c r="E868" s="24">
        <v>1</v>
      </c>
      <c r="F868" s="24" t="s">
        <v>129</v>
      </c>
    </row>
    <row r="869" spans="1:6" x14ac:dyDescent="0.3">
      <c r="A869" s="24" t="s">
        <v>40</v>
      </c>
      <c r="B869" s="24" t="s">
        <v>23</v>
      </c>
      <c r="C869" s="24" t="s">
        <v>83</v>
      </c>
      <c r="D869" s="24" t="s">
        <v>485</v>
      </c>
      <c r="E869" s="24">
        <v>1</v>
      </c>
      <c r="F869" s="24" t="s">
        <v>128</v>
      </c>
    </row>
    <row r="870" spans="1:6" x14ac:dyDescent="0.3">
      <c r="A870" s="24" t="s">
        <v>40</v>
      </c>
      <c r="B870" s="24" t="s">
        <v>23</v>
      </c>
      <c r="C870" s="24" t="s">
        <v>85</v>
      </c>
      <c r="D870" s="24" t="s">
        <v>486</v>
      </c>
      <c r="E870" s="24">
        <v>0</v>
      </c>
      <c r="F870" s="24" t="s">
        <v>129</v>
      </c>
    </row>
    <row r="871" spans="1:6" x14ac:dyDescent="0.3">
      <c r="A871" s="24" t="s">
        <v>40</v>
      </c>
      <c r="B871" s="24" t="s">
        <v>23</v>
      </c>
      <c r="C871" s="24" t="s">
        <v>87</v>
      </c>
      <c r="D871" s="24" t="s">
        <v>485</v>
      </c>
      <c r="E871" s="24">
        <v>0</v>
      </c>
      <c r="F871" s="24" t="s">
        <v>129</v>
      </c>
    </row>
    <row r="872" spans="1:6" x14ac:dyDescent="0.3">
      <c r="A872" s="24" t="s">
        <v>40</v>
      </c>
      <c r="B872" s="24" t="s">
        <v>23</v>
      </c>
      <c r="C872" s="24" t="s">
        <v>89</v>
      </c>
      <c r="D872" s="24" t="s">
        <v>486</v>
      </c>
      <c r="E872" s="24">
        <v>0</v>
      </c>
      <c r="F872" s="24" t="s">
        <v>129</v>
      </c>
    </row>
    <row r="873" spans="1:6" x14ac:dyDescent="0.3">
      <c r="A873" s="24" t="s">
        <v>40</v>
      </c>
      <c r="B873" s="24" t="s">
        <v>23</v>
      </c>
      <c r="C873" s="24" t="s">
        <v>91</v>
      </c>
      <c r="D873" s="24" t="s">
        <v>486</v>
      </c>
      <c r="E873" s="24">
        <v>0</v>
      </c>
      <c r="F873" s="24" t="s">
        <v>129</v>
      </c>
    </row>
    <row r="874" spans="1:6" x14ac:dyDescent="0.3">
      <c r="A874" s="24" t="s">
        <v>40</v>
      </c>
      <c r="B874" s="24" t="s">
        <v>23</v>
      </c>
      <c r="C874" s="24" t="s">
        <v>93</v>
      </c>
      <c r="D874" s="24" t="s">
        <v>486</v>
      </c>
      <c r="E874" s="24">
        <v>0</v>
      </c>
      <c r="F874" s="24" t="s">
        <v>129</v>
      </c>
    </row>
    <row r="875" spans="1:6" x14ac:dyDescent="0.3">
      <c r="A875" s="24" t="s">
        <v>40</v>
      </c>
      <c r="B875" s="24" t="s">
        <v>23</v>
      </c>
      <c r="C875" s="24" t="s">
        <v>95</v>
      </c>
      <c r="D875" s="24" t="s">
        <v>486</v>
      </c>
      <c r="E875" s="24">
        <v>0</v>
      </c>
      <c r="F875" s="24" t="s">
        <v>129</v>
      </c>
    </row>
    <row r="876" spans="1:6" x14ac:dyDescent="0.3">
      <c r="A876" s="24" t="s">
        <v>40</v>
      </c>
      <c r="B876" s="24" t="s">
        <v>23</v>
      </c>
      <c r="C876" s="24" t="s">
        <v>97</v>
      </c>
      <c r="D876" s="24" t="s">
        <v>485</v>
      </c>
      <c r="E876" s="24">
        <v>0</v>
      </c>
      <c r="F876" s="24" t="s">
        <v>129</v>
      </c>
    </row>
    <row r="877" spans="1:6" x14ac:dyDescent="0.3">
      <c r="A877" s="24" t="s">
        <v>40</v>
      </c>
      <c r="B877" s="24" t="s">
        <v>23</v>
      </c>
      <c r="C877" s="24" t="s">
        <v>99</v>
      </c>
      <c r="D877" s="24" t="s">
        <v>486</v>
      </c>
      <c r="E877" s="24">
        <v>1</v>
      </c>
      <c r="F877" s="24" t="s">
        <v>128</v>
      </c>
    </row>
    <row r="878" spans="1:6" x14ac:dyDescent="0.3">
      <c r="A878" s="24" t="s">
        <v>40</v>
      </c>
      <c r="B878" s="24" t="s">
        <v>23</v>
      </c>
      <c r="C878" s="24" t="s">
        <v>101</v>
      </c>
      <c r="D878" s="24" t="s">
        <v>487</v>
      </c>
      <c r="E878" s="24">
        <v>0</v>
      </c>
      <c r="F878" s="24" t="s">
        <v>129</v>
      </c>
    </row>
    <row r="879" spans="1:6" x14ac:dyDescent="0.3">
      <c r="A879" s="24" t="s">
        <v>40</v>
      </c>
      <c r="B879" s="24" t="s">
        <v>23</v>
      </c>
      <c r="C879" s="24" t="s">
        <v>103</v>
      </c>
      <c r="D879" s="24" t="s">
        <v>486</v>
      </c>
      <c r="E879" s="24">
        <v>0</v>
      </c>
      <c r="F879" s="24" t="s">
        <v>129</v>
      </c>
    </row>
    <row r="880" spans="1:6" x14ac:dyDescent="0.3">
      <c r="A880" s="24" t="s">
        <v>40</v>
      </c>
      <c r="B880" s="24" t="s">
        <v>23</v>
      </c>
      <c r="C880" s="24" t="s">
        <v>105</v>
      </c>
      <c r="D880" s="24" t="s">
        <v>486</v>
      </c>
      <c r="E880" s="24">
        <v>0</v>
      </c>
      <c r="F880" s="24" t="s">
        <v>129</v>
      </c>
    </row>
    <row r="881" spans="1:6" x14ac:dyDescent="0.3">
      <c r="A881" s="24" t="s">
        <v>40</v>
      </c>
      <c r="B881" s="24" t="s">
        <v>23</v>
      </c>
      <c r="C881" s="24" t="s">
        <v>107</v>
      </c>
      <c r="D881" s="24" t="s">
        <v>485</v>
      </c>
      <c r="E881" s="24">
        <v>0</v>
      </c>
      <c r="F881" s="24" t="s">
        <v>129</v>
      </c>
    </row>
    <row r="882" spans="1:6" x14ac:dyDescent="0.3">
      <c r="A882" s="24" t="s">
        <v>40</v>
      </c>
      <c r="B882" s="24" t="s">
        <v>23</v>
      </c>
      <c r="C882" s="24" t="s">
        <v>109</v>
      </c>
      <c r="D882" s="24" t="s">
        <v>485</v>
      </c>
      <c r="E882" s="24">
        <v>1</v>
      </c>
      <c r="F882" s="24" t="s">
        <v>129</v>
      </c>
    </row>
    <row r="883" spans="1:6" x14ac:dyDescent="0.3">
      <c r="A883" s="24" t="s">
        <v>40</v>
      </c>
      <c r="B883" s="24" t="s">
        <v>23</v>
      </c>
      <c r="C883" s="24" t="s">
        <v>111</v>
      </c>
      <c r="D883" s="24" t="s">
        <v>486</v>
      </c>
      <c r="E883" s="24">
        <v>0</v>
      </c>
      <c r="F883" s="24" t="s">
        <v>126</v>
      </c>
    </row>
    <row r="884" spans="1:6" x14ac:dyDescent="0.3">
      <c r="A884" s="24" t="s">
        <v>43</v>
      </c>
      <c r="B884" s="24" t="s">
        <v>23</v>
      </c>
      <c r="C884" s="24" t="s">
        <v>77</v>
      </c>
      <c r="D884" s="24" t="s">
        <v>485</v>
      </c>
      <c r="E884" s="24">
        <v>0</v>
      </c>
      <c r="F884" s="24" t="s">
        <v>129</v>
      </c>
    </row>
    <row r="885" spans="1:6" x14ac:dyDescent="0.3">
      <c r="A885" s="24" t="s">
        <v>43</v>
      </c>
      <c r="B885" s="24" t="s">
        <v>23</v>
      </c>
      <c r="C885" s="24" t="s">
        <v>79</v>
      </c>
      <c r="D885" s="24" t="s">
        <v>485</v>
      </c>
      <c r="E885" s="24">
        <v>0</v>
      </c>
      <c r="F885" s="24" t="s">
        <v>129</v>
      </c>
    </row>
    <row r="886" spans="1:6" x14ac:dyDescent="0.3">
      <c r="A886" s="24" t="s">
        <v>43</v>
      </c>
      <c r="B886" s="24" t="s">
        <v>23</v>
      </c>
      <c r="C886" s="24" t="s">
        <v>81</v>
      </c>
      <c r="D886" s="24" t="s">
        <v>486</v>
      </c>
      <c r="E886" s="24">
        <v>0</v>
      </c>
      <c r="F886" s="24" t="s">
        <v>128</v>
      </c>
    </row>
    <row r="887" spans="1:6" x14ac:dyDescent="0.3">
      <c r="A887" s="24" t="s">
        <v>43</v>
      </c>
      <c r="B887" s="24" t="s">
        <v>23</v>
      </c>
      <c r="C887" s="24" t="s">
        <v>83</v>
      </c>
      <c r="D887" s="24" t="s">
        <v>485</v>
      </c>
      <c r="E887" s="24">
        <v>0</v>
      </c>
      <c r="F887" s="24" t="s">
        <v>129</v>
      </c>
    </row>
    <row r="888" spans="1:6" x14ac:dyDescent="0.3">
      <c r="A888" s="24" t="s">
        <v>43</v>
      </c>
      <c r="B888" s="24" t="s">
        <v>23</v>
      </c>
      <c r="C888" s="24" t="s">
        <v>85</v>
      </c>
      <c r="D888" s="24" t="s">
        <v>486</v>
      </c>
      <c r="E888" s="24">
        <v>0</v>
      </c>
      <c r="F888" s="24" t="s">
        <v>129</v>
      </c>
    </row>
    <row r="889" spans="1:6" x14ac:dyDescent="0.3">
      <c r="A889" s="24" t="s">
        <v>43</v>
      </c>
      <c r="B889" s="24" t="s">
        <v>23</v>
      </c>
      <c r="C889" s="24" t="s">
        <v>87</v>
      </c>
      <c r="D889" s="24" t="s">
        <v>485</v>
      </c>
      <c r="E889" s="24">
        <v>0</v>
      </c>
      <c r="F889" s="24" t="s">
        <v>129</v>
      </c>
    </row>
    <row r="890" spans="1:6" x14ac:dyDescent="0.3">
      <c r="A890" s="24" t="s">
        <v>43</v>
      </c>
      <c r="B890" s="24" t="s">
        <v>23</v>
      </c>
      <c r="C890" s="24" t="s">
        <v>89</v>
      </c>
      <c r="D890" s="24" t="s">
        <v>486</v>
      </c>
      <c r="E890" s="24">
        <v>0</v>
      </c>
      <c r="F890" s="24" t="s">
        <v>129</v>
      </c>
    </row>
    <row r="891" spans="1:6" x14ac:dyDescent="0.3">
      <c r="A891" s="24" t="s">
        <v>43</v>
      </c>
      <c r="B891" s="24" t="s">
        <v>23</v>
      </c>
      <c r="C891" s="24" t="s">
        <v>91</v>
      </c>
      <c r="D891" s="24" t="s">
        <v>486</v>
      </c>
      <c r="E891" s="24">
        <v>0</v>
      </c>
      <c r="F891" s="24" t="s">
        <v>129</v>
      </c>
    </row>
    <row r="892" spans="1:6" x14ac:dyDescent="0.3">
      <c r="A892" s="24" t="s">
        <v>43</v>
      </c>
      <c r="B892" s="24" t="s">
        <v>23</v>
      </c>
      <c r="C892" s="24" t="s">
        <v>93</v>
      </c>
      <c r="D892" s="24" t="s">
        <v>486</v>
      </c>
      <c r="E892" s="24">
        <v>0</v>
      </c>
      <c r="F892" s="24" t="s">
        <v>129</v>
      </c>
    </row>
    <row r="893" spans="1:6" x14ac:dyDescent="0.3">
      <c r="A893" s="24" t="s">
        <v>43</v>
      </c>
      <c r="B893" s="24" t="s">
        <v>23</v>
      </c>
      <c r="C893" s="24" t="s">
        <v>95</v>
      </c>
      <c r="D893" s="24" t="s">
        <v>486</v>
      </c>
      <c r="E893" s="24">
        <v>0</v>
      </c>
      <c r="F893" s="24" t="s">
        <v>129</v>
      </c>
    </row>
    <row r="894" spans="1:6" x14ac:dyDescent="0.3">
      <c r="A894" s="24" t="s">
        <v>43</v>
      </c>
      <c r="B894" s="24" t="s">
        <v>23</v>
      </c>
      <c r="C894" s="24" t="s">
        <v>97</v>
      </c>
      <c r="D894" s="24" t="s">
        <v>485</v>
      </c>
      <c r="E894" s="24">
        <v>0</v>
      </c>
      <c r="F894" s="24" t="s">
        <v>129</v>
      </c>
    </row>
    <row r="895" spans="1:6" x14ac:dyDescent="0.3">
      <c r="A895" s="24" t="s">
        <v>43</v>
      </c>
      <c r="B895" s="24" t="s">
        <v>23</v>
      </c>
      <c r="C895" s="24" t="s">
        <v>99</v>
      </c>
      <c r="D895" s="24" t="s">
        <v>486</v>
      </c>
      <c r="E895" s="24">
        <v>0</v>
      </c>
      <c r="F895" s="24" t="s">
        <v>129</v>
      </c>
    </row>
    <row r="896" spans="1:6" x14ac:dyDescent="0.3">
      <c r="A896" s="24" t="s">
        <v>43</v>
      </c>
      <c r="B896" s="24" t="s">
        <v>23</v>
      </c>
      <c r="C896" s="24" t="s">
        <v>101</v>
      </c>
      <c r="D896" s="24" t="s">
        <v>487</v>
      </c>
      <c r="E896" s="24">
        <v>0</v>
      </c>
      <c r="F896" s="24" t="s">
        <v>129</v>
      </c>
    </row>
    <row r="897" spans="1:6" x14ac:dyDescent="0.3">
      <c r="A897" s="24" t="s">
        <v>43</v>
      </c>
      <c r="B897" s="24" t="s">
        <v>23</v>
      </c>
      <c r="C897" s="24" t="s">
        <v>103</v>
      </c>
      <c r="D897" s="24" t="s">
        <v>486</v>
      </c>
      <c r="E897" s="24">
        <v>0</v>
      </c>
      <c r="F897" s="24" t="s">
        <v>129</v>
      </c>
    </row>
    <row r="898" spans="1:6" x14ac:dyDescent="0.3">
      <c r="A898" s="24" t="s">
        <v>43</v>
      </c>
      <c r="B898" s="24" t="s">
        <v>23</v>
      </c>
      <c r="C898" s="24" t="s">
        <v>105</v>
      </c>
      <c r="D898" s="24" t="s">
        <v>486</v>
      </c>
      <c r="E898" s="24">
        <v>0</v>
      </c>
      <c r="F898" s="24" t="s">
        <v>129</v>
      </c>
    </row>
    <row r="899" spans="1:6" x14ac:dyDescent="0.3">
      <c r="A899" s="24" t="s">
        <v>43</v>
      </c>
      <c r="B899" s="24" t="s">
        <v>23</v>
      </c>
      <c r="C899" s="24" t="s">
        <v>107</v>
      </c>
      <c r="D899" s="24" t="s">
        <v>485</v>
      </c>
      <c r="E899" s="24">
        <v>0</v>
      </c>
      <c r="F899" s="24" t="s">
        <v>128</v>
      </c>
    </row>
    <row r="900" spans="1:6" x14ac:dyDescent="0.3">
      <c r="A900" s="24" t="s">
        <v>43</v>
      </c>
      <c r="B900" s="24" t="s">
        <v>23</v>
      </c>
      <c r="C900" s="24" t="s">
        <v>109</v>
      </c>
      <c r="D900" s="24" t="s">
        <v>485</v>
      </c>
      <c r="E900" s="24">
        <v>1</v>
      </c>
      <c r="F900" s="24" t="s">
        <v>129</v>
      </c>
    </row>
    <row r="901" spans="1:6" x14ac:dyDescent="0.3">
      <c r="A901" s="24" t="s">
        <v>43</v>
      </c>
      <c r="B901" s="24" t="s">
        <v>23</v>
      </c>
      <c r="C901" s="24" t="s">
        <v>111</v>
      </c>
      <c r="D901" s="24" t="s">
        <v>486</v>
      </c>
      <c r="E901" s="24">
        <v>1</v>
      </c>
      <c r="F901" s="24" t="s">
        <v>128</v>
      </c>
    </row>
    <row r="902" spans="1:6" x14ac:dyDescent="0.3">
      <c r="A902" s="24" t="s">
        <v>45</v>
      </c>
      <c r="B902" s="24" t="s">
        <v>23</v>
      </c>
      <c r="C902" s="24" t="s">
        <v>77</v>
      </c>
      <c r="D902" s="24" t="s">
        <v>485</v>
      </c>
      <c r="E902" s="24">
        <v>0</v>
      </c>
      <c r="F902" s="24" t="s">
        <v>126</v>
      </c>
    </row>
    <row r="903" spans="1:6" x14ac:dyDescent="0.3">
      <c r="A903" s="24" t="s">
        <v>45</v>
      </c>
      <c r="B903" s="24" t="s">
        <v>23</v>
      </c>
      <c r="C903" s="24" t="s">
        <v>79</v>
      </c>
      <c r="D903" s="24" t="s">
        <v>485</v>
      </c>
      <c r="E903" s="24">
        <v>0</v>
      </c>
      <c r="F903" s="24" t="s">
        <v>129</v>
      </c>
    </row>
    <row r="904" spans="1:6" x14ac:dyDescent="0.3">
      <c r="A904" s="24" t="s">
        <v>45</v>
      </c>
      <c r="B904" s="24" t="s">
        <v>23</v>
      </c>
      <c r="C904" s="24" t="s">
        <v>81</v>
      </c>
      <c r="D904" s="24" t="s">
        <v>486</v>
      </c>
      <c r="E904" s="24">
        <v>1</v>
      </c>
      <c r="F904" s="24" t="s">
        <v>129</v>
      </c>
    </row>
    <row r="905" spans="1:6" x14ac:dyDescent="0.3">
      <c r="A905" s="24" t="s">
        <v>45</v>
      </c>
      <c r="B905" s="24" t="s">
        <v>23</v>
      </c>
      <c r="C905" s="24" t="s">
        <v>83</v>
      </c>
      <c r="D905" s="24" t="s">
        <v>485</v>
      </c>
      <c r="E905" s="24">
        <v>0</v>
      </c>
      <c r="F905" s="24" t="s">
        <v>129</v>
      </c>
    </row>
    <row r="906" spans="1:6" x14ac:dyDescent="0.3">
      <c r="A906" s="24" t="s">
        <v>45</v>
      </c>
      <c r="B906" s="24" t="s">
        <v>23</v>
      </c>
      <c r="C906" s="24" t="s">
        <v>85</v>
      </c>
      <c r="D906" s="24" t="s">
        <v>486</v>
      </c>
      <c r="E906" s="24">
        <v>0</v>
      </c>
      <c r="F906" s="24" t="s">
        <v>129</v>
      </c>
    </row>
    <row r="907" spans="1:6" x14ac:dyDescent="0.3">
      <c r="A907" s="24" t="s">
        <v>45</v>
      </c>
      <c r="B907" s="24" t="s">
        <v>23</v>
      </c>
      <c r="C907" s="24" t="s">
        <v>87</v>
      </c>
      <c r="D907" s="24" t="s">
        <v>485</v>
      </c>
      <c r="E907" s="24">
        <v>0</v>
      </c>
      <c r="F907" s="24" t="s">
        <v>126</v>
      </c>
    </row>
    <row r="908" spans="1:6" x14ac:dyDescent="0.3">
      <c r="A908" s="24" t="s">
        <v>45</v>
      </c>
      <c r="B908" s="24" t="s">
        <v>23</v>
      </c>
      <c r="C908" s="24" t="s">
        <v>89</v>
      </c>
      <c r="D908" s="24" t="s">
        <v>486</v>
      </c>
      <c r="E908" s="24">
        <v>0</v>
      </c>
      <c r="F908" s="24" t="s">
        <v>129</v>
      </c>
    </row>
    <row r="909" spans="1:6" x14ac:dyDescent="0.3">
      <c r="A909" s="24" t="s">
        <v>45</v>
      </c>
      <c r="B909" s="24" t="s">
        <v>23</v>
      </c>
      <c r="C909" s="24" t="s">
        <v>91</v>
      </c>
      <c r="D909" s="24" t="s">
        <v>486</v>
      </c>
      <c r="E909" s="24">
        <v>0</v>
      </c>
      <c r="F909" s="24" t="s">
        <v>129</v>
      </c>
    </row>
    <row r="910" spans="1:6" x14ac:dyDescent="0.3">
      <c r="A910" s="24" t="s">
        <v>45</v>
      </c>
      <c r="B910" s="24" t="s">
        <v>23</v>
      </c>
      <c r="C910" s="24" t="s">
        <v>93</v>
      </c>
      <c r="D910" s="24" t="s">
        <v>486</v>
      </c>
      <c r="E910" s="24">
        <v>0</v>
      </c>
      <c r="F910" s="24" t="s">
        <v>129</v>
      </c>
    </row>
    <row r="911" spans="1:6" x14ac:dyDescent="0.3">
      <c r="A911" s="24" t="s">
        <v>45</v>
      </c>
      <c r="B911" s="24" t="s">
        <v>23</v>
      </c>
      <c r="C911" s="24" t="s">
        <v>95</v>
      </c>
      <c r="D911" s="24" t="s">
        <v>486</v>
      </c>
      <c r="E911" s="24">
        <v>0</v>
      </c>
      <c r="F911" s="24" t="s">
        <v>129</v>
      </c>
    </row>
    <row r="912" spans="1:6" x14ac:dyDescent="0.3">
      <c r="A912" s="24" t="s">
        <v>45</v>
      </c>
      <c r="B912" s="24" t="s">
        <v>23</v>
      </c>
      <c r="C912" s="24" t="s">
        <v>97</v>
      </c>
      <c r="D912" s="24" t="s">
        <v>485</v>
      </c>
      <c r="E912" s="24">
        <v>0</v>
      </c>
      <c r="F912" s="24" t="s">
        <v>129</v>
      </c>
    </row>
    <row r="913" spans="1:6" x14ac:dyDescent="0.3">
      <c r="A913" s="24" t="s">
        <v>45</v>
      </c>
      <c r="B913" s="24" t="s">
        <v>23</v>
      </c>
      <c r="C913" s="24" t="s">
        <v>99</v>
      </c>
      <c r="D913" s="24" t="s">
        <v>486</v>
      </c>
      <c r="E913" s="24">
        <v>0</v>
      </c>
      <c r="F913" s="24" t="s">
        <v>129</v>
      </c>
    </row>
    <row r="914" spans="1:6" x14ac:dyDescent="0.3">
      <c r="A914" s="24" t="s">
        <v>45</v>
      </c>
      <c r="B914" s="24" t="s">
        <v>23</v>
      </c>
      <c r="C914" s="24" t="s">
        <v>101</v>
      </c>
      <c r="D914" s="24" t="s">
        <v>487</v>
      </c>
      <c r="E914" s="24">
        <v>0</v>
      </c>
      <c r="F914" s="24" t="s">
        <v>129</v>
      </c>
    </row>
    <row r="915" spans="1:6" x14ac:dyDescent="0.3">
      <c r="A915" s="24" t="s">
        <v>45</v>
      </c>
      <c r="B915" s="24" t="s">
        <v>23</v>
      </c>
      <c r="C915" s="24" t="s">
        <v>103</v>
      </c>
      <c r="D915" s="24" t="s">
        <v>486</v>
      </c>
      <c r="E915" s="24">
        <v>0</v>
      </c>
      <c r="F915" s="24" t="s">
        <v>129</v>
      </c>
    </row>
    <row r="916" spans="1:6" x14ac:dyDescent="0.3">
      <c r="A916" s="24" t="s">
        <v>45</v>
      </c>
      <c r="B916" s="24" t="s">
        <v>23</v>
      </c>
      <c r="C916" s="24" t="s">
        <v>105</v>
      </c>
      <c r="D916" s="24" t="s">
        <v>486</v>
      </c>
      <c r="E916" s="24">
        <v>0</v>
      </c>
      <c r="F916" s="24" t="s">
        <v>129</v>
      </c>
    </row>
    <row r="917" spans="1:6" x14ac:dyDescent="0.3">
      <c r="A917" s="24" t="s">
        <v>45</v>
      </c>
      <c r="B917" s="24" t="s">
        <v>23</v>
      </c>
      <c r="C917" s="24" t="s">
        <v>107</v>
      </c>
      <c r="D917" s="24" t="s">
        <v>485</v>
      </c>
      <c r="E917" s="24">
        <v>0</v>
      </c>
      <c r="F917" s="24" t="s">
        <v>129</v>
      </c>
    </row>
    <row r="918" spans="1:6" x14ac:dyDescent="0.3">
      <c r="A918" s="24" t="s">
        <v>45</v>
      </c>
      <c r="B918" s="24" t="s">
        <v>23</v>
      </c>
      <c r="C918" s="24" t="s">
        <v>109</v>
      </c>
      <c r="D918" s="24" t="s">
        <v>485</v>
      </c>
      <c r="E918" s="24">
        <v>0</v>
      </c>
      <c r="F918" s="24" t="s">
        <v>129</v>
      </c>
    </row>
    <row r="919" spans="1:6" x14ac:dyDescent="0.3">
      <c r="A919" s="24" t="s">
        <v>45</v>
      </c>
      <c r="B919" s="24" t="s">
        <v>23</v>
      </c>
      <c r="C919" s="24" t="s">
        <v>111</v>
      </c>
      <c r="D919" s="24" t="s">
        <v>486</v>
      </c>
      <c r="E919" s="24">
        <v>0</v>
      </c>
      <c r="F919" s="24" t="s">
        <v>129</v>
      </c>
    </row>
    <row r="920" spans="1:6" x14ac:dyDescent="0.3">
      <c r="A920" s="24" t="s">
        <v>63</v>
      </c>
      <c r="B920" s="24" t="s">
        <v>23</v>
      </c>
      <c r="C920" s="24" t="s">
        <v>77</v>
      </c>
      <c r="D920" s="24" t="s">
        <v>485</v>
      </c>
      <c r="E920" s="24">
        <v>0</v>
      </c>
      <c r="F920" s="24" t="s">
        <v>129</v>
      </c>
    </row>
    <row r="921" spans="1:6" x14ac:dyDescent="0.3">
      <c r="A921" s="24" t="s">
        <v>63</v>
      </c>
      <c r="B921" s="24" t="s">
        <v>23</v>
      </c>
      <c r="C921" s="24" t="s">
        <v>79</v>
      </c>
      <c r="D921" s="24" t="s">
        <v>485</v>
      </c>
      <c r="E921" s="24">
        <v>0</v>
      </c>
      <c r="F921" s="24" t="s">
        <v>129</v>
      </c>
    </row>
    <row r="922" spans="1:6" x14ac:dyDescent="0.3">
      <c r="A922" s="24" t="s">
        <v>63</v>
      </c>
      <c r="B922" s="24" t="s">
        <v>23</v>
      </c>
      <c r="C922" s="24" t="s">
        <v>81</v>
      </c>
      <c r="D922" s="24" t="s">
        <v>486</v>
      </c>
      <c r="E922" s="24">
        <v>1</v>
      </c>
      <c r="F922" s="24" t="s">
        <v>129</v>
      </c>
    </row>
    <row r="923" spans="1:6" x14ac:dyDescent="0.3">
      <c r="A923" s="24" t="s">
        <v>63</v>
      </c>
      <c r="B923" s="24" t="s">
        <v>23</v>
      </c>
      <c r="C923" s="24" t="s">
        <v>83</v>
      </c>
      <c r="D923" s="24" t="s">
        <v>485</v>
      </c>
      <c r="E923" s="24">
        <v>0</v>
      </c>
      <c r="F923" s="24" t="s">
        <v>129</v>
      </c>
    </row>
    <row r="924" spans="1:6" x14ac:dyDescent="0.3">
      <c r="A924" s="24" t="s">
        <v>63</v>
      </c>
      <c r="B924" s="24" t="s">
        <v>23</v>
      </c>
      <c r="C924" s="24" t="s">
        <v>85</v>
      </c>
      <c r="D924" s="24" t="s">
        <v>486</v>
      </c>
      <c r="E924" s="24">
        <v>0</v>
      </c>
      <c r="F924" s="24" t="s">
        <v>129</v>
      </c>
    </row>
    <row r="925" spans="1:6" x14ac:dyDescent="0.3">
      <c r="A925" s="24" t="s">
        <v>63</v>
      </c>
      <c r="B925" s="24" t="s">
        <v>23</v>
      </c>
      <c r="C925" s="24" t="s">
        <v>87</v>
      </c>
      <c r="D925" s="24" t="s">
        <v>485</v>
      </c>
      <c r="E925" s="24">
        <v>0</v>
      </c>
      <c r="F925" s="24" t="s">
        <v>129</v>
      </c>
    </row>
    <row r="926" spans="1:6" x14ac:dyDescent="0.3">
      <c r="A926" s="24" t="s">
        <v>63</v>
      </c>
      <c r="B926" s="24" t="s">
        <v>23</v>
      </c>
      <c r="C926" s="24" t="s">
        <v>89</v>
      </c>
      <c r="D926" s="24" t="s">
        <v>486</v>
      </c>
      <c r="E926" s="24">
        <v>0</v>
      </c>
      <c r="F926" s="24" t="s">
        <v>129</v>
      </c>
    </row>
    <row r="927" spans="1:6" x14ac:dyDescent="0.3">
      <c r="A927" s="24" t="s">
        <v>63</v>
      </c>
      <c r="B927" s="24" t="s">
        <v>23</v>
      </c>
      <c r="C927" s="24" t="s">
        <v>91</v>
      </c>
      <c r="D927" s="24" t="s">
        <v>486</v>
      </c>
      <c r="E927" s="24">
        <v>0</v>
      </c>
      <c r="F927" s="24" t="s">
        <v>129</v>
      </c>
    </row>
    <row r="928" spans="1:6" x14ac:dyDescent="0.3">
      <c r="A928" s="24" t="s">
        <v>63</v>
      </c>
      <c r="B928" s="24" t="s">
        <v>23</v>
      </c>
      <c r="C928" s="24" t="s">
        <v>93</v>
      </c>
      <c r="D928" s="24" t="s">
        <v>486</v>
      </c>
      <c r="E928" s="24">
        <v>0</v>
      </c>
      <c r="F928" s="24" t="s">
        <v>129</v>
      </c>
    </row>
    <row r="929" spans="1:6" x14ac:dyDescent="0.3">
      <c r="A929" s="24" t="s">
        <v>63</v>
      </c>
      <c r="B929" s="24" t="s">
        <v>23</v>
      </c>
      <c r="C929" s="24" t="s">
        <v>95</v>
      </c>
      <c r="D929" s="24" t="s">
        <v>486</v>
      </c>
      <c r="E929" s="24">
        <v>0</v>
      </c>
      <c r="F929" s="24" t="s">
        <v>129</v>
      </c>
    </row>
    <row r="930" spans="1:6" x14ac:dyDescent="0.3">
      <c r="A930" s="24" t="s">
        <v>63</v>
      </c>
      <c r="B930" s="24" t="s">
        <v>23</v>
      </c>
      <c r="C930" s="24" t="s">
        <v>97</v>
      </c>
      <c r="D930" s="24" t="s">
        <v>485</v>
      </c>
      <c r="E930" s="24">
        <v>0</v>
      </c>
      <c r="F930" s="24" t="s">
        <v>129</v>
      </c>
    </row>
    <row r="931" spans="1:6" x14ac:dyDescent="0.3">
      <c r="A931" s="24" t="s">
        <v>63</v>
      </c>
      <c r="B931" s="24" t="s">
        <v>23</v>
      </c>
      <c r="C931" s="24" t="s">
        <v>99</v>
      </c>
      <c r="D931" s="24" t="s">
        <v>486</v>
      </c>
      <c r="E931" s="24">
        <v>0</v>
      </c>
      <c r="F931" s="24" t="s">
        <v>129</v>
      </c>
    </row>
    <row r="932" spans="1:6" x14ac:dyDescent="0.3">
      <c r="A932" s="24" t="s">
        <v>63</v>
      </c>
      <c r="B932" s="24" t="s">
        <v>23</v>
      </c>
      <c r="C932" s="24" t="s">
        <v>101</v>
      </c>
      <c r="D932" s="24" t="s">
        <v>487</v>
      </c>
      <c r="E932" s="24">
        <v>0</v>
      </c>
      <c r="F932" s="24" t="s">
        <v>129</v>
      </c>
    </row>
    <row r="933" spans="1:6" x14ac:dyDescent="0.3">
      <c r="A933" s="24" t="s">
        <v>63</v>
      </c>
      <c r="B933" s="24" t="s">
        <v>23</v>
      </c>
      <c r="C933" s="24" t="s">
        <v>103</v>
      </c>
      <c r="D933" s="24" t="s">
        <v>486</v>
      </c>
      <c r="E933" s="24">
        <v>0</v>
      </c>
      <c r="F933" s="24" t="s">
        <v>129</v>
      </c>
    </row>
    <row r="934" spans="1:6" x14ac:dyDescent="0.3">
      <c r="A934" s="24" t="s">
        <v>63</v>
      </c>
      <c r="B934" s="24" t="s">
        <v>23</v>
      </c>
      <c r="C934" s="24" t="s">
        <v>105</v>
      </c>
      <c r="D934" s="24" t="s">
        <v>486</v>
      </c>
      <c r="E934" s="24">
        <v>0</v>
      </c>
      <c r="F934" s="24" t="s">
        <v>129</v>
      </c>
    </row>
    <row r="935" spans="1:6" x14ac:dyDescent="0.3">
      <c r="A935" s="24" t="s">
        <v>63</v>
      </c>
      <c r="B935" s="24" t="s">
        <v>23</v>
      </c>
      <c r="C935" s="24" t="s">
        <v>107</v>
      </c>
      <c r="D935" s="24" t="s">
        <v>485</v>
      </c>
      <c r="E935" s="24">
        <v>0</v>
      </c>
      <c r="F935" s="24" t="s">
        <v>129</v>
      </c>
    </row>
    <row r="936" spans="1:6" x14ac:dyDescent="0.3">
      <c r="A936" s="24" t="s">
        <v>63</v>
      </c>
      <c r="B936" s="24" t="s">
        <v>23</v>
      </c>
      <c r="C936" s="24" t="s">
        <v>109</v>
      </c>
      <c r="D936" s="24" t="s">
        <v>485</v>
      </c>
      <c r="E936" s="24">
        <v>0</v>
      </c>
      <c r="F936" s="24" t="s">
        <v>129</v>
      </c>
    </row>
    <row r="937" spans="1:6" x14ac:dyDescent="0.3">
      <c r="A937" s="24" t="s">
        <v>63</v>
      </c>
      <c r="B937" s="24" t="s">
        <v>23</v>
      </c>
      <c r="C937" s="24" t="s">
        <v>111</v>
      </c>
      <c r="D937" s="24" t="s">
        <v>486</v>
      </c>
      <c r="E937" s="24">
        <v>0</v>
      </c>
      <c r="F937" s="24" t="s">
        <v>129</v>
      </c>
    </row>
    <row r="938" spans="1:6" x14ac:dyDescent="0.3">
      <c r="A938" s="24" t="s">
        <v>47</v>
      </c>
      <c r="B938" s="24" t="s">
        <v>23</v>
      </c>
      <c r="C938" s="24" t="s">
        <v>77</v>
      </c>
      <c r="D938" s="24" t="s">
        <v>485</v>
      </c>
      <c r="E938" s="24">
        <v>0</v>
      </c>
      <c r="F938" s="24" t="s">
        <v>129</v>
      </c>
    </row>
    <row r="939" spans="1:6" x14ac:dyDescent="0.3">
      <c r="A939" s="24" t="s">
        <v>47</v>
      </c>
      <c r="B939" s="24" t="s">
        <v>23</v>
      </c>
      <c r="C939" s="24" t="s">
        <v>79</v>
      </c>
      <c r="D939" s="24" t="s">
        <v>485</v>
      </c>
      <c r="E939" s="24">
        <v>0</v>
      </c>
      <c r="F939" s="24" t="s">
        <v>129</v>
      </c>
    </row>
    <row r="940" spans="1:6" x14ac:dyDescent="0.3">
      <c r="A940" s="24" t="s">
        <v>47</v>
      </c>
      <c r="B940" s="24" t="s">
        <v>23</v>
      </c>
      <c r="C940" s="24" t="s">
        <v>81</v>
      </c>
      <c r="D940" s="24" t="s">
        <v>486</v>
      </c>
      <c r="E940" s="24">
        <v>1</v>
      </c>
      <c r="F940" s="24" t="s">
        <v>129</v>
      </c>
    </row>
    <row r="941" spans="1:6" x14ac:dyDescent="0.3">
      <c r="A941" s="24" t="s">
        <v>47</v>
      </c>
      <c r="B941" s="24" t="s">
        <v>23</v>
      </c>
      <c r="C941" s="24" t="s">
        <v>83</v>
      </c>
      <c r="D941" s="24" t="s">
        <v>485</v>
      </c>
      <c r="E941" s="24">
        <v>0</v>
      </c>
      <c r="F941" s="24" t="s">
        <v>129</v>
      </c>
    </row>
    <row r="942" spans="1:6" x14ac:dyDescent="0.3">
      <c r="A942" s="24" t="s">
        <v>47</v>
      </c>
      <c r="B942" s="24" t="s">
        <v>23</v>
      </c>
      <c r="C942" s="24" t="s">
        <v>85</v>
      </c>
      <c r="D942" s="24" t="s">
        <v>486</v>
      </c>
      <c r="E942" s="24">
        <v>0</v>
      </c>
      <c r="F942" s="24" t="s">
        <v>129</v>
      </c>
    </row>
    <row r="943" spans="1:6" x14ac:dyDescent="0.3">
      <c r="A943" s="24" t="s">
        <v>47</v>
      </c>
      <c r="B943" s="24" t="s">
        <v>23</v>
      </c>
      <c r="C943" s="24" t="s">
        <v>87</v>
      </c>
      <c r="D943" s="24" t="s">
        <v>485</v>
      </c>
      <c r="E943" s="24">
        <v>0</v>
      </c>
      <c r="F943" s="24" t="s">
        <v>129</v>
      </c>
    </row>
    <row r="944" spans="1:6" x14ac:dyDescent="0.3">
      <c r="A944" s="24" t="s">
        <v>47</v>
      </c>
      <c r="B944" s="24" t="s">
        <v>23</v>
      </c>
      <c r="C944" s="24" t="s">
        <v>89</v>
      </c>
      <c r="D944" s="24" t="s">
        <v>486</v>
      </c>
      <c r="E944" s="24">
        <v>0</v>
      </c>
      <c r="F944" s="24" t="s">
        <v>129</v>
      </c>
    </row>
    <row r="945" spans="1:6" x14ac:dyDescent="0.3">
      <c r="A945" s="24" t="s">
        <v>47</v>
      </c>
      <c r="B945" s="24" t="s">
        <v>23</v>
      </c>
      <c r="C945" s="24" t="s">
        <v>91</v>
      </c>
      <c r="D945" s="24" t="s">
        <v>486</v>
      </c>
      <c r="E945" s="24">
        <v>0</v>
      </c>
      <c r="F945" s="24" t="s">
        <v>129</v>
      </c>
    </row>
    <row r="946" spans="1:6" x14ac:dyDescent="0.3">
      <c r="A946" s="24" t="s">
        <v>47</v>
      </c>
      <c r="B946" s="24" t="s">
        <v>23</v>
      </c>
      <c r="C946" s="24" t="s">
        <v>93</v>
      </c>
      <c r="D946" s="24" t="s">
        <v>486</v>
      </c>
      <c r="E946" s="24">
        <v>0</v>
      </c>
      <c r="F946" s="24" t="s">
        <v>129</v>
      </c>
    </row>
    <row r="947" spans="1:6" x14ac:dyDescent="0.3">
      <c r="A947" s="24" t="s">
        <v>47</v>
      </c>
      <c r="B947" s="24" t="s">
        <v>23</v>
      </c>
      <c r="C947" s="24" t="s">
        <v>95</v>
      </c>
      <c r="D947" s="24" t="s">
        <v>486</v>
      </c>
      <c r="E947" s="24">
        <v>0</v>
      </c>
      <c r="F947" s="24" t="s">
        <v>129</v>
      </c>
    </row>
    <row r="948" spans="1:6" x14ac:dyDescent="0.3">
      <c r="A948" s="24" t="s">
        <v>47</v>
      </c>
      <c r="B948" s="24" t="s">
        <v>23</v>
      </c>
      <c r="C948" s="24" t="s">
        <v>97</v>
      </c>
      <c r="D948" s="24" t="s">
        <v>485</v>
      </c>
      <c r="E948" s="24">
        <v>0</v>
      </c>
      <c r="F948" s="24" t="s">
        <v>129</v>
      </c>
    </row>
    <row r="949" spans="1:6" x14ac:dyDescent="0.3">
      <c r="A949" s="24" t="s">
        <v>47</v>
      </c>
      <c r="B949" s="24" t="s">
        <v>23</v>
      </c>
      <c r="C949" s="24" t="s">
        <v>99</v>
      </c>
      <c r="D949" s="24" t="s">
        <v>486</v>
      </c>
      <c r="E949" s="24">
        <v>0</v>
      </c>
      <c r="F949" s="24" t="s">
        <v>129</v>
      </c>
    </row>
    <row r="950" spans="1:6" x14ac:dyDescent="0.3">
      <c r="A950" s="24" t="s">
        <v>47</v>
      </c>
      <c r="B950" s="24" t="s">
        <v>23</v>
      </c>
      <c r="C950" s="24" t="s">
        <v>101</v>
      </c>
      <c r="D950" s="24" t="s">
        <v>487</v>
      </c>
      <c r="E950" s="24">
        <v>0</v>
      </c>
      <c r="F950" s="24" t="s">
        <v>129</v>
      </c>
    </row>
    <row r="951" spans="1:6" x14ac:dyDescent="0.3">
      <c r="A951" s="24" t="s">
        <v>47</v>
      </c>
      <c r="B951" s="24" t="s">
        <v>23</v>
      </c>
      <c r="C951" s="24" t="s">
        <v>103</v>
      </c>
      <c r="D951" s="24" t="s">
        <v>486</v>
      </c>
      <c r="E951" s="24">
        <v>0</v>
      </c>
      <c r="F951" s="24" t="s">
        <v>129</v>
      </c>
    </row>
    <row r="952" spans="1:6" x14ac:dyDescent="0.3">
      <c r="A952" s="24" t="s">
        <v>47</v>
      </c>
      <c r="B952" s="24" t="s">
        <v>23</v>
      </c>
      <c r="C952" s="24" t="s">
        <v>105</v>
      </c>
      <c r="D952" s="24" t="s">
        <v>486</v>
      </c>
      <c r="E952" s="24">
        <v>0</v>
      </c>
      <c r="F952" s="24" t="s">
        <v>129</v>
      </c>
    </row>
    <row r="953" spans="1:6" x14ac:dyDescent="0.3">
      <c r="A953" s="24" t="s">
        <v>47</v>
      </c>
      <c r="B953" s="24" t="s">
        <v>23</v>
      </c>
      <c r="C953" s="24" t="s">
        <v>107</v>
      </c>
      <c r="D953" s="24" t="s">
        <v>485</v>
      </c>
      <c r="E953" s="24">
        <v>0</v>
      </c>
      <c r="F953" s="24" t="s">
        <v>129</v>
      </c>
    </row>
    <row r="954" spans="1:6" x14ac:dyDescent="0.3">
      <c r="A954" s="24" t="s">
        <v>47</v>
      </c>
      <c r="B954" s="24" t="s">
        <v>23</v>
      </c>
      <c r="C954" s="24" t="s">
        <v>109</v>
      </c>
      <c r="D954" s="24" t="s">
        <v>485</v>
      </c>
      <c r="E954" s="24">
        <v>1</v>
      </c>
      <c r="F954" s="24" t="s">
        <v>129</v>
      </c>
    </row>
    <row r="955" spans="1:6" x14ac:dyDescent="0.3">
      <c r="A955" s="24" t="s">
        <v>47</v>
      </c>
      <c r="B955" s="24" t="s">
        <v>23</v>
      </c>
      <c r="C955" s="24" t="s">
        <v>111</v>
      </c>
      <c r="D955" s="24" t="s">
        <v>486</v>
      </c>
      <c r="E955" s="24">
        <v>0</v>
      </c>
      <c r="F955" s="24" t="s">
        <v>129</v>
      </c>
    </row>
    <row r="956" spans="1:6" x14ac:dyDescent="0.3">
      <c r="A956" s="24" t="s">
        <v>49</v>
      </c>
      <c r="B956" s="24" t="s">
        <v>23</v>
      </c>
      <c r="C956" s="24" t="s">
        <v>77</v>
      </c>
      <c r="D956" s="24" t="s">
        <v>485</v>
      </c>
      <c r="E956" s="24">
        <v>0</v>
      </c>
      <c r="F956" s="24" t="s">
        <v>126</v>
      </c>
    </row>
    <row r="957" spans="1:6" x14ac:dyDescent="0.3">
      <c r="A957" s="24" t="s">
        <v>49</v>
      </c>
      <c r="B957" s="24" t="s">
        <v>23</v>
      </c>
      <c r="C957" s="24" t="s">
        <v>79</v>
      </c>
      <c r="D957" s="24" t="s">
        <v>485</v>
      </c>
      <c r="E957" s="24">
        <v>0</v>
      </c>
      <c r="F957" s="24" t="s">
        <v>129</v>
      </c>
    </row>
    <row r="958" spans="1:6" x14ac:dyDescent="0.3">
      <c r="A958" s="24" t="s">
        <v>49</v>
      </c>
      <c r="B958" s="24" t="s">
        <v>23</v>
      </c>
      <c r="C958" s="24" t="s">
        <v>81</v>
      </c>
      <c r="D958" s="24" t="s">
        <v>486</v>
      </c>
      <c r="E958" s="24">
        <v>0</v>
      </c>
      <c r="F958" s="24" t="s">
        <v>128</v>
      </c>
    </row>
    <row r="959" spans="1:6" x14ac:dyDescent="0.3">
      <c r="A959" s="24" t="s">
        <v>49</v>
      </c>
      <c r="B959" s="24" t="s">
        <v>23</v>
      </c>
      <c r="C959" s="24" t="s">
        <v>83</v>
      </c>
      <c r="D959" s="24" t="s">
        <v>485</v>
      </c>
      <c r="E959" s="24">
        <v>0</v>
      </c>
      <c r="F959" s="24" t="s">
        <v>126</v>
      </c>
    </row>
    <row r="960" spans="1:6" x14ac:dyDescent="0.3">
      <c r="A960" s="24" t="s">
        <v>49</v>
      </c>
      <c r="B960" s="24" t="s">
        <v>23</v>
      </c>
      <c r="C960" s="24" t="s">
        <v>85</v>
      </c>
      <c r="D960" s="24" t="s">
        <v>486</v>
      </c>
      <c r="E960" s="24">
        <v>0</v>
      </c>
      <c r="F960" s="24" t="s">
        <v>129</v>
      </c>
    </row>
    <row r="961" spans="1:6" x14ac:dyDescent="0.3">
      <c r="A961" s="24" t="s">
        <v>49</v>
      </c>
      <c r="B961" s="24" t="s">
        <v>23</v>
      </c>
      <c r="C961" s="24" t="s">
        <v>87</v>
      </c>
      <c r="D961" s="24" t="s">
        <v>485</v>
      </c>
      <c r="E961" s="24">
        <v>0</v>
      </c>
      <c r="F961" s="24" t="s">
        <v>129</v>
      </c>
    </row>
    <row r="962" spans="1:6" x14ac:dyDescent="0.3">
      <c r="A962" s="24" t="s">
        <v>49</v>
      </c>
      <c r="B962" s="24" t="s">
        <v>23</v>
      </c>
      <c r="C962" s="24" t="s">
        <v>89</v>
      </c>
      <c r="D962" s="24" t="s">
        <v>486</v>
      </c>
      <c r="E962" s="24">
        <v>0</v>
      </c>
      <c r="F962" s="24" t="s">
        <v>129</v>
      </c>
    </row>
    <row r="963" spans="1:6" x14ac:dyDescent="0.3">
      <c r="A963" s="24" t="s">
        <v>49</v>
      </c>
      <c r="B963" s="24" t="s">
        <v>23</v>
      </c>
      <c r="C963" s="24" t="s">
        <v>91</v>
      </c>
      <c r="D963" s="24" t="s">
        <v>486</v>
      </c>
      <c r="E963" s="24">
        <v>0</v>
      </c>
      <c r="F963" s="24" t="s">
        <v>129</v>
      </c>
    </row>
    <row r="964" spans="1:6" x14ac:dyDescent="0.3">
      <c r="A964" s="24" t="s">
        <v>49</v>
      </c>
      <c r="B964" s="24" t="s">
        <v>23</v>
      </c>
      <c r="C964" s="24" t="s">
        <v>93</v>
      </c>
      <c r="D964" s="24" t="s">
        <v>486</v>
      </c>
      <c r="E964" s="24">
        <v>0</v>
      </c>
      <c r="F964" s="24" t="s">
        <v>129</v>
      </c>
    </row>
    <row r="965" spans="1:6" x14ac:dyDescent="0.3">
      <c r="A965" s="24" t="s">
        <v>49</v>
      </c>
      <c r="B965" s="24" t="s">
        <v>23</v>
      </c>
      <c r="C965" s="24" t="s">
        <v>95</v>
      </c>
      <c r="D965" s="24" t="s">
        <v>486</v>
      </c>
      <c r="E965" s="24">
        <v>0</v>
      </c>
      <c r="F965" s="24" t="s">
        <v>129</v>
      </c>
    </row>
    <row r="966" spans="1:6" x14ac:dyDescent="0.3">
      <c r="A966" s="24" t="s">
        <v>49</v>
      </c>
      <c r="B966" s="24" t="s">
        <v>23</v>
      </c>
      <c r="C966" s="24" t="s">
        <v>97</v>
      </c>
      <c r="D966" s="24" t="s">
        <v>485</v>
      </c>
      <c r="E966" s="24">
        <v>0</v>
      </c>
      <c r="F966" s="24" t="s">
        <v>129</v>
      </c>
    </row>
    <row r="967" spans="1:6" x14ac:dyDescent="0.3">
      <c r="A967" s="24" t="s">
        <v>49</v>
      </c>
      <c r="B967" s="24" t="s">
        <v>23</v>
      </c>
      <c r="C967" s="24" t="s">
        <v>99</v>
      </c>
      <c r="D967" s="24" t="s">
        <v>486</v>
      </c>
      <c r="E967" s="24">
        <v>0</v>
      </c>
      <c r="F967" s="24" t="s">
        <v>129</v>
      </c>
    </row>
    <row r="968" spans="1:6" x14ac:dyDescent="0.3">
      <c r="A968" s="24" t="s">
        <v>49</v>
      </c>
      <c r="B968" s="24" t="s">
        <v>23</v>
      </c>
      <c r="C968" s="24" t="s">
        <v>101</v>
      </c>
      <c r="D968" s="24" t="s">
        <v>487</v>
      </c>
      <c r="E968" s="24">
        <v>0</v>
      </c>
      <c r="F968" s="24" t="s">
        <v>128</v>
      </c>
    </row>
    <row r="969" spans="1:6" x14ac:dyDescent="0.3">
      <c r="A969" s="24" t="s">
        <v>49</v>
      </c>
      <c r="B969" s="24" t="s">
        <v>23</v>
      </c>
      <c r="C969" s="24" t="s">
        <v>103</v>
      </c>
      <c r="D969" s="24" t="s">
        <v>486</v>
      </c>
      <c r="E969" s="24">
        <v>0</v>
      </c>
      <c r="F969" s="24" t="s">
        <v>129</v>
      </c>
    </row>
    <row r="970" spans="1:6" x14ac:dyDescent="0.3">
      <c r="A970" s="24" t="s">
        <v>49</v>
      </c>
      <c r="B970" s="24" t="s">
        <v>23</v>
      </c>
      <c r="C970" s="24" t="s">
        <v>105</v>
      </c>
      <c r="D970" s="24" t="s">
        <v>486</v>
      </c>
      <c r="E970" s="24">
        <v>0</v>
      </c>
      <c r="F970" s="24" t="s">
        <v>129</v>
      </c>
    </row>
    <row r="971" spans="1:6" x14ac:dyDescent="0.3">
      <c r="A971" s="24" t="s">
        <v>49</v>
      </c>
      <c r="B971" s="24" t="s">
        <v>23</v>
      </c>
      <c r="C971" s="24" t="s">
        <v>107</v>
      </c>
      <c r="D971" s="24" t="s">
        <v>485</v>
      </c>
      <c r="E971" s="24">
        <v>0</v>
      </c>
      <c r="F971" s="24" t="s">
        <v>129</v>
      </c>
    </row>
    <row r="972" spans="1:6" x14ac:dyDescent="0.3">
      <c r="A972" s="24" t="s">
        <v>49</v>
      </c>
      <c r="B972" s="24" t="s">
        <v>23</v>
      </c>
      <c r="C972" s="24" t="s">
        <v>109</v>
      </c>
      <c r="D972" s="24" t="s">
        <v>485</v>
      </c>
      <c r="E972" s="24">
        <v>1</v>
      </c>
      <c r="F972" s="24" t="s">
        <v>129</v>
      </c>
    </row>
    <row r="973" spans="1:6" x14ac:dyDescent="0.3">
      <c r="A973" s="24" t="s">
        <v>49</v>
      </c>
      <c r="B973" s="24" t="s">
        <v>23</v>
      </c>
      <c r="C973" s="24" t="s">
        <v>111</v>
      </c>
      <c r="D973" s="24" t="s">
        <v>486</v>
      </c>
      <c r="E973" s="24">
        <v>0</v>
      </c>
      <c r="F973" s="24" t="s">
        <v>129</v>
      </c>
    </row>
    <row r="974" spans="1:6" x14ac:dyDescent="0.3">
      <c r="A974" s="24" t="s">
        <v>51</v>
      </c>
      <c r="B974" s="24" t="s">
        <v>23</v>
      </c>
      <c r="C974" s="24" t="s">
        <v>77</v>
      </c>
      <c r="D974" s="24" t="s">
        <v>485</v>
      </c>
      <c r="E974" s="24">
        <v>0</v>
      </c>
      <c r="F974" s="24" t="s">
        <v>126</v>
      </c>
    </row>
    <row r="975" spans="1:6" x14ac:dyDescent="0.3">
      <c r="A975" s="24" t="s">
        <v>51</v>
      </c>
      <c r="B975" s="24" t="s">
        <v>23</v>
      </c>
      <c r="C975" s="24" t="s">
        <v>79</v>
      </c>
      <c r="D975" s="24" t="s">
        <v>485</v>
      </c>
      <c r="E975" s="24">
        <v>1</v>
      </c>
      <c r="F975" s="24" t="s">
        <v>128</v>
      </c>
    </row>
    <row r="976" spans="1:6" x14ac:dyDescent="0.3">
      <c r="A976" s="24" t="s">
        <v>51</v>
      </c>
      <c r="B976" s="24" t="s">
        <v>23</v>
      </c>
      <c r="C976" s="24" t="s">
        <v>81</v>
      </c>
      <c r="D976" s="24" t="s">
        <v>486</v>
      </c>
      <c r="E976" s="24">
        <v>1</v>
      </c>
      <c r="F976" s="24" t="s">
        <v>129</v>
      </c>
    </row>
    <row r="977" spans="1:6" x14ac:dyDescent="0.3">
      <c r="A977" s="24" t="s">
        <v>51</v>
      </c>
      <c r="B977" s="24" t="s">
        <v>23</v>
      </c>
      <c r="C977" s="24" t="s">
        <v>83</v>
      </c>
      <c r="D977" s="24" t="s">
        <v>485</v>
      </c>
      <c r="E977" s="24">
        <v>0</v>
      </c>
      <c r="F977" s="24" t="s">
        <v>129</v>
      </c>
    </row>
    <row r="978" spans="1:6" x14ac:dyDescent="0.3">
      <c r="A978" s="24" t="s">
        <v>51</v>
      </c>
      <c r="B978" s="24" t="s">
        <v>23</v>
      </c>
      <c r="C978" s="24" t="s">
        <v>85</v>
      </c>
      <c r="D978" s="24" t="s">
        <v>486</v>
      </c>
      <c r="E978" s="24">
        <v>0</v>
      </c>
      <c r="F978" s="24" t="s">
        <v>129</v>
      </c>
    </row>
    <row r="979" spans="1:6" x14ac:dyDescent="0.3">
      <c r="A979" s="24" t="s">
        <v>51</v>
      </c>
      <c r="B979" s="24" t="s">
        <v>23</v>
      </c>
      <c r="C979" s="24" t="s">
        <v>87</v>
      </c>
      <c r="D979" s="24" t="s">
        <v>485</v>
      </c>
      <c r="E979" s="24">
        <v>0</v>
      </c>
      <c r="F979" s="24" t="s">
        <v>129</v>
      </c>
    </row>
    <row r="980" spans="1:6" x14ac:dyDescent="0.3">
      <c r="A980" s="24" t="s">
        <v>51</v>
      </c>
      <c r="B980" s="24" t="s">
        <v>23</v>
      </c>
      <c r="C980" s="24" t="s">
        <v>89</v>
      </c>
      <c r="D980" s="24" t="s">
        <v>486</v>
      </c>
      <c r="E980" s="24">
        <v>0</v>
      </c>
      <c r="F980" s="24" t="s">
        <v>129</v>
      </c>
    </row>
    <row r="981" spans="1:6" x14ac:dyDescent="0.3">
      <c r="A981" s="24" t="s">
        <v>51</v>
      </c>
      <c r="B981" s="24" t="s">
        <v>23</v>
      </c>
      <c r="C981" s="24" t="s">
        <v>91</v>
      </c>
      <c r="D981" s="24" t="s">
        <v>486</v>
      </c>
      <c r="E981" s="24">
        <v>0</v>
      </c>
      <c r="F981" s="24" t="s">
        <v>129</v>
      </c>
    </row>
    <row r="982" spans="1:6" x14ac:dyDescent="0.3">
      <c r="A982" s="24" t="s">
        <v>51</v>
      </c>
      <c r="B982" s="24" t="s">
        <v>23</v>
      </c>
      <c r="C982" s="24" t="s">
        <v>93</v>
      </c>
      <c r="D982" s="24" t="s">
        <v>486</v>
      </c>
      <c r="E982" s="24">
        <v>0</v>
      </c>
      <c r="F982" s="24" t="s">
        <v>129</v>
      </c>
    </row>
    <row r="983" spans="1:6" x14ac:dyDescent="0.3">
      <c r="A983" s="24" t="s">
        <v>51</v>
      </c>
      <c r="B983" s="24" t="s">
        <v>23</v>
      </c>
      <c r="C983" s="24" t="s">
        <v>95</v>
      </c>
      <c r="D983" s="24" t="s">
        <v>486</v>
      </c>
      <c r="E983" s="24">
        <v>1</v>
      </c>
      <c r="F983" s="24" t="s">
        <v>128</v>
      </c>
    </row>
    <row r="984" spans="1:6" x14ac:dyDescent="0.3">
      <c r="A984" s="24" t="s">
        <v>51</v>
      </c>
      <c r="B984" s="24" t="s">
        <v>23</v>
      </c>
      <c r="C984" s="24" t="s">
        <v>97</v>
      </c>
      <c r="D984" s="24" t="s">
        <v>485</v>
      </c>
      <c r="E984" s="24">
        <v>0</v>
      </c>
      <c r="F984" s="24" t="s">
        <v>129</v>
      </c>
    </row>
    <row r="985" spans="1:6" x14ac:dyDescent="0.3">
      <c r="A985" s="24" t="s">
        <v>51</v>
      </c>
      <c r="B985" s="24" t="s">
        <v>23</v>
      </c>
      <c r="C985" s="24" t="s">
        <v>99</v>
      </c>
      <c r="D985" s="24" t="s">
        <v>486</v>
      </c>
      <c r="E985" s="24">
        <v>1</v>
      </c>
      <c r="F985" s="24" t="s">
        <v>128</v>
      </c>
    </row>
    <row r="986" spans="1:6" x14ac:dyDescent="0.3">
      <c r="A986" s="24" t="s">
        <v>51</v>
      </c>
      <c r="B986" s="24" t="s">
        <v>23</v>
      </c>
      <c r="C986" s="24" t="s">
        <v>101</v>
      </c>
      <c r="D986" s="24" t="s">
        <v>487</v>
      </c>
      <c r="E986" s="24">
        <v>1</v>
      </c>
      <c r="F986" s="24" t="s">
        <v>128</v>
      </c>
    </row>
    <row r="987" spans="1:6" x14ac:dyDescent="0.3">
      <c r="A987" s="24" t="s">
        <v>51</v>
      </c>
      <c r="B987" s="24" t="s">
        <v>23</v>
      </c>
      <c r="C987" s="24" t="s">
        <v>103</v>
      </c>
      <c r="D987" s="24" t="s">
        <v>486</v>
      </c>
      <c r="E987" s="24">
        <v>0</v>
      </c>
      <c r="F987" s="24" t="s">
        <v>129</v>
      </c>
    </row>
    <row r="988" spans="1:6" x14ac:dyDescent="0.3">
      <c r="A988" s="24" t="s">
        <v>51</v>
      </c>
      <c r="B988" s="24" t="s">
        <v>23</v>
      </c>
      <c r="C988" s="24" t="s">
        <v>105</v>
      </c>
      <c r="D988" s="24" t="s">
        <v>486</v>
      </c>
      <c r="E988" s="24">
        <v>0</v>
      </c>
      <c r="F988" s="24" t="s">
        <v>129</v>
      </c>
    </row>
    <row r="989" spans="1:6" x14ac:dyDescent="0.3">
      <c r="A989" s="24" t="s">
        <v>51</v>
      </c>
      <c r="B989" s="24" t="s">
        <v>23</v>
      </c>
      <c r="C989" s="24" t="s">
        <v>107</v>
      </c>
      <c r="D989" s="24" t="s">
        <v>485</v>
      </c>
      <c r="E989" s="24">
        <v>0</v>
      </c>
      <c r="F989" s="24" t="s">
        <v>126</v>
      </c>
    </row>
    <row r="990" spans="1:6" x14ac:dyDescent="0.3">
      <c r="A990" s="24" t="s">
        <v>51</v>
      </c>
      <c r="B990" s="24" t="s">
        <v>23</v>
      </c>
      <c r="C990" s="24" t="s">
        <v>109</v>
      </c>
      <c r="D990" s="24" t="s">
        <v>485</v>
      </c>
      <c r="E990" s="24">
        <v>1</v>
      </c>
      <c r="F990" s="24" t="s">
        <v>129</v>
      </c>
    </row>
    <row r="991" spans="1:6" x14ac:dyDescent="0.3">
      <c r="A991" s="24" t="s">
        <v>51</v>
      </c>
      <c r="B991" s="24" t="s">
        <v>23</v>
      </c>
      <c r="C991" s="24" t="s">
        <v>111</v>
      </c>
      <c r="D991" s="24" t="s">
        <v>486</v>
      </c>
      <c r="E991" s="24">
        <v>0</v>
      </c>
      <c r="F991" s="24" t="s">
        <v>129</v>
      </c>
    </row>
    <row r="992" spans="1:6" x14ac:dyDescent="0.3">
      <c r="A992" s="24" t="s">
        <v>53</v>
      </c>
      <c r="B992" s="24" t="s">
        <v>23</v>
      </c>
      <c r="C992" s="24" t="s">
        <v>77</v>
      </c>
      <c r="D992" s="24" t="s">
        <v>485</v>
      </c>
      <c r="E992" s="24">
        <v>0</v>
      </c>
      <c r="F992" s="24" t="s">
        <v>126</v>
      </c>
    </row>
    <row r="993" spans="1:6" x14ac:dyDescent="0.3">
      <c r="A993" s="24" t="s">
        <v>53</v>
      </c>
      <c r="B993" s="24" t="s">
        <v>23</v>
      </c>
      <c r="C993" s="24" t="s">
        <v>79</v>
      </c>
      <c r="D993" s="24" t="s">
        <v>485</v>
      </c>
      <c r="E993" s="24">
        <v>0</v>
      </c>
      <c r="F993" s="24" t="s">
        <v>129</v>
      </c>
    </row>
    <row r="994" spans="1:6" x14ac:dyDescent="0.3">
      <c r="A994" s="24" t="s">
        <v>53</v>
      </c>
      <c r="B994" s="24" t="s">
        <v>23</v>
      </c>
      <c r="C994" s="24" t="s">
        <v>81</v>
      </c>
      <c r="D994" s="24" t="s">
        <v>486</v>
      </c>
      <c r="E994" s="24">
        <v>1</v>
      </c>
      <c r="F994" s="24" t="s">
        <v>128</v>
      </c>
    </row>
    <row r="995" spans="1:6" x14ac:dyDescent="0.3">
      <c r="A995" s="24" t="s">
        <v>53</v>
      </c>
      <c r="B995" s="24" t="s">
        <v>23</v>
      </c>
      <c r="C995" s="24" t="s">
        <v>83</v>
      </c>
      <c r="D995" s="24" t="s">
        <v>485</v>
      </c>
      <c r="E995" s="24">
        <v>1</v>
      </c>
      <c r="F995" s="24" t="s">
        <v>128</v>
      </c>
    </row>
    <row r="996" spans="1:6" x14ac:dyDescent="0.3">
      <c r="A996" s="24" t="s">
        <v>53</v>
      </c>
      <c r="B996" s="24" t="s">
        <v>23</v>
      </c>
      <c r="C996" s="24" t="s">
        <v>85</v>
      </c>
      <c r="D996" s="24" t="s">
        <v>486</v>
      </c>
      <c r="E996" s="24">
        <v>0</v>
      </c>
      <c r="F996" s="24" t="s">
        <v>129</v>
      </c>
    </row>
    <row r="997" spans="1:6" x14ac:dyDescent="0.3">
      <c r="A997" s="24" t="s">
        <v>53</v>
      </c>
      <c r="B997" s="24" t="s">
        <v>23</v>
      </c>
      <c r="C997" s="24" t="s">
        <v>87</v>
      </c>
      <c r="D997" s="24" t="s">
        <v>485</v>
      </c>
      <c r="E997" s="24">
        <v>0</v>
      </c>
      <c r="F997" s="24" t="s">
        <v>129</v>
      </c>
    </row>
    <row r="998" spans="1:6" x14ac:dyDescent="0.3">
      <c r="A998" s="24" t="s">
        <v>53</v>
      </c>
      <c r="B998" s="24" t="s">
        <v>23</v>
      </c>
      <c r="C998" s="24" t="s">
        <v>89</v>
      </c>
      <c r="D998" s="24" t="s">
        <v>486</v>
      </c>
      <c r="E998" s="24">
        <v>0</v>
      </c>
      <c r="F998" s="24" t="s">
        <v>129</v>
      </c>
    </row>
    <row r="999" spans="1:6" x14ac:dyDescent="0.3">
      <c r="A999" s="24" t="s">
        <v>53</v>
      </c>
      <c r="B999" s="24" t="s">
        <v>23</v>
      </c>
      <c r="C999" s="24" t="s">
        <v>91</v>
      </c>
      <c r="D999" s="24" t="s">
        <v>486</v>
      </c>
      <c r="E999" s="24">
        <v>0</v>
      </c>
      <c r="F999" s="24" t="s">
        <v>129</v>
      </c>
    </row>
    <row r="1000" spans="1:6" x14ac:dyDescent="0.3">
      <c r="A1000" s="24" t="s">
        <v>53</v>
      </c>
      <c r="B1000" s="24" t="s">
        <v>23</v>
      </c>
      <c r="C1000" s="24" t="s">
        <v>93</v>
      </c>
      <c r="D1000" s="24" t="s">
        <v>486</v>
      </c>
      <c r="E1000" s="24">
        <v>0</v>
      </c>
      <c r="F1000" s="24" t="s">
        <v>129</v>
      </c>
    </row>
    <row r="1001" spans="1:6" x14ac:dyDescent="0.3">
      <c r="A1001" s="24" t="s">
        <v>53</v>
      </c>
      <c r="B1001" s="24" t="s">
        <v>23</v>
      </c>
      <c r="C1001" s="24" t="s">
        <v>95</v>
      </c>
      <c r="D1001" s="24" t="s">
        <v>486</v>
      </c>
      <c r="E1001" s="24">
        <v>0</v>
      </c>
      <c r="F1001" s="24" t="s">
        <v>129</v>
      </c>
    </row>
    <row r="1002" spans="1:6" x14ac:dyDescent="0.3">
      <c r="A1002" s="24" t="s">
        <v>53</v>
      </c>
      <c r="B1002" s="24" t="s">
        <v>23</v>
      </c>
      <c r="C1002" s="24" t="s">
        <v>97</v>
      </c>
      <c r="D1002" s="24" t="s">
        <v>485</v>
      </c>
      <c r="E1002" s="24">
        <v>0</v>
      </c>
      <c r="F1002" s="24" t="s">
        <v>129</v>
      </c>
    </row>
    <row r="1003" spans="1:6" x14ac:dyDescent="0.3">
      <c r="A1003" s="24" t="s">
        <v>53</v>
      </c>
      <c r="B1003" s="24" t="s">
        <v>23</v>
      </c>
      <c r="C1003" s="24" t="s">
        <v>99</v>
      </c>
      <c r="D1003" s="24" t="s">
        <v>486</v>
      </c>
      <c r="E1003" s="24">
        <v>0</v>
      </c>
      <c r="F1003" s="24" t="s">
        <v>129</v>
      </c>
    </row>
    <row r="1004" spans="1:6" x14ac:dyDescent="0.3">
      <c r="A1004" s="24" t="s">
        <v>53</v>
      </c>
      <c r="B1004" s="24" t="s">
        <v>23</v>
      </c>
      <c r="C1004" s="24" t="s">
        <v>101</v>
      </c>
      <c r="D1004" s="24" t="s">
        <v>487</v>
      </c>
      <c r="E1004" s="24">
        <v>0</v>
      </c>
      <c r="F1004" s="24" t="s">
        <v>129</v>
      </c>
    </row>
    <row r="1005" spans="1:6" x14ac:dyDescent="0.3">
      <c r="A1005" s="24" t="s">
        <v>53</v>
      </c>
      <c r="B1005" s="24" t="s">
        <v>23</v>
      </c>
      <c r="C1005" s="24" t="s">
        <v>103</v>
      </c>
      <c r="D1005" s="24" t="s">
        <v>486</v>
      </c>
      <c r="E1005" s="24">
        <v>0</v>
      </c>
      <c r="F1005" s="24" t="s">
        <v>129</v>
      </c>
    </row>
    <row r="1006" spans="1:6" x14ac:dyDescent="0.3">
      <c r="A1006" s="24" t="s">
        <v>53</v>
      </c>
      <c r="B1006" s="24" t="s">
        <v>23</v>
      </c>
      <c r="C1006" s="24" t="s">
        <v>105</v>
      </c>
      <c r="D1006" s="24" t="s">
        <v>486</v>
      </c>
      <c r="E1006" s="24">
        <v>0</v>
      </c>
      <c r="F1006" s="24" t="s">
        <v>129</v>
      </c>
    </row>
    <row r="1007" spans="1:6" x14ac:dyDescent="0.3">
      <c r="A1007" s="24" t="s">
        <v>53</v>
      </c>
      <c r="B1007" s="24" t="s">
        <v>23</v>
      </c>
      <c r="C1007" s="24" t="s">
        <v>107</v>
      </c>
      <c r="D1007" s="24" t="s">
        <v>485</v>
      </c>
      <c r="E1007" s="24">
        <v>0</v>
      </c>
      <c r="F1007" s="24" t="s">
        <v>129</v>
      </c>
    </row>
    <row r="1008" spans="1:6" x14ac:dyDescent="0.3">
      <c r="A1008" s="24" t="s">
        <v>53</v>
      </c>
      <c r="B1008" s="24" t="s">
        <v>23</v>
      </c>
      <c r="C1008" s="24" t="s">
        <v>109</v>
      </c>
      <c r="D1008" s="24" t="s">
        <v>485</v>
      </c>
      <c r="E1008" s="24">
        <v>1</v>
      </c>
      <c r="F1008" s="24" t="s">
        <v>129</v>
      </c>
    </row>
    <row r="1009" spans="1:6" x14ac:dyDescent="0.3">
      <c r="A1009" s="24" t="s">
        <v>53</v>
      </c>
      <c r="B1009" s="24" t="s">
        <v>23</v>
      </c>
      <c r="C1009" s="24" t="s">
        <v>111</v>
      </c>
      <c r="D1009" s="24" t="s">
        <v>486</v>
      </c>
      <c r="E1009" s="24">
        <v>0</v>
      </c>
      <c r="F1009" s="24" t="s">
        <v>129</v>
      </c>
    </row>
    <row r="1010" spans="1:6" x14ac:dyDescent="0.3">
      <c r="A1010" s="24" t="s">
        <v>55</v>
      </c>
      <c r="B1010" s="24" t="s">
        <v>23</v>
      </c>
      <c r="C1010" s="24" t="s">
        <v>77</v>
      </c>
      <c r="D1010" s="24" t="s">
        <v>485</v>
      </c>
      <c r="E1010" s="24">
        <v>0</v>
      </c>
      <c r="F1010" s="24" t="s">
        <v>126</v>
      </c>
    </row>
    <row r="1011" spans="1:6" x14ac:dyDescent="0.3">
      <c r="A1011" s="24" t="s">
        <v>55</v>
      </c>
      <c r="B1011" s="24" t="s">
        <v>23</v>
      </c>
      <c r="C1011" s="24" t="s">
        <v>79</v>
      </c>
      <c r="D1011" s="24" t="s">
        <v>485</v>
      </c>
      <c r="E1011" s="24">
        <v>0</v>
      </c>
      <c r="F1011" s="24" t="s">
        <v>129</v>
      </c>
    </row>
    <row r="1012" spans="1:6" x14ac:dyDescent="0.3">
      <c r="A1012" s="24" t="s">
        <v>55</v>
      </c>
      <c r="B1012" s="24" t="s">
        <v>23</v>
      </c>
      <c r="C1012" s="24" t="s">
        <v>81</v>
      </c>
      <c r="D1012" s="24" t="s">
        <v>486</v>
      </c>
      <c r="E1012" s="24">
        <v>1</v>
      </c>
      <c r="F1012" s="24" t="s">
        <v>129</v>
      </c>
    </row>
    <row r="1013" spans="1:6" x14ac:dyDescent="0.3">
      <c r="A1013" s="24" t="s">
        <v>55</v>
      </c>
      <c r="B1013" s="24" t="s">
        <v>23</v>
      </c>
      <c r="C1013" s="24" t="s">
        <v>83</v>
      </c>
      <c r="D1013" s="24" t="s">
        <v>485</v>
      </c>
      <c r="E1013" s="24">
        <v>0</v>
      </c>
      <c r="F1013" s="24" t="s">
        <v>129</v>
      </c>
    </row>
    <row r="1014" spans="1:6" x14ac:dyDescent="0.3">
      <c r="A1014" s="24" t="s">
        <v>55</v>
      </c>
      <c r="B1014" s="24" t="s">
        <v>23</v>
      </c>
      <c r="C1014" s="24" t="s">
        <v>85</v>
      </c>
      <c r="D1014" s="24" t="s">
        <v>486</v>
      </c>
      <c r="E1014" s="24">
        <v>0</v>
      </c>
      <c r="F1014" s="24" t="s">
        <v>129</v>
      </c>
    </row>
    <row r="1015" spans="1:6" x14ac:dyDescent="0.3">
      <c r="A1015" s="24" t="s">
        <v>55</v>
      </c>
      <c r="B1015" s="24" t="s">
        <v>23</v>
      </c>
      <c r="C1015" s="24" t="s">
        <v>87</v>
      </c>
      <c r="D1015" s="24" t="s">
        <v>485</v>
      </c>
      <c r="E1015" s="24">
        <v>0</v>
      </c>
      <c r="F1015" s="24" t="s">
        <v>129</v>
      </c>
    </row>
    <row r="1016" spans="1:6" x14ac:dyDescent="0.3">
      <c r="A1016" s="24" t="s">
        <v>55</v>
      </c>
      <c r="B1016" s="24" t="s">
        <v>23</v>
      </c>
      <c r="C1016" s="24" t="s">
        <v>89</v>
      </c>
      <c r="D1016" s="24" t="s">
        <v>486</v>
      </c>
      <c r="E1016" s="24">
        <v>0</v>
      </c>
      <c r="F1016" s="24" t="s">
        <v>129</v>
      </c>
    </row>
    <row r="1017" spans="1:6" x14ac:dyDescent="0.3">
      <c r="A1017" s="24" t="s">
        <v>55</v>
      </c>
      <c r="B1017" s="24" t="s">
        <v>23</v>
      </c>
      <c r="C1017" s="24" t="s">
        <v>91</v>
      </c>
      <c r="D1017" s="24" t="s">
        <v>486</v>
      </c>
      <c r="E1017" s="24">
        <v>0</v>
      </c>
      <c r="F1017" s="24" t="s">
        <v>129</v>
      </c>
    </row>
    <row r="1018" spans="1:6" x14ac:dyDescent="0.3">
      <c r="A1018" s="24" t="s">
        <v>55</v>
      </c>
      <c r="B1018" s="24" t="s">
        <v>23</v>
      </c>
      <c r="C1018" s="24" t="s">
        <v>93</v>
      </c>
      <c r="D1018" s="24" t="s">
        <v>486</v>
      </c>
      <c r="E1018" s="24">
        <v>0</v>
      </c>
      <c r="F1018" s="24" t="s">
        <v>129</v>
      </c>
    </row>
    <row r="1019" spans="1:6" x14ac:dyDescent="0.3">
      <c r="A1019" s="24" t="s">
        <v>55</v>
      </c>
      <c r="B1019" s="24" t="s">
        <v>23</v>
      </c>
      <c r="C1019" s="24" t="s">
        <v>95</v>
      </c>
      <c r="D1019" s="24" t="s">
        <v>486</v>
      </c>
      <c r="E1019" s="24">
        <v>0</v>
      </c>
      <c r="F1019" s="24" t="s">
        <v>129</v>
      </c>
    </row>
    <row r="1020" spans="1:6" x14ac:dyDescent="0.3">
      <c r="A1020" s="24" t="s">
        <v>55</v>
      </c>
      <c r="B1020" s="24" t="s">
        <v>23</v>
      </c>
      <c r="C1020" s="24" t="s">
        <v>97</v>
      </c>
      <c r="D1020" s="24" t="s">
        <v>485</v>
      </c>
      <c r="E1020" s="24">
        <v>0</v>
      </c>
      <c r="F1020" s="24" t="s">
        <v>129</v>
      </c>
    </row>
    <row r="1021" spans="1:6" x14ac:dyDescent="0.3">
      <c r="A1021" s="24" t="s">
        <v>55</v>
      </c>
      <c r="B1021" s="24" t="s">
        <v>23</v>
      </c>
      <c r="C1021" s="24" t="s">
        <v>99</v>
      </c>
      <c r="D1021" s="24" t="s">
        <v>486</v>
      </c>
      <c r="E1021" s="24">
        <v>0</v>
      </c>
      <c r="F1021" s="24" t="s">
        <v>129</v>
      </c>
    </row>
    <row r="1022" spans="1:6" x14ac:dyDescent="0.3">
      <c r="A1022" s="24" t="s">
        <v>55</v>
      </c>
      <c r="B1022" s="24" t="s">
        <v>23</v>
      </c>
      <c r="C1022" s="24" t="s">
        <v>101</v>
      </c>
      <c r="D1022" s="24" t="s">
        <v>487</v>
      </c>
      <c r="E1022" s="24">
        <v>0</v>
      </c>
      <c r="F1022" s="24" t="s">
        <v>128</v>
      </c>
    </row>
    <row r="1023" spans="1:6" x14ac:dyDescent="0.3">
      <c r="A1023" s="24" t="s">
        <v>55</v>
      </c>
      <c r="B1023" s="24" t="s">
        <v>23</v>
      </c>
      <c r="C1023" s="24" t="s">
        <v>103</v>
      </c>
      <c r="D1023" s="24" t="s">
        <v>486</v>
      </c>
      <c r="E1023" s="24">
        <v>0</v>
      </c>
      <c r="F1023" s="24" t="s">
        <v>129</v>
      </c>
    </row>
    <row r="1024" spans="1:6" x14ac:dyDescent="0.3">
      <c r="A1024" s="24" t="s">
        <v>55</v>
      </c>
      <c r="B1024" s="24" t="s">
        <v>23</v>
      </c>
      <c r="C1024" s="24" t="s">
        <v>105</v>
      </c>
      <c r="D1024" s="24" t="s">
        <v>486</v>
      </c>
      <c r="E1024" s="24">
        <v>0</v>
      </c>
      <c r="F1024" s="24" t="s">
        <v>129</v>
      </c>
    </row>
    <row r="1025" spans="1:6" x14ac:dyDescent="0.3">
      <c r="A1025" s="24" t="s">
        <v>55</v>
      </c>
      <c r="B1025" s="24" t="s">
        <v>23</v>
      </c>
      <c r="C1025" s="24" t="s">
        <v>107</v>
      </c>
      <c r="D1025" s="24" t="s">
        <v>485</v>
      </c>
      <c r="E1025" s="24">
        <v>0</v>
      </c>
      <c r="F1025" s="24" t="s">
        <v>126</v>
      </c>
    </row>
    <row r="1026" spans="1:6" x14ac:dyDescent="0.3">
      <c r="A1026" s="24" t="s">
        <v>55</v>
      </c>
      <c r="B1026" s="24" t="s">
        <v>23</v>
      </c>
      <c r="C1026" s="24" t="s">
        <v>109</v>
      </c>
      <c r="D1026" s="24" t="s">
        <v>485</v>
      </c>
      <c r="E1026" s="24">
        <v>0</v>
      </c>
      <c r="F1026" s="24" t="s">
        <v>129</v>
      </c>
    </row>
    <row r="1027" spans="1:6" x14ac:dyDescent="0.3">
      <c r="A1027" s="24" t="s">
        <v>55</v>
      </c>
      <c r="B1027" s="24" t="s">
        <v>23</v>
      </c>
      <c r="C1027" s="24" t="s">
        <v>111</v>
      </c>
      <c r="D1027" s="24" t="s">
        <v>486</v>
      </c>
      <c r="E1027" s="24">
        <v>0</v>
      </c>
      <c r="F1027" s="24" t="s">
        <v>127</v>
      </c>
    </row>
    <row r="1028" spans="1:6" x14ac:dyDescent="0.3">
      <c r="A1028" s="24" t="s">
        <v>57</v>
      </c>
      <c r="B1028" s="24" t="s">
        <v>23</v>
      </c>
      <c r="C1028" s="24" t="s">
        <v>77</v>
      </c>
      <c r="D1028" s="24" t="s">
        <v>485</v>
      </c>
      <c r="E1028" s="24">
        <v>0</v>
      </c>
      <c r="F1028" s="24" t="s">
        <v>129</v>
      </c>
    </row>
    <row r="1029" spans="1:6" x14ac:dyDescent="0.3">
      <c r="A1029" s="24" t="s">
        <v>57</v>
      </c>
      <c r="B1029" s="24" t="s">
        <v>23</v>
      </c>
      <c r="C1029" s="24" t="s">
        <v>79</v>
      </c>
      <c r="D1029" s="24" t="s">
        <v>485</v>
      </c>
      <c r="E1029" s="24">
        <v>0</v>
      </c>
      <c r="F1029" s="24" t="s">
        <v>129</v>
      </c>
    </row>
    <row r="1030" spans="1:6" x14ac:dyDescent="0.3">
      <c r="A1030" s="24" t="s">
        <v>57</v>
      </c>
      <c r="B1030" s="24" t="s">
        <v>23</v>
      </c>
      <c r="C1030" s="24" t="s">
        <v>81</v>
      </c>
      <c r="D1030" s="24" t="s">
        <v>486</v>
      </c>
      <c r="E1030" s="24">
        <v>0</v>
      </c>
      <c r="F1030" s="24" t="s">
        <v>129</v>
      </c>
    </row>
    <row r="1031" spans="1:6" x14ac:dyDescent="0.3">
      <c r="A1031" s="24" t="s">
        <v>57</v>
      </c>
      <c r="B1031" s="24" t="s">
        <v>23</v>
      </c>
      <c r="C1031" s="24" t="s">
        <v>83</v>
      </c>
      <c r="D1031" s="24" t="s">
        <v>485</v>
      </c>
      <c r="E1031" s="24">
        <v>0</v>
      </c>
      <c r="F1031" s="24" t="s">
        <v>129</v>
      </c>
    </row>
    <row r="1032" spans="1:6" x14ac:dyDescent="0.3">
      <c r="A1032" s="24" t="s">
        <v>57</v>
      </c>
      <c r="B1032" s="24" t="s">
        <v>23</v>
      </c>
      <c r="C1032" s="24" t="s">
        <v>85</v>
      </c>
      <c r="D1032" s="24" t="s">
        <v>486</v>
      </c>
      <c r="E1032" s="24">
        <v>0</v>
      </c>
      <c r="F1032" s="24" t="s">
        <v>129</v>
      </c>
    </row>
    <row r="1033" spans="1:6" x14ac:dyDescent="0.3">
      <c r="A1033" s="24" t="s">
        <v>57</v>
      </c>
      <c r="B1033" s="24" t="s">
        <v>23</v>
      </c>
      <c r="C1033" s="24" t="s">
        <v>87</v>
      </c>
      <c r="D1033" s="24" t="s">
        <v>485</v>
      </c>
      <c r="E1033" s="24">
        <v>0</v>
      </c>
      <c r="F1033" s="24" t="s">
        <v>129</v>
      </c>
    </row>
    <row r="1034" spans="1:6" x14ac:dyDescent="0.3">
      <c r="A1034" s="24" t="s">
        <v>57</v>
      </c>
      <c r="B1034" s="24" t="s">
        <v>23</v>
      </c>
      <c r="C1034" s="24" t="s">
        <v>89</v>
      </c>
      <c r="D1034" s="24" t="s">
        <v>486</v>
      </c>
      <c r="E1034" s="24">
        <v>0</v>
      </c>
      <c r="F1034" s="24" t="s">
        <v>129</v>
      </c>
    </row>
    <row r="1035" spans="1:6" x14ac:dyDescent="0.3">
      <c r="A1035" s="24" t="s">
        <v>57</v>
      </c>
      <c r="B1035" s="24" t="s">
        <v>23</v>
      </c>
      <c r="C1035" s="24" t="s">
        <v>91</v>
      </c>
      <c r="D1035" s="24" t="s">
        <v>486</v>
      </c>
      <c r="E1035" s="24">
        <v>0</v>
      </c>
      <c r="F1035" s="24" t="s">
        <v>129</v>
      </c>
    </row>
    <row r="1036" spans="1:6" x14ac:dyDescent="0.3">
      <c r="A1036" s="24" t="s">
        <v>57</v>
      </c>
      <c r="B1036" s="24" t="s">
        <v>23</v>
      </c>
      <c r="C1036" s="24" t="s">
        <v>93</v>
      </c>
      <c r="D1036" s="24" t="s">
        <v>486</v>
      </c>
      <c r="E1036" s="24">
        <v>0</v>
      </c>
      <c r="F1036" s="24" t="s">
        <v>129</v>
      </c>
    </row>
    <row r="1037" spans="1:6" x14ac:dyDescent="0.3">
      <c r="A1037" s="24" t="s">
        <v>57</v>
      </c>
      <c r="B1037" s="24" t="s">
        <v>23</v>
      </c>
      <c r="C1037" s="24" t="s">
        <v>95</v>
      </c>
      <c r="D1037" s="24" t="s">
        <v>486</v>
      </c>
      <c r="E1037" s="24">
        <v>0</v>
      </c>
      <c r="F1037" s="24" t="s">
        <v>129</v>
      </c>
    </row>
    <row r="1038" spans="1:6" x14ac:dyDescent="0.3">
      <c r="A1038" s="24" t="s">
        <v>57</v>
      </c>
      <c r="B1038" s="24" t="s">
        <v>23</v>
      </c>
      <c r="C1038" s="24" t="s">
        <v>97</v>
      </c>
      <c r="D1038" s="24" t="s">
        <v>485</v>
      </c>
      <c r="E1038" s="24">
        <v>0</v>
      </c>
      <c r="F1038" s="24" t="s">
        <v>129</v>
      </c>
    </row>
    <row r="1039" spans="1:6" x14ac:dyDescent="0.3">
      <c r="A1039" s="24" t="s">
        <v>57</v>
      </c>
      <c r="B1039" s="24" t="s">
        <v>23</v>
      </c>
      <c r="C1039" s="24" t="s">
        <v>99</v>
      </c>
      <c r="D1039" s="24" t="s">
        <v>486</v>
      </c>
      <c r="E1039" s="24">
        <v>0</v>
      </c>
      <c r="F1039" s="24" t="s">
        <v>129</v>
      </c>
    </row>
    <row r="1040" spans="1:6" x14ac:dyDescent="0.3">
      <c r="A1040" s="24" t="s">
        <v>57</v>
      </c>
      <c r="B1040" s="24" t="s">
        <v>23</v>
      </c>
      <c r="C1040" s="24" t="s">
        <v>101</v>
      </c>
      <c r="D1040" s="24" t="s">
        <v>487</v>
      </c>
      <c r="E1040" s="24">
        <v>0</v>
      </c>
      <c r="F1040" s="24" t="s">
        <v>129</v>
      </c>
    </row>
    <row r="1041" spans="1:6" x14ac:dyDescent="0.3">
      <c r="A1041" s="24" t="s">
        <v>57</v>
      </c>
      <c r="B1041" s="24" t="s">
        <v>23</v>
      </c>
      <c r="C1041" s="24" t="s">
        <v>103</v>
      </c>
      <c r="D1041" s="24" t="s">
        <v>486</v>
      </c>
      <c r="E1041" s="24">
        <v>0</v>
      </c>
      <c r="F1041" s="24" t="s">
        <v>129</v>
      </c>
    </row>
    <row r="1042" spans="1:6" x14ac:dyDescent="0.3">
      <c r="A1042" s="24" t="s">
        <v>57</v>
      </c>
      <c r="B1042" s="24" t="s">
        <v>23</v>
      </c>
      <c r="C1042" s="24" t="s">
        <v>105</v>
      </c>
      <c r="D1042" s="24" t="s">
        <v>486</v>
      </c>
      <c r="E1042" s="24">
        <v>0</v>
      </c>
      <c r="F1042" s="24" t="s">
        <v>129</v>
      </c>
    </row>
    <row r="1043" spans="1:6" x14ac:dyDescent="0.3">
      <c r="A1043" s="24" t="s">
        <v>57</v>
      </c>
      <c r="B1043" s="24" t="s">
        <v>23</v>
      </c>
      <c r="C1043" s="24" t="s">
        <v>107</v>
      </c>
      <c r="D1043" s="24" t="s">
        <v>485</v>
      </c>
      <c r="E1043" s="24">
        <v>0</v>
      </c>
      <c r="F1043" s="24" t="s">
        <v>129</v>
      </c>
    </row>
    <row r="1044" spans="1:6" x14ac:dyDescent="0.3">
      <c r="A1044" s="24" t="s">
        <v>57</v>
      </c>
      <c r="B1044" s="24" t="s">
        <v>23</v>
      </c>
      <c r="C1044" s="24" t="s">
        <v>109</v>
      </c>
      <c r="D1044" s="24" t="s">
        <v>485</v>
      </c>
      <c r="E1044" s="24">
        <v>1</v>
      </c>
      <c r="F1044" s="24" t="s">
        <v>129</v>
      </c>
    </row>
    <row r="1045" spans="1:6" x14ac:dyDescent="0.3">
      <c r="A1045" s="24" t="s">
        <v>57</v>
      </c>
      <c r="B1045" s="24" t="s">
        <v>23</v>
      </c>
      <c r="C1045" s="24" t="s">
        <v>111</v>
      </c>
      <c r="D1045" s="24" t="s">
        <v>486</v>
      </c>
      <c r="E1045" s="24">
        <v>0</v>
      </c>
      <c r="F1045" s="24" t="s">
        <v>129</v>
      </c>
    </row>
    <row r="1046" spans="1:6" x14ac:dyDescent="0.3">
      <c r="A1046" s="24" t="s">
        <v>59</v>
      </c>
      <c r="B1046" s="24" t="s">
        <v>23</v>
      </c>
      <c r="C1046" s="24" t="s">
        <v>77</v>
      </c>
      <c r="D1046" s="24" t="s">
        <v>485</v>
      </c>
      <c r="E1046" s="24">
        <v>0</v>
      </c>
      <c r="F1046" s="24" t="s">
        <v>129</v>
      </c>
    </row>
    <row r="1047" spans="1:6" x14ac:dyDescent="0.3">
      <c r="A1047" s="24" t="s">
        <v>59</v>
      </c>
      <c r="B1047" s="24" t="s">
        <v>23</v>
      </c>
      <c r="C1047" s="24" t="s">
        <v>79</v>
      </c>
      <c r="D1047" s="24" t="s">
        <v>485</v>
      </c>
      <c r="E1047" s="24">
        <v>0</v>
      </c>
      <c r="F1047" s="24" t="s">
        <v>129</v>
      </c>
    </row>
    <row r="1048" spans="1:6" x14ac:dyDescent="0.3">
      <c r="A1048" s="24" t="s">
        <v>59</v>
      </c>
      <c r="B1048" s="24" t="s">
        <v>23</v>
      </c>
      <c r="C1048" s="24" t="s">
        <v>81</v>
      </c>
      <c r="D1048" s="24" t="s">
        <v>486</v>
      </c>
      <c r="E1048" s="24">
        <v>0</v>
      </c>
      <c r="F1048" s="24" t="s">
        <v>128</v>
      </c>
    </row>
    <row r="1049" spans="1:6" x14ac:dyDescent="0.3">
      <c r="A1049" s="24" t="s">
        <v>59</v>
      </c>
      <c r="B1049" s="24" t="s">
        <v>23</v>
      </c>
      <c r="C1049" s="24" t="s">
        <v>83</v>
      </c>
      <c r="D1049" s="24" t="s">
        <v>485</v>
      </c>
      <c r="E1049" s="24">
        <v>0</v>
      </c>
      <c r="F1049" s="24" t="s">
        <v>129</v>
      </c>
    </row>
    <row r="1050" spans="1:6" x14ac:dyDescent="0.3">
      <c r="A1050" s="24" t="s">
        <v>59</v>
      </c>
      <c r="B1050" s="24" t="s">
        <v>23</v>
      </c>
      <c r="C1050" s="24" t="s">
        <v>85</v>
      </c>
      <c r="D1050" s="24" t="s">
        <v>486</v>
      </c>
      <c r="E1050" s="24">
        <v>0</v>
      </c>
      <c r="F1050" s="24" t="s">
        <v>129</v>
      </c>
    </row>
    <row r="1051" spans="1:6" x14ac:dyDescent="0.3">
      <c r="A1051" s="24" t="s">
        <v>59</v>
      </c>
      <c r="B1051" s="24" t="s">
        <v>23</v>
      </c>
      <c r="C1051" s="24" t="s">
        <v>87</v>
      </c>
      <c r="D1051" s="24" t="s">
        <v>485</v>
      </c>
      <c r="E1051" s="24">
        <v>0</v>
      </c>
      <c r="F1051" s="24" t="s">
        <v>129</v>
      </c>
    </row>
    <row r="1052" spans="1:6" x14ac:dyDescent="0.3">
      <c r="A1052" s="24" t="s">
        <v>59</v>
      </c>
      <c r="B1052" s="24" t="s">
        <v>23</v>
      </c>
      <c r="C1052" s="24" t="s">
        <v>89</v>
      </c>
      <c r="D1052" s="24" t="s">
        <v>486</v>
      </c>
      <c r="E1052" s="24">
        <v>0</v>
      </c>
      <c r="F1052" s="24" t="s">
        <v>129</v>
      </c>
    </row>
    <row r="1053" spans="1:6" x14ac:dyDescent="0.3">
      <c r="A1053" s="24" t="s">
        <v>59</v>
      </c>
      <c r="B1053" s="24" t="s">
        <v>23</v>
      </c>
      <c r="C1053" s="24" t="s">
        <v>91</v>
      </c>
      <c r="D1053" s="24" t="s">
        <v>486</v>
      </c>
      <c r="E1053" s="24">
        <v>0</v>
      </c>
      <c r="F1053" s="24" t="s">
        <v>129</v>
      </c>
    </row>
    <row r="1054" spans="1:6" x14ac:dyDescent="0.3">
      <c r="A1054" s="24" t="s">
        <v>59</v>
      </c>
      <c r="B1054" s="24" t="s">
        <v>23</v>
      </c>
      <c r="C1054" s="24" t="s">
        <v>93</v>
      </c>
      <c r="D1054" s="24" t="s">
        <v>486</v>
      </c>
      <c r="E1054" s="24">
        <v>0</v>
      </c>
      <c r="F1054" s="24" t="s">
        <v>129</v>
      </c>
    </row>
    <row r="1055" spans="1:6" x14ac:dyDescent="0.3">
      <c r="A1055" s="24" t="s">
        <v>59</v>
      </c>
      <c r="B1055" s="24" t="s">
        <v>23</v>
      </c>
      <c r="C1055" s="24" t="s">
        <v>95</v>
      </c>
      <c r="D1055" s="24" t="s">
        <v>486</v>
      </c>
      <c r="E1055" s="24">
        <v>0</v>
      </c>
      <c r="F1055" s="24" t="s">
        <v>129</v>
      </c>
    </row>
    <row r="1056" spans="1:6" x14ac:dyDescent="0.3">
      <c r="A1056" s="24" t="s">
        <v>59</v>
      </c>
      <c r="B1056" s="24" t="s">
        <v>23</v>
      </c>
      <c r="C1056" s="24" t="s">
        <v>97</v>
      </c>
      <c r="D1056" s="24" t="s">
        <v>485</v>
      </c>
      <c r="E1056" s="24">
        <v>0</v>
      </c>
      <c r="F1056" s="24" t="s">
        <v>129</v>
      </c>
    </row>
    <row r="1057" spans="1:6" x14ac:dyDescent="0.3">
      <c r="A1057" s="24" t="s">
        <v>59</v>
      </c>
      <c r="B1057" s="24" t="s">
        <v>23</v>
      </c>
      <c r="C1057" s="24" t="s">
        <v>99</v>
      </c>
      <c r="D1057" s="24" t="s">
        <v>486</v>
      </c>
      <c r="E1057" s="24">
        <v>0</v>
      </c>
      <c r="F1057" s="24" t="s">
        <v>129</v>
      </c>
    </row>
    <row r="1058" spans="1:6" x14ac:dyDescent="0.3">
      <c r="A1058" s="24" t="s">
        <v>59</v>
      </c>
      <c r="B1058" s="24" t="s">
        <v>23</v>
      </c>
      <c r="C1058" s="24" t="s">
        <v>101</v>
      </c>
      <c r="D1058" s="24" t="s">
        <v>487</v>
      </c>
      <c r="E1058" s="24">
        <v>0</v>
      </c>
      <c r="F1058" s="24" t="s">
        <v>129</v>
      </c>
    </row>
    <row r="1059" spans="1:6" x14ac:dyDescent="0.3">
      <c r="A1059" s="24" t="s">
        <v>59</v>
      </c>
      <c r="B1059" s="24" t="s">
        <v>23</v>
      </c>
      <c r="C1059" s="24" t="s">
        <v>103</v>
      </c>
      <c r="D1059" s="24" t="s">
        <v>486</v>
      </c>
      <c r="E1059" s="24">
        <v>0</v>
      </c>
      <c r="F1059" s="24" t="s">
        <v>129</v>
      </c>
    </row>
    <row r="1060" spans="1:6" x14ac:dyDescent="0.3">
      <c r="A1060" s="24" t="s">
        <v>59</v>
      </c>
      <c r="B1060" s="24" t="s">
        <v>23</v>
      </c>
      <c r="C1060" s="24" t="s">
        <v>105</v>
      </c>
      <c r="D1060" s="24" t="s">
        <v>486</v>
      </c>
      <c r="E1060" s="24">
        <v>0</v>
      </c>
      <c r="F1060" s="24" t="s">
        <v>129</v>
      </c>
    </row>
    <row r="1061" spans="1:6" x14ac:dyDescent="0.3">
      <c r="A1061" s="24" t="s">
        <v>59</v>
      </c>
      <c r="B1061" s="24" t="s">
        <v>23</v>
      </c>
      <c r="C1061" s="24" t="s">
        <v>107</v>
      </c>
      <c r="D1061" s="24" t="s">
        <v>485</v>
      </c>
      <c r="E1061" s="24">
        <v>0</v>
      </c>
      <c r="F1061" s="24" t="s">
        <v>126</v>
      </c>
    </row>
    <row r="1062" spans="1:6" x14ac:dyDescent="0.3">
      <c r="A1062" s="24" t="s">
        <v>59</v>
      </c>
      <c r="B1062" s="24" t="s">
        <v>23</v>
      </c>
      <c r="C1062" s="24" t="s">
        <v>109</v>
      </c>
      <c r="D1062" s="24" t="s">
        <v>485</v>
      </c>
      <c r="E1062" s="24">
        <v>1</v>
      </c>
      <c r="F1062" s="24" t="s">
        <v>129</v>
      </c>
    </row>
    <row r="1063" spans="1:6" x14ac:dyDescent="0.3">
      <c r="A1063" s="24" t="s">
        <v>59</v>
      </c>
      <c r="B1063" s="24" t="s">
        <v>23</v>
      </c>
      <c r="C1063" s="24" t="s">
        <v>111</v>
      </c>
      <c r="D1063" s="24" t="s">
        <v>486</v>
      </c>
      <c r="E1063" s="24">
        <v>0</v>
      </c>
      <c r="F1063" s="24" t="s">
        <v>129</v>
      </c>
    </row>
    <row r="1064" spans="1:6" x14ac:dyDescent="0.3">
      <c r="A1064" s="24" t="s">
        <v>61</v>
      </c>
      <c r="B1064" s="24" t="s">
        <v>23</v>
      </c>
      <c r="C1064" s="24" t="s">
        <v>77</v>
      </c>
      <c r="D1064" s="24" t="s">
        <v>485</v>
      </c>
      <c r="E1064" s="24">
        <v>0</v>
      </c>
      <c r="F1064" s="24" t="s">
        <v>126</v>
      </c>
    </row>
    <row r="1065" spans="1:6" x14ac:dyDescent="0.3">
      <c r="A1065" s="24" t="s">
        <v>61</v>
      </c>
      <c r="B1065" s="24" t="s">
        <v>23</v>
      </c>
      <c r="C1065" s="24" t="s">
        <v>79</v>
      </c>
      <c r="D1065" s="24" t="s">
        <v>485</v>
      </c>
      <c r="E1065" s="24">
        <v>0</v>
      </c>
      <c r="F1065" s="24" t="s">
        <v>129</v>
      </c>
    </row>
    <row r="1066" spans="1:6" x14ac:dyDescent="0.3">
      <c r="A1066" s="24" t="s">
        <v>61</v>
      </c>
      <c r="B1066" s="24" t="s">
        <v>23</v>
      </c>
      <c r="C1066" s="24" t="s">
        <v>81</v>
      </c>
      <c r="D1066" s="24" t="s">
        <v>486</v>
      </c>
      <c r="E1066" s="24">
        <v>1</v>
      </c>
      <c r="F1066" s="24" t="s">
        <v>128</v>
      </c>
    </row>
    <row r="1067" spans="1:6" x14ac:dyDescent="0.3">
      <c r="A1067" s="24" t="s">
        <v>61</v>
      </c>
      <c r="B1067" s="24" t="s">
        <v>23</v>
      </c>
      <c r="C1067" s="24" t="s">
        <v>83</v>
      </c>
      <c r="D1067" s="24" t="s">
        <v>485</v>
      </c>
      <c r="E1067" s="24">
        <v>0</v>
      </c>
      <c r="F1067" s="24" t="s">
        <v>129</v>
      </c>
    </row>
    <row r="1068" spans="1:6" x14ac:dyDescent="0.3">
      <c r="A1068" s="24" t="s">
        <v>61</v>
      </c>
      <c r="B1068" s="24" t="s">
        <v>23</v>
      </c>
      <c r="C1068" s="24" t="s">
        <v>85</v>
      </c>
      <c r="D1068" s="24" t="s">
        <v>486</v>
      </c>
      <c r="E1068" s="24">
        <v>0</v>
      </c>
      <c r="F1068" s="24" t="s">
        <v>129</v>
      </c>
    </row>
    <row r="1069" spans="1:6" x14ac:dyDescent="0.3">
      <c r="A1069" s="24" t="s">
        <v>61</v>
      </c>
      <c r="B1069" s="24" t="s">
        <v>23</v>
      </c>
      <c r="C1069" s="24" t="s">
        <v>87</v>
      </c>
      <c r="D1069" s="24" t="s">
        <v>485</v>
      </c>
      <c r="E1069" s="24">
        <v>0</v>
      </c>
      <c r="F1069" s="24" t="s">
        <v>126</v>
      </c>
    </row>
    <row r="1070" spans="1:6" x14ac:dyDescent="0.3">
      <c r="A1070" s="24" t="s">
        <v>61</v>
      </c>
      <c r="B1070" s="24" t="s">
        <v>23</v>
      </c>
      <c r="C1070" s="24" t="s">
        <v>89</v>
      </c>
      <c r="D1070" s="24" t="s">
        <v>486</v>
      </c>
      <c r="E1070" s="24">
        <v>0</v>
      </c>
      <c r="F1070" s="24" t="s">
        <v>129</v>
      </c>
    </row>
    <row r="1071" spans="1:6" x14ac:dyDescent="0.3">
      <c r="A1071" s="24" t="s">
        <v>61</v>
      </c>
      <c r="B1071" s="24" t="s">
        <v>23</v>
      </c>
      <c r="C1071" s="24" t="s">
        <v>91</v>
      </c>
      <c r="D1071" s="24" t="s">
        <v>486</v>
      </c>
      <c r="E1071" s="24">
        <v>0</v>
      </c>
      <c r="F1071" s="24" t="s">
        <v>129</v>
      </c>
    </row>
    <row r="1072" spans="1:6" x14ac:dyDescent="0.3">
      <c r="A1072" s="24" t="s">
        <v>61</v>
      </c>
      <c r="B1072" s="24" t="s">
        <v>23</v>
      </c>
      <c r="C1072" s="24" t="s">
        <v>93</v>
      </c>
      <c r="D1072" s="24" t="s">
        <v>486</v>
      </c>
      <c r="E1072" s="24">
        <v>0</v>
      </c>
      <c r="F1072" s="24" t="s">
        <v>129</v>
      </c>
    </row>
    <row r="1073" spans="1:6" x14ac:dyDescent="0.3">
      <c r="A1073" s="24" t="s">
        <v>61</v>
      </c>
      <c r="B1073" s="24" t="s">
        <v>23</v>
      </c>
      <c r="C1073" s="24" t="s">
        <v>95</v>
      </c>
      <c r="D1073" s="24" t="s">
        <v>486</v>
      </c>
      <c r="E1073" s="24">
        <v>0</v>
      </c>
      <c r="F1073" s="24" t="s">
        <v>129</v>
      </c>
    </row>
    <row r="1074" spans="1:6" x14ac:dyDescent="0.3">
      <c r="A1074" s="24" t="s">
        <v>61</v>
      </c>
      <c r="B1074" s="24" t="s">
        <v>23</v>
      </c>
      <c r="C1074" s="24" t="s">
        <v>97</v>
      </c>
      <c r="D1074" s="24" t="s">
        <v>485</v>
      </c>
      <c r="E1074" s="24">
        <v>0</v>
      </c>
      <c r="F1074" s="24" t="s">
        <v>129</v>
      </c>
    </row>
    <row r="1075" spans="1:6" x14ac:dyDescent="0.3">
      <c r="A1075" s="24" t="s">
        <v>61</v>
      </c>
      <c r="B1075" s="24" t="s">
        <v>23</v>
      </c>
      <c r="C1075" s="24" t="s">
        <v>99</v>
      </c>
      <c r="D1075" s="24" t="s">
        <v>486</v>
      </c>
      <c r="E1075" s="24">
        <v>0</v>
      </c>
      <c r="F1075" s="24" t="s">
        <v>129</v>
      </c>
    </row>
    <row r="1076" spans="1:6" x14ac:dyDescent="0.3">
      <c r="A1076" s="24" t="s">
        <v>61</v>
      </c>
      <c r="B1076" s="24" t="s">
        <v>23</v>
      </c>
      <c r="C1076" s="24" t="s">
        <v>101</v>
      </c>
      <c r="D1076" s="24" t="s">
        <v>487</v>
      </c>
      <c r="E1076" s="24">
        <v>0</v>
      </c>
      <c r="F1076" s="24" t="s">
        <v>129</v>
      </c>
    </row>
    <row r="1077" spans="1:6" x14ac:dyDescent="0.3">
      <c r="A1077" s="24" t="s">
        <v>61</v>
      </c>
      <c r="B1077" s="24" t="s">
        <v>23</v>
      </c>
      <c r="C1077" s="24" t="s">
        <v>103</v>
      </c>
      <c r="D1077" s="24" t="s">
        <v>486</v>
      </c>
      <c r="E1077" s="24">
        <v>0</v>
      </c>
      <c r="F1077" s="24" t="s">
        <v>129</v>
      </c>
    </row>
    <row r="1078" spans="1:6" x14ac:dyDescent="0.3">
      <c r="A1078" s="24" t="s">
        <v>61</v>
      </c>
      <c r="B1078" s="24" t="s">
        <v>23</v>
      </c>
      <c r="C1078" s="24" t="s">
        <v>105</v>
      </c>
      <c r="D1078" s="24" t="s">
        <v>486</v>
      </c>
      <c r="E1078" s="24">
        <v>0</v>
      </c>
      <c r="F1078" s="24" t="s">
        <v>129</v>
      </c>
    </row>
    <row r="1079" spans="1:6" x14ac:dyDescent="0.3">
      <c r="A1079" s="24" t="s">
        <v>61</v>
      </c>
      <c r="B1079" s="24" t="s">
        <v>23</v>
      </c>
      <c r="C1079" s="24" t="s">
        <v>107</v>
      </c>
      <c r="D1079" s="24" t="s">
        <v>485</v>
      </c>
      <c r="E1079" s="24">
        <v>0</v>
      </c>
      <c r="F1079" s="24" t="s">
        <v>129</v>
      </c>
    </row>
    <row r="1080" spans="1:6" x14ac:dyDescent="0.3">
      <c r="A1080" s="24" t="s">
        <v>61</v>
      </c>
      <c r="B1080" s="24" t="s">
        <v>23</v>
      </c>
      <c r="C1080" s="24" t="s">
        <v>109</v>
      </c>
      <c r="D1080" s="24" t="s">
        <v>485</v>
      </c>
      <c r="E1080" s="24">
        <v>1</v>
      </c>
      <c r="F1080" s="24" t="s">
        <v>129</v>
      </c>
    </row>
    <row r="1081" spans="1:6" x14ac:dyDescent="0.3">
      <c r="A1081" s="24" t="s">
        <v>61</v>
      </c>
      <c r="B1081" s="24" t="s">
        <v>23</v>
      </c>
      <c r="C1081" s="24" t="s">
        <v>111</v>
      </c>
      <c r="D1081" s="24" t="s">
        <v>486</v>
      </c>
      <c r="E1081" s="24">
        <v>0</v>
      </c>
      <c r="F1081" s="24" t="s">
        <v>129</v>
      </c>
    </row>
    <row r="1082" spans="1:6" x14ac:dyDescent="0.3">
      <c r="A1082" s="24" t="s">
        <v>19</v>
      </c>
      <c r="B1082" s="24" t="s">
        <v>25</v>
      </c>
      <c r="C1082" s="24" t="s">
        <v>77</v>
      </c>
      <c r="D1082" s="24" t="s">
        <v>485</v>
      </c>
      <c r="E1082" s="24">
        <v>1</v>
      </c>
      <c r="F1082" s="24" t="s">
        <v>129</v>
      </c>
    </row>
    <row r="1083" spans="1:6" x14ac:dyDescent="0.3">
      <c r="A1083" s="24" t="s">
        <v>19</v>
      </c>
      <c r="B1083" s="24" t="s">
        <v>25</v>
      </c>
      <c r="C1083" s="24" t="s">
        <v>79</v>
      </c>
      <c r="D1083" s="24" t="s">
        <v>485</v>
      </c>
      <c r="E1083" s="24">
        <v>0</v>
      </c>
      <c r="F1083" s="24" t="s">
        <v>129</v>
      </c>
    </row>
    <row r="1084" spans="1:6" x14ac:dyDescent="0.3">
      <c r="A1084" s="24" t="s">
        <v>19</v>
      </c>
      <c r="B1084" s="24" t="s">
        <v>25</v>
      </c>
      <c r="C1084" s="24" t="s">
        <v>81</v>
      </c>
      <c r="D1084" s="24" t="s">
        <v>486</v>
      </c>
      <c r="E1084" s="24">
        <v>0</v>
      </c>
      <c r="F1084" s="24" t="s">
        <v>129</v>
      </c>
    </row>
    <row r="1085" spans="1:6" x14ac:dyDescent="0.3">
      <c r="A1085" s="24" t="s">
        <v>19</v>
      </c>
      <c r="B1085" s="24" t="s">
        <v>25</v>
      </c>
      <c r="C1085" s="24" t="s">
        <v>83</v>
      </c>
      <c r="D1085" s="24" t="s">
        <v>485</v>
      </c>
      <c r="E1085" s="24">
        <v>0</v>
      </c>
      <c r="F1085" s="24" t="s">
        <v>129</v>
      </c>
    </row>
    <row r="1086" spans="1:6" x14ac:dyDescent="0.3">
      <c r="A1086" s="24" t="s">
        <v>19</v>
      </c>
      <c r="B1086" s="24" t="s">
        <v>25</v>
      </c>
      <c r="C1086" s="24" t="s">
        <v>85</v>
      </c>
      <c r="D1086" s="24" t="s">
        <v>486</v>
      </c>
      <c r="E1086" s="24">
        <v>0</v>
      </c>
      <c r="F1086" s="24" t="s">
        <v>129</v>
      </c>
    </row>
    <row r="1087" spans="1:6" x14ac:dyDescent="0.3">
      <c r="A1087" s="24" t="s">
        <v>19</v>
      </c>
      <c r="B1087" s="24" t="s">
        <v>25</v>
      </c>
      <c r="C1087" s="24" t="s">
        <v>87</v>
      </c>
      <c r="D1087" s="24" t="s">
        <v>485</v>
      </c>
      <c r="E1087" s="24">
        <v>0</v>
      </c>
      <c r="F1087" s="24" t="s">
        <v>126</v>
      </c>
    </row>
    <row r="1088" spans="1:6" x14ac:dyDescent="0.3">
      <c r="A1088" s="24" t="s">
        <v>19</v>
      </c>
      <c r="B1088" s="24" t="s">
        <v>25</v>
      </c>
      <c r="C1088" s="24" t="s">
        <v>89</v>
      </c>
      <c r="D1088" s="24" t="s">
        <v>486</v>
      </c>
      <c r="E1088" s="24">
        <v>0</v>
      </c>
      <c r="F1088" s="24" t="s">
        <v>129</v>
      </c>
    </row>
    <row r="1089" spans="1:6" x14ac:dyDescent="0.3">
      <c r="A1089" s="24" t="s">
        <v>19</v>
      </c>
      <c r="B1089" s="24" t="s">
        <v>25</v>
      </c>
      <c r="C1089" s="24" t="s">
        <v>91</v>
      </c>
      <c r="D1089" s="24" t="s">
        <v>486</v>
      </c>
      <c r="E1089" s="24">
        <v>0</v>
      </c>
      <c r="F1089" s="24" t="s">
        <v>129</v>
      </c>
    </row>
    <row r="1090" spans="1:6" x14ac:dyDescent="0.3">
      <c r="A1090" s="24" t="s">
        <v>19</v>
      </c>
      <c r="B1090" s="24" t="s">
        <v>25</v>
      </c>
      <c r="C1090" s="24" t="s">
        <v>93</v>
      </c>
      <c r="D1090" s="24" t="s">
        <v>486</v>
      </c>
      <c r="E1090" s="24">
        <v>0</v>
      </c>
      <c r="F1090" s="24" t="s">
        <v>129</v>
      </c>
    </row>
    <row r="1091" spans="1:6" x14ac:dyDescent="0.3">
      <c r="A1091" s="24" t="s">
        <v>19</v>
      </c>
      <c r="B1091" s="24" t="s">
        <v>25</v>
      </c>
      <c r="C1091" s="24" t="s">
        <v>95</v>
      </c>
      <c r="D1091" s="24" t="s">
        <v>486</v>
      </c>
      <c r="E1091" s="24">
        <v>0</v>
      </c>
      <c r="F1091" s="24" t="s">
        <v>129</v>
      </c>
    </row>
    <row r="1092" spans="1:6" x14ac:dyDescent="0.3">
      <c r="A1092" s="24" t="s">
        <v>19</v>
      </c>
      <c r="B1092" s="24" t="s">
        <v>25</v>
      </c>
      <c r="C1092" s="24" t="s">
        <v>97</v>
      </c>
      <c r="D1092" s="24" t="s">
        <v>485</v>
      </c>
      <c r="E1092" s="24">
        <v>0</v>
      </c>
      <c r="F1092" s="24" t="s">
        <v>129</v>
      </c>
    </row>
    <row r="1093" spans="1:6" x14ac:dyDescent="0.3">
      <c r="A1093" s="24" t="s">
        <v>19</v>
      </c>
      <c r="B1093" s="24" t="s">
        <v>25</v>
      </c>
      <c r="C1093" s="24" t="s">
        <v>99</v>
      </c>
      <c r="D1093" s="24" t="s">
        <v>486</v>
      </c>
      <c r="E1093" s="24">
        <v>0</v>
      </c>
      <c r="F1093" s="24" t="s">
        <v>129</v>
      </c>
    </row>
    <row r="1094" spans="1:6" x14ac:dyDescent="0.3">
      <c r="A1094" s="24" t="s">
        <v>19</v>
      </c>
      <c r="B1094" s="24" t="s">
        <v>25</v>
      </c>
      <c r="C1094" s="24" t="s">
        <v>101</v>
      </c>
      <c r="D1094" s="24" t="s">
        <v>487</v>
      </c>
      <c r="E1094" s="24">
        <v>0</v>
      </c>
      <c r="F1094" s="24" t="s">
        <v>129</v>
      </c>
    </row>
    <row r="1095" spans="1:6" x14ac:dyDescent="0.3">
      <c r="A1095" s="24" t="s">
        <v>19</v>
      </c>
      <c r="B1095" s="24" t="s">
        <v>25</v>
      </c>
      <c r="C1095" s="24" t="s">
        <v>103</v>
      </c>
      <c r="D1095" s="24" t="s">
        <v>486</v>
      </c>
      <c r="E1095" s="24">
        <v>0</v>
      </c>
      <c r="F1095" s="24" t="s">
        <v>129</v>
      </c>
    </row>
    <row r="1096" spans="1:6" x14ac:dyDescent="0.3">
      <c r="A1096" s="24" t="s">
        <v>19</v>
      </c>
      <c r="B1096" s="24" t="s">
        <v>25</v>
      </c>
      <c r="C1096" s="24" t="s">
        <v>105</v>
      </c>
      <c r="D1096" s="24" t="s">
        <v>486</v>
      </c>
      <c r="E1096" s="24">
        <v>0</v>
      </c>
      <c r="F1096" s="24" t="s">
        <v>129</v>
      </c>
    </row>
    <row r="1097" spans="1:6" x14ac:dyDescent="0.3">
      <c r="A1097" s="24" t="s">
        <v>19</v>
      </c>
      <c r="B1097" s="24" t="s">
        <v>25</v>
      </c>
      <c r="C1097" s="24" t="s">
        <v>107</v>
      </c>
      <c r="D1097" s="24" t="s">
        <v>485</v>
      </c>
      <c r="E1097" s="24">
        <v>0</v>
      </c>
      <c r="F1097" s="24" t="s">
        <v>129</v>
      </c>
    </row>
    <row r="1098" spans="1:6" x14ac:dyDescent="0.3">
      <c r="A1098" s="24" t="s">
        <v>19</v>
      </c>
      <c r="B1098" s="24" t="s">
        <v>25</v>
      </c>
      <c r="C1098" s="24" t="s">
        <v>109</v>
      </c>
      <c r="D1098" s="24" t="s">
        <v>485</v>
      </c>
      <c r="E1098" s="24">
        <v>0</v>
      </c>
      <c r="F1098" s="24"/>
    </row>
    <row r="1099" spans="1:6" x14ac:dyDescent="0.3">
      <c r="A1099" s="24" t="s">
        <v>19</v>
      </c>
      <c r="B1099" s="24" t="s">
        <v>25</v>
      </c>
      <c r="C1099" s="24" t="s">
        <v>111</v>
      </c>
      <c r="D1099" s="24" t="s">
        <v>486</v>
      </c>
      <c r="E1099" s="24">
        <v>0</v>
      </c>
      <c r="F1099" s="24" t="s">
        <v>129</v>
      </c>
    </row>
    <row r="1100" spans="1:6" x14ac:dyDescent="0.3">
      <c r="A1100" s="24" t="s">
        <v>26</v>
      </c>
      <c r="B1100" s="24" t="s">
        <v>25</v>
      </c>
      <c r="C1100" s="24" t="s">
        <v>77</v>
      </c>
      <c r="D1100" s="24" t="s">
        <v>485</v>
      </c>
      <c r="E1100" s="24">
        <v>0</v>
      </c>
      <c r="F1100" s="24" t="s">
        <v>126</v>
      </c>
    </row>
    <row r="1101" spans="1:6" x14ac:dyDescent="0.3">
      <c r="A1101" s="24" t="s">
        <v>26</v>
      </c>
      <c r="B1101" s="24" t="s">
        <v>25</v>
      </c>
      <c r="C1101" s="24" t="s">
        <v>79</v>
      </c>
      <c r="D1101" s="24" t="s">
        <v>485</v>
      </c>
      <c r="E1101" s="24">
        <v>0</v>
      </c>
      <c r="F1101" s="24" t="s">
        <v>129</v>
      </c>
    </row>
    <row r="1102" spans="1:6" x14ac:dyDescent="0.3">
      <c r="A1102" s="24" t="s">
        <v>26</v>
      </c>
      <c r="B1102" s="24" t="s">
        <v>25</v>
      </c>
      <c r="C1102" s="24" t="s">
        <v>81</v>
      </c>
      <c r="D1102" s="24" t="s">
        <v>486</v>
      </c>
      <c r="E1102" s="24">
        <v>1</v>
      </c>
      <c r="F1102" s="24" t="s">
        <v>129</v>
      </c>
    </row>
    <row r="1103" spans="1:6" x14ac:dyDescent="0.3">
      <c r="A1103" s="24" t="s">
        <v>26</v>
      </c>
      <c r="B1103" s="24" t="s">
        <v>25</v>
      </c>
      <c r="C1103" s="24" t="s">
        <v>83</v>
      </c>
      <c r="D1103" s="24" t="s">
        <v>485</v>
      </c>
      <c r="E1103" s="24">
        <v>0</v>
      </c>
      <c r="F1103" s="24" t="s">
        <v>129</v>
      </c>
    </row>
    <row r="1104" spans="1:6" x14ac:dyDescent="0.3">
      <c r="A1104" s="24" t="s">
        <v>26</v>
      </c>
      <c r="B1104" s="24" t="s">
        <v>25</v>
      </c>
      <c r="C1104" s="24" t="s">
        <v>85</v>
      </c>
      <c r="D1104" s="24" t="s">
        <v>486</v>
      </c>
      <c r="E1104" s="24">
        <v>0</v>
      </c>
      <c r="F1104" s="24" t="s">
        <v>129</v>
      </c>
    </row>
    <row r="1105" spans="1:6" x14ac:dyDescent="0.3">
      <c r="A1105" s="24" t="s">
        <v>26</v>
      </c>
      <c r="B1105" s="24" t="s">
        <v>25</v>
      </c>
      <c r="C1105" s="24" t="s">
        <v>87</v>
      </c>
      <c r="D1105" s="24" t="s">
        <v>485</v>
      </c>
      <c r="E1105" s="24">
        <v>0</v>
      </c>
      <c r="F1105" s="24" t="s">
        <v>126</v>
      </c>
    </row>
    <row r="1106" spans="1:6" x14ac:dyDescent="0.3">
      <c r="A1106" s="24" t="s">
        <v>26</v>
      </c>
      <c r="B1106" s="24" t="s">
        <v>25</v>
      </c>
      <c r="C1106" s="24" t="s">
        <v>89</v>
      </c>
      <c r="D1106" s="24" t="s">
        <v>486</v>
      </c>
      <c r="E1106" s="24">
        <v>0</v>
      </c>
      <c r="F1106" s="24" t="s">
        <v>129</v>
      </c>
    </row>
    <row r="1107" spans="1:6" x14ac:dyDescent="0.3">
      <c r="A1107" s="24" t="s">
        <v>26</v>
      </c>
      <c r="B1107" s="24" t="s">
        <v>25</v>
      </c>
      <c r="C1107" s="24" t="s">
        <v>91</v>
      </c>
      <c r="D1107" s="24" t="s">
        <v>486</v>
      </c>
      <c r="E1107" s="24">
        <v>0</v>
      </c>
      <c r="F1107" s="24" t="s">
        <v>129</v>
      </c>
    </row>
    <row r="1108" spans="1:6" x14ac:dyDescent="0.3">
      <c r="A1108" s="24" t="s">
        <v>26</v>
      </c>
      <c r="B1108" s="24" t="s">
        <v>25</v>
      </c>
      <c r="C1108" s="24" t="s">
        <v>93</v>
      </c>
      <c r="D1108" s="24" t="s">
        <v>486</v>
      </c>
      <c r="E1108" s="24">
        <v>0</v>
      </c>
      <c r="F1108" s="24" t="s">
        <v>129</v>
      </c>
    </row>
    <row r="1109" spans="1:6" x14ac:dyDescent="0.3">
      <c r="A1109" s="24" t="s">
        <v>26</v>
      </c>
      <c r="B1109" s="24" t="s">
        <v>25</v>
      </c>
      <c r="C1109" s="24" t="s">
        <v>95</v>
      </c>
      <c r="D1109" s="24" t="s">
        <v>486</v>
      </c>
      <c r="E1109" s="24">
        <v>0</v>
      </c>
      <c r="F1109" s="24" t="s">
        <v>129</v>
      </c>
    </row>
    <row r="1110" spans="1:6" x14ac:dyDescent="0.3">
      <c r="A1110" s="24" t="s">
        <v>26</v>
      </c>
      <c r="B1110" s="24" t="s">
        <v>25</v>
      </c>
      <c r="C1110" s="24" t="s">
        <v>97</v>
      </c>
      <c r="D1110" s="24" t="s">
        <v>485</v>
      </c>
      <c r="E1110" s="24">
        <v>0</v>
      </c>
      <c r="F1110" s="24" t="s">
        <v>129</v>
      </c>
    </row>
    <row r="1111" spans="1:6" x14ac:dyDescent="0.3">
      <c r="A1111" s="24" t="s">
        <v>26</v>
      </c>
      <c r="B1111" s="24" t="s">
        <v>25</v>
      </c>
      <c r="C1111" s="24" t="s">
        <v>99</v>
      </c>
      <c r="D1111" s="24" t="s">
        <v>486</v>
      </c>
      <c r="E1111" s="24">
        <v>0</v>
      </c>
      <c r="F1111" s="24" t="s">
        <v>129</v>
      </c>
    </row>
    <row r="1112" spans="1:6" x14ac:dyDescent="0.3">
      <c r="A1112" s="24" t="s">
        <v>26</v>
      </c>
      <c r="B1112" s="24" t="s">
        <v>25</v>
      </c>
      <c r="C1112" s="24" t="s">
        <v>101</v>
      </c>
      <c r="D1112" s="24" t="s">
        <v>487</v>
      </c>
      <c r="E1112" s="24">
        <v>0</v>
      </c>
      <c r="F1112" s="24" t="s">
        <v>129</v>
      </c>
    </row>
    <row r="1113" spans="1:6" x14ac:dyDescent="0.3">
      <c r="A1113" s="24" t="s">
        <v>26</v>
      </c>
      <c r="B1113" s="24" t="s">
        <v>25</v>
      </c>
      <c r="C1113" s="24" t="s">
        <v>103</v>
      </c>
      <c r="D1113" s="24" t="s">
        <v>486</v>
      </c>
      <c r="E1113" s="24">
        <v>0</v>
      </c>
      <c r="F1113" s="24" t="s">
        <v>129</v>
      </c>
    </row>
    <row r="1114" spans="1:6" x14ac:dyDescent="0.3">
      <c r="A1114" s="24" t="s">
        <v>26</v>
      </c>
      <c r="B1114" s="24" t="s">
        <v>25</v>
      </c>
      <c r="C1114" s="24" t="s">
        <v>105</v>
      </c>
      <c r="D1114" s="24" t="s">
        <v>486</v>
      </c>
      <c r="E1114" s="24">
        <v>0</v>
      </c>
      <c r="F1114" s="24" t="s">
        <v>129</v>
      </c>
    </row>
    <row r="1115" spans="1:6" x14ac:dyDescent="0.3">
      <c r="A1115" s="24" t="s">
        <v>26</v>
      </c>
      <c r="B1115" s="24" t="s">
        <v>25</v>
      </c>
      <c r="C1115" s="24" t="s">
        <v>107</v>
      </c>
      <c r="D1115" s="24" t="s">
        <v>485</v>
      </c>
      <c r="E1115" s="24">
        <v>0</v>
      </c>
      <c r="F1115" s="24" t="s">
        <v>126</v>
      </c>
    </row>
    <row r="1116" spans="1:6" x14ac:dyDescent="0.3">
      <c r="A1116" s="24" t="s">
        <v>26</v>
      </c>
      <c r="B1116" s="24" t="s">
        <v>25</v>
      </c>
      <c r="C1116" s="24" t="s">
        <v>109</v>
      </c>
      <c r="D1116" s="24" t="s">
        <v>485</v>
      </c>
      <c r="E1116" s="24">
        <v>0</v>
      </c>
      <c r="F1116" s="24"/>
    </row>
    <row r="1117" spans="1:6" x14ac:dyDescent="0.3">
      <c r="A1117" s="24" t="s">
        <v>26</v>
      </c>
      <c r="B1117" s="24" t="s">
        <v>25</v>
      </c>
      <c r="C1117" s="24" t="s">
        <v>111</v>
      </c>
      <c r="D1117" s="24" t="s">
        <v>486</v>
      </c>
      <c r="E1117" s="24">
        <v>0</v>
      </c>
      <c r="F1117" s="24" t="s">
        <v>129</v>
      </c>
    </row>
    <row r="1118" spans="1:6" x14ac:dyDescent="0.3">
      <c r="A1118" s="24" t="s">
        <v>28</v>
      </c>
      <c r="B1118" s="24" t="s">
        <v>25</v>
      </c>
      <c r="C1118" s="24" t="s">
        <v>77</v>
      </c>
      <c r="D1118" s="24" t="s">
        <v>485</v>
      </c>
      <c r="E1118" s="24">
        <v>0</v>
      </c>
      <c r="F1118" s="24" t="s">
        <v>126</v>
      </c>
    </row>
    <row r="1119" spans="1:6" x14ac:dyDescent="0.3">
      <c r="A1119" s="24" t="s">
        <v>28</v>
      </c>
      <c r="B1119" s="24" t="s">
        <v>25</v>
      </c>
      <c r="C1119" s="24" t="s">
        <v>79</v>
      </c>
      <c r="D1119" s="24" t="s">
        <v>485</v>
      </c>
      <c r="E1119" s="24">
        <v>0</v>
      </c>
      <c r="F1119" s="24" t="s">
        <v>129</v>
      </c>
    </row>
    <row r="1120" spans="1:6" x14ac:dyDescent="0.3">
      <c r="A1120" s="24" t="s">
        <v>28</v>
      </c>
      <c r="B1120" s="24" t="s">
        <v>25</v>
      </c>
      <c r="C1120" s="24" t="s">
        <v>81</v>
      </c>
      <c r="D1120" s="24" t="s">
        <v>486</v>
      </c>
      <c r="E1120" s="24">
        <v>0</v>
      </c>
      <c r="F1120" s="24" t="s">
        <v>128</v>
      </c>
    </row>
    <row r="1121" spans="1:6" x14ac:dyDescent="0.3">
      <c r="A1121" s="24" t="s">
        <v>28</v>
      </c>
      <c r="B1121" s="24" t="s">
        <v>25</v>
      </c>
      <c r="C1121" s="24" t="s">
        <v>83</v>
      </c>
      <c r="D1121" s="24" t="s">
        <v>485</v>
      </c>
      <c r="E1121" s="24">
        <v>0</v>
      </c>
      <c r="F1121" s="24" t="s">
        <v>129</v>
      </c>
    </row>
    <row r="1122" spans="1:6" x14ac:dyDescent="0.3">
      <c r="A1122" s="24" t="s">
        <v>28</v>
      </c>
      <c r="B1122" s="24" t="s">
        <v>25</v>
      </c>
      <c r="C1122" s="24" t="s">
        <v>85</v>
      </c>
      <c r="D1122" s="24" t="s">
        <v>486</v>
      </c>
      <c r="E1122" s="24">
        <v>0</v>
      </c>
      <c r="F1122" s="24" t="s">
        <v>129</v>
      </c>
    </row>
    <row r="1123" spans="1:6" x14ac:dyDescent="0.3">
      <c r="A1123" s="24" t="s">
        <v>28</v>
      </c>
      <c r="B1123" s="24" t="s">
        <v>25</v>
      </c>
      <c r="C1123" s="24" t="s">
        <v>87</v>
      </c>
      <c r="D1123" s="24" t="s">
        <v>485</v>
      </c>
      <c r="E1123" s="24">
        <v>0</v>
      </c>
      <c r="F1123" s="24" t="s">
        <v>126</v>
      </c>
    </row>
    <row r="1124" spans="1:6" x14ac:dyDescent="0.3">
      <c r="A1124" s="24" t="s">
        <v>28</v>
      </c>
      <c r="B1124" s="24" t="s">
        <v>25</v>
      </c>
      <c r="C1124" s="24" t="s">
        <v>89</v>
      </c>
      <c r="D1124" s="24" t="s">
        <v>486</v>
      </c>
      <c r="E1124" s="24">
        <v>0</v>
      </c>
      <c r="F1124" s="24" t="s">
        <v>129</v>
      </c>
    </row>
    <row r="1125" spans="1:6" x14ac:dyDescent="0.3">
      <c r="A1125" s="24" t="s">
        <v>28</v>
      </c>
      <c r="B1125" s="24" t="s">
        <v>25</v>
      </c>
      <c r="C1125" s="24" t="s">
        <v>91</v>
      </c>
      <c r="D1125" s="24" t="s">
        <v>486</v>
      </c>
      <c r="E1125" s="24">
        <v>0</v>
      </c>
      <c r="F1125" s="24" t="s">
        <v>129</v>
      </c>
    </row>
    <row r="1126" spans="1:6" x14ac:dyDescent="0.3">
      <c r="A1126" s="24" t="s">
        <v>28</v>
      </c>
      <c r="B1126" s="24" t="s">
        <v>25</v>
      </c>
      <c r="C1126" s="24" t="s">
        <v>93</v>
      </c>
      <c r="D1126" s="24" t="s">
        <v>486</v>
      </c>
      <c r="E1126" s="24">
        <v>0</v>
      </c>
      <c r="F1126" s="24" t="s">
        <v>129</v>
      </c>
    </row>
    <row r="1127" spans="1:6" x14ac:dyDescent="0.3">
      <c r="A1127" s="24" t="s">
        <v>28</v>
      </c>
      <c r="B1127" s="24" t="s">
        <v>25</v>
      </c>
      <c r="C1127" s="24" t="s">
        <v>95</v>
      </c>
      <c r="D1127" s="24" t="s">
        <v>486</v>
      </c>
      <c r="E1127" s="24">
        <v>0</v>
      </c>
      <c r="F1127" s="24" t="s">
        <v>129</v>
      </c>
    </row>
    <row r="1128" spans="1:6" x14ac:dyDescent="0.3">
      <c r="A1128" s="24" t="s">
        <v>28</v>
      </c>
      <c r="B1128" s="24" t="s">
        <v>25</v>
      </c>
      <c r="C1128" s="24" t="s">
        <v>97</v>
      </c>
      <c r="D1128" s="24" t="s">
        <v>485</v>
      </c>
      <c r="E1128" s="24">
        <v>0</v>
      </c>
      <c r="F1128" s="24" t="s">
        <v>129</v>
      </c>
    </row>
    <row r="1129" spans="1:6" x14ac:dyDescent="0.3">
      <c r="A1129" s="24" t="s">
        <v>28</v>
      </c>
      <c r="B1129" s="24" t="s">
        <v>25</v>
      </c>
      <c r="C1129" s="24" t="s">
        <v>99</v>
      </c>
      <c r="D1129" s="24" t="s">
        <v>486</v>
      </c>
      <c r="E1129" s="24">
        <v>0</v>
      </c>
      <c r="F1129" s="24" t="s">
        <v>129</v>
      </c>
    </row>
    <row r="1130" spans="1:6" x14ac:dyDescent="0.3">
      <c r="A1130" s="24" t="s">
        <v>28</v>
      </c>
      <c r="B1130" s="24" t="s">
        <v>25</v>
      </c>
      <c r="C1130" s="24" t="s">
        <v>101</v>
      </c>
      <c r="D1130" s="24" t="s">
        <v>487</v>
      </c>
      <c r="E1130" s="24">
        <v>0</v>
      </c>
      <c r="F1130" s="24" t="s">
        <v>129</v>
      </c>
    </row>
    <row r="1131" spans="1:6" x14ac:dyDescent="0.3">
      <c r="A1131" s="24" t="s">
        <v>28</v>
      </c>
      <c r="B1131" s="24" t="s">
        <v>25</v>
      </c>
      <c r="C1131" s="24" t="s">
        <v>103</v>
      </c>
      <c r="D1131" s="24" t="s">
        <v>486</v>
      </c>
      <c r="E1131" s="24">
        <v>0</v>
      </c>
      <c r="F1131" s="24" t="s">
        <v>129</v>
      </c>
    </row>
    <row r="1132" spans="1:6" x14ac:dyDescent="0.3">
      <c r="A1132" s="24" t="s">
        <v>28</v>
      </c>
      <c r="B1132" s="24" t="s">
        <v>25</v>
      </c>
      <c r="C1132" s="24" t="s">
        <v>105</v>
      </c>
      <c r="D1132" s="24" t="s">
        <v>486</v>
      </c>
      <c r="E1132" s="24">
        <v>0</v>
      </c>
      <c r="F1132" s="24" t="s">
        <v>129</v>
      </c>
    </row>
    <row r="1133" spans="1:6" x14ac:dyDescent="0.3">
      <c r="A1133" s="24" t="s">
        <v>28</v>
      </c>
      <c r="B1133" s="24" t="s">
        <v>25</v>
      </c>
      <c r="C1133" s="24" t="s">
        <v>107</v>
      </c>
      <c r="D1133" s="24" t="s">
        <v>485</v>
      </c>
      <c r="E1133" s="24">
        <v>0</v>
      </c>
      <c r="F1133" s="24" t="s">
        <v>129</v>
      </c>
    </row>
    <row r="1134" spans="1:6" x14ac:dyDescent="0.3">
      <c r="A1134" s="24" t="s">
        <v>28</v>
      </c>
      <c r="B1134" s="24" t="s">
        <v>25</v>
      </c>
      <c r="C1134" s="24" t="s">
        <v>109</v>
      </c>
      <c r="D1134" s="24" t="s">
        <v>485</v>
      </c>
      <c r="E1134" s="24">
        <v>0</v>
      </c>
      <c r="F1134" s="24"/>
    </row>
    <row r="1135" spans="1:6" x14ac:dyDescent="0.3">
      <c r="A1135" s="24" t="s">
        <v>28</v>
      </c>
      <c r="B1135" s="24" t="s">
        <v>25</v>
      </c>
      <c r="C1135" s="24" t="s">
        <v>111</v>
      </c>
      <c r="D1135" s="24" t="s">
        <v>486</v>
      </c>
      <c r="E1135" s="24">
        <v>0</v>
      </c>
      <c r="F1135" s="24" t="s">
        <v>129</v>
      </c>
    </row>
    <row r="1136" spans="1:6" x14ac:dyDescent="0.3">
      <c r="A1136" s="24" t="s">
        <v>30</v>
      </c>
      <c r="B1136" s="24" t="s">
        <v>25</v>
      </c>
      <c r="C1136" s="24" t="s">
        <v>77</v>
      </c>
      <c r="D1136" s="24" t="s">
        <v>485</v>
      </c>
      <c r="E1136" s="24">
        <v>0</v>
      </c>
      <c r="F1136" s="24" t="s">
        <v>126</v>
      </c>
    </row>
    <row r="1137" spans="1:6" x14ac:dyDescent="0.3">
      <c r="A1137" s="24" t="s">
        <v>30</v>
      </c>
      <c r="B1137" s="24" t="s">
        <v>25</v>
      </c>
      <c r="C1137" s="24" t="s">
        <v>79</v>
      </c>
      <c r="D1137" s="24" t="s">
        <v>485</v>
      </c>
      <c r="E1137" s="24">
        <v>0</v>
      </c>
      <c r="F1137" s="24" t="s">
        <v>129</v>
      </c>
    </row>
    <row r="1138" spans="1:6" x14ac:dyDescent="0.3">
      <c r="A1138" s="24" t="s">
        <v>30</v>
      </c>
      <c r="B1138" s="24" t="s">
        <v>25</v>
      </c>
      <c r="C1138" s="24" t="s">
        <v>81</v>
      </c>
      <c r="D1138" s="24" t="s">
        <v>486</v>
      </c>
      <c r="E1138" s="24">
        <v>1</v>
      </c>
      <c r="F1138" s="24" t="s">
        <v>128</v>
      </c>
    </row>
    <row r="1139" spans="1:6" x14ac:dyDescent="0.3">
      <c r="A1139" s="24" t="s">
        <v>30</v>
      </c>
      <c r="B1139" s="24" t="s">
        <v>25</v>
      </c>
      <c r="C1139" s="24" t="s">
        <v>83</v>
      </c>
      <c r="D1139" s="24" t="s">
        <v>485</v>
      </c>
      <c r="E1139" s="24">
        <v>0</v>
      </c>
      <c r="F1139" s="24" t="s">
        <v>129</v>
      </c>
    </row>
    <row r="1140" spans="1:6" x14ac:dyDescent="0.3">
      <c r="A1140" s="24" t="s">
        <v>30</v>
      </c>
      <c r="B1140" s="24" t="s">
        <v>25</v>
      </c>
      <c r="C1140" s="24" t="s">
        <v>85</v>
      </c>
      <c r="D1140" s="24" t="s">
        <v>486</v>
      </c>
      <c r="E1140" s="24">
        <v>0</v>
      </c>
      <c r="F1140" s="24" t="s">
        <v>129</v>
      </c>
    </row>
    <row r="1141" spans="1:6" x14ac:dyDescent="0.3">
      <c r="A1141" s="24" t="s">
        <v>30</v>
      </c>
      <c r="B1141" s="24" t="s">
        <v>25</v>
      </c>
      <c r="C1141" s="24" t="s">
        <v>87</v>
      </c>
      <c r="D1141" s="24" t="s">
        <v>485</v>
      </c>
      <c r="E1141" s="24">
        <v>0</v>
      </c>
      <c r="F1141" s="24" t="s">
        <v>126</v>
      </c>
    </row>
    <row r="1142" spans="1:6" x14ac:dyDescent="0.3">
      <c r="A1142" s="24" t="s">
        <v>30</v>
      </c>
      <c r="B1142" s="24" t="s">
        <v>25</v>
      </c>
      <c r="C1142" s="24" t="s">
        <v>89</v>
      </c>
      <c r="D1142" s="24" t="s">
        <v>486</v>
      </c>
      <c r="E1142" s="24">
        <v>0</v>
      </c>
      <c r="F1142" s="24" t="s">
        <v>129</v>
      </c>
    </row>
    <row r="1143" spans="1:6" x14ac:dyDescent="0.3">
      <c r="A1143" s="24" t="s">
        <v>30</v>
      </c>
      <c r="B1143" s="24" t="s">
        <v>25</v>
      </c>
      <c r="C1143" s="24" t="s">
        <v>91</v>
      </c>
      <c r="D1143" s="24" t="s">
        <v>486</v>
      </c>
      <c r="E1143" s="24">
        <v>0</v>
      </c>
      <c r="F1143" s="24" t="s">
        <v>129</v>
      </c>
    </row>
    <row r="1144" spans="1:6" x14ac:dyDescent="0.3">
      <c r="A1144" s="24" t="s">
        <v>30</v>
      </c>
      <c r="B1144" s="24" t="s">
        <v>25</v>
      </c>
      <c r="C1144" s="24" t="s">
        <v>93</v>
      </c>
      <c r="D1144" s="24" t="s">
        <v>486</v>
      </c>
      <c r="E1144" s="24">
        <v>0</v>
      </c>
      <c r="F1144" s="24" t="s">
        <v>129</v>
      </c>
    </row>
    <row r="1145" spans="1:6" x14ac:dyDescent="0.3">
      <c r="A1145" s="24" t="s">
        <v>30</v>
      </c>
      <c r="B1145" s="24" t="s">
        <v>25</v>
      </c>
      <c r="C1145" s="24" t="s">
        <v>95</v>
      </c>
      <c r="D1145" s="24" t="s">
        <v>486</v>
      </c>
      <c r="E1145" s="24">
        <v>0</v>
      </c>
      <c r="F1145" s="24" t="s">
        <v>129</v>
      </c>
    </row>
    <row r="1146" spans="1:6" x14ac:dyDescent="0.3">
      <c r="A1146" s="24" t="s">
        <v>30</v>
      </c>
      <c r="B1146" s="24" t="s">
        <v>25</v>
      </c>
      <c r="C1146" s="24" t="s">
        <v>97</v>
      </c>
      <c r="D1146" s="24" t="s">
        <v>485</v>
      </c>
      <c r="E1146" s="24">
        <v>0</v>
      </c>
      <c r="F1146" s="24" t="s">
        <v>129</v>
      </c>
    </row>
    <row r="1147" spans="1:6" x14ac:dyDescent="0.3">
      <c r="A1147" s="24" t="s">
        <v>30</v>
      </c>
      <c r="B1147" s="24" t="s">
        <v>25</v>
      </c>
      <c r="C1147" s="24" t="s">
        <v>99</v>
      </c>
      <c r="D1147" s="24" t="s">
        <v>486</v>
      </c>
      <c r="E1147" s="24">
        <v>0</v>
      </c>
      <c r="F1147" s="24" t="s">
        <v>129</v>
      </c>
    </row>
    <row r="1148" spans="1:6" x14ac:dyDescent="0.3">
      <c r="A1148" s="24" t="s">
        <v>30</v>
      </c>
      <c r="B1148" s="24" t="s">
        <v>25</v>
      </c>
      <c r="C1148" s="24" t="s">
        <v>101</v>
      </c>
      <c r="D1148" s="24" t="s">
        <v>487</v>
      </c>
      <c r="E1148" s="24">
        <v>0</v>
      </c>
      <c r="F1148" s="24" t="s">
        <v>129</v>
      </c>
    </row>
    <row r="1149" spans="1:6" x14ac:dyDescent="0.3">
      <c r="A1149" s="24" t="s">
        <v>30</v>
      </c>
      <c r="B1149" s="24" t="s">
        <v>25</v>
      </c>
      <c r="C1149" s="24" t="s">
        <v>103</v>
      </c>
      <c r="D1149" s="24" t="s">
        <v>486</v>
      </c>
      <c r="E1149" s="24">
        <v>0</v>
      </c>
      <c r="F1149" s="24" t="s">
        <v>129</v>
      </c>
    </row>
    <row r="1150" spans="1:6" x14ac:dyDescent="0.3">
      <c r="A1150" s="24" t="s">
        <v>30</v>
      </c>
      <c r="B1150" s="24" t="s">
        <v>25</v>
      </c>
      <c r="C1150" s="24" t="s">
        <v>105</v>
      </c>
      <c r="D1150" s="24" t="s">
        <v>486</v>
      </c>
      <c r="E1150" s="24">
        <v>0</v>
      </c>
      <c r="F1150" s="24" t="s">
        <v>129</v>
      </c>
    </row>
    <row r="1151" spans="1:6" x14ac:dyDescent="0.3">
      <c r="A1151" s="24" t="s">
        <v>30</v>
      </c>
      <c r="B1151" s="24" t="s">
        <v>25</v>
      </c>
      <c r="C1151" s="24" t="s">
        <v>107</v>
      </c>
      <c r="D1151" s="24" t="s">
        <v>485</v>
      </c>
      <c r="E1151" s="24">
        <v>0</v>
      </c>
      <c r="F1151" s="24" t="s">
        <v>129</v>
      </c>
    </row>
    <row r="1152" spans="1:6" x14ac:dyDescent="0.3">
      <c r="A1152" s="24" t="s">
        <v>30</v>
      </c>
      <c r="B1152" s="24" t="s">
        <v>25</v>
      </c>
      <c r="C1152" s="24" t="s">
        <v>109</v>
      </c>
      <c r="D1152" s="24" t="s">
        <v>485</v>
      </c>
      <c r="E1152" s="24">
        <v>0</v>
      </c>
      <c r="F1152" s="24"/>
    </row>
    <row r="1153" spans="1:6" x14ac:dyDescent="0.3">
      <c r="A1153" s="24" t="s">
        <v>30</v>
      </c>
      <c r="B1153" s="24" t="s">
        <v>25</v>
      </c>
      <c r="C1153" s="24" t="s">
        <v>111</v>
      </c>
      <c r="D1153" s="24" t="s">
        <v>486</v>
      </c>
      <c r="E1153" s="24">
        <v>0</v>
      </c>
      <c r="F1153" s="24" t="s">
        <v>129</v>
      </c>
    </row>
    <row r="1154" spans="1:6" x14ac:dyDescent="0.3">
      <c r="A1154" s="24" t="s">
        <v>32</v>
      </c>
      <c r="B1154" s="24" t="s">
        <v>25</v>
      </c>
      <c r="C1154" s="24" t="s">
        <v>77</v>
      </c>
      <c r="D1154" s="24" t="s">
        <v>485</v>
      </c>
      <c r="E1154" s="24">
        <v>0</v>
      </c>
      <c r="F1154" s="24" t="s">
        <v>126</v>
      </c>
    </row>
    <row r="1155" spans="1:6" x14ac:dyDescent="0.3">
      <c r="A1155" s="24" t="s">
        <v>32</v>
      </c>
      <c r="B1155" s="24" t="s">
        <v>25</v>
      </c>
      <c r="C1155" s="24" t="s">
        <v>79</v>
      </c>
      <c r="D1155" s="24" t="s">
        <v>485</v>
      </c>
      <c r="E1155" s="24">
        <v>0</v>
      </c>
      <c r="F1155" s="24" t="s">
        <v>129</v>
      </c>
    </row>
    <row r="1156" spans="1:6" x14ac:dyDescent="0.3">
      <c r="A1156" s="24" t="s">
        <v>32</v>
      </c>
      <c r="B1156" s="24" t="s">
        <v>25</v>
      </c>
      <c r="C1156" s="24" t="s">
        <v>81</v>
      </c>
      <c r="D1156" s="24" t="s">
        <v>486</v>
      </c>
      <c r="E1156" s="24">
        <v>1</v>
      </c>
      <c r="F1156" s="24" t="s">
        <v>129</v>
      </c>
    </row>
    <row r="1157" spans="1:6" x14ac:dyDescent="0.3">
      <c r="A1157" s="24" t="s">
        <v>32</v>
      </c>
      <c r="B1157" s="24" t="s">
        <v>25</v>
      </c>
      <c r="C1157" s="24" t="s">
        <v>83</v>
      </c>
      <c r="D1157" s="24" t="s">
        <v>485</v>
      </c>
      <c r="E1157" s="24">
        <v>0</v>
      </c>
      <c r="F1157" s="24" t="s">
        <v>129</v>
      </c>
    </row>
    <row r="1158" spans="1:6" x14ac:dyDescent="0.3">
      <c r="A1158" s="24" t="s">
        <v>32</v>
      </c>
      <c r="B1158" s="24" t="s">
        <v>25</v>
      </c>
      <c r="C1158" s="24" t="s">
        <v>85</v>
      </c>
      <c r="D1158" s="24" t="s">
        <v>486</v>
      </c>
      <c r="E1158" s="24">
        <v>0</v>
      </c>
      <c r="F1158" s="24" t="s">
        <v>129</v>
      </c>
    </row>
    <row r="1159" spans="1:6" x14ac:dyDescent="0.3">
      <c r="A1159" s="24" t="s">
        <v>32</v>
      </c>
      <c r="B1159" s="24" t="s">
        <v>25</v>
      </c>
      <c r="C1159" s="24" t="s">
        <v>87</v>
      </c>
      <c r="D1159" s="24" t="s">
        <v>485</v>
      </c>
      <c r="E1159" s="24">
        <v>0</v>
      </c>
      <c r="F1159" s="24" t="s">
        <v>126</v>
      </c>
    </row>
    <row r="1160" spans="1:6" x14ac:dyDescent="0.3">
      <c r="A1160" s="24" t="s">
        <v>32</v>
      </c>
      <c r="B1160" s="24" t="s">
        <v>25</v>
      </c>
      <c r="C1160" s="24" t="s">
        <v>89</v>
      </c>
      <c r="D1160" s="24" t="s">
        <v>486</v>
      </c>
      <c r="E1160" s="24">
        <v>0</v>
      </c>
      <c r="F1160" s="24" t="s">
        <v>129</v>
      </c>
    </row>
    <row r="1161" spans="1:6" x14ac:dyDescent="0.3">
      <c r="A1161" s="24" t="s">
        <v>32</v>
      </c>
      <c r="B1161" s="24" t="s">
        <v>25</v>
      </c>
      <c r="C1161" s="24" t="s">
        <v>91</v>
      </c>
      <c r="D1161" s="24" t="s">
        <v>486</v>
      </c>
      <c r="E1161" s="24">
        <v>0</v>
      </c>
      <c r="F1161" s="24" t="s">
        <v>129</v>
      </c>
    </row>
    <row r="1162" spans="1:6" x14ac:dyDescent="0.3">
      <c r="A1162" s="24" t="s">
        <v>32</v>
      </c>
      <c r="B1162" s="24" t="s">
        <v>25</v>
      </c>
      <c r="C1162" s="24" t="s">
        <v>93</v>
      </c>
      <c r="D1162" s="24" t="s">
        <v>486</v>
      </c>
      <c r="E1162" s="24">
        <v>0</v>
      </c>
      <c r="F1162" s="24" t="s">
        <v>129</v>
      </c>
    </row>
    <row r="1163" spans="1:6" x14ac:dyDescent="0.3">
      <c r="A1163" s="24" t="s">
        <v>32</v>
      </c>
      <c r="B1163" s="24" t="s">
        <v>25</v>
      </c>
      <c r="C1163" s="24" t="s">
        <v>95</v>
      </c>
      <c r="D1163" s="24" t="s">
        <v>486</v>
      </c>
      <c r="E1163" s="24">
        <v>0</v>
      </c>
      <c r="F1163" s="24" t="s">
        <v>129</v>
      </c>
    </row>
    <row r="1164" spans="1:6" x14ac:dyDescent="0.3">
      <c r="A1164" s="24" t="s">
        <v>32</v>
      </c>
      <c r="B1164" s="24" t="s">
        <v>25</v>
      </c>
      <c r="C1164" s="24" t="s">
        <v>97</v>
      </c>
      <c r="D1164" s="24" t="s">
        <v>485</v>
      </c>
      <c r="E1164" s="24">
        <v>0</v>
      </c>
      <c r="F1164" s="24" t="s">
        <v>129</v>
      </c>
    </row>
    <row r="1165" spans="1:6" x14ac:dyDescent="0.3">
      <c r="A1165" s="24" t="s">
        <v>32</v>
      </c>
      <c r="B1165" s="24" t="s">
        <v>25</v>
      </c>
      <c r="C1165" s="24" t="s">
        <v>99</v>
      </c>
      <c r="D1165" s="24" t="s">
        <v>486</v>
      </c>
      <c r="E1165" s="24">
        <v>0</v>
      </c>
      <c r="F1165" s="24" t="s">
        <v>129</v>
      </c>
    </row>
    <row r="1166" spans="1:6" x14ac:dyDescent="0.3">
      <c r="A1166" s="24" t="s">
        <v>32</v>
      </c>
      <c r="B1166" s="24" t="s">
        <v>25</v>
      </c>
      <c r="C1166" s="24" t="s">
        <v>101</v>
      </c>
      <c r="D1166" s="24" t="s">
        <v>487</v>
      </c>
      <c r="E1166" s="24">
        <v>0</v>
      </c>
      <c r="F1166" s="24" t="s">
        <v>129</v>
      </c>
    </row>
    <row r="1167" spans="1:6" x14ac:dyDescent="0.3">
      <c r="A1167" s="24" t="s">
        <v>32</v>
      </c>
      <c r="B1167" s="24" t="s">
        <v>25</v>
      </c>
      <c r="C1167" s="24" t="s">
        <v>103</v>
      </c>
      <c r="D1167" s="24" t="s">
        <v>486</v>
      </c>
      <c r="E1167" s="24">
        <v>0</v>
      </c>
      <c r="F1167" s="24" t="s">
        <v>129</v>
      </c>
    </row>
    <row r="1168" spans="1:6" x14ac:dyDescent="0.3">
      <c r="A1168" s="24" t="s">
        <v>32</v>
      </c>
      <c r="B1168" s="24" t="s">
        <v>25</v>
      </c>
      <c r="C1168" s="24" t="s">
        <v>105</v>
      </c>
      <c r="D1168" s="24" t="s">
        <v>486</v>
      </c>
      <c r="E1168" s="24">
        <v>0</v>
      </c>
      <c r="F1168" s="24" t="s">
        <v>129</v>
      </c>
    </row>
    <row r="1169" spans="1:6" x14ac:dyDescent="0.3">
      <c r="A1169" s="24" t="s">
        <v>32</v>
      </c>
      <c r="B1169" s="24" t="s">
        <v>25</v>
      </c>
      <c r="C1169" s="24" t="s">
        <v>107</v>
      </c>
      <c r="D1169" s="24" t="s">
        <v>485</v>
      </c>
      <c r="E1169" s="24">
        <v>0</v>
      </c>
      <c r="F1169" s="24" t="s">
        <v>129</v>
      </c>
    </row>
    <row r="1170" spans="1:6" x14ac:dyDescent="0.3">
      <c r="A1170" s="24" t="s">
        <v>32</v>
      </c>
      <c r="B1170" s="24" t="s">
        <v>25</v>
      </c>
      <c r="C1170" s="24" t="s">
        <v>109</v>
      </c>
      <c r="D1170" s="24" t="s">
        <v>485</v>
      </c>
      <c r="E1170" s="24">
        <v>0</v>
      </c>
      <c r="F1170" s="24"/>
    </row>
    <row r="1171" spans="1:6" x14ac:dyDescent="0.3">
      <c r="A1171" s="24" t="s">
        <v>32</v>
      </c>
      <c r="B1171" s="24" t="s">
        <v>25</v>
      </c>
      <c r="C1171" s="24" t="s">
        <v>111</v>
      </c>
      <c r="D1171" s="24" t="s">
        <v>486</v>
      </c>
      <c r="E1171" s="24">
        <v>0</v>
      </c>
      <c r="F1171" s="24" t="s">
        <v>129</v>
      </c>
    </row>
    <row r="1172" spans="1:6" x14ac:dyDescent="0.3">
      <c r="A1172" s="24" t="s">
        <v>34</v>
      </c>
      <c r="B1172" s="24" t="s">
        <v>25</v>
      </c>
      <c r="C1172" s="24" t="s">
        <v>77</v>
      </c>
      <c r="D1172" s="24" t="s">
        <v>485</v>
      </c>
      <c r="E1172" s="24">
        <v>0</v>
      </c>
      <c r="F1172" s="24" t="s">
        <v>126</v>
      </c>
    </row>
    <row r="1173" spans="1:6" x14ac:dyDescent="0.3">
      <c r="A1173" s="24" t="s">
        <v>34</v>
      </c>
      <c r="B1173" s="24" t="s">
        <v>25</v>
      </c>
      <c r="C1173" s="24" t="s">
        <v>79</v>
      </c>
      <c r="D1173" s="24" t="s">
        <v>485</v>
      </c>
      <c r="E1173" s="24">
        <v>0</v>
      </c>
      <c r="F1173" s="24" t="s">
        <v>129</v>
      </c>
    </row>
    <row r="1174" spans="1:6" x14ac:dyDescent="0.3">
      <c r="A1174" s="24" t="s">
        <v>34</v>
      </c>
      <c r="B1174" s="24" t="s">
        <v>25</v>
      </c>
      <c r="C1174" s="24" t="s">
        <v>81</v>
      </c>
      <c r="D1174" s="24" t="s">
        <v>486</v>
      </c>
      <c r="E1174" s="24">
        <v>1</v>
      </c>
      <c r="F1174" s="24" t="s">
        <v>128</v>
      </c>
    </row>
    <row r="1175" spans="1:6" x14ac:dyDescent="0.3">
      <c r="A1175" s="24" t="s">
        <v>34</v>
      </c>
      <c r="B1175" s="24" t="s">
        <v>25</v>
      </c>
      <c r="C1175" s="24" t="s">
        <v>83</v>
      </c>
      <c r="D1175" s="24" t="s">
        <v>485</v>
      </c>
      <c r="E1175" s="24">
        <v>0</v>
      </c>
      <c r="F1175" s="24" t="s">
        <v>129</v>
      </c>
    </row>
    <row r="1176" spans="1:6" x14ac:dyDescent="0.3">
      <c r="A1176" s="24" t="s">
        <v>34</v>
      </c>
      <c r="B1176" s="24" t="s">
        <v>25</v>
      </c>
      <c r="C1176" s="24" t="s">
        <v>85</v>
      </c>
      <c r="D1176" s="24" t="s">
        <v>486</v>
      </c>
      <c r="E1176" s="24">
        <v>0</v>
      </c>
      <c r="F1176" s="24" t="s">
        <v>129</v>
      </c>
    </row>
    <row r="1177" spans="1:6" x14ac:dyDescent="0.3">
      <c r="A1177" s="24" t="s">
        <v>34</v>
      </c>
      <c r="B1177" s="24" t="s">
        <v>25</v>
      </c>
      <c r="C1177" s="24" t="s">
        <v>87</v>
      </c>
      <c r="D1177" s="24" t="s">
        <v>485</v>
      </c>
      <c r="E1177" s="24">
        <v>0</v>
      </c>
      <c r="F1177" s="24" t="s">
        <v>126</v>
      </c>
    </row>
    <row r="1178" spans="1:6" x14ac:dyDescent="0.3">
      <c r="A1178" s="24" t="s">
        <v>34</v>
      </c>
      <c r="B1178" s="24" t="s">
        <v>25</v>
      </c>
      <c r="C1178" s="24" t="s">
        <v>89</v>
      </c>
      <c r="D1178" s="24" t="s">
        <v>486</v>
      </c>
      <c r="E1178" s="24">
        <v>0</v>
      </c>
      <c r="F1178" s="24" t="s">
        <v>129</v>
      </c>
    </row>
    <row r="1179" spans="1:6" x14ac:dyDescent="0.3">
      <c r="A1179" s="24" t="s">
        <v>34</v>
      </c>
      <c r="B1179" s="24" t="s">
        <v>25</v>
      </c>
      <c r="C1179" s="24" t="s">
        <v>91</v>
      </c>
      <c r="D1179" s="24" t="s">
        <v>486</v>
      </c>
      <c r="E1179" s="24">
        <v>0</v>
      </c>
      <c r="F1179" s="24" t="s">
        <v>129</v>
      </c>
    </row>
    <row r="1180" spans="1:6" x14ac:dyDescent="0.3">
      <c r="A1180" s="24" t="s">
        <v>34</v>
      </c>
      <c r="B1180" s="24" t="s">
        <v>25</v>
      </c>
      <c r="C1180" s="24" t="s">
        <v>93</v>
      </c>
      <c r="D1180" s="24" t="s">
        <v>486</v>
      </c>
      <c r="E1180" s="24">
        <v>0</v>
      </c>
      <c r="F1180" s="24" t="s">
        <v>129</v>
      </c>
    </row>
    <row r="1181" spans="1:6" x14ac:dyDescent="0.3">
      <c r="A1181" s="24" t="s">
        <v>34</v>
      </c>
      <c r="B1181" s="24" t="s">
        <v>25</v>
      </c>
      <c r="C1181" s="24" t="s">
        <v>95</v>
      </c>
      <c r="D1181" s="24" t="s">
        <v>486</v>
      </c>
      <c r="E1181" s="24">
        <v>0</v>
      </c>
      <c r="F1181" s="24" t="s">
        <v>129</v>
      </c>
    </row>
    <row r="1182" spans="1:6" x14ac:dyDescent="0.3">
      <c r="A1182" s="24" t="s">
        <v>34</v>
      </c>
      <c r="B1182" s="24" t="s">
        <v>25</v>
      </c>
      <c r="C1182" s="24" t="s">
        <v>97</v>
      </c>
      <c r="D1182" s="24" t="s">
        <v>485</v>
      </c>
      <c r="E1182" s="24">
        <v>0</v>
      </c>
      <c r="F1182" s="24" t="s">
        <v>129</v>
      </c>
    </row>
    <row r="1183" spans="1:6" x14ac:dyDescent="0.3">
      <c r="A1183" s="24" t="s">
        <v>34</v>
      </c>
      <c r="B1183" s="24" t="s">
        <v>25</v>
      </c>
      <c r="C1183" s="24" t="s">
        <v>99</v>
      </c>
      <c r="D1183" s="24" t="s">
        <v>486</v>
      </c>
      <c r="E1183" s="24">
        <v>0</v>
      </c>
      <c r="F1183" s="24" t="s">
        <v>129</v>
      </c>
    </row>
    <row r="1184" spans="1:6" x14ac:dyDescent="0.3">
      <c r="A1184" s="24" t="s">
        <v>34</v>
      </c>
      <c r="B1184" s="24" t="s">
        <v>25</v>
      </c>
      <c r="C1184" s="24" t="s">
        <v>101</v>
      </c>
      <c r="D1184" s="24" t="s">
        <v>487</v>
      </c>
      <c r="E1184" s="24">
        <v>0</v>
      </c>
      <c r="F1184" s="24" t="s">
        <v>129</v>
      </c>
    </row>
    <row r="1185" spans="1:6" x14ac:dyDescent="0.3">
      <c r="A1185" s="24" t="s">
        <v>34</v>
      </c>
      <c r="B1185" s="24" t="s">
        <v>25</v>
      </c>
      <c r="C1185" s="24" t="s">
        <v>103</v>
      </c>
      <c r="D1185" s="24" t="s">
        <v>486</v>
      </c>
      <c r="E1185" s="24">
        <v>0</v>
      </c>
      <c r="F1185" s="24" t="s">
        <v>129</v>
      </c>
    </row>
    <row r="1186" spans="1:6" x14ac:dyDescent="0.3">
      <c r="A1186" s="24" t="s">
        <v>34</v>
      </c>
      <c r="B1186" s="24" t="s">
        <v>25</v>
      </c>
      <c r="C1186" s="24" t="s">
        <v>105</v>
      </c>
      <c r="D1186" s="24" t="s">
        <v>486</v>
      </c>
      <c r="E1186" s="24">
        <v>0</v>
      </c>
      <c r="F1186" s="24" t="s">
        <v>129</v>
      </c>
    </row>
    <row r="1187" spans="1:6" x14ac:dyDescent="0.3">
      <c r="A1187" s="24" t="s">
        <v>34</v>
      </c>
      <c r="B1187" s="24" t="s">
        <v>25</v>
      </c>
      <c r="C1187" s="24" t="s">
        <v>107</v>
      </c>
      <c r="D1187" s="24" t="s">
        <v>485</v>
      </c>
      <c r="E1187" s="24">
        <v>0</v>
      </c>
      <c r="F1187" s="24" t="s">
        <v>126</v>
      </c>
    </row>
    <row r="1188" spans="1:6" x14ac:dyDescent="0.3">
      <c r="A1188" s="24" t="s">
        <v>34</v>
      </c>
      <c r="B1188" s="24" t="s">
        <v>25</v>
      </c>
      <c r="C1188" s="24" t="s">
        <v>109</v>
      </c>
      <c r="D1188" s="24" t="s">
        <v>485</v>
      </c>
      <c r="E1188" s="24">
        <v>0</v>
      </c>
      <c r="F1188" s="24"/>
    </row>
    <row r="1189" spans="1:6" x14ac:dyDescent="0.3">
      <c r="A1189" s="24" t="s">
        <v>34</v>
      </c>
      <c r="B1189" s="24" t="s">
        <v>25</v>
      </c>
      <c r="C1189" s="24" t="s">
        <v>111</v>
      </c>
      <c r="D1189" s="24" t="s">
        <v>486</v>
      </c>
      <c r="E1189" s="24">
        <v>0</v>
      </c>
      <c r="F1189" s="24" t="s">
        <v>129</v>
      </c>
    </row>
    <row r="1190" spans="1:6" x14ac:dyDescent="0.3">
      <c r="A1190" s="24" t="s">
        <v>36</v>
      </c>
      <c r="B1190" s="24" t="s">
        <v>25</v>
      </c>
      <c r="C1190" s="24" t="s">
        <v>77</v>
      </c>
      <c r="D1190" s="24" t="s">
        <v>485</v>
      </c>
      <c r="E1190" s="24">
        <v>0</v>
      </c>
      <c r="F1190" s="24" t="s">
        <v>126</v>
      </c>
    </row>
    <row r="1191" spans="1:6" x14ac:dyDescent="0.3">
      <c r="A1191" s="24" t="s">
        <v>36</v>
      </c>
      <c r="B1191" s="24" t="s">
        <v>25</v>
      </c>
      <c r="C1191" s="24" t="s">
        <v>79</v>
      </c>
      <c r="D1191" s="24" t="s">
        <v>485</v>
      </c>
      <c r="E1191" s="24">
        <v>0</v>
      </c>
      <c r="F1191" s="24" t="s">
        <v>129</v>
      </c>
    </row>
    <row r="1192" spans="1:6" x14ac:dyDescent="0.3">
      <c r="A1192" s="24" t="s">
        <v>36</v>
      </c>
      <c r="B1192" s="24" t="s">
        <v>25</v>
      </c>
      <c r="C1192" s="24" t="s">
        <v>81</v>
      </c>
      <c r="D1192" s="24" t="s">
        <v>486</v>
      </c>
      <c r="E1192" s="24">
        <v>1</v>
      </c>
      <c r="F1192" s="24" t="s">
        <v>129</v>
      </c>
    </row>
    <row r="1193" spans="1:6" x14ac:dyDescent="0.3">
      <c r="A1193" s="24" t="s">
        <v>36</v>
      </c>
      <c r="B1193" s="24" t="s">
        <v>25</v>
      </c>
      <c r="C1193" s="24" t="s">
        <v>83</v>
      </c>
      <c r="D1193" s="24" t="s">
        <v>485</v>
      </c>
      <c r="E1193" s="24">
        <v>0</v>
      </c>
      <c r="F1193" s="24" t="s">
        <v>129</v>
      </c>
    </row>
    <row r="1194" spans="1:6" x14ac:dyDescent="0.3">
      <c r="A1194" s="24" t="s">
        <v>36</v>
      </c>
      <c r="B1194" s="24" t="s">
        <v>25</v>
      </c>
      <c r="C1194" s="24" t="s">
        <v>85</v>
      </c>
      <c r="D1194" s="24" t="s">
        <v>486</v>
      </c>
      <c r="E1194" s="24">
        <v>0</v>
      </c>
      <c r="F1194" s="24" t="s">
        <v>129</v>
      </c>
    </row>
    <row r="1195" spans="1:6" x14ac:dyDescent="0.3">
      <c r="A1195" s="24" t="s">
        <v>36</v>
      </c>
      <c r="B1195" s="24" t="s">
        <v>25</v>
      </c>
      <c r="C1195" s="24" t="s">
        <v>87</v>
      </c>
      <c r="D1195" s="24" t="s">
        <v>485</v>
      </c>
      <c r="E1195" s="24">
        <v>0</v>
      </c>
      <c r="F1195" s="24" t="s">
        <v>126</v>
      </c>
    </row>
    <row r="1196" spans="1:6" x14ac:dyDescent="0.3">
      <c r="A1196" s="24" t="s">
        <v>36</v>
      </c>
      <c r="B1196" s="24" t="s">
        <v>25</v>
      </c>
      <c r="C1196" s="24" t="s">
        <v>89</v>
      </c>
      <c r="D1196" s="24" t="s">
        <v>486</v>
      </c>
      <c r="E1196" s="24">
        <v>0</v>
      </c>
      <c r="F1196" s="24" t="s">
        <v>129</v>
      </c>
    </row>
    <row r="1197" spans="1:6" x14ac:dyDescent="0.3">
      <c r="A1197" s="24" t="s">
        <v>36</v>
      </c>
      <c r="B1197" s="24" t="s">
        <v>25</v>
      </c>
      <c r="C1197" s="24" t="s">
        <v>91</v>
      </c>
      <c r="D1197" s="24" t="s">
        <v>486</v>
      </c>
      <c r="E1197" s="24">
        <v>0</v>
      </c>
      <c r="F1197" s="24" t="s">
        <v>129</v>
      </c>
    </row>
    <row r="1198" spans="1:6" x14ac:dyDescent="0.3">
      <c r="A1198" s="24" t="s">
        <v>36</v>
      </c>
      <c r="B1198" s="24" t="s">
        <v>25</v>
      </c>
      <c r="C1198" s="24" t="s">
        <v>93</v>
      </c>
      <c r="D1198" s="24" t="s">
        <v>486</v>
      </c>
      <c r="E1198" s="24">
        <v>0</v>
      </c>
      <c r="F1198" s="24" t="s">
        <v>129</v>
      </c>
    </row>
    <row r="1199" spans="1:6" x14ac:dyDescent="0.3">
      <c r="A1199" s="24" t="s">
        <v>36</v>
      </c>
      <c r="B1199" s="24" t="s">
        <v>25</v>
      </c>
      <c r="C1199" s="24" t="s">
        <v>95</v>
      </c>
      <c r="D1199" s="24" t="s">
        <v>486</v>
      </c>
      <c r="E1199" s="24">
        <v>0</v>
      </c>
      <c r="F1199" s="24" t="s">
        <v>129</v>
      </c>
    </row>
    <row r="1200" spans="1:6" x14ac:dyDescent="0.3">
      <c r="A1200" s="24" t="s">
        <v>36</v>
      </c>
      <c r="B1200" s="24" t="s">
        <v>25</v>
      </c>
      <c r="C1200" s="24" t="s">
        <v>97</v>
      </c>
      <c r="D1200" s="24" t="s">
        <v>485</v>
      </c>
      <c r="E1200" s="24">
        <v>0</v>
      </c>
      <c r="F1200" s="24" t="s">
        <v>129</v>
      </c>
    </row>
    <row r="1201" spans="1:6" x14ac:dyDescent="0.3">
      <c r="A1201" s="24" t="s">
        <v>36</v>
      </c>
      <c r="B1201" s="24" t="s">
        <v>25</v>
      </c>
      <c r="C1201" s="24" t="s">
        <v>99</v>
      </c>
      <c r="D1201" s="24" t="s">
        <v>486</v>
      </c>
      <c r="E1201" s="24">
        <v>0</v>
      </c>
      <c r="F1201" s="24" t="s">
        <v>129</v>
      </c>
    </row>
    <row r="1202" spans="1:6" x14ac:dyDescent="0.3">
      <c r="A1202" s="24" t="s">
        <v>36</v>
      </c>
      <c r="B1202" s="24" t="s">
        <v>25</v>
      </c>
      <c r="C1202" s="24" t="s">
        <v>101</v>
      </c>
      <c r="D1202" s="24" t="s">
        <v>487</v>
      </c>
      <c r="E1202" s="24">
        <v>0</v>
      </c>
      <c r="F1202" s="24" t="s">
        <v>129</v>
      </c>
    </row>
    <row r="1203" spans="1:6" x14ac:dyDescent="0.3">
      <c r="A1203" s="24" t="s">
        <v>36</v>
      </c>
      <c r="B1203" s="24" t="s">
        <v>25</v>
      </c>
      <c r="C1203" s="24" t="s">
        <v>103</v>
      </c>
      <c r="D1203" s="24" t="s">
        <v>486</v>
      </c>
      <c r="E1203" s="24">
        <v>0</v>
      </c>
      <c r="F1203" s="24" t="s">
        <v>129</v>
      </c>
    </row>
    <row r="1204" spans="1:6" x14ac:dyDescent="0.3">
      <c r="A1204" s="24" t="s">
        <v>36</v>
      </c>
      <c r="B1204" s="24" t="s">
        <v>25</v>
      </c>
      <c r="C1204" s="24" t="s">
        <v>105</v>
      </c>
      <c r="D1204" s="24" t="s">
        <v>486</v>
      </c>
      <c r="E1204" s="24">
        <v>0</v>
      </c>
      <c r="F1204" s="24" t="s">
        <v>129</v>
      </c>
    </row>
    <row r="1205" spans="1:6" x14ac:dyDescent="0.3">
      <c r="A1205" s="24" t="s">
        <v>36</v>
      </c>
      <c r="B1205" s="24" t="s">
        <v>25</v>
      </c>
      <c r="C1205" s="24" t="s">
        <v>107</v>
      </c>
      <c r="D1205" s="24" t="s">
        <v>485</v>
      </c>
      <c r="E1205" s="24">
        <v>0</v>
      </c>
      <c r="F1205" s="24" t="s">
        <v>126</v>
      </c>
    </row>
    <row r="1206" spans="1:6" x14ac:dyDescent="0.3">
      <c r="A1206" s="24" t="s">
        <v>36</v>
      </c>
      <c r="B1206" s="24" t="s">
        <v>25</v>
      </c>
      <c r="C1206" s="24" t="s">
        <v>109</v>
      </c>
      <c r="D1206" s="24" t="s">
        <v>485</v>
      </c>
      <c r="E1206" s="24">
        <v>0</v>
      </c>
      <c r="F1206" s="24"/>
    </row>
    <row r="1207" spans="1:6" x14ac:dyDescent="0.3">
      <c r="A1207" s="24" t="s">
        <v>36</v>
      </c>
      <c r="B1207" s="24" t="s">
        <v>25</v>
      </c>
      <c r="C1207" s="24" t="s">
        <v>111</v>
      </c>
      <c r="D1207" s="24" t="s">
        <v>486</v>
      </c>
      <c r="E1207" s="24">
        <v>0</v>
      </c>
      <c r="F1207" s="24" t="s">
        <v>129</v>
      </c>
    </row>
    <row r="1208" spans="1:6" x14ac:dyDescent="0.3">
      <c r="A1208" s="24" t="s">
        <v>38</v>
      </c>
      <c r="B1208" s="24" t="s">
        <v>25</v>
      </c>
      <c r="C1208" s="24" t="s">
        <v>77</v>
      </c>
      <c r="D1208" s="24" t="s">
        <v>485</v>
      </c>
      <c r="E1208" s="24">
        <v>0</v>
      </c>
      <c r="F1208" s="24" t="s">
        <v>126</v>
      </c>
    </row>
    <row r="1209" spans="1:6" x14ac:dyDescent="0.3">
      <c r="A1209" s="24" t="s">
        <v>38</v>
      </c>
      <c r="B1209" s="24" t="s">
        <v>25</v>
      </c>
      <c r="C1209" s="24" t="s">
        <v>79</v>
      </c>
      <c r="D1209" s="24" t="s">
        <v>485</v>
      </c>
      <c r="E1209" s="24">
        <v>0</v>
      </c>
      <c r="F1209" s="24" t="s">
        <v>129</v>
      </c>
    </row>
    <row r="1210" spans="1:6" x14ac:dyDescent="0.3">
      <c r="A1210" s="24" t="s">
        <v>38</v>
      </c>
      <c r="B1210" s="24" t="s">
        <v>25</v>
      </c>
      <c r="C1210" s="24" t="s">
        <v>81</v>
      </c>
      <c r="D1210" s="24" t="s">
        <v>486</v>
      </c>
      <c r="E1210" s="24">
        <v>1</v>
      </c>
      <c r="F1210" s="24" t="s">
        <v>129</v>
      </c>
    </row>
    <row r="1211" spans="1:6" x14ac:dyDescent="0.3">
      <c r="A1211" s="24" t="s">
        <v>38</v>
      </c>
      <c r="B1211" s="24" t="s">
        <v>25</v>
      </c>
      <c r="C1211" s="24" t="s">
        <v>83</v>
      </c>
      <c r="D1211" s="24" t="s">
        <v>485</v>
      </c>
      <c r="E1211" s="24">
        <v>0</v>
      </c>
      <c r="F1211" s="24" t="s">
        <v>129</v>
      </c>
    </row>
    <row r="1212" spans="1:6" x14ac:dyDescent="0.3">
      <c r="A1212" s="24" t="s">
        <v>38</v>
      </c>
      <c r="B1212" s="24" t="s">
        <v>25</v>
      </c>
      <c r="C1212" s="24" t="s">
        <v>85</v>
      </c>
      <c r="D1212" s="24" t="s">
        <v>486</v>
      </c>
      <c r="E1212" s="24">
        <v>0</v>
      </c>
      <c r="F1212" s="24" t="s">
        <v>129</v>
      </c>
    </row>
    <row r="1213" spans="1:6" x14ac:dyDescent="0.3">
      <c r="A1213" s="24" t="s">
        <v>38</v>
      </c>
      <c r="B1213" s="24" t="s">
        <v>25</v>
      </c>
      <c r="C1213" s="24" t="s">
        <v>87</v>
      </c>
      <c r="D1213" s="24" t="s">
        <v>485</v>
      </c>
      <c r="E1213" s="24">
        <v>0</v>
      </c>
      <c r="F1213" s="24" t="s">
        <v>126</v>
      </c>
    </row>
    <row r="1214" spans="1:6" x14ac:dyDescent="0.3">
      <c r="A1214" s="24" t="s">
        <v>38</v>
      </c>
      <c r="B1214" s="24" t="s">
        <v>25</v>
      </c>
      <c r="C1214" s="24" t="s">
        <v>89</v>
      </c>
      <c r="D1214" s="24" t="s">
        <v>486</v>
      </c>
      <c r="E1214" s="24">
        <v>0</v>
      </c>
      <c r="F1214" s="24" t="s">
        <v>129</v>
      </c>
    </row>
    <row r="1215" spans="1:6" x14ac:dyDescent="0.3">
      <c r="A1215" s="24" t="s">
        <v>38</v>
      </c>
      <c r="B1215" s="24" t="s">
        <v>25</v>
      </c>
      <c r="C1215" s="24" t="s">
        <v>91</v>
      </c>
      <c r="D1215" s="24" t="s">
        <v>486</v>
      </c>
      <c r="E1215" s="24">
        <v>0</v>
      </c>
      <c r="F1215" s="24" t="s">
        <v>129</v>
      </c>
    </row>
    <row r="1216" spans="1:6" x14ac:dyDescent="0.3">
      <c r="A1216" s="24" t="s">
        <v>38</v>
      </c>
      <c r="B1216" s="24" t="s">
        <v>25</v>
      </c>
      <c r="C1216" s="24" t="s">
        <v>93</v>
      </c>
      <c r="D1216" s="24" t="s">
        <v>486</v>
      </c>
      <c r="E1216" s="24">
        <v>0</v>
      </c>
      <c r="F1216" s="24" t="s">
        <v>129</v>
      </c>
    </row>
    <row r="1217" spans="1:6" x14ac:dyDescent="0.3">
      <c r="A1217" s="24" t="s">
        <v>38</v>
      </c>
      <c r="B1217" s="24" t="s">
        <v>25</v>
      </c>
      <c r="C1217" s="24" t="s">
        <v>95</v>
      </c>
      <c r="D1217" s="24" t="s">
        <v>486</v>
      </c>
      <c r="E1217" s="24">
        <v>0</v>
      </c>
      <c r="F1217" s="24" t="s">
        <v>129</v>
      </c>
    </row>
    <row r="1218" spans="1:6" x14ac:dyDescent="0.3">
      <c r="A1218" s="24" t="s">
        <v>38</v>
      </c>
      <c r="B1218" s="24" t="s">
        <v>25</v>
      </c>
      <c r="C1218" s="24" t="s">
        <v>97</v>
      </c>
      <c r="D1218" s="24" t="s">
        <v>485</v>
      </c>
      <c r="E1218" s="24">
        <v>0</v>
      </c>
      <c r="F1218" s="24" t="s">
        <v>129</v>
      </c>
    </row>
    <row r="1219" spans="1:6" x14ac:dyDescent="0.3">
      <c r="A1219" s="24" t="s">
        <v>38</v>
      </c>
      <c r="B1219" s="24" t="s">
        <v>25</v>
      </c>
      <c r="C1219" s="24" t="s">
        <v>99</v>
      </c>
      <c r="D1219" s="24" t="s">
        <v>486</v>
      </c>
      <c r="E1219" s="24">
        <v>0</v>
      </c>
      <c r="F1219" s="24" t="s">
        <v>129</v>
      </c>
    </row>
    <row r="1220" spans="1:6" x14ac:dyDescent="0.3">
      <c r="A1220" s="24" t="s">
        <v>38</v>
      </c>
      <c r="B1220" s="24" t="s">
        <v>25</v>
      </c>
      <c r="C1220" s="24" t="s">
        <v>101</v>
      </c>
      <c r="D1220" s="24" t="s">
        <v>487</v>
      </c>
      <c r="E1220" s="24">
        <v>0</v>
      </c>
      <c r="F1220" s="24" t="s">
        <v>129</v>
      </c>
    </row>
    <row r="1221" spans="1:6" x14ac:dyDescent="0.3">
      <c r="A1221" s="24" t="s">
        <v>38</v>
      </c>
      <c r="B1221" s="24" t="s">
        <v>25</v>
      </c>
      <c r="C1221" s="24" t="s">
        <v>103</v>
      </c>
      <c r="D1221" s="24" t="s">
        <v>486</v>
      </c>
      <c r="E1221" s="24">
        <v>0</v>
      </c>
      <c r="F1221" s="24" t="s">
        <v>129</v>
      </c>
    </row>
    <row r="1222" spans="1:6" x14ac:dyDescent="0.3">
      <c r="A1222" s="24" t="s">
        <v>38</v>
      </c>
      <c r="B1222" s="24" t="s">
        <v>25</v>
      </c>
      <c r="C1222" s="24" t="s">
        <v>105</v>
      </c>
      <c r="D1222" s="24" t="s">
        <v>486</v>
      </c>
      <c r="E1222" s="24">
        <v>0</v>
      </c>
      <c r="F1222" s="24" t="s">
        <v>129</v>
      </c>
    </row>
    <row r="1223" spans="1:6" x14ac:dyDescent="0.3">
      <c r="A1223" s="24" t="s">
        <v>38</v>
      </c>
      <c r="B1223" s="24" t="s">
        <v>25</v>
      </c>
      <c r="C1223" s="24" t="s">
        <v>107</v>
      </c>
      <c r="D1223" s="24" t="s">
        <v>485</v>
      </c>
      <c r="E1223" s="24">
        <v>0</v>
      </c>
      <c r="F1223" s="24" t="s">
        <v>126</v>
      </c>
    </row>
    <row r="1224" spans="1:6" x14ac:dyDescent="0.3">
      <c r="A1224" s="24" t="s">
        <v>38</v>
      </c>
      <c r="B1224" s="24" t="s">
        <v>25</v>
      </c>
      <c r="C1224" s="24" t="s">
        <v>109</v>
      </c>
      <c r="D1224" s="24" t="s">
        <v>485</v>
      </c>
      <c r="E1224" s="24">
        <v>0</v>
      </c>
      <c r="F1224" s="24"/>
    </row>
    <row r="1225" spans="1:6" x14ac:dyDescent="0.3">
      <c r="A1225" s="24" t="s">
        <v>38</v>
      </c>
      <c r="B1225" s="24" t="s">
        <v>25</v>
      </c>
      <c r="C1225" s="24" t="s">
        <v>111</v>
      </c>
      <c r="D1225" s="24" t="s">
        <v>486</v>
      </c>
      <c r="E1225" s="24">
        <v>0</v>
      </c>
      <c r="F1225" s="24" t="s">
        <v>127</v>
      </c>
    </row>
    <row r="1226" spans="1:6" x14ac:dyDescent="0.3">
      <c r="A1226" s="24" t="s">
        <v>40</v>
      </c>
      <c r="B1226" s="24" t="s">
        <v>25</v>
      </c>
      <c r="C1226" s="24" t="s">
        <v>77</v>
      </c>
      <c r="D1226" s="24" t="s">
        <v>485</v>
      </c>
      <c r="E1226" s="24">
        <v>0</v>
      </c>
      <c r="F1226" s="24" t="s">
        <v>128</v>
      </c>
    </row>
    <row r="1227" spans="1:6" x14ac:dyDescent="0.3">
      <c r="A1227" s="24" t="s">
        <v>40</v>
      </c>
      <c r="B1227" s="24" t="s">
        <v>25</v>
      </c>
      <c r="C1227" s="24" t="s">
        <v>79</v>
      </c>
      <c r="D1227" s="24" t="s">
        <v>485</v>
      </c>
      <c r="E1227" s="24">
        <v>0</v>
      </c>
      <c r="F1227" s="24" t="s">
        <v>129</v>
      </c>
    </row>
    <row r="1228" spans="1:6" x14ac:dyDescent="0.3">
      <c r="A1228" s="24" t="s">
        <v>40</v>
      </c>
      <c r="B1228" s="24" t="s">
        <v>25</v>
      </c>
      <c r="C1228" s="24" t="s">
        <v>81</v>
      </c>
      <c r="D1228" s="24" t="s">
        <v>486</v>
      </c>
      <c r="E1228" s="24">
        <v>1</v>
      </c>
      <c r="F1228" s="24" t="s">
        <v>129</v>
      </c>
    </row>
    <row r="1229" spans="1:6" x14ac:dyDescent="0.3">
      <c r="A1229" s="24" t="s">
        <v>40</v>
      </c>
      <c r="B1229" s="24" t="s">
        <v>25</v>
      </c>
      <c r="C1229" s="24" t="s">
        <v>83</v>
      </c>
      <c r="D1229" s="24" t="s">
        <v>485</v>
      </c>
      <c r="E1229" s="24">
        <v>0</v>
      </c>
      <c r="F1229" s="24" t="s">
        <v>129</v>
      </c>
    </row>
    <row r="1230" spans="1:6" x14ac:dyDescent="0.3">
      <c r="A1230" s="24" t="s">
        <v>40</v>
      </c>
      <c r="B1230" s="24" t="s">
        <v>25</v>
      </c>
      <c r="C1230" s="24" t="s">
        <v>85</v>
      </c>
      <c r="D1230" s="24" t="s">
        <v>486</v>
      </c>
      <c r="E1230" s="24">
        <v>0</v>
      </c>
      <c r="F1230" s="24" t="s">
        <v>129</v>
      </c>
    </row>
    <row r="1231" spans="1:6" x14ac:dyDescent="0.3">
      <c r="A1231" s="24" t="s">
        <v>40</v>
      </c>
      <c r="B1231" s="24" t="s">
        <v>25</v>
      </c>
      <c r="C1231" s="24" t="s">
        <v>87</v>
      </c>
      <c r="D1231" s="24" t="s">
        <v>485</v>
      </c>
      <c r="E1231" s="24">
        <v>0</v>
      </c>
      <c r="F1231" s="24" t="s">
        <v>126</v>
      </c>
    </row>
    <row r="1232" spans="1:6" x14ac:dyDescent="0.3">
      <c r="A1232" s="24" t="s">
        <v>40</v>
      </c>
      <c r="B1232" s="24" t="s">
        <v>25</v>
      </c>
      <c r="C1232" s="24" t="s">
        <v>89</v>
      </c>
      <c r="D1232" s="24" t="s">
        <v>486</v>
      </c>
      <c r="E1232" s="24">
        <v>0</v>
      </c>
      <c r="F1232" s="24" t="s">
        <v>129</v>
      </c>
    </row>
    <row r="1233" spans="1:6" x14ac:dyDescent="0.3">
      <c r="A1233" s="24" t="s">
        <v>40</v>
      </c>
      <c r="B1233" s="24" t="s">
        <v>25</v>
      </c>
      <c r="C1233" s="24" t="s">
        <v>91</v>
      </c>
      <c r="D1233" s="24" t="s">
        <v>486</v>
      </c>
      <c r="E1233" s="24">
        <v>0</v>
      </c>
      <c r="F1233" s="24" t="s">
        <v>129</v>
      </c>
    </row>
    <row r="1234" spans="1:6" x14ac:dyDescent="0.3">
      <c r="A1234" s="24" t="s">
        <v>40</v>
      </c>
      <c r="B1234" s="24" t="s">
        <v>25</v>
      </c>
      <c r="C1234" s="24" t="s">
        <v>93</v>
      </c>
      <c r="D1234" s="24" t="s">
        <v>486</v>
      </c>
      <c r="E1234" s="24">
        <v>0</v>
      </c>
      <c r="F1234" s="24" t="s">
        <v>129</v>
      </c>
    </row>
    <row r="1235" spans="1:6" x14ac:dyDescent="0.3">
      <c r="A1235" s="24" t="s">
        <v>40</v>
      </c>
      <c r="B1235" s="24" t="s">
        <v>25</v>
      </c>
      <c r="C1235" s="24" t="s">
        <v>95</v>
      </c>
      <c r="D1235" s="24" t="s">
        <v>486</v>
      </c>
      <c r="E1235" s="24">
        <v>0</v>
      </c>
      <c r="F1235" s="24" t="s">
        <v>129</v>
      </c>
    </row>
    <row r="1236" spans="1:6" x14ac:dyDescent="0.3">
      <c r="A1236" s="24" t="s">
        <v>40</v>
      </c>
      <c r="B1236" s="24" t="s">
        <v>25</v>
      </c>
      <c r="C1236" s="24" t="s">
        <v>97</v>
      </c>
      <c r="D1236" s="24" t="s">
        <v>485</v>
      </c>
      <c r="E1236" s="24">
        <v>0</v>
      </c>
      <c r="F1236" s="24" t="s">
        <v>129</v>
      </c>
    </row>
    <row r="1237" spans="1:6" x14ac:dyDescent="0.3">
      <c r="A1237" s="24" t="s">
        <v>40</v>
      </c>
      <c r="B1237" s="24" t="s">
        <v>25</v>
      </c>
      <c r="C1237" s="24" t="s">
        <v>99</v>
      </c>
      <c r="D1237" s="24" t="s">
        <v>486</v>
      </c>
      <c r="E1237" s="24">
        <v>0</v>
      </c>
      <c r="F1237" s="24" t="s">
        <v>129</v>
      </c>
    </row>
    <row r="1238" spans="1:6" x14ac:dyDescent="0.3">
      <c r="A1238" s="24" t="s">
        <v>40</v>
      </c>
      <c r="B1238" s="24" t="s">
        <v>25</v>
      </c>
      <c r="C1238" s="24" t="s">
        <v>101</v>
      </c>
      <c r="D1238" s="24" t="s">
        <v>487</v>
      </c>
      <c r="E1238" s="24">
        <v>0</v>
      </c>
      <c r="F1238" s="24" t="s">
        <v>129</v>
      </c>
    </row>
    <row r="1239" spans="1:6" x14ac:dyDescent="0.3">
      <c r="A1239" s="24" t="s">
        <v>40</v>
      </c>
      <c r="B1239" s="24" t="s">
        <v>25</v>
      </c>
      <c r="C1239" s="24" t="s">
        <v>103</v>
      </c>
      <c r="D1239" s="24" t="s">
        <v>486</v>
      </c>
      <c r="E1239" s="24">
        <v>0</v>
      </c>
      <c r="F1239" s="24" t="s">
        <v>129</v>
      </c>
    </row>
    <row r="1240" spans="1:6" x14ac:dyDescent="0.3">
      <c r="A1240" s="24" t="s">
        <v>40</v>
      </c>
      <c r="B1240" s="24" t="s">
        <v>25</v>
      </c>
      <c r="C1240" s="24" t="s">
        <v>105</v>
      </c>
      <c r="D1240" s="24" t="s">
        <v>486</v>
      </c>
      <c r="E1240" s="24">
        <v>0</v>
      </c>
      <c r="F1240" s="24" t="s">
        <v>129</v>
      </c>
    </row>
    <row r="1241" spans="1:6" x14ac:dyDescent="0.3">
      <c r="A1241" s="24" t="s">
        <v>40</v>
      </c>
      <c r="B1241" s="24" t="s">
        <v>25</v>
      </c>
      <c r="C1241" s="24" t="s">
        <v>107</v>
      </c>
      <c r="D1241" s="24" t="s">
        <v>485</v>
      </c>
      <c r="E1241" s="24">
        <v>0</v>
      </c>
      <c r="F1241" s="24" t="s">
        <v>129</v>
      </c>
    </row>
    <row r="1242" spans="1:6" x14ac:dyDescent="0.3">
      <c r="A1242" s="24" t="s">
        <v>40</v>
      </c>
      <c r="B1242" s="24" t="s">
        <v>25</v>
      </c>
      <c r="C1242" s="24" t="s">
        <v>109</v>
      </c>
      <c r="D1242" s="24" t="s">
        <v>485</v>
      </c>
      <c r="E1242" s="24">
        <v>0</v>
      </c>
      <c r="F1242" s="24"/>
    </row>
    <row r="1243" spans="1:6" x14ac:dyDescent="0.3">
      <c r="A1243" s="24" t="s">
        <v>40</v>
      </c>
      <c r="B1243" s="24" t="s">
        <v>25</v>
      </c>
      <c r="C1243" s="24" t="s">
        <v>111</v>
      </c>
      <c r="D1243" s="24" t="s">
        <v>486</v>
      </c>
      <c r="E1243" s="24">
        <v>0</v>
      </c>
      <c r="F1243" s="24" t="s">
        <v>129</v>
      </c>
    </row>
    <row r="1244" spans="1:6" x14ac:dyDescent="0.3">
      <c r="A1244" s="24" t="s">
        <v>43</v>
      </c>
      <c r="B1244" s="24" t="s">
        <v>25</v>
      </c>
      <c r="C1244" s="24" t="s">
        <v>77</v>
      </c>
      <c r="D1244" s="24" t="s">
        <v>485</v>
      </c>
      <c r="E1244" s="24">
        <v>0</v>
      </c>
      <c r="F1244" s="24" t="s">
        <v>126</v>
      </c>
    </row>
    <row r="1245" spans="1:6" x14ac:dyDescent="0.3">
      <c r="A1245" s="24" t="s">
        <v>43</v>
      </c>
      <c r="B1245" s="24" t="s">
        <v>25</v>
      </c>
      <c r="C1245" s="24" t="s">
        <v>79</v>
      </c>
      <c r="D1245" s="24" t="s">
        <v>485</v>
      </c>
      <c r="E1245" s="24">
        <v>0</v>
      </c>
      <c r="F1245" s="24" t="s">
        <v>129</v>
      </c>
    </row>
    <row r="1246" spans="1:6" x14ac:dyDescent="0.3">
      <c r="A1246" s="24" t="s">
        <v>43</v>
      </c>
      <c r="B1246" s="24" t="s">
        <v>25</v>
      </c>
      <c r="C1246" s="24" t="s">
        <v>81</v>
      </c>
      <c r="D1246" s="24" t="s">
        <v>486</v>
      </c>
      <c r="E1246" s="24">
        <v>1</v>
      </c>
      <c r="F1246" s="24" t="s">
        <v>129</v>
      </c>
    </row>
    <row r="1247" spans="1:6" x14ac:dyDescent="0.3">
      <c r="A1247" s="24" t="s">
        <v>43</v>
      </c>
      <c r="B1247" s="24" t="s">
        <v>25</v>
      </c>
      <c r="C1247" s="24" t="s">
        <v>83</v>
      </c>
      <c r="D1247" s="24" t="s">
        <v>485</v>
      </c>
      <c r="E1247" s="24">
        <v>0</v>
      </c>
      <c r="F1247" s="24" t="s">
        <v>129</v>
      </c>
    </row>
    <row r="1248" spans="1:6" x14ac:dyDescent="0.3">
      <c r="A1248" s="24" t="s">
        <v>43</v>
      </c>
      <c r="B1248" s="24" t="s">
        <v>25</v>
      </c>
      <c r="C1248" s="24" t="s">
        <v>85</v>
      </c>
      <c r="D1248" s="24" t="s">
        <v>486</v>
      </c>
      <c r="E1248" s="24">
        <v>0</v>
      </c>
      <c r="F1248" s="24" t="s">
        <v>129</v>
      </c>
    </row>
    <row r="1249" spans="1:6" x14ac:dyDescent="0.3">
      <c r="A1249" s="24" t="s">
        <v>43</v>
      </c>
      <c r="B1249" s="24" t="s">
        <v>25</v>
      </c>
      <c r="C1249" s="24" t="s">
        <v>87</v>
      </c>
      <c r="D1249" s="24" t="s">
        <v>485</v>
      </c>
      <c r="E1249" s="24">
        <v>0</v>
      </c>
      <c r="F1249" s="24" t="s">
        <v>126</v>
      </c>
    </row>
    <row r="1250" spans="1:6" x14ac:dyDescent="0.3">
      <c r="A1250" s="24" t="s">
        <v>43</v>
      </c>
      <c r="B1250" s="24" t="s">
        <v>25</v>
      </c>
      <c r="C1250" s="24" t="s">
        <v>89</v>
      </c>
      <c r="D1250" s="24" t="s">
        <v>486</v>
      </c>
      <c r="E1250" s="24">
        <v>0</v>
      </c>
      <c r="F1250" s="24" t="s">
        <v>129</v>
      </c>
    </row>
    <row r="1251" spans="1:6" x14ac:dyDescent="0.3">
      <c r="A1251" s="24" t="s">
        <v>43</v>
      </c>
      <c r="B1251" s="24" t="s">
        <v>25</v>
      </c>
      <c r="C1251" s="24" t="s">
        <v>91</v>
      </c>
      <c r="D1251" s="24" t="s">
        <v>486</v>
      </c>
      <c r="E1251" s="24">
        <v>0</v>
      </c>
      <c r="F1251" s="24" t="s">
        <v>129</v>
      </c>
    </row>
    <row r="1252" spans="1:6" x14ac:dyDescent="0.3">
      <c r="A1252" s="24" t="s">
        <v>43</v>
      </c>
      <c r="B1252" s="24" t="s">
        <v>25</v>
      </c>
      <c r="C1252" s="24" t="s">
        <v>93</v>
      </c>
      <c r="D1252" s="24" t="s">
        <v>486</v>
      </c>
      <c r="E1252" s="24">
        <v>0</v>
      </c>
      <c r="F1252" s="24" t="s">
        <v>129</v>
      </c>
    </row>
    <row r="1253" spans="1:6" x14ac:dyDescent="0.3">
      <c r="A1253" s="24" t="s">
        <v>43</v>
      </c>
      <c r="B1253" s="24" t="s">
        <v>25</v>
      </c>
      <c r="C1253" s="24" t="s">
        <v>95</v>
      </c>
      <c r="D1253" s="24" t="s">
        <v>486</v>
      </c>
      <c r="E1253" s="24">
        <v>0</v>
      </c>
      <c r="F1253" s="24" t="s">
        <v>129</v>
      </c>
    </row>
    <row r="1254" spans="1:6" x14ac:dyDescent="0.3">
      <c r="A1254" s="24" t="s">
        <v>43</v>
      </c>
      <c r="B1254" s="24" t="s">
        <v>25</v>
      </c>
      <c r="C1254" s="24" t="s">
        <v>97</v>
      </c>
      <c r="D1254" s="24" t="s">
        <v>485</v>
      </c>
      <c r="E1254" s="24">
        <v>0</v>
      </c>
      <c r="F1254" s="24" t="s">
        <v>129</v>
      </c>
    </row>
    <row r="1255" spans="1:6" x14ac:dyDescent="0.3">
      <c r="A1255" s="24" t="s">
        <v>43</v>
      </c>
      <c r="B1255" s="24" t="s">
        <v>25</v>
      </c>
      <c r="C1255" s="24" t="s">
        <v>99</v>
      </c>
      <c r="D1255" s="24" t="s">
        <v>486</v>
      </c>
      <c r="E1255" s="24">
        <v>0</v>
      </c>
      <c r="F1255" s="24" t="s">
        <v>129</v>
      </c>
    </row>
    <row r="1256" spans="1:6" x14ac:dyDescent="0.3">
      <c r="A1256" s="24" t="s">
        <v>43</v>
      </c>
      <c r="B1256" s="24" t="s">
        <v>25</v>
      </c>
      <c r="C1256" s="24" t="s">
        <v>101</v>
      </c>
      <c r="D1256" s="24" t="s">
        <v>487</v>
      </c>
      <c r="E1256" s="24">
        <v>0</v>
      </c>
      <c r="F1256" s="24" t="s">
        <v>129</v>
      </c>
    </row>
    <row r="1257" spans="1:6" x14ac:dyDescent="0.3">
      <c r="A1257" s="24" t="s">
        <v>43</v>
      </c>
      <c r="B1257" s="24" t="s">
        <v>25</v>
      </c>
      <c r="C1257" s="24" t="s">
        <v>103</v>
      </c>
      <c r="D1257" s="24" t="s">
        <v>486</v>
      </c>
      <c r="E1257" s="24">
        <v>0</v>
      </c>
      <c r="F1257" s="24" t="s">
        <v>129</v>
      </c>
    </row>
    <row r="1258" spans="1:6" x14ac:dyDescent="0.3">
      <c r="A1258" s="24" t="s">
        <v>43</v>
      </c>
      <c r="B1258" s="24" t="s">
        <v>25</v>
      </c>
      <c r="C1258" s="24" t="s">
        <v>105</v>
      </c>
      <c r="D1258" s="24" t="s">
        <v>486</v>
      </c>
      <c r="E1258" s="24">
        <v>0</v>
      </c>
      <c r="F1258" s="24" t="s">
        <v>129</v>
      </c>
    </row>
    <row r="1259" spans="1:6" x14ac:dyDescent="0.3">
      <c r="A1259" s="24" t="s">
        <v>43</v>
      </c>
      <c r="B1259" s="24" t="s">
        <v>25</v>
      </c>
      <c r="C1259" s="24" t="s">
        <v>107</v>
      </c>
      <c r="D1259" s="24" t="s">
        <v>485</v>
      </c>
      <c r="E1259" s="24">
        <v>0</v>
      </c>
      <c r="F1259" s="24" t="s">
        <v>128</v>
      </c>
    </row>
    <row r="1260" spans="1:6" x14ac:dyDescent="0.3">
      <c r="A1260" s="24" t="s">
        <v>43</v>
      </c>
      <c r="B1260" s="24" t="s">
        <v>25</v>
      </c>
      <c r="C1260" s="24" t="s">
        <v>109</v>
      </c>
      <c r="D1260" s="24" t="s">
        <v>485</v>
      </c>
      <c r="E1260" s="24">
        <v>0</v>
      </c>
      <c r="F1260" s="24"/>
    </row>
    <row r="1261" spans="1:6" x14ac:dyDescent="0.3">
      <c r="A1261" s="24" t="s">
        <v>43</v>
      </c>
      <c r="B1261" s="24" t="s">
        <v>25</v>
      </c>
      <c r="C1261" s="24" t="s">
        <v>111</v>
      </c>
      <c r="D1261" s="24" t="s">
        <v>486</v>
      </c>
      <c r="E1261" s="24">
        <v>0</v>
      </c>
      <c r="F1261" s="24" t="s">
        <v>129</v>
      </c>
    </row>
    <row r="1262" spans="1:6" x14ac:dyDescent="0.3">
      <c r="A1262" s="24" t="s">
        <v>45</v>
      </c>
      <c r="B1262" s="24" t="s">
        <v>25</v>
      </c>
      <c r="C1262" s="24" t="s">
        <v>77</v>
      </c>
      <c r="D1262" s="24" t="s">
        <v>485</v>
      </c>
      <c r="E1262" s="24">
        <v>0</v>
      </c>
      <c r="F1262" s="24" t="s">
        <v>126</v>
      </c>
    </row>
    <row r="1263" spans="1:6" x14ac:dyDescent="0.3">
      <c r="A1263" s="24" t="s">
        <v>45</v>
      </c>
      <c r="B1263" s="24" t="s">
        <v>25</v>
      </c>
      <c r="C1263" s="24" t="s">
        <v>79</v>
      </c>
      <c r="D1263" s="24" t="s">
        <v>485</v>
      </c>
      <c r="E1263" s="24">
        <v>0</v>
      </c>
      <c r="F1263" s="24" t="s">
        <v>129</v>
      </c>
    </row>
    <row r="1264" spans="1:6" x14ac:dyDescent="0.3">
      <c r="A1264" s="24" t="s">
        <v>45</v>
      </c>
      <c r="B1264" s="24" t="s">
        <v>25</v>
      </c>
      <c r="C1264" s="24" t="s">
        <v>81</v>
      </c>
      <c r="D1264" s="24" t="s">
        <v>486</v>
      </c>
      <c r="E1264" s="24">
        <v>1</v>
      </c>
      <c r="F1264" s="24" t="s">
        <v>129</v>
      </c>
    </row>
    <row r="1265" spans="1:6" x14ac:dyDescent="0.3">
      <c r="A1265" s="24" t="s">
        <v>45</v>
      </c>
      <c r="B1265" s="24" t="s">
        <v>25</v>
      </c>
      <c r="C1265" s="24" t="s">
        <v>83</v>
      </c>
      <c r="D1265" s="24" t="s">
        <v>485</v>
      </c>
      <c r="E1265" s="24">
        <v>0</v>
      </c>
      <c r="F1265" s="24" t="s">
        <v>129</v>
      </c>
    </row>
    <row r="1266" spans="1:6" x14ac:dyDescent="0.3">
      <c r="A1266" s="24" t="s">
        <v>45</v>
      </c>
      <c r="B1266" s="24" t="s">
        <v>25</v>
      </c>
      <c r="C1266" s="24" t="s">
        <v>85</v>
      </c>
      <c r="D1266" s="24" t="s">
        <v>486</v>
      </c>
      <c r="E1266" s="24">
        <v>0</v>
      </c>
      <c r="F1266" s="24" t="s">
        <v>129</v>
      </c>
    </row>
    <row r="1267" spans="1:6" x14ac:dyDescent="0.3">
      <c r="A1267" s="24" t="s">
        <v>45</v>
      </c>
      <c r="B1267" s="24" t="s">
        <v>25</v>
      </c>
      <c r="C1267" s="24" t="s">
        <v>87</v>
      </c>
      <c r="D1267" s="24" t="s">
        <v>485</v>
      </c>
      <c r="E1267" s="24">
        <v>0</v>
      </c>
      <c r="F1267" s="24" t="s">
        <v>126</v>
      </c>
    </row>
    <row r="1268" spans="1:6" x14ac:dyDescent="0.3">
      <c r="A1268" s="24" t="s">
        <v>45</v>
      </c>
      <c r="B1268" s="24" t="s">
        <v>25</v>
      </c>
      <c r="C1268" s="24" t="s">
        <v>89</v>
      </c>
      <c r="D1268" s="24" t="s">
        <v>486</v>
      </c>
      <c r="E1268" s="24">
        <v>0</v>
      </c>
      <c r="F1268" s="24" t="s">
        <v>129</v>
      </c>
    </row>
    <row r="1269" spans="1:6" x14ac:dyDescent="0.3">
      <c r="A1269" s="24" t="s">
        <v>45</v>
      </c>
      <c r="B1269" s="24" t="s">
        <v>25</v>
      </c>
      <c r="C1269" s="24" t="s">
        <v>91</v>
      </c>
      <c r="D1269" s="24" t="s">
        <v>486</v>
      </c>
      <c r="E1269" s="24">
        <v>0</v>
      </c>
      <c r="F1269" s="24" t="s">
        <v>129</v>
      </c>
    </row>
    <row r="1270" spans="1:6" x14ac:dyDescent="0.3">
      <c r="A1270" s="24" t="s">
        <v>45</v>
      </c>
      <c r="B1270" s="24" t="s">
        <v>25</v>
      </c>
      <c r="C1270" s="24" t="s">
        <v>93</v>
      </c>
      <c r="D1270" s="24" t="s">
        <v>486</v>
      </c>
      <c r="E1270" s="24">
        <v>0</v>
      </c>
      <c r="F1270" s="24" t="s">
        <v>129</v>
      </c>
    </row>
    <row r="1271" spans="1:6" x14ac:dyDescent="0.3">
      <c r="A1271" s="24" t="s">
        <v>45</v>
      </c>
      <c r="B1271" s="24" t="s">
        <v>25</v>
      </c>
      <c r="C1271" s="24" t="s">
        <v>95</v>
      </c>
      <c r="D1271" s="24" t="s">
        <v>486</v>
      </c>
      <c r="E1271" s="24">
        <v>0</v>
      </c>
      <c r="F1271" s="24" t="s">
        <v>129</v>
      </c>
    </row>
    <row r="1272" spans="1:6" x14ac:dyDescent="0.3">
      <c r="A1272" s="24" t="s">
        <v>45</v>
      </c>
      <c r="B1272" s="24" t="s">
        <v>25</v>
      </c>
      <c r="C1272" s="24" t="s">
        <v>97</v>
      </c>
      <c r="D1272" s="24" t="s">
        <v>485</v>
      </c>
      <c r="E1272" s="24">
        <v>0</v>
      </c>
      <c r="F1272" s="24" t="s">
        <v>129</v>
      </c>
    </row>
    <row r="1273" spans="1:6" x14ac:dyDescent="0.3">
      <c r="A1273" s="24" t="s">
        <v>45</v>
      </c>
      <c r="B1273" s="24" t="s">
        <v>25</v>
      </c>
      <c r="C1273" s="24" t="s">
        <v>99</v>
      </c>
      <c r="D1273" s="24" t="s">
        <v>486</v>
      </c>
      <c r="E1273" s="24">
        <v>0</v>
      </c>
      <c r="F1273" s="24" t="s">
        <v>129</v>
      </c>
    </row>
    <row r="1274" spans="1:6" x14ac:dyDescent="0.3">
      <c r="A1274" s="24" t="s">
        <v>45</v>
      </c>
      <c r="B1274" s="24" t="s">
        <v>25</v>
      </c>
      <c r="C1274" s="24" t="s">
        <v>101</v>
      </c>
      <c r="D1274" s="24" t="s">
        <v>487</v>
      </c>
      <c r="E1274" s="24">
        <v>0</v>
      </c>
      <c r="F1274" s="24" t="s">
        <v>129</v>
      </c>
    </row>
    <row r="1275" spans="1:6" x14ac:dyDescent="0.3">
      <c r="A1275" s="24" t="s">
        <v>45</v>
      </c>
      <c r="B1275" s="24" t="s">
        <v>25</v>
      </c>
      <c r="C1275" s="24" t="s">
        <v>103</v>
      </c>
      <c r="D1275" s="24" t="s">
        <v>486</v>
      </c>
      <c r="E1275" s="24">
        <v>0</v>
      </c>
      <c r="F1275" s="24" t="s">
        <v>129</v>
      </c>
    </row>
    <row r="1276" spans="1:6" x14ac:dyDescent="0.3">
      <c r="A1276" s="24" t="s">
        <v>45</v>
      </c>
      <c r="B1276" s="24" t="s">
        <v>25</v>
      </c>
      <c r="C1276" s="24" t="s">
        <v>105</v>
      </c>
      <c r="D1276" s="24" t="s">
        <v>486</v>
      </c>
      <c r="E1276" s="24">
        <v>0</v>
      </c>
      <c r="F1276" s="24" t="s">
        <v>129</v>
      </c>
    </row>
    <row r="1277" spans="1:6" x14ac:dyDescent="0.3">
      <c r="A1277" s="24" t="s">
        <v>45</v>
      </c>
      <c r="B1277" s="24" t="s">
        <v>25</v>
      </c>
      <c r="C1277" s="24" t="s">
        <v>107</v>
      </c>
      <c r="D1277" s="24" t="s">
        <v>485</v>
      </c>
      <c r="E1277" s="24">
        <v>0</v>
      </c>
      <c r="F1277" s="24" t="s">
        <v>126</v>
      </c>
    </row>
    <row r="1278" spans="1:6" x14ac:dyDescent="0.3">
      <c r="A1278" s="24" t="s">
        <v>45</v>
      </c>
      <c r="B1278" s="24" t="s">
        <v>25</v>
      </c>
      <c r="C1278" s="24" t="s">
        <v>109</v>
      </c>
      <c r="D1278" s="24" t="s">
        <v>485</v>
      </c>
      <c r="E1278" s="24">
        <v>0</v>
      </c>
      <c r="F1278" s="24"/>
    </row>
    <row r="1279" spans="1:6" x14ac:dyDescent="0.3">
      <c r="A1279" s="24" t="s">
        <v>45</v>
      </c>
      <c r="B1279" s="24" t="s">
        <v>25</v>
      </c>
      <c r="C1279" s="24" t="s">
        <v>111</v>
      </c>
      <c r="D1279" s="24" t="s">
        <v>486</v>
      </c>
      <c r="E1279" s="24">
        <v>0</v>
      </c>
      <c r="F1279" s="24" t="s">
        <v>129</v>
      </c>
    </row>
    <row r="1280" spans="1:6" x14ac:dyDescent="0.3">
      <c r="A1280" s="24" t="s">
        <v>63</v>
      </c>
      <c r="B1280" s="24" t="s">
        <v>25</v>
      </c>
      <c r="C1280" s="24" t="s">
        <v>77</v>
      </c>
      <c r="D1280" s="24" t="s">
        <v>485</v>
      </c>
      <c r="E1280" s="24">
        <v>0</v>
      </c>
      <c r="F1280" s="24" t="s">
        <v>126</v>
      </c>
    </row>
    <row r="1281" spans="1:6" x14ac:dyDescent="0.3">
      <c r="A1281" s="24" t="s">
        <v>63</v>
      </c>
      <c r="B1281" s="24" t="s">
        <v>25</v>
      </c>
      <c r="C1281" s="24" t="s">
        <v>79</v>
      </c>
      <c r="D1281" s="24" t="s">
        <v>485</v>
      </c>
      <c r="E1281" s="24">
        <v>0</v>
      </c>
      <c r="F1281" s="24" t="s">
        <v>129</v>
      </c>
    </row>
    <row r="1282" spans="1:6" x14ac:dyDescent="0.3">
      <c r="A1282" s="24" t="s">
        <v>63</v>
      </c>
      <c r="B1282" s="24" t="s">
        <v>25</v>
      </c>
      <c r="C1282" s="24" t="s">
        <v>81</v>
      </c>
      <c r="D1282" s="24" t="s">
        <v>486</v>
      </c>
      <c r="E1282" s="24">
        <v>1</v>
      </c>
      <c r="F1282" s="24" t="s">
        <v>129</v>
      </c>
    </row>
    <row r="1283" spans="1:6" x14ac:dyDescent="0.3">
      <c r="A1283" s="24" t="s">
        <v>63</v>
      </c>
      <c r="B1283" s="24" t="s">
        <v>25</v>
      </c>
      <c r="C1283" s="24" t="s">
        <v>83</v>
      </c>
      <c r="D1283" s="24" t="s">
        <v>485</v>
      </c>
      <c r="E1283" s="24">
        <v>0</v>
      </c>
      <c r="F1283" s="24" t="s">
        <v>129</v>
      </c>
    </row>
    <row r="1284" spans="1:6" x14ac:dyDescent="0.3">
      <c r="A1284" s="24" t="s">
        <v>63</v>
      </c>
      <c r="B1284" s="24" t="s">
        <v>25</v>
      </c>
      <c r="C1284" s="24" t="s">
        <v>85</v>
      </c>
      <c r="D1284" s="24" t="s">
        <v>486</v>
      </c>
      <c r="E1284" s="24">
        <v>0</v>
      </c>
      <c r="F1284" s="24" t="s">
        <v>129</v>
      </c>
    </row>
    <row r="1285" spans="1:6" x14ac:dyDescent="0.3">
      <c r="A1285" s="24" t="s">
        <v>63</v>
      </c>
      <c r="B1285" s="24" t="s">
        <v>25</v>
      </c>
      <c r="C1285" s="24" t="s">
        <v>87</v>
      </c>
      <c r="D1285" s="24" t="s">
        <v>485</v>
      </c>
      <c r="E1285" s="24">
        <v>0</v>
      </c>
      <c r="F1285" s="24" t="s">
        <v>126</v>
      </c>
    </row>
    <row r="1286" spans="1:6" x14ac:dyDescent="0.3">
      <c r="A1286" s="24" t="s">
        <v>63</v>
      </c>
      <c r="B1286" s="24" t="s">
        <v>25</v>
      </c>
      <c r="C1286" s="24" t="s">
        <v>89</v>
      </c>
      <c r="D1286" s="24" t="s">
        <v>486</v>
      </c>
      <c r="E1286" s="24">
        <v>0</v>
      </c>
      <c r="F1286" s="24" t="s">
        <v>129</v>
      </c>
    </row>
    <row r="1287" spans="1:6" x14ac:dyDescent="0.3">
      <c r="A1287" s="24" t="s">
        <v>63</v>
      </c>
      <c r="B1287" s="24" t="s">
        <v>25</v>
      </c>
      <c r="C1287" s="24" t="s">
        <v>91</v>
      </c>
      <c r="D1287" s="24" t="s">
        <v>486</v>
      </c>
      <c r="E1287" s="24">
        <v>0</v>
      </c>
      <c r="F1287" s="24" t="s">
        <v>129</v>
      </c>
    </row>
    <row r="1288" spans="1:6" x14ac:dyDescent="0.3">
      <c r="A1288" s="24" t="s">
        <v>63</v>
      </c>
      <c r="B1288" s="24" t="s">
        <v>25</v>
      </c>
      <c r="C1288" s="24" t="s">
        <v>93</v>
      </c>
      <c r="D1288" s="24" t="s">
        <v>486</v>
      </c>
      <c r="E1288" s="24">
        <v>0</v>
      </c>
      <c r="F1288" s="24" t="s">
        <v>129</v>
      </c>
    </row>
    <row r="1289" spans="1:6" x14ac:dyDescent="0.3">
      <c r="A1289" s="24" t="s">
        <v>63</v>
      </c>
      <c r="B1289" s="24" t="s">
        <v>25</v>
      </c>
      <c r="C1289" s="24" t="s">
        <v>95</v>
      </c>
      <c r="D1289" s="24" t="s">
        <v>486</v>
      </c>
      <c r="E1289" s="24">
        <v>0</v>
      </c>
      <c r="F1289" s="24" t="s">
        <v>129</v>
      </c>
    </row>
    <row r="1290" spans="1:6" x14ac:dyDescent="0.3">
      <c r="A1290" s="24" t="s">
        <v>63</v>
      </c>
      <c r="B1290" s="24" t="s">
        <v>25</v>
      </c>
      <c r="C1290" s="24" t="s">
        <v>97</v>
      </c>
      <c r="D1290" s="24" t="s">
        <v>485</v>
      </c>
      <c r="E1290" s="24">
        <v>0</v>
      </c>
      <c r="F1290" s="24" t="s">
        <v>129</v>
      </c>
    </row>
    <row r="1291" spans="1:6" x14ac:dyDescent="0.3">
      <c r="A1291" s="24" t="s">
        <v>63</v>
      </c>
      <c r="B1291" s="24" t="s">
        <v>25</v>
      </c>
      <c r="C1291" s="24" t="s">
        <v>99</v>
      </c>
      <c r="D1291" s="24" t="s">
        <v>486</v>
      </c>
      <c r="E1291" s="24">
        <v>0</v>
      </c>
      <c r="F1291" s="24" t="s">
        <v>129</v>
      </c>
    </row>
    <row r="1292" spans="1:6" x14ac:dyDescent="0.3">
      <c r="A1292" s="24" t="s">
        <v>63</v>
      </c>
      <c r="B1292" s="24" t="s">
        <v>25</v>
      </c>
      <c r="C1292" s="24" t="s">
        <v>101</v>
      </c>
      <c r="D1292" s="24" t="s">
        <v>487</v>
      </c>
      <c r="E1292" s="24">
        <v>0</v>
      </c>
      <c r="F1292" s="24" t="s">
        <v>129</v>
      </c>
    </row>
    <row r="1293" spans="1:6" x14ac:dyDescent="0.3">
      <c r="A1293" s="24" t="s">
        <v>63</v>
      </c>
      <c r="B1293" s="24" t="s">
        <v>25</v>
      </c>
      <c r="C1293" s="24" t="s">
        <v>103</v>
      </c>
      <c r="D1293" s="24" t="s">
        <v>486</v>
      </c>
      <c r="E1293" s="24">
        <v>0</v>
      </c>
      <c r="F1293" s="24" t="s">
        <v>129</v>
      </c>
    </row>
    <row r="1294" spans="1:6" x14ac:dyDescent="0.3">
      <c r="A1294" s="24" t="s">
        <v>63</v>
      </c>
      <c r="B1294" s="24" t="s">
        <v>25</v>
      </c>
      <c r="C1294" s="24" t="s">
        <v>105</v>
      </c>
      <c r="D1294" s="24" t="s">
        <v>486</v>
      </c>
      <c r="E1294" s="24">
        <v>0</v>
      </c>
      <c r="F1294" s="24" t="s">
        <v>129</v>
      </c>
    </row>
    <row r="1295" spans="1:6" x14ac:dyDescent="0.3">
      <c r="A1295" s="24" t="s">
        <v>63</v>
      </c>
      <c r="B1295" s="24" t="s">
        <v>25</v>
      </c>
      <c r="C1295" s="24" t="s">
        <v>107</v>
      </c>
      <c r="D1295" s="24" t="s">
        <v>485</v>
      </c>
      <c r="E1295" s="24">
        <v>0</v>
      </c>
      <c r="F1295" s="24" t="s">
        <v>126</v>
      </c>
    </row>
    <row r="1296" spans="1:6" x14ac:dyDescent="0.3">
      <c r="A1296" s="24" t="s">
        <v>63</v>
      </c>
      <c r="B1296" s="24" t="s">
        <v>25</v>
      </c>
      <c r="C1296" s="24" t="s">
        <v>109</v>
      </c>
      <c r="D1296" s="24" t="s">
        <v>485</v>
      </c>
      <c r="E1296" s="24">
        <v>0</v>
      </c>
      <c r="F1296" s="24"/>
    </row>
    <row r="1297" spans="1:6" x14ac:dyDescent="0.3">
      <c r="A1297" s="24" t="s">
        <v>63</v>
      </c>
      <c r="B1297" s="24" t="s">
        <v>25</v>
      </c>
      <c r="C1297" s="24" t="s">
        <v>111</v>
      </c>
      <c r="D1297" s="24" t="s">
        <v>486</v>
      </c>
      <c r="E1297" s="24">
        <v>0</v>
      </c>
      <c r="F1297" s="24" t="s">
        <v>129</v>
      </c>
    </row>
    <row r="1298" spans="1:6" x14ac:dyDescent="0.3">
      <c r="A1298" s="24" t="s">
        <v>47</v>
      </c>
      <c r="B1298" s="24" t="s">
        <v>25</v>
      </c>
      <c r="C1298" s="24" t="s">
        <v>77</v>
      </c>
      <c r="D1298" s="24" t="s">
        <v>485</v>
      </c>
      <c r="E1298" s="24">
        <v>0</v>
      </c>
      <c r="F1298" s="24" t="s">
        <v>126</v>
      </c>
    </row>
    <row r="1299" spans="1:6" x14ac:dyDescent="0.3">
      <c r="A1299" s="24" t="s">
        <v>47</v>
      </c>
      <c r="B1299" s="24" t="s">
        <v>25</v>
      </c>
      <c r="C1299" s="24" t="s">
        <v>79</v>
      </c>
      <c r="D1299" s="24" t="s">
        <v>485</v>
      </c>
      <c r="E1299" s="24">
        <v>0</v>
      </c>
      <c r="F1299" s="24" t="s">
        <v>129</v>
      </c>
    </row>
    <row r="1300" spans="1:6" x14ac:dyDescent="0.3">
      <c r="A1300" s="24" t="s">
        <v>47</v>
      </c>
      <c r="B1300" s="24" t="s">
        <v>25</v>
      </c>
      <c r="C1300" s="24" t="s">
        <v>81</v>
      </c>
      <c r="D1300" s="24" t="s">
        <v>486</v>
      </c>
      <c r="E1300" s="24">
        <v>1</v>
      </c>
      <c r="F1300" s="24" t="s">
        <v>129</v>
      </c>
    </row>
    <row r="1301" spans="1:6" x14ac:dyDescent="0.3">
      <c r="A1301" s="24" t="s">
        <v>47</v>
      </c>
      <c r="B1301" s="24" t="s">
        <v>25</v>
      </c>
      <c r="C1301" s="24" t="s">
        <v>83</v>
      </c>
      <c r="D1301" s="24" t="s">
        <v>485</v>
      </c>
      <c r="E1301" s="24">
        <v>0</v>
      </c>
      <c r="F1301" s="24" t="s">
        <v>129</v>
      </c>
    </row>
    <row r="1302" spans="1:6" x14ac:dyDescent="0.3">
      <c r="A1302" s="24" t="s">
        <v>47</v>
      </c>
      <c r="B1302" s="24" t="s">
        <v>25</v>
      </c>
      <c r="C1302" s="24" t="s">
        <v>85</v>
      </c>
      <c r="D1302" s="24" t="s">
        <v>486</v>
      </c>
      <c r="E1302" s="24">
        <v>0</v>
      </c>
      <c r="F1302" s="24" t="s">
        <v>129</v>
      </c>
    </row>
    <row r="1303" spans="1:6" x14ac:dyDescent="0.3">
      <c r="A1303" s="24" t="s">
        <v>47</v>
      </c>
      <c r="B1303" s="24" t="s">
        <v>25</v>
      </c>
      <c r="C1303" s="24" t="s">
        <v>87</v>
      </c>
      <c r="D1303" s="24" t="s">
        <v>485</v>
      </c>
      <c r="E1303" s="24">
        <v>0</v>
      </c>
      <c r="F1303" s="24" t="s">
        <v>126</v>
      </c>
    </row>
    <row r="1304" spans="1:6" x14ac:dyDescent="0.3">
      <c r="A1304" s="24" t="s">
        <v>47</v>
      </c>
      <c r="B1304" s="24" t="s">
        <v>25</v>
      </c>
      <c r="C1304" s="24" t="s">
        <v>89</v>
      </c>
      <c r="D1304" s="24" t="s">
        <v>486</v>
      </c>
      <c r="E1304" s="24">
        <v>0</v>
      </c>
      <c r="F1304" s="24" t="s">
        <v>129</v>
      </c>
    </row>
    <row r="1305" spans="1:6" x14ac:dyDescent="0.3">
      <c r="A1305" s="24" t="s">
        <v>47</v>
      </c>
      <c r="B1305" s="24" t="s">
        <v>25</v>
      </c>
      <c r="C1305" s="24" t="s">
        <v>91</v>
      </c>
      <c r="D1305" s="24" t="s">
        <v>486</v>
      </c>
      <c r="E1305" s="24">
        <v>0</v>
      </c>
      <c r="F1305" s="24" t="s">
        <v>129</v>
      </c>
    </row>
    <row r="1306" spans="1:6" x14ac:dyDescent="0.3">
      <c r="A1306" s="24" t="s">
        <v>47</v>
      </c>
      <c r="B1306" s="24" t="s">
        <v>25</v>
      </c>
      <c r="C1306" s="24" t="s">
        <v>93</v>
      </c>
      <c r="D1306" s="24" t="s">
        <v>486</v>
      </c>
      <c r="E1306" s="24">
        <v>0</v>
      </c>
      <c r="F1306" s="24" t="s">
        <v>129</v>
      </c>
    </row>
    <row r="1307" spans="1:6" x14ac:dyDescent="0.3">
      <c r="A1307" s="24" t="s">
        <v>47</v>
      </c>
      <c r="B1307" s="24" t="s">
        <v>25</v>
      </c>
      <c r="C1307" s="24" t="s">
        <v>95</v>
      </c>
      <c r="D1307" s="24" t="s">
        <v>486</v>
      </c>
      <c r="E1307" s="24">
        <v>0</v>
      </c>
      <c r="F1307" s="24" t="s">
        <v>129</v>
      </c>
    </row>
    <row r="1308" spans="1:6" x14ac:dyDescent="0.3">
      <c r="A1308" s="24" t="s">
        <v>47</v>
      </c>
      <c r="B1308" s="24" t="s">
        <v>25</v>
      </c>
      <c r="C1308" s="24" t="s">
        <v>97</v>
      </c>
      <c r="D1308" s="24" t="s">
        <v>485</v>
      </c>
      <c r="E1308" s="24">
        <v>0</v>
      </c>
      <c r="F1308" s="24" t="s">
        <v>129</v>
      </c>
    </row>
    <row r="1309" spans="1:6" x14ac:dyDescent="0.3">
      <c r="A1309" s="24" t="s">
        <v>47</v>
      </c>
      <c r="B1309" s="24" t="s">
        <v>25</v>
      </c>
      <c r="C1309" s="24" t="s">
        <v>99</v>
      </c>
      <c r="D1309" s="24" t="s">
        <v>486</v>
      </c>
      <c r="E1309" s="24">
        <v>0</v>
      </c>
      <c r="F1309" s="24" t="s">
        <v>129</v>
      </c>
    </row>
    <row r="1310" spans="1:6" x14ac:dyDescent="0.3">
      <c r="A1310" s="24" t="s">
        <v>47</v>
      </c>
      <c r="B1310" s="24" t="s">
        <v>25</v>
      </c>
      <c r="C1310" s="24" t="s">
        <v>101</v>
      </c>
      <c r="D1310" s="24" t="s">
        <v>487</v>
      </c>
      <c r="E1310" s="24">
        <v>0</v>
      </c>
      <c r="F1310" s="24" t="s">
        <v>129</v>
      </c>
    </row>
    <row r="1311" spans="1:6" x14ac:dyDescent="0.3">
      <c r="A1311" s="24" t="s">
        <v>47</v>
      </c>
      <c r="B1311" s="24" t="s">
        <v>25</v>
      </c>
      <c r="C1311" s="24" t="s">
        <v>103</v>
      </c>
      <c r="D1311" s="24" t="s">
        <v>486</v>
      </c>
      <c r="E1311" s="24">
        <v>0</v>
      </c>
      <c r="F1311" s="24" t="s">
        <v>129</v>
      </c>
    </row>
    <row r="1312" spans="1:6" x14ac:dyDescent="0.3">
      <c r="A1312" s="24" t="s">
        <v>47</v>
      </c>
      <c r="B1312" s="24" t="s">
        <v>25</v>
      </c>
      <c r="C1312" s="24" t="s">
        <v>105</v>
      </c>
      <c r="D1312" s="24" t="s">
        <v>486</v>
      </c>
      <c r="E1312" s="24">
        <v>0</v>
      </c>
      <c r="F1312" s="24" t="s">
        <v>129</v>
      </c>
    </row>
    <row r="1313" spans="1:6" x14ac:dyDescent="0.3">
      <c r="A1313" s="24" t="s">
        <v>47</v>
      </c>
      <c r="B1313" s="24" t="s">
        <v>25</v>
      </c>
      <c r="C1313" s="24" t="s">
        <v>107</v>
      </c>
      <c r="D1313" s="24" t="s">
        <v>485</v>
      </c>
      <c r="E1313" s="24">
        <v>0</v>
      </c>
      <c r="F1313" s="24" t="s">
        <v>129</v>
      </c>
    </row>
    <row r="1314" spans="1:6" x14ac:dyDescent="0.3">
      <c r="A1314" s="24" t="s">
        <v>47</v>
      </c>
      <c r="B1314" s="24" t="s">
        <v>25</v>
      </c>
      <c r="C1314" s="24" t="s">
        <v>109</v>
      </c>
      <c r="D1314" s="24" t="s">
        <v>485</v>
      </c>
      <c r="E1314" s="24">
        <v>0</v>
      </c>
      <c r="F1314" s="24"/>
    </row>
    <row r="1315" spans="1:6" x14ac:dyDescent="0.3">
      <c r="A1315" s="24" t="s">
        <v>47</v>
      </c>
      <c r="B1315" s="24" t="s">
        <v>25</v>
      </c>
      <c r="C1315" s="24" t="s">
        <v>111</v>
      </c>
      <c r="D1315" s="24" t="s">
        <v>486</v>
      </c>
      <c r="E1315" s="24">
        <v>0</v>
      </c>
      <c r="F1315" s="24" t="s">
        <v>129</v>
      </c>
    </row>
    <row r="1316" spans="1:6" x14ac:dyDescent="0.3">
      <c r="A1316" s="24" t="s">
        <v>49</v>
      </c>
      <c r="B1316" s="24" t="s">
        <v>25</v>
      </c>
      <c r="C1316" s="24" t="s">
        <v>77</v>
      </c>
      <c r="D1316" s="24" t="s">
        <v>485</v>
      </c>
      <c r="E1316" s="24">
        <v>0</v>
      </c>
      <c r="F1316" s="24" t="s">
        <v>126</v>
      </c>
    </row>
    <row r="1317" spans="1:6" x14ac:dyDescent="0.3">
      <c r="A1317" s="24" t="s">
        <v>49</v>
      </c>
      <c r="B1317" s="24" t="s">
        <v>25</v>
      </c>
      <c r="C1317" s="24" t="s">
        <v>79</v>
      </c>
      <c r="D1317" s="24" t="s">
        <v>485</v>
      </c>
      <c r="E1317" s="24">
        <v>0</v>
      </c>
      <c r="F1317" s="24" t="s">
        <v>129</v>
      </c>
    </row>
    <row r="1318" spans="1:6" x14ac:dyDescent="0.3">
      <c r="A1318" s="24" t="s">
        <v>49</v>
      </c>
      <c r="B1318" s="24" t="s">
        <v>25</v>
      </c>
      <c r="C1318" s="24" t="s">
        <v>81</v>
      </c>
      <c r="D1318" s="24" t="s">
        <v>486</v>
      </c>
      <c r="E1318" s="24">
        <v>1</v>
      </c>
      <c r="F1318" s="24" t="s">
        <v>129</v>
      </c>
    </row>
    <row r="1319" spans="1:6" x14ac:dyDescent="0.3">
      <c r="A1319" s="24" t="s">
        <v>49</v>
      </c>
      <c r="B1319" s="24" t="s">
        <v>25</v>
      </c>
      <c r="C1319" s="24" t="s">
        <v>83</v>
      </c>
      <c r="D1319" s="24" t="s">
        <v>485</v>
      </c>
      <c r="E1319" s="24">
        <v>0</v>
      </c>
      <c r="F1319" s="24" t="s">
        <v>129</v>
      </c>
    </row>
    <row r="1320" spans="1:6" x14ac:dyDescent="0.3">
      <c r="A1320" s="24" t="s">
        <v>49</v>
      </c>
      <c r="B1320" s="24" t="s">
        <v>25</v>
      </c>
      <c r="C1320" s="24" t="s">
        <v>85</v>
      </c>
      <c r="D1320" s="24" t="s">
        <v>486</v>
      </c>
      <c r="E1320" s="24">
        <v>0</v>
      </c>
      <c r="F1320" s="24" t="s">
        <v>129</v>
      </c>
    </row>
    <row r="1321" spans="1:6" x14ac:dyDescent="0.3">
      <c r="A1321" s="24" t="s">
        <v>49</v>
      </c>
      <c r="B1321" s="24" t="s">
        <v>25</v>
      </c>
      <c r="C1321" s="24" t="s">
        <v>87</v>
      </c>
      <c r="D1321" s="24" t="s">
        <v>485</v>
      </c>
      <c r="E1321" s="24">
        <v>0</v>
      </c>
      <c r="F1321" s="24" t="s">
        <v>126</v>
      </c>
    </row>
    <row r="1322" spans="1:6" x14ac:dyDescent="0.3">
      <c r="A1322" s="24" t="s">
        <v>49</v>
      </c>
      <c r="B1322" s="24" t="s">
        <v>25</v>
      </c>
      <c r="C1322" s="24" t="s">
        <v>89</v>
      </c>
      <c r="D1322" s="24" t="s">
        <v>486</v>
      </c>
      <c r="E1322" s="24">
        <v>0</v>
      </c>
      <c r="F1322" s="24" t="s">
        <v>129</v>
      </c>
    </row>
    <row r="1323" spans="1:6" x14ac:dyDescent="0.3">
      <c r="A1323" s="24" t="s">
        <v>49</v>
      </c>
      <c r="B1323" s="24" t="s">
        <v>25</v>
      </c>
      <c r="C1323" s="24" t="s">
        <v>91</v>
      </c>
      <c r="D1323" s="24" t="s">
        <v>486</v>
      </c>
      <c r="E1323" s="24">
        <v>0</v>
      </c>
      <c r="F1323" s="24" t="s">
        <v>129</v>
      </c>
    </row>
    <row r="1324" spans="1:6" x14ac:dyDescent="0.3">
      <c r="A1324" s="24" t="s">
        <v>49</v>
      </c>
      <c r="B1324" s="24" t="s">
        <v>25</v>
      </c>
      <c r="C1324" s="24" t="s">
        <v>93</v>
      </c>
      <c r="D1324" s="24" t="s">
        <v>486</v>
      </c>
      <c r="E1324" s="24">
        <v>0</v>
      </c>
      <c r="F1324" s="24" t="s">
        <v>129</v>
      </c>
    </row>
    <row r="1325" spans="1:6" x14ac:dyDescent="0.3">
      <c r="A1325" s="24" t="s">
        <v>49</v>
      </c>
      <c r="B1325" s="24" t="s">
        <v>25</v>
      </c>
      <c r="C1325" s="24" t="s">
        <v>95</v>
      </c>
      <c r="D1325" s="24" t="s">
        <v>486</v>
      </c>
      <c r="E1325" s="24">
        <v>0</v>
      </c>
      <c r="F1325" s="24" t="s">
        <v>129</v>
      </c>
    </row>
    <row r="1326" spans="1:6" x14ac:dyDescent="0.3">
      <c r="A1326" s="24" t="s">
        <v>49</v>
      </c>
      <c r="B1326" s="24" t="s">
        <v>25</v>
      </c>
      <c r="C1326" s="24" t="s">
        <v>97</v>
      </c>
      <c r="D1326" s="24" t="s">
        <v>485</v>
      </c>
      <c r="E1326" s="24">
        <v>0</v>
      </c>
      <c r="F1326" s="24" t="s">
        <v>129</v>
      </c>
    </row>
    <row r="1327" spans="1:6" x14ac:dyDescent="0.3">
      <c r="A1327" s="24" t="s">
        <v>49</v>
      </c>
      <c r="B1327" s="24" t="s">
        <v>25</v>
      </c>
      <c r="C1327" s="24" t="s">
        <v>99</v>
      </c>
      <c r="D1327" s="24" t="s">
        <v>486</v>
      </c>
      <c r="E1327" s="24">
        <v>0</v>
      </c>
      <c r="F1327" s="24" t="s">
        <v>129</v>
      </c>
    </row>
    <row r="1328" spans="1:6" x14ac:dyDescent="0.3">
      <c r="A1328" s="24" t="s">
        <v>49</v>
      </c>
      <c r="B1328" s="24" t="s">
        <v>25</v>
      </c>
      <c r="C1328" s="24" t="s">
        <v>101</v>
      </c>
      <c r="D1328" s="24" t="s">
        <v>487</v>
      </c>
      <c r="E1328" s="24">
        <v>0</v>
      </c>
      <c r="F1328" s="24" t="s">
        <v>128</v>
      </c>
    </row>
    <row r="1329" spans="1:6" x14ac:dyDescent="0.3">
      <c r="A1329" s="24" t="s">
        <v>49</v>
      </c>
      <c r="B1329" s="24" t="s">
        <v>25</v>
      </c>
      <c r="C1329" s="24" t="s">
        <v>103</v>
      </c>
      <c r="D1329" s="24" t="s">
        <v>486</v>
      </c>
      <c r="E1329" s="24">
        <v>0</v>
      </c>
      <c r="F1329" s="24" t="s">
        <v>129</v>
      </c>
    </row>
    <row r="1330" spans="1:6" x14ac:dyDescent="0.3">
      <c r="A1330" s="24" t="s">
        <v>49</v>
      </c>
      <c r="B1330" s="24" t="s">
        <v>25</v>
      </c>
      <c r="C1330" s="24" t="s">
        <v>105</v>
      </c>
      <c r="D1330" s="24" t="s">
        <v>486</v>
      </c>
      <c r="E1330" s="24">
        <v>0</v>
      </c>
      <c r="F1330" s="24" t="s">
        <v>129</v>
      </c>
    </row>
    <row r="1331" spans="1:6" x14ac:dyDescent="0.3">
      <c r="A1331" s="24" t="s">
        <v>49</v>
      </c>
      <c r="B1331" s="24" t="s">
        <v>25</v>
      </c>
      <c r="C1331" s="24" t="s">
        <v>107</v>
      </c>
      <c r="D1331" s="24" t="s">
        <v>485</v>
      </c>
      <c r="E1331" s="24">
        <v>0</v>
      </c>
      <c r="F1331" s="24" t="s">
        <v>126</v>
      </c>
    </row>
    <row r="1332" spans="1:6" x14ac:dyDescent="0.3">
      <c r="A1332" s="24" t="s">
        <v>49</v>
      </c>
      <c r="B1332" s="24" t="s">
        <v>25</v>
      </c>
      <c r="C1332" s="24" t="s">
        <v>109</v>
      </c>
      <c r="D1332" s="24" t="s">
        <v>485</v>
      </c>
      <c r="E1332" s="24">
        <v>0</v>
      </c>
      <c r="F1332" s="24"/>
    </row>
    <row r="1333" spans="1:6" x14ac:dyDescent="0.3">
      <c r="A1333" s="24" t="s">
        <v>49</v>
      </c>
      <c r="B1333" s="24" t="s">
        <v>25</v>
      </c>
      <c r="C1333" s="24" t="s">
        <v>111</v>
      </c>
      <c r="D1333" s="24" t="s">
        <v>486</v>
      </c>
      <c r="E1333" s="24">
        <v>0</v>
      </c>
      <c r="F1333" s="24" t="s">
        <v>129</v>
      </c>
    </row>
    <row r="1334" spans="1:6" x14ac:dyDescent="0.3">
      <c r="A1334" s="24" t="s">
        <v>51</v>
      </c>
      <c r="B1334" s="24" t="s">
        <v>25</v>
      </c>
      <c r="C1334" s="24" t="s">
        <v>77</v>
      </c>
      <c r="D1334" s="24" t="s">
        <v>485</v>
      </c>
      <c r="E1334" s="24">
        <v>0</v>
      </c>
      <c r="F1334" s="24" t="s">
        <v>126</v>
      </c>
    </row>
    <row r="1335" spans="1:6" x14ac:dyDescent="0.3">
      <c r="A1335" s="24" t="s">
        <v>51</v>
      </c>
      <c r="B1335" s="24" t="s">
        <v>25</v>
      </c>
      <c r="C1335" s="24" t="s">
        <v>79</v>
      </c>
      <c r="D1335" s="24" t="s">
        <v>485</v>
      </c>
      <c r="E1335" s="24">
        <v>0</v>
      </c>
      <c r="F1335" s="24" t="s">
        <v>129</v>
      </c>
    </row>
    <row r="1336" spans="1:6" x14ac:dyDescent="0.3">
      <c r="A1336" s="24" t="s">
        <v>51</v>
      </c>
      <c r="B1336" s="24" t="s">
        <v>25</v>
      </c>
      <c r="C1336" s="24" t="s">
        <v>81</v>
      </c>
      <c r="D1336" s="24" t="s">
        <v>486</v>
      </c>
      <c r="E1336" s="24">
        <v>1</v>
      </c>
      <c r="F1336" s="24" t="s">
        <v>129</v>
      </c>
    </row>
    <row r="1337" spans="1:6" x14ac:dyDescent="0.3">
      <c r="A1337" s="24" t="s">
        <v>51</v>
      </c>
      <c r="B1337" s="24" t="s">
        <v>25</v>
      </c>
      <c r="C1337" s="24" t="s">
        <v>83</v>
      </c>
      <c r="D1337" s="24" t="s">
        <v>485</v>
      </c>
      <c r="E1337" s="24">
        <v>0</v>
      </c>
      <c r="F1337" s="24" t="s">
        <v>129</v>
      </c>
    </row>
    <row r="1338" spans="1:6" x14ac:dyDescent="0.3">
      <c r="A1338" s="24" t="s">
        <v>51</v>
      </c>
      <c r="B1338" s="24" t="s">
        <v>25</v>
      </c>
      <c r="C1338" s="24" t="s">
        <v>85</v>
      </c>
      <c r="D1338" s="24" t="s">
        <v>486</v>
      </c>
      <c r="E1338" s="24">
        <v>0</v>
      </c>
      <c r="F1338" s="24" t="s">
        <v>129</v>
      </c>
    </row>
    <row r="1339" spans="1:6" x14ac:dyDescent="0.3">
      <c r="A1339" s="24" t="s">
        <v>51</v>
      </c>
      <c r="B1339" s="24" t="s">
        <v>25</v>
      </c>
      <c r="C1339" s="24" t="s">
        <v>87</v>
      </c>
      <c r="D1339" s="24" t="s">
        <v>485</v>
      </c>
      <c r="E1339" s="24">
        <v>0</v>
      </c>
      <c r="F1339" s="24" t="s">
        <v>126</v>
      </c>
    </row>
    <row r="1340" spans="1:6" x14ac:dyDescent="0.3">
      <c r="A1340" s="24" t="s">
        <v>51</v>
      </c>
      <c r="B1340" s="24" t="s">
        <v>25</v>
      </c>
      <c r="C1340" s="24" t="s">
        <v>89</v>
      </c>
      <c r="D1340" s="24" t="s">
        <v>486</v>
      </c>
      <c r="E1340" s="24">
        <v>0</v>
      </c>
      <c r="F1340" s="24" t="s">
        <v>129</v>
      </c>
    </row>
    <row r="1341" spans="1:6" x14ac:dyDescent="0.3">
      <c r="A1341" s="24" t="s">
        <v>51</v>
      </c>
      <c r="B1341" s="24" t="s">
        <v>25</v>
      </c>
      <c r="C1341" s="24" t="s">
        <v>91</v>
      </c>
      <c r="D1341" s="24" t="s">
        <v>486</v>
      </c>
      <c r="E1341" s="24">
        <v>0</v>
      </c>
      <c r="F1341" s="24" t="s">
        <v>129</v>
      </c>
    </row>
    <row r="1342" spans="1:6" x14ac:dyDescent="0.3">
      <c r="A1342" s="24" t="s">
        <v>51</v>
      </c>
      <c r="B1342" s="24" t="s">
        <v>25</v>
      </c>
      <c r="C1342" s="24" t="s">
        <v>93</v>
      </c>
      <c r="D1342" s="24" t="s">
        <v>486</v>
      </c>
      <c r="E1342" s="24">
        <v>0</v>
      </c>
      <c r="F1342" s="24" t="s">
        <v>129</v>
      </c>
    </row>
    <row r="1343" spans="1:6" x14ac:dyDescent="0.3">
      <c r="A1343" s="24" t="s">
        <v>51</v>
      </c>
      <c r="B1343" s="24" t="s">
        <v>25</v>
      </c>
      <c r="C1343" s="24" t="s">
        <v>95</v>
      </c>
      <c r="D1343" s="24" t="s">
        <v>486</v>
      </c>
      <c r="E1343" s="24">
        <v>0</v>
      </c>
      <c r="F1343" s="24" t="s">
        <v>129</v>
      </c>
    </row>
    <row r="1344" spans="1:6" x14ac:dyDescent="0.3">
      <c r="A1344" s="24" t="s">
        <v>51</v>
      </c>
      <c r="B1344" s="24" t="s">
        <v>25</v>
      </c>
      <c r="C1344" s="24" t="s">
        <v>97</v>
      </c>
      <c r="D1344" s="24" t="s">
        <v>485</v>
      </c>
      <c r="E1344" s="24">
        <v>0</v>
      </c>
      <c r="F1344" s="24" t="s">
        <v>129</v>
      </c>
    </row>
    <row r="1345" spans="1:6" x14ac:dyDescent="0.3">
      <c r="A1345" s="24" t="s">
        <v>51</v>
      </c>
      <c r="B1345" s="24" t="s">
        <v>25</v>
      </c>
      <c r="C1345" s="24" t="s">
        <v>99</v>
      </c>
      <c r="D1345" s="24" t="s">
        <v>486</v>
      </c>
      <c r="E1345" s="24">
        <v>0</v>
      </c>
      <c r="F1345" s="24" t="s">
        <v>129</v>
      </c>
    </row>
    <row r="1346" spans="1:6" x14ac:dyDescent="0.3">
      <c r="A1346" s="24" t="s">
        <v>51</v>
      </c>
      <c r="B1346" s="24" t="s">
        <v>25</v>
      </c>
      <c r="C1346" s="24" t="s">
        <v>101</v>
      </c>
      <c r="D1346" s="24" t="s">
        <v>487</v>
      </c>
      <c r="E1346" s="24">
        <v>0</v>
      </c>
      <c r="F1346" s="24" t="s">
        <v>129</v>
      </c>
    </row>
    <row r="1347" spans="1:6" x14ac:dyDescent="0.3">
      <c r="A1347" s="24" t="s">
        <v>51</v>
      </c>
      <c r="B1347" s="24" t="s">
        <v>25</v>
      </c>
      <c r="C1347" s="24" t="s">
        <v>103</v>
      </c>
      <c r="D1347" s="24" t="s">
        <v>486</v>
      </c>
      <c r="E1347" s="24">
        <v>0</v>
      </c>
      <c r="F1347" s="24" t="s">
        <v>129</v>
      </c>
    </row>
    <row r="1348" spans="1:6" x14ac:dyDescent="0.3">
      <c r="A1348" s="24" t="s">
        <v>51</v>
      </c>
      <c r="B1348" s="24" t="s">
        <v>25</v>
      </c>
      <c r="C1348" s="24" t="s">
        <v>105</v>
      </c>
      <c r="D1348" s="24" t="s">
        <v>486</v>
      </c>
      <c r="E1348" s="24">
        <v>0</v>
      </c>
      <c r="F1348" s="24" t="s">
        <v>129</v>
      </c>
    </row>
    <row r="1349" spans="1:6" x14ac:dyDescent="0.3">
      <c r="A1349" s="24" t="s">
        <v>51</v>
      </c>
      <c r="B1349" s="24" t="s">
        <v>25</v>
      </c>
      <c r="C1349" s="24" t="s">
        <v>107</v>
      </c>
      <c r="D1349" s="24" t="s">
        <v>485</v>
      </c>
      <c r="E1349" s="24">
        <v>0</v>
      </c>
      <c r="F1349" s="24" t="s">
        <v>129</v>
      </c>
    </row>
    <row r="1350" spans="1:6" x14ac:dyDescent="0.3">
      <c r="A1350" s="24" t="s">
        <v>51</v>
      </c>
      <c r="B1350" s="24" t="s">
        <v>25</v>
      </c>
      <c r="C1350" s="24" t="s">
        <v>109</v>
      </c>
      <c r="D1350" s="24" t="s">
        <v>485</v>
      </c>
      <c r="E1350" s="24">
        <v>0</v>
      </c>
      <c r="F1350" s="24"/>
    </row>
    <row r="1351" spans="1:6" x14ac:dyDescent="0.3">
      <c r="A1351" s="24" t="s">
        <v>51</v>
      </c>
      <c r="B1351" s="24" t="s">
        <v>25</v>
      </c>
      <c r="C1351" s="24" t="s">
        <v>111</v>
      </c>
      <c r="D1351" s="24" t="s">
        <v>486</v>
      </c>
      <c r="E1351" s="24">
        <v>0</v>
      </c>
      <c r="F1351" s="24" t="s">
        <v>129</v>
      </c>
    </row>
    <row r="1352" spans="1:6" x14ac:dyDescent="0.3">
      <c r="A1352" s="24" t="s">
        <v>53</v>
      </c>
      <c r="B1352" s="24" t="s">
        <v>25</v>
      </c>
      <c r="C1352" s="24" t="s">
        <v>77</v>
      </c>
      <c r="D1352" s="24" t="s">
        <v>485</v>
      </c>
      <c r="E1352" s="24">
        <v>0</v>
      </c>
      <c r="F1352" s="24" t="s">
        <v>126</v>
      </c>
    </row>
    <row r="1353" spans="1:6" x14ac:dyDescent="0.3">
      <c r="A1353" s="24" t="s">
        <v>53</v>
      </c>
      <c r="B1353" s="24" t="s">
        <v>25</v>
      </c>
      <c r="C1353" s="24" t="s">
        <v>79</v>
      </c>
      <c r="D1353" s="24" t="s">
        <v>485</v>
      </c>
      <c r="E1353" s="24">
        <v>0</v>
      </c>
      <c r="F1353" s="24" t="s">
        <v>129</v>
      </c>
    </row>
    <row r="1354" spans="1:6" x14ac:dyDescent="0.3">
      <c r="A1354" s="24" t="s">
        <v>53</v>
      </c>
      <c r="B1354" s="24" t="s">
        <v>25</v>
      </c>
      <c r="C1354" s="24" t="s">
        <v>81</v>
      </c>
      <c r="D1354" s="24" t="s">
        <v>486</v>
      </c>
      <c r="E1354" s="24">
        <v>1</v>
      </c>
      <c r="F1354" s="24" t="s">
        <v>128</v>
      </c>
    </row>
    <row r="1355" spans="1:6" x14ac:dyDescent="0.3">
      <c r="A1355" s="24" t="s">
        <v>53</v>
      </c>
      <c r="B1355" s="24" t="s">
        <v>25</v>
      </c>
      <c r="C1355" s="24" t="s">
        <v>83</v>
      </c>
      <c r="D1355" s="24" t="s">
        <v>485</v>
      </c>
      <c r="E1355" s="24">
        <v>0</v>
      </c>
      <c r="F1355" s="24" t="s">
        <v>129</v>
      </c>
    </row>
    <row r="1356" spans="1:6" x14ac:dyDescent="0.3">
      <c r="A1356" s="24" t="s">
        <v>53</v>
      </c>
      <c r="B1356" s="24" t="s">
        <v>25</v>
      </c>
      <c r="C1356" s="24" t="s">
        <v>85</v>
      </c>
      <c r="D1356" s="24" t="s">
        <v>486</v>
      </c>
      <c r="E1356" s="24">
        <v>0</v>
      </c>
      <c r="F1356" s="24" t="s">
        <v>129</v>
      </c>
    </row>
    <row r="1357" spans="1:6" x14ac:dyDescent="0.3">
      <c r="A1357" s="24" t="s">
        <v>53</v>
      </c>
      <c r="B1357" s="24" t="s">
        <v>25</v>
      </c>
      <c r="C1357" s="24" t="s">
        <v>87</v>
      </c>
      <c r="D1357" s="24" t="s">
        <v>485</v>
      </c>
      <c r="E1357" s="24">
        <v>0</v>
      </c>
      <c r="F1357" s="24" t="s">
        <v>126</v>
      </c>
    </row>
    <row r="1358" spans="1:6" x14ac:dyDescent="0.3">
      <c r="A1358" s="24" t="s">
        <v>53</v>
      </c>
      <c r="B1358" s="24" t="s">
        <v>25</v>
      </c>
      <c r="C1358" s="24" t="s">
        <v>89</v>
      </c>
      <c r="D1358" s="24" t="s">
        <v>486</v>
      </c>
      <c r="E1358" s="24">
        <v>0</v>
      </c>
      <c r="F1358" s="24" t="s">
        <v>129</v>
      </c>
    </row>
    <row r="1359" spans="1:6" x14ac:dyDescent="0.3">
      <c r="A1359" s="24" t="s">
        <v>53</v>
      </c>
      <c r="B1359" s="24" t="s">
        <v>25</v>
      </c>
      <c r="C1359" s="24" t="s">
        <v>91</v>
      </c>
      <c r="D1359" s="24" t="s">
        <v>486</v>
      </c>
      <c r="E1359" s="24">
        <v>0</v>
      </c>
      <c r="F1359" s="24" t="s">
        <v>129</v>
      </c>
    </row>
    <row r="1360" spans="1:6" x14ac:dyDescent="0.3">
      <c r="A1360" s="24" t="s">
        <v>53</v>
      </c>
      <c r="B1360" s="24" t="s">
        <v>25</v>
      </c>
      <c r="C1360" s="24" t="s">
        <v>93</v>
      </c>
      <c r="D1360" s="24" t="s">
        <v>486</v>
      </c>
      <c r="E1360" s="24">
        <v>0</v>
      </c>
      <c r="F1360" s="24" t="s">
        <v>129</v>
      </c>
    </row>
    <row r="1361" spans="1:6" x14ac:dyDescent="0.3">
      <c r="A1361" s="24" t="s">
        <v>53</v>
      </c>
      <c r="B1361" s="24" t="s">
        <v>25</v>
      </c>
      <c r="C1361" s="24" t="s">
        <v>95</v>
      </c>
      <c r="D1361" s="24" t="s">
        <v>486</v>
      </c>
      <c r="E1361" s="24">
        <v>0</v>
      </c>
      <c r="F1361" s="24" t="s">
        <v>129</v>
      </c>
    </row>
    <row r="1362" spans="1:6" x14ac:dyDescent="0.3">
      <c r="A1362" s="24" t="s">
        <v>53</v>
      </c>
      <c r="B1362" s="24" t="s">
        <v>25</v>
      </c>
      <c r="C1362" s="24" t="s">
        <v>97</v>
      </c>
      <c r="D1362" s="24" t="s">
        <v>485</v>
      </c>
      <c r="E1362" s="24">
        <v>0</v>
      </c>
      <c r="F1362" s="24" t="s">
        <v>129</v>
      </c>
    </row>
    <row r="1363" spans="1:6" x14ac:dyDescent="0.3">
      <c r="A1363" s="24" t="s">
        <v>53</v>
      </c>
      <c r="B1363" s="24" t="s">
        <v>25</v>
      </c>
      <c r="C1363" s="24" t="s">
        <v>99</v>
      </c>
      <c r="D1363" s="24" t="s">
        <v>486</v>
      </c>
      <c r="E1363" s="24">
        <v>0</v>
      </c>
      <c r="F1363" s="24" t="s">
        <v>129</v>
      </c>
    </row>
    <row r="1364" spans="1:6" x14ac:dyDescent="0.3">
      <c r="A1364" s="24" t="s">
        <v>53</v>
      </c>
      <c r="B1364" s="24" t="s">
        <v>25</v>
      </c>
      <c r="C1364" s="24" t="s">
        <v>101</v>
      </c>
      <c r="D1364" s="24" t="s">
        <v>487</v>
      </c>
      <c r="E1364" s="24">
        <v>0</v>
      </c>
      <c r="F1364" s="24" t="s">
        <v>129</v>
      </c>
    </row>
    <row r="1365" spans="1:6" x14ac:dyDescent="0.3">
      <c r="A1365" s="24" t="s">
        <v>53</v>
      </c>
      <c r="B1365" s="24" t="s">
        <v>25</v>
      </c>
      <c r="C1365" s="24" t="s">
        <v>103</v>
      </c>
      <c r="D1365" s="24" t="s">
        <v>486</v>
      </c>
      <c r="E1365" s="24">
        <v>0</v>
      </c>
      <c r="F1365" s="24" t="s">
        <v>129</v>
      </c>
    </row>
    <row r="1366" spans="1:6" x14ac:dyDescent="0.3">
      <c r="A1366" s="24" t="s">
        <v>53</v>
      </c>
      <c r="B1366" s="24" t="s">
        <v>25</v>
      </c>
      <c r="C1366" s="24" t="s">
        <v>105</v>
      </c>
      <c r="D1366" s="24" t="s">
        <v>486</v>
      </c>
      <c r="E1366" s="24">
        <v>0</v>
      </c>
      <c r="F1366" s="24" t="s">
        <v>129</v>
      </c>
    </row>
    <row r="1367" spans="1:6" x14ac:dyDescent="0.3">
      <c r="A1367" s="24" t="s">
        <v>53</v>
      </c>
      <c r="B1367" s="24" t="s">
        <v>25</v>
      </c>
      <c r="C1367" s="24" t="s">
        <v>107</v>
      </c>
      <c r="D1367" s="24" t="s">
        <v>485</v>
      </c>
      <c r="E1367" s="24">
        <v>0</v>
      </c>
      <c r="F1367" s="24" t="s">
        <v>129</v>
      </c>
    </row>
    <row r="1368" spans="1:6" x14ac:dyDescent="0.3">
      <c r="A1368" s="24" t="s">
        <v>53</v>
      </c>
      <c r="B1368" s="24" t="s">
        <v>25</v>
      </c>
      <c r="C1368" s="24" t="s">
        <v>109</v>
      </c>
      <c r="D1368" s="24" t="s">
        <v>485</v>
      </c>
      <c r="E1368" s="24">
        <v>0</v>
      </c>
      <c r="F1368" s="24"/>
    </row>
    <row r="1369" spans="1:6" x14ac:dyDescent="0.3">
      <c r="A1369" s="24" t="s">
        <v>53</v>
      </c>
      <c r="B1369" s="24" t="s">
        <v>25</v>
      </c>
      <c r="C1369" s="24" t="s">
        <v>111</v>
      </c>
      <c r="D1369" s="24" t="s">
        <v>486</v>
      </c>
      <c r="E1369" s="24">
        <v>0</v>
      </c>
      <c r="F1369" s="24" t="s">
        <v>129</v>
      </c>
    </row>
    <row r="1370" spans="1:6" x14ac:dyDescent="0.3">
      <c r="A1370" s="24" t="s">
        <v>55</v>
      </c>
      <c r="B1370" s="24" t="s">
        <v>25</v>
      </c>
      <c r="C1370" s="24" t="s">
        <v>77</v>
      </c>
      <c r="D1370" s="24" t="s">
        <v>485</v>
      </c>
      <c r="E1370" s="24">
        <v>0</v>
      </c>
      <c r="F1370" s="24" t="s">
        <v>126</v>
      </c>
    </row>
    <row r="1371" spans="1:6" x14ac:dyDescent="0.3">
      <c r="A1371" s="24" t="s">
        <v>55</v>
      </c>
      <c r="B1371" s="24" t="s">
        <v>25</v>
      </c>
      <c r="C1371" s="24" t="s">
        <v>79</v>
      </c>
      <c r="D1371" s="24" t="s">
        <v>485</v>
      </c>
      <c r="E1371" s="24">
        <v>0</v>
      </c>
      <c r="F1371" s="24" t="s">
        <v>129</v>
      </c>
    </row>
    <row r="1372" spans="1:6" x14ac:dyDescent="0.3">
      <c r="A1372" s="24" t="s">
        <v>55</v>
      </c>
      <c r="B1372" s="24" t="s">
        <v>25</v>
      </c>
      <c r="C1372" s="24" t="s">
        <v>81</v>
      </c>
      <c r="D1372" s="24" t="s">
        <v>486</v>
      </c>
      <c r="E1372" s="24">
        <v>1</v>
      </c>
      <c r="F1372" s="24" t="s">
        <v>129</v>
      </c>
    </row>
    <row r="1373" spans="1:6" x14ac:dyDescent="0.3">
      <c r="A1373" s="24" t="s">
        <v>55</v>
      </c>
      <c r="B1373" s="24" t="s">
        <v>25</v>
      </c>
      <c r="C1373" s="24" t="s">
        <v>83</v>
      </c>
      <c r="D1373" s="24" t="s">
        <v>485</v>
      </c>
      <c r="E1373" s="24">
        <v>0</v>
      </c>
      <c r="F1373" s="24" t="s">
        <v>129</v>
      </c>
    </row>
    <row r="1374" spans="1:6" x14ac:dyDescent="0.3">
      <c r="A1374" s="24" t="s">
        <v>55</v>
      </c>
      <c r="B1374" s="24" t="s">
        <v>25</v>
      </c>
      <c r="C1374" s="24" t="s">
        <v>85</v>
      </c>
      <c r="D1374" s="24" t="s">
        <v>486</v>
      </c>
      <c r="E1374" s="24">
        <v>0</v>
      </c>
      <c r="F1374" s="24" t="s">
        <v>129</v>
      </c>
    </row>
    <row r="1375" spans="1:6" x14ac:dyDescent="0.3">
      <c r="A1375" s="24" t="s">
        <v>55</v>
      </c>
      <c r="B1375" s="24" t="s">
        <v>25</v>
      </c>
      <c r="C1375" s="24" t="s">
        <v>87</v>
      </c>
      <c r="D1375" s="24" t="s">
        <v>485</v>
      </c>
      <c r="E1375" s="24">
        <v>0</v>
      </c>
      <c r="F1375" s="24" t="s">
        <v>129</v>
      </c>
    </row>
    <row r="1376" spans="1:6" x14ac:dyDescent="0.3">
      <c r="A1376" s="24" t="s">
        <v>55</v>
      </c>
      <c r="B1376" s="24" t="s">
        <v>25</v>
      </c>
      <c r="C1376" s="24" t="s">
        <v>89</v>
      </c>
      <c r="D1376" s="24" t="s">
        <v>486</v>
      </c>
      <c r="E1376" s="24">
        <v>0</v>
      </c>
      <c r="F1376" s="24" t="s">
        <v>129</v>
      </c>
    </row>
    <row r="1377" spans="1:6" x14ac:dyDescent="0.3">
      <c r="A1377" s="24" t="s">
        <v>55</v>
      </c>
      <c r="B1377" s="24" t="s">
        <v>25</v>
      </c>
      <c r="C1377" s="24" t="s">
        <v>91</v>
      </c>
      <c r="D1377" s="24" t="s">
        <v>486</v>
      </c>
      <c r="E1377" s="24">
        <v>0</v>
      </c>
      <c r="F1377" s="24" t="s">
        <v>129</v>
      </c>
    </row>
    <row r="1378" spans="1:6" x14ac:dyDescent="0.3">
      <c r="A1378" s="24" t="s">
        <v>55</v>
      </c>
      <c r="B1378" s="24" t="s">
        <v>25</v>
      </c>
      <c r="C1378" s="24" t="s">
        <v>93</v>
      </c>
      <c r="D1378" s="24" t="s">
        <v>486</v>
      </c>
      <c r="E1378" s="24">
        <v>0</v>
      </c>
      <c r="F1378" s="24" t="s">
        <v>129</v>
      </c>
    </row>
    <row r="1379" spans="1:6" x14ac:dyDescent="0.3">
      <c r="A1379" s="24" t="s">
        <v>55</v>
      </c>
      <c r="B1379" s="24" t="s">
        <v>25</v>
      </c>
      <c r="C1379" s="24" t="s">
        <v>95</v>
      </c>
      <c r="D1379" s="24" t="s">
        <v>486</v>
      </c>
      <c r="E1379" s="24">
        <v>0</v>
      </c>
      <c r="F1379" s="24" t="s">
        <v>129</v>
      </c>
    </row>
    <row r="1380" spans="1:6" x14ac:dyDescent="0.3">
      <c r="A1380" s="24" t="s">
        <v>55</v>
      </c>
      <c r="B1380" s="24" t="s">
        <v>25</v>
      </c>
      <c r="C1380" s="24" t="s">
        <v>97</v>
      </c>
      <c r="D1380" s="24" t="s">
        <v>485</v>
      </c>
      <c r="E1380" s="24">
        <v>0</v>
      </c>
      <c r="F1380" s="24" t="s">
        <v>129</v>
      </c>
    </row>
    <row r="1381" spans="1:6" x14ac:dyDescent="0.3">
      <c r="A1381" s="24" t="s">
        <v>55</v>
      </c>
      <c r="B1381" s="24" t="s">
        <v>25</v>
      </c>
      <c r="C1381" s="24" t="s">
        <v>99</v>
      </c>
      <c r="D1381" s="24" t="s">
        <v>486</v>
      </c>
      <c r="E1381" s="24">
        <v>0</v>
      </c>
      <c r="F1381" s="24" t="s">
        <v>129</v>
      </c>
    </row>
    <row r="1382" spans="1:6" x14ac:dyDescent="0.3">
      <c r="A1382" s="24" t="s">
        <v>55</v>
      </c>
      <c r="B1382" s="24" t="s">
        <v>25</v>
      </c>
      <c r="C1382" s="24" t="s">
        <v>101</v>
      </c>
      <c r="D1382" s="24" t="s">
        <v>487</v>
      </c>
      <c r="E1382" s="24">
        <v>0</v>
      </c>
      <c r="F1382" s="24" t="s">
        <v>128</v>
      </c>
    </row>
    <row r="1383" spans="1:6" x14ac:dyDescent="0.3">
      <c r="A1383" s="24" t="s">
        <v>55</v>
      </c>
      <c r="B1383" s="24" t="s">
        <v>25</v>
      </c>
      <c r="C1383" s="24" t="s">
        <v>103</v>
      </c>
      <c r="D1383" s="24" t="s">
        <v>486</v>
      </c>
      <c r="E1383" s="24">
        <v>0</v>
      </c>
      <c r="F1383" s="24" t="s">
        <v>129</v>
      </c>
    </row>
    <row r="1384" spans="1:6" x14ac:dyDescent="0.3">
      <c r="A1384" s="24" t="s">
        <v>55</v>
      </c>
      <c r="B1384" s="24" t="s">
        <v>25</v>
      </c>
      <c r="C1384" s="24" t="s">
        <v>105</v>
      </c>
      <c r="D1384" s="24" t="s">
        <v>486</v>
      </c>
      <c r="E1384" s="24">
        <v>0</v>
      </c>
      <c r="F1384" s="24" t="s">
        <v>129</v>
      </c>
    </row>
    <row r="1385" spans="1:6" x14ac:dyDescent="0.3">
      <c r="A1385" s="24" t="s">
        <v>55</v>
      </c>
      <c r="B1385" s="24" t="s">
        <v>25</v>
      </c>
      <c r="C1385" s="24" t="s">
        <v>107</v>
      </c>
      <c r="D1385" s="24" t="s">
        <v>485</v>
      </c>
      <c r="E1385" s="24">
        <v>0</v>
      </c>
      <c r="F1385" s="24" t="s">
        <v>129</v>
      </c>
    </row>
    <row r="1386" spans="1:6" x14ac:dyDescent="0.3">
      <c r="A1386" s="24" t="s">
        <v>55</v>
      </c>
      <c r="B1386" s="24" t="s">
        <v>25</v>
      </c>
      <c r="C1386" s="24" t="s">
        <v>109</v>
      </c>
      <c r="D1386" s="24" t="s">
        <v>485</v>
      </c>
      <c r="E1386" s="24">
        <v>0</v>
      </c>
      <c r="F1386" s="24"/>
    </row>
    <row r="1387" spans="1:6" x14ac:dyDescent="0.3">
      <c r="A1387" s="24" t="s">
        <v>55</v>
      </c>
      <c r="B1387" s="24" t="s">
        <v>25</v>
      </c>
      <c r="C1387" s="24" t="s">
        <v>111</v>
      </c>
      <c r="D1387" s="24" t="s">
        <v>486</v>
      </c>
      <c r="E1387" s="24">
        <v>0</v>
      </c>
      <c r="F1387" s="24" t="s">
        <v>129</v>
      </c>
    </row>
    <row r="1388" spans="1:6" x14ac:dyDescent="0.3">
      <c r="A1388" s="24" t="s">
        <v>57</v>
      </c>
      <c r="B1388" s="24" t="s">
        <v>25</v>
      </c>
      <c r="C1388" s="24" t="s">
        <v>77</v>
      </c>
      <c r="D1388" s="24" t="s">
        <v>485</v>
      </c>
      <c r="E1388" s="24">
        <v>0</v>
      </c>
      <c r="F1388" s="24" t="s">
        <v>126</v>
      </c>
    </row>
    <row r="1389" spans="1:6" x14ac:dyDescent="0.3">
      <c r="A1389" s="24" t="s">
        <v>57</v>
      </c>
      <c r="B1389" s="24" t="s">
        <v>25</v>
      </c>
      <c r="C1389" s="24" t="s">
        <v>79</v>
      </c>
      <c r="D1389" s="24" t="s">
        <v>485</v>
      </c>
      <c r="E1389" s="24">
        <v>0</v>
      </c>
      <c r="F1389" s="24" t="s">
        <v>129</v>
      </c>
    </row>
    <row r="1390" spans="1:6" x14ac:dyDescent="0.3">
      <c r="A1390" s="24" t="s">
        <v>57</v>
      </c>
      <c r="B1390" s="24" t="s">
        <v>25</v>
      </c>
      <c r="C1390" s="24" t="s">
        <v>81</v>
      </c>
      <c r="D1390" s="24" t="s">
        <v>486</v>
      </c>
      <c r="E1390" s="24">
        <v>1</v>
      </c>
      <c r="F1390" s="24" t="s">
        <v>128</v>
      </c>
    </row>
    <row r="1391" spans="1:6" x14ac:dyDescent="0.3">
      <c r="A1391" s="24" t="s">
        <v>57</v>
      </c>
      <c r="B1391" s="24" t="s">
        <v>25</v>
      </c>
      <c r="C1391" s="24" t="s">
        <v>83</v>
      </c>
      <c r="D1391" s="24" t="s">
        <v>485</v>
      </c>
      <c r="E1391" s="24">
        <v>0</v>
      </c>
      <c r="F1391" s="24" t="s">
        <v>129</v>
      </c>
    </row>
    <row r="1392" spans="1:6" x14ac:dyDescent="0.3">
      <c r="A1392" s="24" t="s">
        <v>57</v>
      </c>
      <c r="B1392" s="24" t="s">
        <v>25</v>
      </c>
      <c r="C1392" s="24" t="s">
        <v>85</v>
      </c>
      <c r="D1392" s="24" t="s">
        <v>486</v>
      </c>
      <c r="E1392" s="24">
        <v>0</v>
      </c>
      <c r="F1392" s="24" t="s">
        <v>129</v>
      </c>
    </row>
    <row r="1393" spans="1:6" x14ac:dyDescent="0.3">
      <c r="A1393" s="24" t="s">
        <v>57</v>
      </c>
      <c r="B1393" s="24" t="s">
        <v>25</v>
      </c>
      <c r="C1393" s="24" t="s">
        <v>87</v>
      </c>
      <c r="D1393" s="24" t="s">
        <v>485</v>
      </c>
      <c r="E1393" s="24">
        <v>0</v>
      </c>
      <c r="F1393" s="24" t="s">
        <v>126</v>
      </c>
    </row>
    <row r="1394" spans="1:6" x14ac:dyDescent="0.3">
      <c r="A1394" s="24" t="s">
        <v>57</v>
      </c>
      <c r="B1394" s="24" t="s">
        <v>25</v>
      </c>
      <c r="C1394" s="24" t="s">
        <v>89</v>
      </c>
      <c r="D1394" s="24" t="s">
        <v>486</v>
      </c>
      <c r="E1394" s="24">
        <v>0</v>
      </c>
      <c r="F1394" s="24" t="s">
        <v>129</v>
      </c>
    </row>
    <row r="1395" spans="1:6" x14ac:dyDescent="0.3">
      <c r="A1395" s="24" t="s">
        <v>57</v>
      </c>
      <c r="B1395" s="24" t="s">
        <v>25</v>
      </c>
      <c r="C1395" s="24" t="s">
        <v>91</v>
      </c>
      <c r="D1395" s="24" t="s">
        <v>486</v>
      </c>
      <c r="E1395" s="24">
        <v>0</v>
      </c>
      <c r="F1395" s="24" t="s">
        <v>129</v>
      </c>
    </row>
    <row r="1396" spans="1:6" x14ac:dyDescent="0.3">
      <c r="A1396" s="24" t="s">
        <v>57</v>
      </c>
      <c r="B1396" s="24" t="s">
        <v>25</v>
      </c>
      <c r="C1396" s="24" t="s">
        <v>93</v>
      </c>
      <c r="D1396" s="24" t="s">
        <v>486</v>
      </c>
      <c r="E1396" s="24">
        <v>0</v>
      </c>
      <c r="F1396" s="24" t="s">
        <v>129</v>
      </c>
    </row>
    <row r="1397" spans="1:6" x14ac:dyDescent="0.3">
      <c r="A1397" s="24" t="s">
        <v>57</v>
      </c>
      <c r="B1397" s="24" t="s">
        <v>25</v>
      </c>
      <c r="C1397" s="24" t="s">
        <v>95</v>
      </c>
      <c r="D1397" s="24" t="s">
        <v>486</v>
      </c>
      <c r="E1397" s="24">
        <v>0</v>
      </c>
      <c r="F1397" s="24" t="s">
        <v>129</v>
      </c>
    </row>
    <row r="1398" spans="1:6" x14ac:dyDescent="0.3">
      <c r="A1398" s="24" t="s">
        <v>57</v>
      </c>
      <c r="B1398" s="24" t="s">
        <v>25</v>
      </c>
      <c r="C1398" s="24" t="s">
        <v>97</v>
      </c>
      <c r="D1398" s="24" t="s">
        <v>485</v>
      </c>
      <c r="E1398" s="24">
        <v>0</v>
      </c>
      <c r="F1398" s="24" t="s">
        <v>129</v>
      </c>
    </row>
    <row r="1399" spans="1:6" x14ac:dyDescent="0.3">
      <c r="A1399" s="24" t="s">
        <v>57</v>
      </c>
      <c r="B1399" s="24" t="s">
        <v>25</v>
      </c>
      <c r="C1399" s="24" t="s">
        <v>99</v>
      </c>
      <c r="D1399" s="24" t="s">
        <v>486</v>
      </c>
      <c r="E1399" s="24">
        <v>0</v>
      </c>
      <c r="F1399" s="24" t="s">
        <v>129</v>
      </c>
    </row>
    <row r="1400" spans="1:6" x14ac:dyDescent="0.3">
      <c r="A1400" s="24" t="s">
        <v>57</v>
      </c>
      <c r="B1400" s="24" t="s">
        <v>25</v>
      </c>
      <c r="C1400" s="24" t="s">
        <v>101</v>
      </c>
      <c r="D1400" s="24" t="s">
        <v>487</v>
      </c>
      <c r="E1400" s="24">
        <v>0</v>
      </c>
      <c r="F1400" s="24" t="s">
        <v>129</v>
      </c>
    </row>
    <row r="1401" spans="1:6" x14ac:dyDescent="0.3">
      <c r="A1401" s="24" t="s">
        <v>57</v>
      </c>
      <c r="B1401" s="24" t="s">
        <v>25</v>
      </c>
      <c r="C1401" s="24" t="s">
        <v>103</v>
      </c>
      <c r="D1401" s="24" t="s">
        <v>486</v>
      </c>
      <c r="E1401" s="24">
        <v>0</v>
      </c>
      <c r="F1401" s="24" t="s">
        <v>129</v>
      </c>
    </row>
    <row r="1402" spans="1:6" x14ac:dyDescent="0.3">
      <c r="A1402" s="24" t="s">
        <v>57</v>
      </c>
      <c r="B1402" s="24" t="s">
        <v>25</v>
      </c>
      <c r="C1402" s="24" t="s">
        <v>105</v>
      </c>
      <c r="D1402" s="24" t="s">
        <v>486</v>
      </c>
      <c r="E1402" s="24">
        <v>0</v>
      </c>
      <c r="F1402" s="24" t="s">
        <v>129</v>
      </c>
    </row>
    <row r="1403" spans="1:6" x14ac:dyDescent="0.3">
      <c r="A1403" s="24" t="s">
        <v>57</v>
      </c>
      <c r="B1403" s="24" t="s">
        <v>25</v>
      </c>
      <c r="C1403" s="24" t="s">
        <v>107</v>
      </c>
      <c r="D1403" s="24" t="s">
        <v>485</v>
      </c>
      <c r="E1403" s="24">
        <v>0</v>
      </c>
      <c r="F1403" s="24" t="s">
        <v>129</v>
      </c>
    </row>
    <row r="1404" spans="1:6" x14ac:dyDescent="0.3">
      <c r="A1404" s="24" t="s">
        <v>57</v>
      </c>
      <c r="B1404" s="24" t="s">
        <v>25</v>
      </c>
      <c r="C1404" s="24" t="s">
        <v>109</v>
      </c>
      <c r="D1404" s="24" t="s">
        <v>485</v>
      </c>
      <c r="E1404" s="24">
        <v>0</v>
      </c>
      <c r="F1404" s="24"/>
    </row>
    <row r="1405" spans="1:6" x14ac:dyDescent="0.3">
      <c r="A1405" s="24" t="s">
        <v>57</v>
      </c>
      <c r="B1405" s="24" t="s">
        <v>25</v>
      </c>
      <c r="C1405" s="24" t="s">
        <v>111</v>
      </c>
      <c r="D1405" s="24" t="s">
        <v>486</v>
      </c>
      <c r="E1405" s="24">
        <v>0</v>
      </c>
      <c r="F1405" s="24" t="s">
        <v>129</v>
      </c>
    </row>
    <row r="1406" spans="1:6" x14ac:dyDescent="0.3">
      <c r="A1406" s="24" t="s">
        <v>59</v>
      </c>
      <c r="B1406" s="24" t="s">
        <v>25</v>
      </c>
      <c r="C1406" s="24" t="s">
        <v>77</v>
      </c>
      <c r="D1406" s="24" t="s">
        <v>485</v>
      </c>
      <c r="E1406" s="24">
        <v>0</v>
      </c>
      <c r="F1406" s="24" t="s">
        <v>126</v>
      </c>
    </row>
    <row r="1407" spans="1:6" x14ac:dyDescent="0.3">
      <c r="A1407" s="24" t="s">
        <v>59</v>
      </c>
      <c r="B1407" s="24" t="s">
        <v>25</v>
      </c>
      <c r="C1407" s="24" t="s">
        <v>79</v>
      </c>
      <c r="D1407" s="24" t="s">
        <v>485</v>
      </c>
      <c r="E1407" s="24">
        <v>0</v>
      </c>
      <c r="F1407" s="24" t="s">
        <v>129</v>
      </c>
    </row>
    <row r="1408" spans="1:6" x14ac:dyDescent="0.3">
      <c r="A1408" s="24" t="s">
        <v>59</v>
      </c>
      <c r="B1408" s="24" t="s">
        <v>25</v>
      </c>
      <c r="C1408" s="24" t="s">
        <v>81</v>
      </c>
      <c r="D1408" s="24" t="s">
        <v>486</v>
      </c>
      <c r="E1408" s="24">
        <v>1</v>
      </c>
      <c r="F1408" s="24" t="s">
        <v>129</v>
      </c>
    </row>
    <row r="1409" spans="1:6" x14ac:dyDescent="0.3">
      <c r="A1409" s="24" t="s">
        <v>59</v>
      </c>
      <c r="B1409" s="24" t="s">
        <v>25</v>
      </c>
      <c r="C1409" s="24" t="s">
        <v>83</v>
      </c>
      <c r="D1409" s="24" t="s">
        <v>485</v>
      </c>
      <c r="E1409" s="24">
        <v>0</v>
      </c>
      <c r="F1409" s="24" t="s">
        <v>129</v>
      </c>
    </row>
    <row r="1410" spans="1:6" x14ac:dyDescent="0.3">
      <c r="A1410" s="24" t="s">
        <v>59</v>
      </c>
      <c r="B1410" s="24" t="s">
        <v>25</v>
      </c>
      <c r="C1410" s="24" t="s">
        <v>85</v>
      </c>
      <c r="D1410" s="24" t="s">
        <v>486</v>
      </c>
      <c r="E1410" s="24">
        <v>0</v>
      </c>
      <c r="F1410" s="24" t="s">
        <v>129</v>
      </c>
    </row>
    <row r="1411" spans="1:6" x14ac:dyDescent="0.3">
      <c r="A1411" s="24" t="s">
        <v>59</v>
      </c>
      <c r="B1411" s="24" t="s">
        <v>25</v>
      </c>
      <c r="C1411" s="24" t="s">
        <v>87</v>
      </c>
      <c r="D1411" s="24" t="s">
        <v>485</v>
      </c>
      <c r="E1411" s="24">
        <v>0</v>
      </c>
      <c r="F1411" s="24" t="s">
        <v>126</v>
      </c>
    </row>
    <row r="1412" spans="1:6" x14ac:dyDescent="0.3">
      <c r="A1412" s="24" t="s">
        <v>59</v>
      </c>
      <c r="B1412" s="24" t="s">
        <v>25</v>
      </c>
      <c r="C1412" s="24" t="s">
        <v>89</v>
      </c>
      <c r="D1412" s="24" t="s">
        <v>486</v>
      </c>
      <c r="E1412" s="24">
        <v>0</v>
      </c>
      <c r="F1412" s="24" t="s">
        <v>129</v>
      </c>
    </row>
    <row r="1413" spans="1:6" x14ac:dyDescent="0.3">
      <c r="A1413" s="24" t="s">
        <v>59</v>
      </c>
      <c r="B1413" s="24" t="s">
        <v>25</v>
      </c>
      <c r="C1413" s="24" t="s">
        <v>91</v>
      </c>
      <c r="D1413" s="24" t="s">
        <v>486</v>
      </c>
      <c r="E1413" s="24">
        <v>0</v>
      </c>
      <c r="F1413" s="24" t="s">
        <v>129</v>
      </c>
    </row>
    <row r="1414" spans="1:6" x14ac:dyDescent="0.3">
      <c r="A1414" s="24" t="s">
        <v>59</v>
      </c>
      <c r="B1414" s="24" t="s">
        <v>25</v>
      </c>
      <c r="C1414" s="24" t="s">
        <v>93</v>
      </c>
      <c r="D1414" s="24" t="s">
        <v>486</v>
      </c>
      <c r="E1414" s="24">
        <v>0</v>
      </c>
      <c r="F1414" s="24" t="s">
        <v>129</v>
      </c>
    </row>
    <row r="1415" spans="1:6" x14ac:dyDescent="0.3">
      <c r="A1415" s="24" t="s">
        <v>59</v>
      </c>
      <c r="B1415" s="24" t="s">
        <v>25</v>
      </c>
      <c r="C1415" s="24" t="s">
        <v>95</v>
      </c>
      <c r="D1415" s="24" t="s">
        <v>486</v>
      </c>
      <c r="E1415" s="24">
        <v>0</v>
      </c>
      <c r="F1415" s="24" t="s">
        <v>129</v>
      </c>
    </row>
    <row r="1416" spans="1:6" x14ac:dyDescent="0.3">
      <c r="A1416" s="24" t="s">
        <v>59</v>
      </c>
      <c r="B1416" s="24" t="s">
        <v>25</v>
      </c>
      <c r="C1416" s="24" t="s">
        <v>97</v>
      </c>
      <c r="D1416" s="24" t="s">
        <v>485</v>
      </c>
      <c r="E1416" s="24">
        <v>0</v>
      </c>
      <c r="F1416" s="24" t="s">
        <v>129</v>
      </c>
    </row>
    <row r="1417" spans="1:6" x14ac:dyDescent="0.3">
      <c r="A1417" s="24" t="s">
        <v>59</v>
      </c>
      <c r="B1417" s="24" t="s">
        <v>25</v>
      </c>
      <c r="C1417" s="24" t="s">
        <v>99</v>
      </c>
      <c r="D1417" s="24" t="s">
        <v>486</v>
      </c>
      <c r="E1417" s="24">
        <v>0</v>
      </c>
      <c r="F1417" s="24" t="s">
        <v>129</v>
      </c>
    </row>
    <row r="1418" spans="1:6" x14ac:dyDescent="0.3">
      <c r="A1418" s="24" t="s">
        <v>59</v>
      </c>
      <c r="B1418" s="24" t="s">
        <v>25</v>
      </c>
      <c r="C1418" s="24" t="s">
        <v>101</v>
      </c>
      <c r="D1418" s="24" t="s">
        <v>487</v>
      </c>
      <c r="E1418" s="24">
        <v>0</v>
      </c>
      <c r="F1418" s="24" t="s">
        <v>129</v>
      </c>
    </row>
    <row r="1419" spans="1:6" x14ac:dyDescent="0.3">
      <c r="A1419" s="24" t="s">
        <v>59</v>
      </c>
      <c r="B1419" s="24" t="s">
        <v>25</v>
      </c>
      <c r="C1419" s="24" t="s">
        <v>103</v>
      </c>
      <c r="D1419" s="24" t="s">
        <v>486</v>
      </c>
      <c r="E1419" s="24">
        <v>0</v>
      </c>
      <c r="F1419" s="24" t="s">
        <v>129</v>
      </c>
    </row>
    <row r="1420" spans="1:6" x14ac:dyDescent="0.3">
      <c r="A1420" s="24" t="s">
        <v>59</v>
      </c>
      <c r="B1420" s="24" t="s">
        <v>25</v>
      </c>
      <c r="C1420" s="24" t="s">
        <v>105</v>
      </c>
      <c r="D1420" s="24" t="s">
        <v>486</v>
      </c>
      <c r="E1420" s="24">
        <v>0</v>
      </c>
      <c r="F1420" s="24" t="s">
        <v>129</v>
      </c>
    </row>
    <row r="1421" spans="1:6" x14ac:dyDescent="0.3">
      <c r="A1421" s="24" t="s">
        <v>59</v>
      </c>
      <c r="B1421" s="24" t="s">
        <v>25</v>
      </c>
      <c r="C1421" s="24" t="s">
        <v>107</v>
      </c>
      <c r="D1421" s="24" t="s">
        <v>485</v>
      </c>
      <c r="E1421" s="24">
        <v>0</v>
      </c>
      <c r="F1421" s="24" t="s">
        <v>126</v>
      </c>
    </row>
    <row r="1422" spans="1:6" x14ac:dyDescent="0.3">
      <c r="A1422" s="24" t="s">
        <v>59</v>
      </c>
      <c r="B1422" s="24" t="s">
        <v>25</v>
      </c>
      <c r="C1422" s="24" t="s">
        <v>109</v>
      </c>
      <c r="D1422" s="24" t="s">
        <v>485</v>
      </c>
      <c r="E1422" s="24">
        <v>0</v>
      </c>
      <c r="F1422" s="24"/>
    </row>
    <row r="1423" spans="1:6" x14ac:dyDescent="0.3">
      <c r="A1423" s="24" t="s">
        <v>59</v>
      </c>
      <c r="B1423" s="24" t="s">
        <v>25</v>
      </c>
      <c r="C1423" s="24" t="s">
        <v>111</v>
      </c>
      <c r="D1423" s="24" t="s">
        <v>486</v>
      </c>
      <c r="E1423" s="24">
        <v>0</v>
      </c>
      <c r="F1423" s="24" t="s">
        <v>129</v>
      </c>
    </row>
    <row r="1424" spans="1:6" x14ac:dyDescent="0.3">
      <c r="A1424" s="24" t="s">
        <v>61</v>
      </c>
      <c r="B1424" s="24" t="s">
        <v>25</v>
      </c>
      <c r="C1424" s="24" t="s">
        <v>77</v>
      </c>
      <c r="D1424" s="24" t="s">
        <v>485</v>
      </c>
      <c r="E1424" s="24">
        <v>0</v>
      </c>
      <c r="F1424" s="24" t="s">
        <v>126</v>
      </c>
    </row>
    <row r="1425" spans="1:6" x14ac:dyDescent="0.3">
      <c r="A1425" s="24" t="s">
        <v>61</v>
      </c>
      <c r="B1425" s="24" t="s">
        <v>25</v>
      </c>
      <c r="C1425" s="24" t="s">
        <v>79</v>
      </c>
      <c r="D1425" s="24" t="s">
        <v>485</v>
      </c>
      <c r="E1425" s="24">
        <v>0</v>
      </c>
      <c r="F1425" s="24" t="s">
        <v>129</v>
      </c>
    </row>
    <row r="1426" spans="1:6" x14ac:dyDescent="0.3">
      <c r="A1426" s="24" t="s">
        <v>61</v>
      </c>
      <c r="B1426" s="24" t="s">
        <v>25</v>
      </c>
      <c r="C1426" s="24" t="s">
        <v>81</v>
      </c>
      <c r="D1426" s="24" t="s">
        <v>486</v>
      </c>
      <c r="E1426" s="24">
        <v>1</v>
      </c>
      <c r="F1426" s="24" t="s">
        <v>128</v>
      </c>
    </row>
    <row r="1427" spans="1:6" x14ac:dyDescent="0.3">
      <c r="A1427" s="24" t="s">
        <v>61</v>
      </c>
      <c r="B1427" s="24" t="s">
        <v>25</v>
      </c>
      <c r="C1427" s="24" t="s">
        <v>83</v>
      </c>
      <c r="D1427" s="24" t="s">
        <v>485</v>
      </c>
      <c r="E1427" s="24">
        <v>0</v>
      </c>
      <c r="F1427" s="24" t="s">
        <v>129</v>
      </c>
    </row>
    <row r="1428" spans="1:6" x14ac:dyDescent="0.3">
      <c r="A1428" s="24" t="s">
        <v>61</v>
      </c>
      <c r="B1428" s="24" t="s">
        <v>25</v>
      </c>
      <c r="C1428" s="24" t="s">
        <v>85</v>
      </c>
      <c r="D1428" s="24" t="s">
        <v>486</v>
      </c>
      <c r="E1428" s="24">
        <v>0</v>
      </c>
      <c r="F1428" s="24" t="s">
        <v>129</v>
      </c>
    </row>
    <row r="1429" spans="1:6" x14ac:dyDescent="0.3">
      <c r="A1429" s="24" t="s">
        <v>61</v>
      </c>
      <c r="B1429" s="24" t="s">
        <v>25</v>
      </c>
      <c r="C1429" s="24" t="s">
        <v>87</v>
      </c>
      <c r="D1429" s="24" t="s">
        <v>485</v>
      </c>
      <c r="E1429" s="24">
        <v>0</v>
      </c>
      <c r="F1429" s="24" t="s">
        <v>126</v>
      </c>
    </row>
    <row r="1430" spans="1:6" x14ac:dyDescent="0.3">
      <c r="A1430" s="24" t="s">
        <v>61</v>
      </c>
      <c r="B1430" s="24" t="s">
        <v>25</v>
      </c>
      <c r="C1430" s="24" t="s">
        <v>89</v>
      </c>
      <c r="D1430" s="24" t="s">
        <v>486</v>
      </c>
      <c r="E1430" s="24">
        <v>0</v>
      </c>
      <c r="F1430" s="24" t="s">
        <v>129</v>
      </c>
    </row>
    <row r="1431" spans="1:6" x14ac:dyDescent="0.3">
      <c r="A1431" s="24" t="s">
        <v>61</v>
      </c>
      <c r="B1431" s="24" t="s">
        <v>25</v>
      </c>
      <c r="C1431" s="24" t="s">
        <v>91</v>
      </c>
      <c r="D1431" s="24" t="s">
        <v>486</v>
      </c>
      <c r="E1431" s="24">
        <v>0</v>
      </c>
      <c r="F1431" s="24" t="s">
        <v>129</v>
      </c>
    </row>
    <row r="1432" spans="1:6" x14ac:dyDescent="0.3">
      <c r="A1432" s="24" t="s">
        <v>61</v>
      </c>
      <c r="B1432" s="24" t="s">
        <v>25</v>
      </c>
      <c r="C1432" s="24" t="s">
        <v>93</v>
      </c>
      <c r="D1432" s="24" t="s">
        <v>486</v>
      </c>
      <c r="E1432" s="24">
        <v>0</v>
      </c>
      <c r="F1432" s="24" t="s">
        <v>129</v>
      </c>
    </row>
    <row r="1433" spans="1:6" x14ac:dyDescent="0.3">
      <c r="A1433" s="24" t="s">
        <v>61</v>
      </c>
      <c r="B1433" s="24" t="s">
        <v>25</v>
      </c>
      <c r="C1433" s="24" t="s">
        <v>95</v>
      </c>
      <c r="D1433" s="24" t="s">
        <v>486</v>
      </c>
      <c r="E1433" s="24">
        <v>0</v>
      </c>
      <c r="F1433" s="24" t="s">
        <v>129</v>
      </c>
    </row>
    <row r="1434" spans="1:6" x14ac:dyDescent="0.3">
      <c r="A1434" s="24" t="s">
        <v>61</v>
      </c>
      <c r="B1434" s="24" t="s">
        <v>25</v>
      </c>
      <c r="C1434" s="24" t="s">
        <v>97</v>
      </c>
      <c r="D1434" s="24" t="s">
        <v>485</v>
      </c>
      <c r="E1434" s="24">
        <v>0</v>
      </c>
      <c r="F1434" s="24" t="s">
        <v>129</v>
      </c>
    </row>
    <row r="1435" spans="1:6" x14ac:dyDescent="0.3">
      <c r="A1435" s="24" t="s">
        <v>61</v>
      </c>
      <c r="B1435" s="24" t="s">
        <v>25</v>
      </c>
      <c r="C1435" s="24" t="s">
        <v>99</v>
      </c>
      <c r="D1435" s="24" t="s">
        <v>486</v>
      </c>
      <c r="E1435" s="24">
        <v>0</v>
      </c>
      <c r="F1435" s="24" t="s">
        <v>129</v>
      </c>
    </row>
    <row r="1436" spans="1:6" x14ac:dyDescent="0.3">
      <c r="A1436" s="24" t="s">
        <v>61</v>
      </c>
      <c r="B1436" s="24" t="s">
        <v>25</v>
      </c>
      <c r="C1436" s="24" t="s">
        <v>101</v>
      </c>
      <c r="D1436" s="24" t="s">
        <v>487</v>
      </c>
      <c r="E1436" s="24">
        <v>0</v>
      </c>
      <c r="F1436" s="24" t="s">
        <v>129</v>
      </c>
    </row>
    <row r="1437" spans="1:6" x14ac:dyDescent="0.3">
      <c r="A1437" s="24" t="s">
        <v>61</v>
      </c>
      <c r="B1437" s="24" t="s">
        <v>25</v>
      </c>
      <c r="C1437" s="24" t="s">
        <v>103</v>
      </c>
      <c r="D1437" s="24" t="s">
        <v>486</v>
      </c>
      <c r="E1437" s="24">
        <v>0</v>
      </c>
      <c r="F1437" s="24" t="s">
        <v>129</v>
      </c>
    </row>
    <row r="1438" spans="1:6" x14ac:dyDescent="0.3">
      <c r="A1438" s="24" t="s">
        <v>61</v>
      </c>
      <c r="B1438" s="24" t="s">
        <v>25</v>
      </c>
      <c r="C1438" s="24" t="s">
        <v>105</v>
      </c>
      <c r="D1438" s="24" t="s">
        <v>486</v>
      </c>
      <c r="E1438" s="24">
        <v>0</v>
      </c>
      <c r="F1438" s="24" t="s">
        <v>129</v>
      </c>
    </row>
    <row r="1439" spans="1:6" x14ac:dyDescent="0.3">
      <c r="A1439" s="24" t="s">
        <v>61</v>
      </c>
      <c r="B1439" s="24" t="s">
        <v>25</v>
      </c>
      <c r="C1439" s="24" t="s">
        <v>107</v>
      </c>
      <c r="D1439" s="24" t="s">
        <v>485</v>
      </c>
      <c r="E1439" s="24">
        <v>0</v>
      </c>
      <c r="F1439" s="24" t="s">
        <v>126</v>
      </c>
    </row>
    <row r="1440" spans="1:6" x14ac:dyDescent="0.3">
      <c r="A1440" s="24" t="s">
        <v>61</v>
      </c>
      <c r="B1440" s="24" t="s">
        <v>25</v>
      </c>
      <c r="C1440" s="24" t="s">
        <v>109</v>
      </c>
      <c r="D1440" s="24" t="s">
        <v>485</v>
      </c>
      <c r="E1440" s="24">
        <v>0</v>
      </c>
      <c r="F1440" s="24"/>
    </row>
    <row r="1441" spans="1:6" x14ac:dyDescent="0.3">
      <c r="A1441" s="24" t="s">
        <v>61</v>
      </c>
      <c r="B1441" s="24" t="s">
        <v>25</v>
      </c>
      <c r="C1441" s="24" t="s">
        <v>111</v>
      </c>
      <c r="D1441" s="24" t="s">
        <v>486</v>
      </c>
      <c r="E1441" s="24">
        <v>0</v>
      </c>
      <c r="F1441" s="24" t="s">
        <v>129</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E03AE7-D684-4EE2-B1F2-3EB04E5BECF0}">
  <dimension ref="A1:U1048565"/>
  <sheetViews>
    <sheetView workbookViewId="0">
      <selection activeCell="U7" sqref="U7"/>
    </sheetView>
  </sheetViews>
  <sheetFormatPr defaultRowHeight="14.4" x14ac:dyDescent="0.3"/>
  <cols>
    <col min="1" max="1" width="16.109375" customWidth="1"/>
    <col min="2" max="2" width="8.88671875" customWidth="1"/>
    <col min="20" max="20" width="12.88671875" customWidth="1"/>
    <col min="21" max="21" width="13.21875" style="24" customWidth="1"/>
  </cols>
  <sheetData>
    <row r="1" spans="1:21" x14ac:dyDescent="0.3">
      <c r="U1" s="25"/>
    </row>
    <row r="2" spans="1:21" x14ac:dyDescent="0.3">
      <c r="A2" s="25" t="s">
        <v>515</v>
      </c>
      <c r="B2" s="25" t="s">
        <v>77</v>
      </c>
      <c r="C2" s="25" t="s">
        <v>79</v>
      </c>
      <c r="D2" s="25" t="s">
        <v>81</v>
      </c>
      <c r="E2" s="25" t="s">
        <v>83</v>
      </c>
      <c r="F2" s="25" t="s">
        <v>85</v>
      </c>
      <c r="G2" s="25" t="s">
        <v>87</v>
      </c>
      <c r="H2" s="25" t="s">
        <v>89</v>
      </c>
      <c r="I2" s="25" t="s">
        <v>91</v>
      </c>
      <c r="J2" s="25" t="s">
        <v>93</v>
      </c>
      <c r="K2" s="25" t="s">
        <v>95</v>
      </c>
      <c r="L2" s="25" t="s">
        <v>97</v>
      </c>
      <c r="M2" s="25" t="s">
        <v>99</v>
      </c>
      <c r="N2" s="25" t="s">
        <v>101</v>
      </c>
      <c r="O2" s="25" t="s">
        <v>103</v>
      </c>
      <c r="P2" s="25" t="s">
        <v>105</v>
      </c>
      <c r="Q2" s="25" t="s">
        <v>107</v>
      </c>
      <c r="R2" s="25" t="s">
        <v>109</v>
      </c>
      <c r="S2" s="25" t="s">
        <v>111</v>
      </c>
      <c r="T2" s="25" t="s">
        <v>512</v>
      </c>
      <c r="U2" s="25" t="s">
        <v>523</v>
      </c>
    </row>
    <row r="3" spans="1:21" x14ac:dyDescent="0.3">
      <c r="A3" s="24" t="s">
        <v>19</v>
      </c>
      <c r="B3" s="24">
        <v>4</v>
      </c>
      <c r="C3" s="24">
        <v>0</v>
      </c>
      <c r="D3" s="24">
        <v>0</v>
      </c>
      <c r="E3" s="24">
        <v>1</v>
      </c>
      <c r="F3" s="24">
        <v>0</v>
      </c>
      <c r="G3" s="24">
        <v>0</v>
      </c>
      <c r="H3" s="24">
        <v>0</v>
      </c>
      <c r="I3" s="24">
        <v>0</v>
      </c>
      <c r="J3" s="24">
        <v>0</v>
      </c>
      <c r="K3" s="24">
        <v>0</v>
      </c>
      <c r="L3" s="24">
        <v>0</v>
      </c>
      <c r="M3" s="24">
        <v>1</v>
      </c>
      <c r="N3" s="24">
        <v>0</v>
      </c>
      <c r="O3" s="24">
        <v>0</v>
      </c>
      <c r="P3" s="24">
        <v>0</v>
      </c>
      <c r="Q3" s="24">
        <v>0</v>
      </c>
      <c r="R3" s="24">
        <v>0</v>
      </c>
      <c r="S3" s="24">
        <v>0</v>
      </c>
      <c r="T3" s="24">
        <v>6</v>
      </c>
      <c r="U3" s="24">
        <v>0</v>
      </c>
    </row>
    <row r="4" spans="1:21" x14ac:dyDescent="0.3">
      <c r="A4" s="24" t="s">
        <v>26</v>
      </c>
      <c r="B4" s="24">
        <v>0</v>
      </c>
      <c r="C4" s="24">
        <v>1</v>
      </c>
      <c r="D4" s="24">
        <v>3</v>
      </c>
      <c r="E4" s="24">
        <v>1</v>
      </c>
      <c r="F4" s="24">
        <v>0</v>
      </c>
      <c r="G4" s="24">
        <v>0</v>
      </c>
      <c r="H4" s="24">
        <v>0</v>
      </c>
      <c r="I4" s="24">
        <v>0</v>
      </c>
      <c r="J4" s="24">
        <v>0</v>
      </c>
      <c r="K4" s="24">
        <v>0</v>
      </c>
      <c r="L4" s="24">
        <v>0</v>
      </c>
      <c r="M4" s="24">
        <v>0</v>
      </c>
      <c r="N4" s="24">
        <v>0</v>
      </c>
      <c r="O4" s="24">
        <v>0</v>
      </c>
      <c r="P4" s="24">
        <v>0</v>
      </c>
      <c r="Q4" s="24">
        <v>0</v>
      </c>
      <c r="R4" s="24">
        <v>0</v>
      </c>
      <c r="S4" s="24">
        <v>0</v>
      </c>
      <c r="T4" s="24">
        <v>5</v>
      </c>
      <c r="U4" s="24">
        <v>0</v>
      </c>
    </row>
    <row r="5" spans="1:21" x14ac:dyDescent="0.3">
      <c r="A5" s="24" t="s">
        <v>28</v>
      </c>
      <c r="B5" s="24">
        <v>0</v>
      </c>
      <c r="C5" s="24">
        <v>0</v>
      </c>
      <c r="D5" s="24">
        <v>3</v>
      </c>
      <c r="E5" s="24">
        <v>0</v>
      </c>
      <c r="F5" s="24">
        <v>0</v>
      </c>
      <c r="G5" s="24">
        <v>0</v>
      </c>
      <c r="H5" s="24">
        <v>0</v>
      </c>
      <c r="I5" s="24">
        <v>0</v>
      </c>
      <c r="J5" s="24">
        <v>0</v>
      </c>
      <c r="K5" s="24">
        <v>0</v>
      </c>
      <c r="L5" s="24">
        <v>0</v>
      </c>
      <c r="M5" s="24">
        <v>0</v>
      </c>
      <c r="N5" s="24">
        <v>0</v>
      </c>
      <c r="O5" s="24">
        <v>0</v>
      </c>
      <c r="P5" s="24">
        <v>0</v>
      </c>
      <c r="Q5" s="24">
        <v>1</v>
      </c>
      <c r="R5" s="24">
        <v>3</v>
      </c>
      <c r="S5" s="24">
        <v>0</v>
      </c>
      <c r="T5" s="24">
        <v>7</v>
      </c>
      <c r="U5" s="24">
        <v>3</v>
      </c>
    </row>
    <row r="6" spans="1:21" x14ac:dyDescent="0.3">
      <c r="A6" s="24" t="s">
        <v>30</v>
      </c>
      <c r="B6" s="24">
        <v>0</v>
      </c>
      <c r="C6" s="24">
        <v>0</v>
      </c>
      <c r="D6" s="24">
        <v>2</v>
      </c>
      <c r="E6" s="24">
        <v>0</v>
      </c>
      <c r="F6" s="24">
        <v>0</v>
      </c>
      <c r="G6" s="24">
        <v>0</v>
      </c>
      <c r="H6" s="24">
        <v>0</v>
      </c>
      <c r="I6" s="24">
        <v>0</v>
      </c>
      <c r="J6" s="24">
        <v>0</v>
      </c>
      <c r="K6" s="24">
        <v>0</v>
      </c>
      <c r="L6" s="24">
        <v>0</v>
      </c>
      <c r="M6" s="24">
        <v>0</v>
      </c>
      <c r="N6" s="24">
        <v>1</v>
      </c>
      <c r="O6" s="24">
        <v>0</v>
      </c>
      <c r="P6" s="24">
        <v>0</v>
      </c>
      <c r="Q6" s="24">
        <v>0</v>
      </c>
      <c r="R6" s="24">
        <v>2</v>
      </c>
      <c r="S6" s="24">
        <v>0</v>
      </c>
      <c r="T6" s="24">
        <v>5</v>
      </c>
      <c r="U6" s="24">
        <v>2</v>
      </c>
    </row>
    <row r="7" spans="1:21" x14ac:dyDescent="0.3">
      <c r="A7" s="24" t="s">
        <v>32</v>
      </c>
      <c r="B7" s="24">
        <v>0</v>
      </c>
      <c r="C7" s="24">
        <v>0</v>
      </c>
      <c r="D7" s="24">
        <v>4</v>
      </c>
      <c r="E7" s="24">
        <v>0</v>
      </c>
      <c r="F7" s="24">
        <v>0</v>
      </c>
      <c r="G7" s="24">
        <v>0</v>
      </c>
      <c r="H7" s="24">
        <v>0</v>
      </c>
      <c r="I7" s="24">
        <v>0</v>
      </c>
      <c r="J7" s="24">
        <v>0</v>
      </c>
      <c r="K7" s="24">
        <v>0</v>
      </c>
      <c r="L7" s="24">
        <v>0</v>
      </c>
      <c r="M7" s="24">
        <v>0</v>
      </c>
      <c r="N7" s="24">
        <v>0</v>
      </c>
      <c r="O7" s="24">
        <v>0</v>
      </c>
      <c r="P7" s="24">
        <v>0</v>
      </c>
      <c r="Q7" s="24">
        <v>0</v>
      </c>
      <c r="R7" s="24">
        <v>3</v>
      </c>
      <c r="S7" s="24">
        <v>0</v>
      </c>
      <c r="T7" s="24">
        <v>7</v>
      </c>
      <c r="U7" s="24">
        <v>3</v>
      </c>
    </row>
    <row r="8" spans="1:21" x14ac:dyDescent="0.3">
      <c r="A8" s="24" t="s">
        <v>34</v>
      </c>
      <c r="B8" s="24">
        <v>0</v>
      </c>
      <c r="C8" s="24">
        <v>0</v>
      </c>
      <c r="D8" s="24">
        <v>2</v>
      </c>
      <c r="E8" s="24">
        <v>0</v>
      </c>
      <c r="F8" s="24">
        <v>0</v>
      </c>
      <c r="G8" s="24">
        <v>0</v>
      </c>
      <c r="H8" s="24">
        <v>0</v>
      </c>
      <c r="I8" s="24">
        <v>0</v>
      </c>
      <c r="J8" s="24">
        <v>0</v>
      </c>
      <c r="K8" s="24">
        <v>0</v>
      </c>
      <c r="L8" s="24">
        <v>0</v>
      </c>
      <c r="M8" s="24">
        <v>0</v>
      </c>
      <c r="N8" s="24">
        <v>0</v>
      </c>
      <c r="O8" s="24">
        <v>0</v>
      </c>
      <c r="P8" s="24">
        <v>0</v>
      </c>
      <c r="Q8" s="24">
        <v>0</v>
      </c>
      <c r="R8" s="24">
        <v>1</v>
      </c>
      <c r="S8" s="24">
        <v>0</v>
      </c>
      <c r="T8" s="24">
        <v>3</v>
      </c>
      <c r="U8" s="24">
        <v>1</v>
      </c>
    </row>
    <row r="9" spans="1:21" x14ac:dyDescent="0.3">
      <c r="A9" s="24" t="s">
        <v>36</v>
      </c>
      <c r="B9" s="24">
        <v>0</v>
      </c>
      <c r="C9" s="24">
        <v>0</v>
      </c>
      <c r="D9" s="24">
        <v>3</v>
      </c>
      <c r="E9" s="24">
        <v>0</v>
      </c>
      <c r="F9" s="24">
        <v>0</v>
      </c>
      <c r="G9" s="24">
        <v>0</v>
      </c>
      <c r="H9" s="24">
        <v>0</v>
      </c>
      <c r="I9" s="24">
        <v>0</v>
      </c>
      <c r="J9" s="24">
        <v>0</v>
      </c>
      <c r="K9" s="24">
        <v>0</v>
      </c>
      <c r="L9" s="24">
        <v>0</v>
      </c>
      <c r="M9" s="24">
        <v>0</v>
      </c>
      <c r="N9" s="24">
        <v>0</v>
      </c>
      <c r="O9" s="24">
        <v>0</v>
      </c>
      <c r="P9" s="24">
        <v>0</v>
      </c>
      <c r="Q9" s="24">
        <v>0</v>
      </c>
      <c r="R9" s="24">
        <v>3</v>
      </c>
      <c r="S9" s="24">
        <v>0</v>
      </c>
      <c r="T9" s="24">
        <v>6</v>
      </c>
      <c r="U9" s="24">
        <v>3</v>
      </c>
    </row>
    <row r="10" spans="1:21" x14ac:dyDescent="0.3">
      <c r="A10" s="24" t="s">
        <v>38</v>
      </c>
      <c r="B10" s="24">
        <v>0</v>
      </c>
      <c r="C10" s="24">
        <v>0</v>
      </c>
      <c r="D10" s="24">
        <v>4</v>
      </c>
      <c r="E10" s="24">
        <v>0</v>
      </c>
      <c r="F10" s="24">
        <v>0</v>
      </c>
      <c r="G10" s="24">
        <v>0</v>
      </c>
      <c r="H10" s="24">
        <v>0</v>
      </c>
      <c r="I10" s="24">
        <v>0</v>
      </c>
      <c r="J10" s="24">
        <v>0</v>
      </c>
      <c r="K10" s="24">
        <v>0</v>
      </c>
      <c r="L10" s="24">
        <v>0</v>
      </c>
      <c r="M10" s="24">
        <v>0</v>
      </c>
      <c r="N10" s="24">
        <v>0</v>
      </c>
      <c r="O10" s="24">
        <v>0</v>
      </c>
      <c r="P10" s="24">
        <v>1</v>
      </c>
      <c r="Q10" s="24">
        <v>0</v>
      </c>
      <c r="R10" s="24">
        <v>3</v>
      </c>
      <c r="S10" s="24">
        <v>0</v>
      </c>
      <c r="T10" s="24">
        <v>8</v>
      </c>
      <c r="U10" s="24">
        <v>3</v>
      </c>
    </row>
    <row r="11" spans="1:21" x14ac:dyDescent="0.3">
      <c r="A11" s="24" t="s">
        <v>40</v>
      </c>
      <c r="B11" s="24">
        <v>2</v>
      </c>
      <c r="C11" s="24">
        <v>0</v>
      </c>
      <c r="D11" s="24">
        <v>4</v>
      </c>
      <c r="E11" s="24">
        <v>2</v>
      </c>
      <c r="F11" s="24">
        <v>0</v>
      </c>
      <c r="G11" s="24">
        <v>0</v>
      </c>
      <c r="H11" s="24">
        <v>0</v>
      </c>
      <c r="I11" s="24">
        <v>0</v>
      </c>
      <c r="J11" s="24">
        <v>0</v>
      </c>
      <c r="K11" s="24">
        <v>0</v>
      </c>
      <c r="L11" s="24">
        <v>0</v>
      </c>
      <c r="M11" s="24">
        <v>1</v>
      </c>
      <c r="N11" s="24">
        <v>0</v>
      </c>
      <c r="O11" s="24">
        <v>0</v>
      </c>
      <c r="P11" s="24">
        <v>0</v>
      </c>
      <c r="Q11" s="24">
        <v>0</v>
      </c>
      <c r="R11" s="24">
        <v>3</v>
      </c>
      <c r="S11" s="24">
        <v>0</v>
      </c>
      <c r="T11" s="24">
        <v>12</v>
      </c>
      <c r="U11" s="24">
        <v>3</v>
      </c>
    </row>
    <row r="12" spans="1:21" x14ac:dyDescent="0.3">
      <c r="A12" s="24" t="s">
        <v>43</v>
      </c>
      <c r="B12" s="24">
        <v>0</v>
      </c>
      <c r="C12" s="24">
        <v>0</v>
      </c>
      <c r="D12" s="24">
        <v>3</v>
      </c>
      <c r="E12" s="24">
        <v>1</v>
      </c>
      <c r="F12" s="24">
        <v>0</v>
      </c>
      <c r="G12" s="24">
        <v>0</v>
      </c>
      <c r="H12" s="24">
        <v>0</v>
      </c>
      <c r="I12" s="24">
        <v>0</v>
      </c>
      <c r="J12" s="24">
        <v>0</v>
      </c>
      <c r="K12" s="24">
        <v>0</v>
      </c>
      <c r="L12" s="24">
        <v>0</v>
      </c>
      <c r="M12" s="24">
        <v>1</v>
      </c>
      <c r="N12" s="24">
        <v>1</v>
      </c>
      <c r="O12" s="24">
        <v>0</v>
      </c>
      <c r="P12" s="24">
        <v>0</v>
      </c>
      <c r="Q12" s="24">
        <v>1</v>
      </c>
      <c r="R12" s="24">
        <v>3</v>
      </c>
      <c r="S12" s="24">
        <v>2</v>
      </c>
      <c r="T12" s="24">
        <v>12</v>
      </c>
      <c r="U12" s="24">
        <v>3</v>
      </c>
    </row>
    <row r="13" spans="1:21" x14ac:dyDescent="0.3">
      <c r="A13" s="24" t="s">
        <v>45</v>
      </c>
      <c r="B13" s="24">
        <v>0</v>
      </c>
      <c r="C13" s="24">
        <v>0</v>
      </c>
      <c r="D13" s="24">
        <v>4</v>
      </c>
      <c r="E13" s="24">
        <v>0</v>
      </c>
      <c r="F13" s="24">
        <v>0</v>
      </c>
      <c r="G13" s="24">
        <v>0</v>
      </c>
      <c r="H13" s="24">
        <v>0</v>
      </c>
      <c r="I13" s="24">
        <v>0</v>
      </c>
      <c r="J13" s="24">
        <v>0</v>
      </c>
      <c r="K13" s="24">
        <v>0</v>
      </c>
      <c r="L13" s="24">
        <v>0</v>
      </c>
      <c r="M13" s="24">
        <v>0</v>
      </c>
      <c r="N13" s="24">
        <v>0</v>
      </c>
      <c r="O13" s="24">
        <v>0</v>
      </c>
      <c r="P13" s="24">
        <v>0</v>
      </c>
      <c r="Q13" s="24">
        <v>0</v>
      </c>
      <c r="R13" s="24">
        <v>0</v>
      </c>
      <c r="S13" s="24">
        <v>0</v>
      </c>
      <c r="T13" s="24">
        <v>4</v>
      </c>
      <c r="U13" s="24">
        <v>0</v>
      </c>
    </row>
    <row r="14" spans="1:21" x14ac:dyDescent="0.3">
      <c r="A14" s="24" t="s">
        <v>63</v>
      </c>
      <c r="B14" s="24">
        <v>0</v>
      </c>
      <c r="C14" s="24">
        <v>0</v>
      </c>
      <c r="D14" s="24">
        <v>4</v>
      </c>
      <c r="E14" s="24">
        <v>1</v>
      </c>
      <c r="F14" s="24">
        <v>0</v>
      </c>
      <c r="G14" s="24">
        <v>0</v>
      </c>
      <c r="H14" s="24">
        <v>0</v>
      </c>
      <c r="I14" s="24">
        <v>0</v>
      </c>
      <c r="J14" s="24">
        <v>1</v>
      </c>
      <c r="K14" s="24">
        <v>1</v>
      </c>
      <c r="L14" s="24">
        <v>1</v>
      </c>
      <c r="M14" s="24">
        <v>1</v>
      </c>
      <c r="N14" s="24">
        <v>2</v>
      </c>
      <c r="O14" s="24">
        <v>0</v>
      </c>
      <c r="P14" s="24">
        <v>0</v>
      </c>
      <c r="Q14" s="24">
        <v>0</v>
      </c>
      <c r="R14" s="24">
        <v>0</v>
      </c>
      <c r="S14" s="24">
        <v>0</v>
      </c>
      <c r="T14" s="24">
        <v>11</v>
      </c>
      <c r="U14" s="24">
        <v>3</v>
      </c>
    </row>
    <row r="15" spans="1:21" x14ac:dyDescent="0.3">
      <c r="A15" s="24" t="s">
        <v>47</v>
      </c>
      <c r="B15" s="24">
        <v>0</v>
      </c>
      <c r="C15" s="24">
        <v>0</v>
      </c>
      <c r="D15" s="24">
        <v>4</v>
      </c>
      <c r="E15" s="24">
        <v>0</v>
      </c>
      <c r="F15" s="24">
        <v>0</v>
      </c>
      <c r="G15" s="24">
        <v>0</v>
      </c>
      <c r="H15" s="24">
        <v>0</v>
      </c>
      <c r="I15" s="24">
        <v>0</v>
      </c>
      <c r="J15" s="24">
        <v>0</v>
      </c>
      <c r="K15" s="24">
        <v>0</v>
      </c>
      <c r="L15" s="24">
        <v>0</v>
      </c>
      <c r="M15" s="24">
        <v>0</v>
      </c>
      <c r="N15" s="24">
        <v>0</v>
      </c>
      <c r="O15" s="24">
        <v>0</v>
      </c>
      <c r="P15" s="24">
        <v>0</v>
      </c>
      <c r="Q15" s="24">
        <v>1</v>
      </c>
      <c r="R15" s="24">
        <v>3</v>
      </c>
      <c r="S15" s="24">
        <v>0</v>
      </c>
      <c r="T15" s="24">
        <v>8</v>
      </c>
      <c r="U15" s="24">
        <v>2</v>
      </c>
    </row>
    <row r="16" spans="1:21" x14ac:dyDescent="0.3">
      <c r="A16" s="24" t="s">
        <v>49</v>
      </c>
      <c r="B16" s="24">
        <v>0</v>
      </c>
      <c r="C16" s="24">
        <v>0</v>
      </c>
      <c r="D16" s="24">
        <v>3</v>
      </c>
      <c r="E16" s="24">
        <v>1</v>
      </c>
      <c r="F16" s="24">
        <v>0</v>
      </c>
      <c r="G16" s="24">
        <v>0</v>
      </c>
      <c r="H16" s="24">
        <v>0</v>
      </c>
      <c r="I16" s="24">
        <v>0</v>
      </c>
      <c r="J16" s="24">
        <v>0</v>
      </c>
      <c r="K16" s="24">
        <v>0</v>
      </c>
      <c r="L16" s="24">
        <v>0</v>
      </c>
      <c r="M16" s="24">
        <v>0</v>
      </c>
      <c r="N16" s="24">
        <v>2</v>
      </c>
      <c r="O16" s="24">
        <v>0</v>
      </c>
      <c r="P16" s="24">
        <v>0</v>
      </c>
      <c r="Q16" s="24">
        <v>0</v>
      </c>
      <c r="R16" s="24">
        <v>2</v>
      </c>
      <c r="S16" s="24">
        <v>0</v>
      </c>
      <c r="T16" s="24">
        <v>8</v>
      </c>
      <c r="U16" s="24">
        <v>3</v>
      </c>
    </row>
    <row r="17" spans="1:21" x14ac:dyDescent="0.3">
      <c r="A17" s="24" t="s">
        <v>51</v>
      </c>
      <c r="B17" s="24">
        <v>0</v>
      </c>
      <c r="C17" s="24">
        <v>1</v>
      </c>
      <c r="D17" s="24">
        <v>4</v>
      </c>
      <c r="E17" s="24">
        <v>0</v>
      </c>
      <c r="F17" s="24">
        <v>0</v>
      </c>
      <c r="G17" s="24">
        <v>0</v>
      </c>
      <c r="H17" s="24">
        <v>0</v>
      </c>
      <c r="I17" s="24">
        <v>0</v>
      </c>
      <c r="J17" s="24">
        <v>0</v>
      </c>
      <c r="K17" s="24">
        <v>1</v>
      </c>
      <c r="L17" s="24">
        <v>0</v>
      </c>
      <c r="M17" s="24">
        <v>1</v>
      </c>
      <c r="N17" s="24">
        <v>1</v>
      </c>
      <c r="O17" s="24">
        <v>0</v>
      </c>
      <c r="P17" s="24">
        <v>0</v>
      </c>
      <c r="Q17" s="24">
        <v>0</v>
      </c>
      <c r="R17" s="24">
        <v>3</v>
      </c>
      <c r="S17" s="24">
        <v>0</v>
      </c>
      <c r="T17" s="24">
        <v>11</v>
      </c>
      <c r="U17" s="24">
        <v>3</v>
      </c>
    </row>
    <row r="18" spans="1:21" x14ac:dyDescent="0.3">
      <c r="A18" s="24" t="s">
        <v>53</v>
      </c>
      <c r="B18" s="24">
        <v>0</v>
      </c>
      <c r="C18" s="24">
        <v>0</v>
      </c>
      <c r="D18" s="24">
        <v>3</v>
      </c>
      <c r="E18" s="24">
        <v>2</v>
      </c>
      <c r="F18" s="24">
        <v>0</v>
      </c>
      <c r="G18" s="24">
        <v>0</v>
      </c>
      <c r="H18" s="24">
        <v>0</v>
      </c>
      <c r="I18" s="24">
        <v>0</v>
      </c>
      <c r="J18" s="24">
        <v>0</v>
      </c>
      <c r="K18" s="24">
        <v>0</v>
      </c>
      <c r="L18" s="24">
        <v>0</v>
      </c>
      <c r="M18" s="24">
        <v>0</v>
      </c>
      <c r="N18" s="24">
        <v>0</v>
      </c>
      <c r="O18" s="24">
        <v>0</v>
      </c>
      <c r="P18" s="24">
        <v>0</v>
      </c>
      <c r="Q18" s="24">
        <v>0</v>
      </c>
      <c r="R18" s="24">
        <v>3</v>
      </c>
      <c r="S18" s="24">
        <v>0</v>
      </c>
      <c r="T18" s="24">
        <v>8</v>
      </c>
      <c r="U18" s="24">
        <v>1</v>
      </c>
    </row>
    <row r="19" spans="1:21" x14ac:dyDescent="0.3">
      <c r="A19" s="24" t="s">
        <v>55</v>
      </c>
      <c r="B19" s="24">
        <v>0</v>
      </c>
      <c r="C19" s="24">
        <v>0</v>
      </c>
      <c r="D19" s="24">
        <v>4</v>
      </c>
      <c r="E19" s="24">
        <v>0</v>
      </c>
      <c r="F19" s="24">
        <v>0</v>
      </c>
      <c r="G19" s="24">
        <v>0</v>
      </c>
      <c r="H19" s="24">
        <v>0</v>
      </c>
      <c r="I19" s="24">
        <v>0</v>
      </c>
      <c r="J19" s="24">
        <v>0</v>
      </c>
      <c r="K19" s="24">
        <v>1</v>
      </c>
      <c r="L19" s="24">
        <v>1</v>
      </c>
      <c r="M19" s="24">
        <v>1</v>
      </c>
      <c r="N19" s="24">
        <v>2</v>
      </c>
      <c r="O19" s="24">
        <v>0</v>
      </c>
      <c r="P19" s="24">
        <v>0</v>
      </c>
      <c r="Q19" s="24">
        <v>0</v>
      </c>
      <c r="R19" s="24">
        <v>1</v>
      </c>
      <c r="S19" s="24">
        <v>0</v>
      </c>
      <c r="T19" s="24">
        <v>10</v>
      </c>
      <c r="U19" s="24">
        <v>3</v>
      </c>
    </row>
    <row r="20" spans="1:21" x14ac:dyDescent="0.3">
      <c r="A20" s="24" t="s">
        <v>57</v>
      </c>
      <c r="B20" s="24">
        <v>0</v>
      </c>
      <c r="C20" s="24">
        <v>0</v>
      </c>
      <c r="D20" s="24">
        <v>2</v>
      </c>
      <c r="E20" s="24">
        <v>0</v>
      </c>
      <c r="F20" s="24">
        <v>0</v>
      </c>
      <c r="G20" s="24">
        <v>0</v>
      </c>
      <c r="H20" s="24">
        <v>0</v>
      </c>
      <c r="I20" s="24">
        <v>0</v>
      </c>
      <c r="J20" s="24">
        <v>0</v>
      </c>
      <c r="K20" s="24">
        <v>1</v>
      </c>
      <c r="L20" s="24">
        <v>0</v>
      </c>
      <c r="M20" s="24">
        <v>0</v>
      </c>
      <c r="N20" s="24">
        <v>0</v>
      </c>
      <c r="O20" s="24">
        <v>0</v>
      </c>
      <c r="P20" s="24">
        <v>0</v>
      </c>
      <c r="Q20" s="24">
        <v>0</v>
      </c>
      <c r="R20" s="24">
        <v>3</v>
      </c>
      <c r="S20" s="24">
        <v>0</v>
      </c>
      <c r="T20" s="24">
        <v>6</v>
      </c>
      <c r="U20" s="24">
        <v>2</v>
      </c>
    </row>
    <row r="21" spans="1:21" x14ac:dyDescent="0.3">
      <c r="A21" s="24" t="s">
        <v>59</v>
      </c>
      <c r="B21" s="24">
        <v>0</v>
      </c>
      <c r="C21" s="24">
        <v>0</v>
      </c>
      <c r="D21" s="24">
        <v>3</v>
      </c>
      <c r="E21" s="24">
        <v>0</v>
      </c>
      <c r="F21" s="24">
        <v>0</v>
      </c>
      <c r="G21" s="24">
        <v>0</v>
      </c>
      <c r="H21" s="24">
        <v>0</v>
      </c>
      <c r="I21" s="24">
        <v>0</v>
      </c>
      <c r="J21" s="24">
        <v>0</v>
      </c>
      <c r="K21" s="24">
        <v>0</v>
      </c>
      <c r="L21" s="24">
        <v>0</v>
      </c>
      <c r="M21" s="24">
        <v>0</v>
      </c>
      <c r="N21" s="24">
        <v>0</v>
      </c>
      <c r="O21" s="24">
        <v>0</v>
      </c>
      <c r="P21" s="24">
        <v>0</v>
      </c>
      <c r="Q21" s="24">
        <v>0</v>
      </c>
      <c r="R21" s="24">
        <v>2</v>
      </c>
      <c r="S21" s="24">
        <v>0</v>
      </c>
      <c r="T21" s="24">
        <v>5</v>
      </c>
      <c r="U21" s="24">
        <v>3</v>
      </c>
    </row>
    <row r="22" spans="1:21" x14ac:dyDescent="0.3">
      <c r="A22" s="24" t="s">
        <v>61</v>
      </c>
      <c r="B22" s="24">
        <v>0</v>
      </c>
      <c r="C22" s="24">
        <v>0</v>
      </c>
      <c r="D22" s="24">
        <v>3</v>
      </c>
      <c r="E22" s="24">
        <v>0</v>
      </c>
      <c r="F22" s="24">
        <v>0</v>
      </c>
      <c r="G22" s="24">
        <v>0</v>
      </c>
      <c r="H22" s="24">
        <v>0</v>
      </c>
      <c r="I22" s="24">
        <v>0</v>
      </c>
      <c r="J22" s="24">
        <v>0</v>
      </c>
      <c r="K22" s="24">
        <v>0</v>
      </c>
      <c r="L22" s="24">
        <v>1</v>
      </c>
      <c r="M22" s="24">
        <v>0</v>
      </c>
      <c r="N22" s="24">
        <v>1</v>
      </c>
      <c r="O22" s="24">
        <v>0</v>
      </c>
      <c r="P22" s="24">
        <v>0</v>
      </c>
      <c r="Q22" s="24">
        <v>0</v>
      </c>
      <c r="R22" s="24">
        <v>3</v>
      </c>
      <c r="S22" s="24">
        <v>0</v>
      </c>
      <c r="T22" s="24">
        <v>8</v>
      </c>
      <c r="U22" s="24">
        <v>0</v>
      </c>
    </row>
    <row r="23" spans="1:21" x14ac:dyDescent="0.3">
      <c r="A23" s="24" t="s">
        <v>512</v>
      </c>
      <c r="B23" s="24">
        <v>6</v>
      </c>
      <c r="C23" s="24">
        <v>2</v>
      </c>
      <c r="D23" s="24">
        <v>62</v>
      </c>
      <c r="E23" s="24">
        <v>9</v>
      </c>
      <c r="F23" s="24">
        <v>0</v>
      </c>
      <c r="G23" s="24">
        <v>0</v>
      </c>
      <c r="H23" s="24">
        <v>0</v>
      </c>
      <c r="I23" s="24">
        <v>0</v>
      </c>
      <c r="J23" s="24">
        <v>1</v>
      </c>
      <c r="K23" s="24">
        <v>4</v>
      </c>
      <c r="L23" s="24">
        <v>3</v>
      </c>
      <c r="M23" s="24">
        <v>6</v>
      </c>
      <c r="N23" s="24">
        <v>10</v>
      </c>
      <c r="O23" s="24">
        <v>0</v>
      </c>
      <c r="P23" s="24">
        <v>1</v>
      </c>
      <c r="Q23" s="24">
        <v>3</v>
      </c>
      <c r="R23" s="24">
        <v>41</v>
      </c>
      <c r="S23" s="24">
        <v>2</v>
      </c>
      <c r="T23" s="24">
        <v>150</v>
      </c>
      <c r="U23" s="25"/>
    </row>
    <row r="24" spans="1:21" x14ac:dyDescent="0.3">
      <c r="A24" s="25" t="s">
        <v>69</v>
      </c>
      <c r="B24" s="25">
        <v>4</v>
      </c>
      <c r="C24" s="25">
        <v>4</v>
      </c>
      <c r="D24" s="25">
        <v>4</v>
      </c>
      <c r="E24" s="25">
        <v>4</v>
      </c>
      <c r="F24" s="25">
        <v>4</v>
      </c>
      <c r="G24" s="25">
        <v>4</v>
      </c>
      <c r="H24" s="25">
        <v>4</v>
      </c>
      <c r="I24" s="25">
        <v>4</v>
      </c>
      <c r="J24" s="25">
        <v>4</v>
      </c>
      <c r="K24" s="25">
        <v>4</v>
      </c>
      <c r="L24" s="25">
        <v>4</v>
      </c>
      <c r="M24" s="25">
        <v>4</v>
      </c>
      <c r="N24" s="25">
        <v>4</v>
      </c>
      <c r="O24" s="25">
        <v>4</v>
      </c>
      <c r="P24" s="25">
        <v>4</v>
      </c>
      <c r="Q24" s="25">
        <v>4</v>
      </c>
      <c r="R24" s="25">
        <v>3</v>
      </c>
      <c r="S24" s="25">
        <v>4</v>
      </c>
      <c r="T24" s="25"/>
    </row>
    <row r="45" spans="21:21" x14ac:dyDescent="0.3">
      <c r="U45" s="25"/>
    </row>
    <row r="67" spans="21:21" x14ac:dyDescent="0.3">
      <c r="U67" s="25"/>
    </row>
    <row r="89" spans="21:21" x14ac:dyDescent="0.3">
      <c r="U89" s="25"/>
    </row>
    <row r="111" spans="21:21" x14ac:dyDescent="0.3">
      <c r="U111" s="25"/>
    </row>
    <row r="133" spans="21:21" x14ac:dyDescent="0.3">
      <c r="U133" s="25"/>
    </row>
    <row r="155" spans="21:21" x14ac:dyDescent="0.3">
      <c r="U155" s="25"/>
    </row>
    <row r="177" spans="21:21" x14ac:dyDescent="0.3">
      <c r="U177" s="25"/>
    </row>
    <row r="199" spans="21:21" x14ac:dyDescent="0.3">
      <c r="U199" s="25"/>
    </row>
    <row r="221" spans="21:21" x14ac:dyDescent="0.3">
      <c r="U221" s="25"/>
    </row>
    <row r="243" spans="21:21" x14ac:dyDescent="0.3">
      <c r="U243" s="25"/>
    </row>
    <row r="265" spans="21:21" x14ac:dyDescent="0.3">
      <c r="U265" s="25"/>
    </row>
    <row r="287" spans="21:21" x14ac:dyDescent="0.3">
      <c r="U287" s="25"/>
    </row>
    <row r="309" spans="21:21" x14ac:dyDescent="0.3">
      <c r="U309" s="25"/>
    </row>
    <row r="331" spans="21:21" x14ac:dyDescent="0.3">
      <c r="U331" s="25"/>
    </row>
    <row r="353" spans="21:21" x14ac:dyDescent="0.3">
      <c r="U353" s="25"/>
    </row>
    <row r="375" spans="21:21" x14ac:dyDescent="0.3">
      <c r="U375" s="25"/>
    </row>
    <row r="397" spans="21:21" x14ac:dyDescent="0.3">
      <c r="U397" s="25"/>
    </row>
    <row r="419" spans="21:21" x14ac:dyDescent="0.3">
      <c r="U419" s="25"/>
    </row>
    <row r="441" spans="21:21" x14ac:dyDescent="0.3">
      <c r="U441" s="25"/>
    </row>
    <row r="463" spans="21:21" x14ac:dyDescent="0.3">
      <c r="U463" s="25"/>
    </row>
    <row r="485" spans="21:21" x14ac:dyDescent="0.3">
      <c r="U485" s="25"/>
    </row>
    <row r="507" spans="21:21" x14ac:dyDescent="0.3">
      <c r="U507" s="25"/>
    </row>
    <row r="529" spans="21:21" x14ac:dyDescent="0.3">
      <c r="U529" s="25"/>
    </row>
    <row r="551" spans="21:21" x14ac:dyDescent="0.3">
      <c r="U551" s="25"/>
    </row>
    <row r="573" spans="21:21" x14ac:dyDescent="0.3">
      <c r="U573" s="25"/>
    </row>
    <row r="595" spans="21:21" x14ac:dyDescent="0.3">
      <c r="U595" s="25"/>
    </row>
    <row r="617" spans="21:21" x14ac:dyDescent="0.3">
      <c r="U617" s="25"/>
    </row>
    <row r="639" spans="21:21" x14ac:dyDescent="0.3">
      <c r="U639" s="25"/>
    </row>
    <row r="661" spans="21:21" x14ac:dyDescent="0.3">
      <c r="U661" s="25"/>
    </row>
    <row r="683" spans="21:21" x14ac:dyDescent="0.3">
      <c r="U683" s="25"/>
    </row>
    <row r="705" spans="21:21" x14ac:dyDescent="0.3">
      <c r="U705" s="25"/>
    </row>
    <row r="727" spans="21:21" x14ac:dyDescent="0.3">
      <c r="U727" s="25"/>
    </row>
    <row r="749" spans="21:21" x14ac:dyDescent="0.3">
      <c r="U749" s="25"/>
    </row>
    <row r="771" spans="21:21" x14ac:dyDescent="0.3">
      <c r="U771" s="25"/>
    </row>
    <row r="793" spans="21:21" x14ac:dyDescent="0.3">
      <c r="U793" s="25"/>
    </row>
    <row r="815" spans="21:21" x14ac:dyDescent="0.3">
      <c r="U815" s="25"/>
    </row>
    <row r="837" spans="21:21" x14ac:dyDescent="0.3">
      <c r="U837" s="25"/>
    </row>
    <row r="859" spans="21:21" x14ac:dyDescent="0.3">
      <c r="U859" s="25"/>
    </row>
    <row r="881" spans="21:21" x14ac:dyDescent="0.3">
      <c r="U881" s="25"/>
    </row>
    <row r="903" spans="21:21" x14ac:dyDescent="0.3">
      <c r="U903" s="25"/>
    </row>
    <row r="925" spans="21:21" x14ac:dyDescent="0.3">
      <c r="U925" s="25"/>
    </row>
    <row r="947" spans="21:21" x14ac:dyDescent="0.3">
      <c r="U947" s="25"/>
    </row>
    <row r="969" spans="21:21" x14ac:dyDescent="0.3">
      <c r="U969" s="25"/>
    </row>
    <row r="991" spans="21:21" x14ac:dyDescent="0.3">
      <c r="U991" s="25"/>
    </row>
    <row r="1013" spans="21:21" x14ac:dyDescent="0.3">
      <c r="U1013" s="25"/>
    </row>
    <row r="1035" spans="21:21" x14ac:dyDescent="0.3">
      <c r="U1035" s="25"/>
    </row>
    <row r="1057" spans="21:21" x14ac:dyDescent="0.3">
      <c r="U1057" s="25"/>
    </row>
    <row r="1079" spans="21:21" x14ac:dyDescent="0.3">
      <c r="U1079" s="25"/>
    </row>
    <row r="1101" spans="21:21" x14ac:dyDescent="0.3">
      <c r="U1101" s="25"/>
    </row>
    <row r="1123" spans="21:21" x14ac:dyDescent="0.3">
      <c r="U1123" s="25"/>
    </row>
    <row r="1145" spans="21:21" x14ac:dyDescent="0.3">
      <c r="U1145" s="25"/>
    </row>
    <row r="1167" spans="21:21" x14ac:dyDescent="0.3">
      <c r="U1167" s="25"/>
    </row>
    <row r="1189" spans="21:21" x14ac:dyDescent="0.3">
      <c r="U1189" s="25"/>
    </row>
    <row r="1211" spans="21:21" x14ac:dyDescent="0.3">
      <c r="U1211" s="25"/>
    </row>
    <row r="1233" spans="21:21" x14ac:dyDescent="0.3">
      <c r="U1233" s="25"/>
    </row>
    <row r="1255" spans="21:21" x14ac:dyDescent="0.3">
      <c r="U1255" s="25"/>
    </row>
    <row r="1277" spans="21:21" x14ac:dyDescent="0.3">
      <c r="U1277" s="25"/>
    </row>
    <row r="1299" spans="21:21" x14ac:dyDescent="0.3">
      <c r="U1299" s="25"/>
    </row>
    <row r="1321" spans="21:21" x14ac:dyDescent="0.3">
      <c r="U1321" s="25"/>
    </row>
    <row r="1343" spans="21:21" x14ac:dyDescent="0.3">
      <c r="U1343" s="25"/>
    </row>
    <row r="1365" spans="21:21" x14ac:dyDescent="0.3">
      <c r="U1365" s="25"/>
    </row>
    <row r="1387" spans="21:21" x14ac:dyDescent="0.3">
      <c r="U1387" s="25"/>
    </row>
    <row r="1409" spans="21:21" x14ac:dyDescent="0.3">
      <c r="U1409" s="25"/>
    </row>
    <row r="1431" spans="21:21" x14ac:dyDescent="0.3">
      <c r="U1431" s="25"/>
    </row>
    <row r="1453" spans="21:21" x14ac:dyDescent="0.3">
      <c r="U1453" s="25"/>
    </row>
    <row r="1475" spans="21:21" x14ac:dyDescent="0.3">
      <c r="U1475" s="25"/>
    </row>
    <row r="1497" spans="21:21" x14ac:dyDescent="0.3">
      <c r="U1497" s="25"/>
    </row>
    <row r="1519" spans="21:21" x14ac:dyDescent="0.3">
      <c r="U1519" s="25"/>
    </row>
    <row r="1541" spans="21:21" x14ac:dyDescent="0.3">
      <c r="U1541" s="25"/>
    </row>
    <row r="1563" spans="21:21" x14ac:dyDescent="0.3">
      <c r="U1563" s="25"/>
    </row>
    <row r="1585" spans="21:21" x14ac:dyDescent="0.3">
      <c r="U1585" s="25"/>
    </row>
    <row r="1607" spans="21:21" x14ac:dyDescent="0.3">
      <c r="U1607" s="25"/>
    </row>
    <row r="1629" spans="21:21" x14ac:dyDescent="0.3">
      <c r="U1629" s="25"/>
    </row>
    <row r="1651" spans="21:21" x14ac:dyDescent="0.3">
      <c r="U1651" s="25"/>
    </row>
    <row r="1673" spans="21:21" x14ac:dyDescent="0.3">
      <c r="U1673" s="25"/>
    </row>
    <row r="1695" spans="21:21" x14ac:dyDescent="0.3">
      <c r="U1695" s="25"/>
    </row>
    <row r="1717" spans="21:21" x14ac:dyDescent="0.3">
      <c r="U1717" s="25"/>
    </row>
    <row r="1739" spans="21:21" x14ac:dyDescent="0.3">
      <c r="U1739" s="25"/>
    </row>
    <row r="1761" spans="21:21" x14ac:dyDescent="0.3">
      <c r="U1761" s="25"/>
    </row>
    <row r="1783" spans="21:21" x14ac:dyDescent="0.3">
      <c r="U1783" s="25"/>
    </row>
    <row r="1805" spans="21:21" x14ac:dyDescent="0.3">
      <c r="U1805" s="25"/>
    </row>
    <row r="1827" spans="21:21" x14ac:dyDescent="0.3">
      <c r="U1827" s="25"/>
    </row>
    <row r="1849" spans="21:21" x14ac:dyDescent="0.3">
      <c r="U1849" s="25"/>
    </row>
    <row r="1871" spans="21:21" x14ac:dyDescent="0.3">
      <c r="U1871" s="25"/>
    </row>
    <row r="1893" spans="21:21" x14ac:dyDescent="0.3">
      <c r="U1893" s="25"/>
    </row>
    <row r="1915" spans="21:21" x14ac:dyDescent="0.3">
      <c r="U1915" s="25"/>
    </row>
    <row r="1937" spans="21:21" x14ac:dyDescent="0.3">
      <c r="U1937" s="25"/>
    </row>
    <row r="1959" spans="21:21" x14ac:dyDescent="0.3">
      <c r="U1959" s="25"/>
    </row>
    <row r="1981" spans="21:21" x14ac:dyDescent="0.3">
      <c r="U1981" s="25"/>
    </row>
    <row r="2003" spans="21:21" x14ac:dyDescent="0.3">
      <c r="U2003" s="25"/>
    </row>
    <row r="2025" spans="21:21" x14ac:dyDescent="0.3">
      <c r="U2025" s="25"/>
    </row>
    <row r="2047" spans="21:21" x14ac:dyDescent="0.3">
      <c r="U2047" s="25"/>
    </row>
    <row r="2069" spans="21:21" x14ac:dyDescent="0.3">
      <c r="U2069" s="25"/>
    </row>
    <row r="2091" spans="21:21" x14ac:dyDescent="0.3">
      <c r="U2091" s="25"/>
    </row>
    <row r="2113" spans="21:21" x14ac:dyDescent="0.3">
      <c r="U2113" s="25"/>
    </row>
    <row r="2135" spans="21:21" x14ac:dyDescent="0.3">
      <c r="U2135" s="25"/>
    </row>
    <row r="2157" spans="21:21" x14ac:dyDescent="0.3">
      <c r="U2157" s="25"/>
    </row>
    <row r="2179" spans="21:21" x14ac:dyDescent="0.3">
      <c r="U2179" s="25"/>
    </row>
    <row r="2201" spans="21:21" x14ac:dyDescent="0.3">
      <c r="U2201" s="25"/>
    </row>
    <row r="2223" spans="21:21" x14ac:dyDescent="0.3">
      <c r="U2223" s="25"/>
    </row>
    <row r="2245" spans="21:21" x14ac:dyDescent="0.3">
      <c r="U2245" s="25"/>
    </row>
    <row r="2267" spans="21:21" x14ac:dyDescent="0.3">
      <c r="U2267" s="25"/>
    </row>
    <row r="2289" spans="21:21" x14ac:dyDescent="0.3">
      <c r="U2289" s="25"/>
    </row>
    <row r="2311" spans="21:21" x14ac:dyDescent="0.3">
      <c r="U2311" s="25"/>
    </row>
    <row r="2333" spans="21:21" x14ac:dyDescent="0.3">
      <c r="U2333" s="25"/>
    </row>
    <row r="2355" spans="21:21" x14ac:dyDescent="0.3">
      <c r="U2355" s="25"/>
    </row>
    <row r="2377" spans="21:21" x14ac:dyDescent="0.3">
      <c r="U2377" s="25"/>
    </row>
    <row r="2399" spans="21:21" x14ac:dyDescent="0.3">
      <c r="U2399" s="25"/>
    </row>
    <row r="2421" spans="21:21" x14ac:dyDescent="0.3">
      <c r="U2421" s="25"/>
    </row>
    <row r="2443" spans="21:21" x14ac:dyDescent="0.3">
      <c r="U2443" s="25"/>
    </row>
    <row r="2465" spans="21:21" x14ac:dyDescent="0.3">
      <c r="U2465" s="25"/>
    </row>
    <row r="2487" spans="21:21" x14ac:dyDescent="0.3">
      <c r="U2487" s="25"/>
    </row>
    <row r="2509" spans="21:21" x14ac:dyDescent="0.3">
      <c r="U2509" s="25"/>
    </row>
    <row r="2531" spans="21:21" x14ac:dyDescent="0.3">
      <c r="U2531" s="25"/>
    </row>
    <row r="2553" spans="21:21" x14ac:dyDescent="0.3">
      <c r="U2553" s="25"/>
    </row>
    <row r="2575" spans="21:21" x14ac:dyDescent="0.3">
      <c r="U2575" s="25"/>
    </row>
    <row r="2597" spans="21:21" x14ac:dyDescent="0.3">
      <c r="U2597" s="25"/>
    </row>
    <row r="2619" spans="21:21" x14ac:dyDescent="0.3">
      <c r="U2619" s="25"/>
    </row>
    <row r="2641" spans="21:21" x14ac:dyDescent="0.3">
      <c r="U2641" s="25"/>
    </row>
    <row r="2663" spans="21:21" x14ac:dyDescent="0.3">
      <c r="U2663" s="25"/>
    </row>
    <row r="2685" spans="21:21" x14ac:dyDescent="0.3">
      <c r="U2685" s="25"/>
    </row>
    <row r="2707" spans="21:21" x14ac:dyDescent="0.3">
      <c r="U2707" s="25"/>
    </row>
    <row r="2729" spans="21:21" x14ac:dyDescent="0.3">
      <c r="U2729" s="25"/>
    </row>
    <row r="2751" spans="21:21" x14ac:dyDescent="0.3">
      <c r="U2751" s="25"/>
    </row>
    <row r="2773" spans="21:21" x14ac:dyDescent="0.3">
      <c r="U2773" s="25"/>
    </row>
    <row r="2795" spans="21:21" x14ac:dyDescent="0.3">
      <c r="U2795" s="25"/>
    </row>
    <row r="2817" spans="21:21" x14ac:dyDescent="0.3">
      <c r="U2817" s="25"/>
    </row>
    <row r="2839" spans="21:21" x14ac:dyDescent="0.3">
      <c r="U2839" s="25"/>
    </row>
    <row r="2861" spans="21:21" x14ac:dyDescent="0.3">
      <c r="U2861" s="25"/>
    </row>
    <row r="2883" spans="21:21" x14ac:dyDescent="0.3">
      <c r="U2883" s="25"/>
    </row>
    <row r="2905" spans="21:21" x14ac:dyDescent="0.3">
      <c r="U2905" s="25"/>
    </row>
    <row r="2927" spans="21:21" x14ac:dyDescent="0.3">
      <c r="U2927" s="25"/>
    </row>
    <row r="2949" spans="21:21" x14ac:dyDescent="0.3">
      <c r="U2949" s="25"/>
    </row>
    <row r="2971" spans="21:21" x14ac:dyDescent="0.3">
      <c r="U2971" s="25"/>
    </row>
    <row r="2993" spans="21:21" x14ac:dyDescent="0.3">
      <c r="U2993" s="25"/>
    </row>
    <row r="3015" spans="21:21" x14ac:dyDescent="0.3">
      <c r="U3015" s="25"/>
    </row>
    <row r="3037" spans="21:21" x14ac:dyDescent="0.3">
      <c r="U3037" s="25"/>
    </row>
    <row r="3059" spans="21:21" x14ac:dyDescent="0.3">
      <c r="U3059" s="25"/>
    </row>
    <row r="3081" spans="21:21" x14ac:dyDescent="0.3">
      <c r="U3081" s="25"/>
    </row>
    <row r="3103" spans="21:21" x14ac:dyDescent="0.3">
      <c r="U3103" s="25"/>
    </row>
    <row r="3125" spans="21:21" x14ac:dyDescent="0.3">
      <c r="U3125" s="25"/>
    </row>
    <row r="3147" spans="21:21" x14ac:dyDescent="0.3">
      <c r="U3147" s="25"/>
    </row>
    <row r="3169" spans="21:21" x14ac:dyDescent="0.3">
      <c r="U3169" s="25"/>
    </row>
    <row r="3191" spans="21:21" x14ac:dyDescent="0.3">
      <c r="U3191" s="25"/>
    </row>
    <row r="3213" spans="21:21" x14ac:dyDescent="0.3">
      <c r="U3213" s="25"/>
    </row>
    <row r="3235" spans="21:21" x14ac:dyDescent="0.3">
      <c r="U3235" s="25"/>
    </row>
    <row r="3257" spans="21:21" x14ac:dyDescent="0.3">
      <c r="U3257" s="25"/>
    </row>
    <row r="3279" spans="21:21" x14ac:dyDescent="0.3">
      <c r="U3279" s="25"/>
    </row>
    <row r="3301" spans="21:21" x14ac:dyDescent="0.3">
      <c r="U3301" s="25"/>
    </row>
    <row r="3323" spans="21:21" x14ac:dyDescent="0.3">
      <c r="U3323" s="25"/>
    </row>
    <row r="3345" spans="21:21" x14ac:dyDescent="0.3">
      <c r="U3345" s="25"/>
    </row>
    <row r="3367" spans="21:21" x14ac:dyDescent="0.3">
      <c r="U3367" s="25"/>
    </row>
    <row r="3389" spans="21:21" x14ac:dyDescent="0.3">
      <c r="U3389" s="25"/>
    </row>
    <row r="3411" spans="21:21" x14ac:dyDescent="0.3">
      <c r="U3411" s="25"/>
    </row>
    <row r="3433" spans="21:21" x14ac:dyDescent="0.3">
      <c r="U3433" s="25"/>
    </row>
    <row r="3455" spans="21:21" x14ac:dyDescent="0.3">
      <c r="U3455" s="25"/>
    </row>
    <row r="3477" spans="21:21" x14ac:dyDescent="0.3">
      <c r="U3477" s="25"/>
    </row>
    <row r="3499" spans="21:21" x14ac:dyDescent="0.3">
      <c r="U3499" s="25"/>
    </row>
    <row r="3521" spans="21:21" x14ac:dyDescent="0.3">
      <c r="U3521" s="25"/>
    </row>
    <row r="3543" spans="21:21" x14ac:dyDescent="0.3">
      <c r="U3543" s="25"/>
    </row>
    <row r="3565" spans="21:21" x14ac:dyDescent="0.3">
      <c r="U3565" s="25"/>
    </row>
    <row r="3587" spans="21:21" x14ac:dyDescent="0.3">
      <c r="U3587" s="25"/>
    </row>
    <row r="3609" spans="21:21" x14ac:dyDescent="0.3">
      <c r="U3609" s="25"/>
    </row>
    <row r="3631" spans="21:21" x14ac:dyDescent="0.3">
      <c r="U3631" s="25"/>
    </row>
    <row r="3653" spans="21:21" x14ac:dyDescent="0.3">
      <c r="U3653" s="25"/>
    </row>
    <row r="3675" spans="21:21" x14ac:dyDescent="0.3">
      <c r="U3675" s="25"/>
    </row>
    <row r="3697" spans="21:21" x14ac:dyDescent="0.3">
      <c r="U3697" s="25"/>
    </row>
    <row r="3719" spans="21:21" x14ac:dyDescent="0.3">
      <c r="U3719" s="25"/>
    </row>
    <row r="3741" spans="21:21" x14ac:dyDescent="0.3">
      <c r="U3741" s="25"/>
    </row>
    <row r="3763" spans="21:21" x14ac:dyDescent="0.3">
      <c r="U3763" s="25"/>
    </row>
    <row r="3785" spans="21:21" x14ac:dyDescent="0.3">
      <c r="U3785" s="25"/>
    </row>
    <row r="3807" spans="21:21" x14ac:dyDescent="0.3">
      <c r="U3807" s="25"/>
    </row>
    <row r="3829" spans="21:21" x14ac:dyDescent="0.3">
      <c r="U3829" s="25"/>
    </row>
    <row r="3851" spans="21:21" x14ac:dyDescent="0.3">
      <c r="U3851" s="25"/>
    </row>
    <row r="3873" spans="21:21" x14ac:dyDescent="0.3">
      <c r="U3873" s="25"/>
    </row>
    <row r="3895" spans="21:21" x14ac:dyDescent="0.3">
      <c r="U3895" s="25"/>
    </row>
    <row r="3917" spans="21:21" x14ac:dyDescent="0.3">
      <c r="U3917" s="25"/>
    </row>
    <row r="3939" spans="21:21" x14ac:dyDescent="0.3">
      <c r="U3939" s="25"/>
    </row>
    <row r="3961" spans="21:21" x14ac:dyDescent="0.3">
      <c r="U3961" s="25"/>
    </row>
    <row r="3983" spans="21:21" x14ac:dyDescent="0.3">
      <c r="U3983" s="25"/>
    </row>
    <row r="4005" spans="21:21" x14ac:dyDescent="0.3">
      <c r="U4005" s="25"/>
    </row>
    <row r="4027" spans="21:21" x14ac:dyDescent="0.3">
      <c r="U4027" s="25"/>
    </row>
    <row r="4049" spans="21:21" x14ac:dyDescent="0.3">
      <c r="U4049" s="25"/>
    </row>
    <row r="4071" spans="21:21" x14ac:dyDescent="0.3">
      <c r="U4071" s="25"/>
    </row>
    <row r="4093" spans="21:21" x14ac:dyDescent="0.3">
      <c r="U4093" s="25"/>
    </row>
    <row r="4115" spans="21:21" x14ac:dyDescent="0.3">
      <c r="U4115" s="25"/>
    </row>
    <row r="4137" spans="21:21" x14ac:dyDescent="0.3">
      <c r="U4137" s="25"/>
    </row>
    <row r="4159" spans="21:21" x14ac:dyDescent="0.3">
      <c r="U4159" s="25"/>
    </row>
    <row r="4181" spans="21:21" x14ac:dyDescent="0.3">
      <c r="U4181" s="25"/>
    </row>
    <row r="4203" spans="21:21" x14ac:dyDescent="0.3">
      <c r="U4203" s="25"/>
    </row>
    <row r="4225" spans="21:21" x14ac:dyDescent="0.3">
      <c r="U4225" s="25"/>
    </row>
    <row r="4247" spans="21:21" x14ac:dyDescent="0.3">
      <c r="U4247" s="25"/>
    </row>
    <row r="4269" spans="21:21" x14ac:dyDescent="0.3">
      <c r="U4269" s="25"/>
    </row>
    <row r="4291" spans="21:21" x14ac:dyDescent="0.3">
      <c r="U4291" s="25"/>
    </row>
    <row r="4313" spans="21:21" x14ac:dyDescent="0.3">
      <c r="U4313" s="25"/>
    </row>
    <row r="4335" spans="21:21" x14ac:dyDescent="0.3">
      <c r="U4335" s="25"/>
    </row>
    <row r="4357" spans="21:21" x14ac:dyDescent="0.3">
      <c r="U4357" s="25"/>
    </row>
    <row r="4379" spans="21:21" x14ac:dyDescent="0.3">
      <c r="U4379" s="25"/>
    </row>
    <row r="4401" spans="21:21" x14ac:dyDescent="0.3">
      <c r="U4401" s="25"/>
    </row>
    <row r="4423" spans="21:21" x14ac:dyDescent="0.3">
      <c r="U4423" s="25"/>
    </row>
    <row r="4445" spans="21:21" x14ac:dyDescent="0.3">
      <c r="U4445" s="25"/>
    </row>
    <row r="4467" spans="21:21" x14ac:dyDescent="0.3">
      <c r="U4467" s="25"/>
    </row>
    <row r="4489" spans="21:21" x14ac:dyDescent="0.3">
      <c r="U4489" s="25"/>
    </row>
    <row r="4511" spans="21:21" x14ac:dyDescent="0.3">
      <c r="U4511" s="25"/>
    </row>
    <row r="4533" spans="21:21" x14ac:dyDescent="0.3">
      <c r="U4533" s="25"/>
    </row>
    <row r="4555" spans="21:21" x14ac:dyDescent="0.3">
      <c r="U4555" s="25"/>
    </row>
    <row r="4577" spans="21:21" x14ac:dyDescent="0.3">
      <c r="U4577" s="25"/>
    </row>
    <row r="4599" spans="21:21" x14ac:dyDescent="0.3">
      <c r="U4599" s="25"/>
    </row>
    <row r="4621" spans="21:21" x14ac:dyDescent="0.3">
      <c r="U4621" s="25"/>
    </row>
    <row r="4643" spans="21:21" x14ac:dyDescent="0.3">
      <c r="U4643" s="25"/>
    </row>
    <row r="4665" spans="21:21" x14ac:dyDescent="0.3">
      <c r="U4665" s="25"/>
    </row>
    <row r="4687" spans="21:21" x14ac:dyDescent="0.3">
      <c r="U4687" s="25"/>
    </row>
    <row r="4709" spans="21:21" x14ac:dyDescent="0.3">
      <c r="U4709" s="25"/>
    </row>
    <row r="4731" spans="21:21" x14ac:dyDescent="0.3">
      <c r="U4731" s="25"/>
    </row>
    <row r="4753" spans="21:21" x14ac:dyDescent="0.3">
      <c r="U4753" s="25"/>
    </row>
    <row r="4775" spans="21:21" x14ac:dyDescent="0.3">
      <c r="U4775" s="25"/>
    </row>
    <row r="4797" spans="21:21" x14ac:dyDescent="0.3">
      <c r="U4797" s="25"/>
    </row>
    <row r="4819" spans="21:21" x14ac:dyDescent="0.3">
      <c r="U4819" s="25"/>
    </row>
    <row r="4841" spans="21:21" x14ac:dyDescent="0.3">
      <c r="U4841" s="25"/>
    </row>
    <row r="4863" spans="21:21" x14ac:dyDescent="0.3">
      <c r="U4863" s="25"/>
    </row>
    <row r="4885" spans="21:21" x14ac:dyDescent="0.3">
      <c r="U4885" s="25"/>
    </row>
    <row r="4907" spans="21:21" x14ac:dyDescent="0.3">
      <c r="U4907" s="25"/>
    </row>
    <row r="4929" spans="21:21" x14ac:dyDescent="0.3">
      <c r="U4929" s="25"/>
    </row>
    <row r="4951" spans="21:21" x14ac:dyDescent="0.3">
      <c r="U4951" s="25"/>
    </row>
    <row r="4973" spans="21:21" x14ac:dyDescent="0.3">
      <c r="U4973" s="25"/>
    </row>
    <row r="4995" spans="21:21" x14ac:dyDescent="0.3">
      <c r="U4995" s="25"/>
    </row>
    <row r="5017" spans="21:21" x14ac:dyDescent="0.3">
      <c r="U5017" s="25"/>
    </row>
    <row r="5039" spans="21:21" x14ac:dyDescent="0.3">
      <c r="U5039" s="25"/>
    </row>
    <row r="5061" spans="21:21" x14ac:dyDescent="0.3">
      <c r="U5061" s="25"/>
    </row>
    <row r="5083" spans="21:21" x14ac:dyDescent="0.3">
      <c r="U5083" s="25"/>
    </row>
    <row r="5105" spans="21:21" x14ac:dyDescent="0.3">
      <c r="U5105" s="25"/>
    </row>
    <row r="5127" spans="21:21" x14ac:dyDescent="0.3">
      <c r="U5127" s="25"/>
    </row>
    <row r="5149" spans="21:21" x14ac:dyDescent="0.3">
      <c r="U5149" s="25"/>
    </row>
    <row r="5171" spans="21:21" x14ac:dyDescent="0.3">
      <c r="U5171" s="25"/>
    </row>
    <row r="5193" spans="21:21" x14ac:dyDescent="0.3">
      <c r="U5193" s="25"/>
    </row>
    <row r="5215" spans="21:21" x14ac:dyDescent="0.3">
      <c r="U5215" s="25"/>
    </row>
    <row r="5237" spans="21:21" x14ac:dyDescent="0.3">
      <c r="U5237" s="25"/>
    </row>
    <row r="5259" spans="21:21" x14ac:dyDescent="0.3">
      <c r="U5259" s="25"/>
    </row>
    <row r="5281" spans="21:21" x14ac:dyDescent="0.3">
      <c r="U5281" s="25"/>
    </row>
    <row r="5303" spans="21:21" x14ac:dyDescent="0.3">
      <c r="U5303" s="25"/>
    </row>
    <row r="5325" spans="21:21" x14ac:dyDescent="0.3">
      <c r="U5325" s="25"/>
    </row>
    <row r="5347" spans="21:21" x14ac:dyDescent="0.3">
      <c r="U5347" s="25"/>
    </row>
    <row r="5369" spans="21:21" x14ac:dyDescent="0.3">
      <c r="U5369" s="25"/>
    </row>
    <row r="5391" spans="21:21" x14ac:dyDescent="0.3">
      <c r="U5391" s="25"/>
    </row>
    <row r="5413" spans="21:21" x14ac:dyDescent="0.3">
      <c r="U5413" s="25"/>
    </row>
    <row r="5435" spans="21:21" x14ac:dyDescent="0.3">
      <c r="U5435" s="25"/>
    </row>
    <row r="5457" spans="21:21" x14ac:dyDescent="0.3">
      <c r="U5457" s="25"/>
    </row>
    <row r="5479" spans="21:21" x14ac:dyDescent="0.3">
      <c r="U5479" s="25"/>
    </row>
    <row r="5501" spans="21:21" x14ac:dyDescent="0.3">
      <c r="U5501" s="25"/>
    </row>
    <row r="5523" spans="21:21" x14ac:dyDescent="0.3">
      <c r="U5523" s="25"/>
    </row>
    <row r="5545" spans="21:21" x14ac:dyDescent="0.3">
      <c r="U5545" s="25"/>
    </row>
    <row r="5567" spans="21:21" x14ac:dyDescent="0.3">
      <c r="U5567" s="25"/>
    </row>
    <row r="5589" spans="21:21" x14ac:dyDescent="0.3">
      <c r="U5589" s="25"/>
    </row>
    <row r="5611" spans="21:21" x14ac:dyDescent="0.3">
      <c r="U5611" s="25"/>
    </row>
    <row r="5633" spans="21:21" x14ac:dyDescent="0.3">
      <c r="U5633" s="25"/>
    </row>
    <row r="5655" spans="21:21" x14ac:dyDescent="0.3">
      <c r="U5655" s="25"/>
    </row>
    <row r="5677" spans="21:21" x14ac:dyDescent="0.3">
      <c r="U5677" s="25"/>
    </row>
    <row r="5699" spans="21:21" x14ac:dyDescent="0.3">
      <c r="U5699" s="25"/>
    </row>
    <row r="5721" spans="21:21" x14ac:dyDescent="0.3">
      <c r="U5721" s="25"/>
    </row>
    <row r="5743" spans="21:21" x14ac:dyDescent="0.3">
      <c r="U5743" s="25"/>
    </row>
    <row r="5765" spans="21:21" x14ac:dyDescent="0.3">
      <c r="U5765" s="25"/>
    </row>
    <row r="5787" spans="21:21" x14ac:dyDescent="0.3">
      <c r="U5787" s="25"/>
    </row>
    <row r="5809" spans="21:21" x14ac:dyDescent="0.3">
      <c r="U5809" s="25"/>
    </row>
    <row r="5831" spans="21:21" x14ac:dyDescent="0.3">
      <c r="U5831" s="25"/>
    </row>
    <row r="5853" spans="21:21" x14ac:dyDescent="0.3">
      <c r="U5853" s="25"/>
    </row>
    <row r="5875" spans="21:21" x14ac:dyDescent="0.3">
      <c r="U5875" s="25"/>
    </row>
    <row r="5897" spans="21:21" x14ac:dyDescent="0.3">
      <c r="U5897" s="25"/>
    </row>
    <row r="5919" spans="21:21" x14ac:dyDescent="0.3">
      <c r="U5919" s="25"/>
    </row>
    <row r="5941" spans="21:21" x14ac:dyDescent="0.3">
      <c r="U5941" s="25"/>
    </row>
    <row r="5963" spans="21:21" x14ac:dyDescent="0.3">
      <c r="U5963" s="25"/>
    </row>
    <row r="5985" spans="21:21" x14ac:dyDescent="0.3">
      <c r="U5985" s="25"/>
    </row>
    <row r="6007" spans="21:21" x14ac:dyDescent="0.3">
      <c r="U6007" s="25"/>
    </row>
    <row r="6029" spans="21:21" x14ac:dyDescent="0.3">
      <c r="U6029" s="25"/>
    </row>
    <row r="6051" spans="21:21" x14ac:dyDescent="0.3">
      <c r="U6051" s="25"/>
    </row>
    <row r="6073" spans="21:21" x14ac:dyDescent="0.3">
      <c r="U6073" s="25"/>
    </row>
    <row r="6095" spans="21:21" x14ac:dyDescent="0.3">
      <c r="U6095" s="25"/>
    </row>
    <row r="6117" spans="21:21" x14ac:dyDescent="0.3">
      <c r="U6117" s="25"/>
    </row>
    <row r="6139" spans="21:21" x14ac:dyDescent="0.3">
      <c r="U6139" s="25"/>
    </row>
    <row r="6161" spans="21:21" x14ac:dyDescent="0.3">
      <c r="U6161" s="25"/>
    </row>
    <row r="6183" spans="21:21" x14ac:dyDescent="0.3">
      <c r="U6183" s="25"/>
    </row>
    <row r="6205" spans="21:21" x14ac:dyDescent="0.3">
      <c r="U6205" s="25"/>
    </row>
    <row r="6227" spans="21:21" x14ac:dyDescent="0.3">
      <c r="U6227" s="25"/>
    </row>
    <row r="6249" spans="21:21" x14ac:dyDescent="0.3">
      <c r="U6249" s="25"/>
    </row>
    <row r="6271" spans="21:21" x14ac:dyDescent="0.3">
      <c r="U6271" s="25"/>
    </row>
    <row r="6293" spans="21:21" x14ac:dyDescent="0.3">
      <c r="U6293" s="25"/>
    </row>
    <row r="6315" spans="21:21" x14ac:dyDescent="0.3">
      <c r="U6315" s="25"/>
    </row>
    <row r="6337" spans="21:21" x14ac:dyDescent="0.3">
      <c r="U6337" s="25"/>
    </row>
    <row r="6359" spans="21:21" x14ac:dyDescent="0.3">
      <c r="U6359" s="25"/>
    </row>
    <row r="6381" spans="21:21" x14ac:dyDescent="0.3">
      <c r="U6381" s="25"/>
    </row>
    <row r="6403" spans="21:21" x14ac:dyDescent="0.3">
      <c r="U6403" s="25"/>
    </row>
    <row r="6425" spans="21:21" x14ac:dyDescent="0.3">
      <c r="U6425" s="25"/>
    </row>
    <row r="6447" spans="21:21" x14ac:dyDescent="0.3">
      <c r="U6447" s="25"/>
    </row>
    <row r="6469" spans="21:21" x14ac:dyDescent="0.3">
      <c r="U6469" s="25"/>
    </row>
    <row r="6491" spans="21:21" x14ac:dyDescent="0.3">
      <c r="U6491" s="25"/>
    </row>
    <row r="6513" spans="21:21" x14ac:dyDescent="0.3">
      <c r="U6513" s="25"/>
    </row>
    <row r="6535" spans="21:21" x14ac:dyDescent="0.3">
      <c r="U6535" s="25"/>
    </row>
    <row r="6557" spans="21:21" x14ac:dyDescent="0.3">
      <c r="U6557" s="25"/>
    </row>
    <row r="6579" spans="21:21" x14ac:dyDescent="0.3">
      <c r="U6579" s="25"/>
    </row>
    <row r="6601" spans="21:21" x14ac:dyDescent="0.3">
      <c r="U6601" s="25"/>
    </row>
    <row r="6623" spans="21:21" x14ac:dyDescent="0.3">
      <c r="U6623" s="25"/>
    </row>
    <row r="6645" spans="21:21" x14ac:dyDescent="0.3">
      <c r="U6645" s="25"/>
    </row>
    <row r="6667" spans="21:21" x14ac:dyDescent="0.3">
      <c r="U6667" s="25"/>
    </row>
    <row r="6689" spans="21:21" x14ac:dyDescent="0.3">
      <c r="U6689" s="25"/>
    </row>
    <row r="6711" spans="21:21" x14ac:dyDescent="0.3">
      <c r="U6711" s="25"/>
    </row>
    <row r="6733" spans="21:21" x14ac:dyDescent="0.3">
      <c r="U6733" s="25"/>
    </row>
    <row r="6755" spans="21:21" x14ac:dyDescent="0.3">
      <c r="U6755" s="25"/>
    </row>
    <row r="6777" spans="21:21" x14ac:dyDescent="0.3">
      <c r="U6777" s="25"/>
    </row>
    <row r="6799" spans="21:21" x14ac:dyDescent="0.3">
      <c r="U6799" s="25"/>
    </row>
    <row r="6821" spans="21:21" x14ac:dyDescent="0.3">
      <c r="U6821" s="25"/>
    </row>
    <row r="6843" spans="21:21" x14ac:dyDescent="0.3">
      <c r="U6843" s="25"/>
    </row>
    <row r="6865" spans="21:21" x14ac:dyDescent="0.3">
      <c r="U6865" s="25"/>
    </row>
    <row r="6887" spans="21:21" x14ac:dyDescent="0.3">
      <c r="U6887" s="25"/>
    </row>
    <row r="6909" spans="21:21" x14ac:dyDescent="0.3">
      <c r="U6909" s="25"/>
    </row>
    <row r="6931" spans="21:21" x14ac:dyDescent="0.3">
      <c r="U6931" s="25"/>
    </row>
    <row r="6953" spans="21:21" x14ac:dyDescent="0.3">
      <c r="U6953" s="25"/>
    </row>
    <row r="6975" spans="21:21" x14ac:dyDescent="0.3">
      <c r="U6975" s="25"/>
    </row>
    <row r="6997" spans="21:21" x14ac:dyDescent="0.3">
      <c r="U6997" s="25"/>
    </row>
    <row r="7019" spans="21:21" x14ac:dyDescent="0.3">
      <c r="U7019" s="25"/>
    </row>
    <row r="7041" spans="21:21" x14ac:dyDescent="0.3">
      <c r="U7041" s="25"/>
    </row>
    <row r="7063" spans="21:21" x14ac:dyDescent="0.3">
      <c r="U7063" s="25"/>
    </row>
    <row r="7085" spans="21:21" x14ac:dyDescent="0.3">
      <c r="U7085" s="25"/>
    </row>
    <row r="7107" spans="21:21" x14ac:dyDescent="0.3">
      <c r="U7107" s="25"/>
    </row>
    <row r="7129" spans="21:21" x14ac:dyDescent="0.3">
      <c r="U7129" s="25"/>
    </row>
    <row r="7151" spans="21:21" x14ac:dyDescent="0.3">
      <c r="U7151" s="25"/>
    </row>
    <row r="7173" spans="21:21" x14ac:dyDescent="0.3">
      <c r="U7173" s="25"/>
    </row>
    <row r="7195" spans="21:21" x14ac:dyDescent="0.3">
      <c r="U7195" s="25"/>
    </row>
    <row r="7217" spans="21:21" x14ac:dyDescent="0.3">
      <c r="U7217" s="25"/>
    </row>
    <row r="7239" spans="21:21" x14ac:dyDescent="0.3">
      <c r="U7239" s="25"/>
    </row>
    <row r="7261" spans="21:21" x14ac:dyDescent="0.3">
      <c r="U7261" s="25"/>
    </row>
    <row r="7283" spans="21:21" x14ac:dyDescent="0.3">
      <c r="U7283" s="25"/>
    </row>
    <row r="7305" spans="21:21" x14ac:dyDescent="0.3">
      <c r="U7305" s="25"/>
    </row>
    <row r="7327" spans="21:21" x14ac:dyDescent="0.3">
      <c r="U7327" s="25"/>
    </row>
    <row r="7349" spans="21:21" x14ac:dyDescent="0.3">
      <c r="U7349" s="25"/>
    </row>
    <row r="7371" spans="21:21" x14ac:dyDescent="0.3">
      <c r="U7371" s="25"/>
    </row>
    <row r="7393" spans="21:21" x14ac:dyDescent="0.3">
      <c r="U7393" s="25"/>
    </row>
    <row r="7415" spans="21:21" x14ac:dyDescent="0.3">
      <c r="U7415" s="25"/>
    </row>
    <row r="7437" spans="21:21" x14ac:dyDescent="0.3">
      <c r="U7437" s="25"/>
    </row>
    <row r="7459" spans="21:21" x14ac:dyDescent="0.3">
      <c r="U7459" s="25"/>
    </row>
    <row r="7481" spans="21:21" x14ac:dyDescent="0.3">
      <c r="U7481" s="25"/>
    </row>
    <row r="7503" spans="21:21" x14ac:dyDescent="0.3">
      <c r="U7503" s="25"/>
    </row>
    <row r="7525" spans="21:21" x14ac:dyDescent="0.3">
      <c r="U7525" s="25"/>
    </row>
    <row r="7547" spans="21:21" x14ac:dyDescent="0.3">
      <c r="U7547" s="25"/>
    </row>
    <row r="7569" spans="21:21" x14ac:dyDescent="0.3">
      <c r="U7569" s="25"/>
    </row>
    <row r="7591" spans="21:21" x14ac:dyDescent="0.3">
      <c r="U7591" s="25"/>
    </row>
    <row r="7613" spans="21:21" x14ac:dyDescent="0.3">
      <c r="U7613" s="25"/>
    </row>
    <row r="7635" spans="21:21" x14ac:dyDescent="0.3">
      <c r="U7635" s="25"/>
    </row>
    <row r="7657" spans="21:21" x14ac:dyDescent="0.3">
      <c r="U7657" s="25"/>
    </row>
    <row r="7679" spans="21:21" x14ac:dyDescent="0.3">
      <c r="U7679" s="25"/>
    </row>
    <row r="7701" spans="21:21" x14ac:dyDescent="0.3">
      <c r="U7701" s="25"/>
    </row>
    <row r="7723" spans="21:21" x14ac:dyDescent="0.3">
      <c r="U7723" s="25"/>
    </row>
    <row r="7745" spans="21:21" x14ac:dyDescent="0.3">
      <c r="U7745" s="25"/>
    </row>
    <row r="7767" spans="21:21" x14ac:dyDescent="0.3">
      <c r="U7767" s="25"/>
    </row>
    <row r="7789" spans="21:21" x14ac:dyDescent="0.3">
      <c r="U7789" s="25"/>
    </row>
    <row r="7811" spans="21:21" x14ac:dyDescent="0.3">
      <c r="U7811" s="25"/>
    </row>
    <row r="7833" spans="21:21" x14ac:dyDescent="0.3">
      <c r="U7833" s="25"/>
    </row>
    <row r="7855" spans="21:21" x14ac:dyDescent="0.3">
      <c r="U7855" s="25"/>
    </row>
    <row r="7877" spans="21:21" x14ac:dyDescent="0.3">
      <c r="U7877" s="25"/>
    </row>
    <row r="7899" spans="21:21" x14ac:dyDescent="0.3">
      <c r="U7899" s="25"/>
    </row>
    <row r="7921" spans="21:21" x14ac:dyDescent="0.3">
      <c r="U7921" s="25"/>
    </row>
    <row r="7943" spans="21:21" x14ac:dyDescent="0.3">
      <c r="U7943" s="25"/>
    </row>
    <row r="7965" spans="21:21" x14ac:dyDescent="0.3">
      <c r="U7965" s="25"/>
    </row>
    <row r="7987" spans="21:21" x14ac:dyDescent="0.3">
      <c r="U7987" s="25"/>
    </row>
    <row r="8009" spans="21:21" x14ac:dyDescent="0.3">
      <c r="U8009" s="25"/>
    </row>
    <row r="8031" spans="21:21" x14ac:dyDescent="0.3">
      <c r="U8031" s="25"/>
    </row>
    <row r="8053" spans="21:21" x14ac:dyDescent="0.3">
      <c r="U8053" s="25"/>
    </row>
    <row r="8075" spans="21:21" x14ac:dyDescent="0.3">
      <c r="U8075" s="25"/>
    </row>
    <row r="8097" spans="21:21" x14ac:dyDescent="0.3">
      <c r="U8097" s="25"/>
    </row>
    <row r="8119" spans="21:21" x14ac:dyDescent="0.3">
      <c r="U8119" s="25"/>
    </row>
    <row r="8141" spans="21:21" x14ac:dyDescent="0.3">
      <c r="U8141" s="25"/>
    </row>
    <row r="8163" spans="21:21" x14ac:dyDescent="0.3">
      <c r="U8163" s="25"/>
    </row>
    <row r="8185" spans="21:21" x14ac:dyDescent="0.3">
      <c r="U8185" s="25"/>
    </row>
    <row r="8207" spans="21:21" x14ac:dyDescent="0.3">
      <c r="U8207" s="25"/>
    </row>
    <row r="8229" spans="21:21" x14ac:dyDescent="0.3">
      <c r="U8229" s="25"/>
    </row>
    <row r="8251" spans="21:21" x14ac:dyDescent="0.3">
      <c r="U8251" s="25"/>
    </row>
    <row r="8273" spans="21:21" x14ac:dyDescent="0.3">
      <c r="U8273" s="25"/>
    </row>
    <row r="8295" spans="21:21" x14ac:dyDescent="0.3">
      <c r="U8295" s="25"/>
    </row>
    <row r="8317" spans="21:21" x14ac:dyDescent="0.3">
      <c r="U8317" s="25"/>
    </row>
    <row r="8339" spans="21:21" x14ac:dyDescent="0.3">
      <c r="U8339" s="25"/>
    </row>
    <row r="8361" spans="21:21" x14ac:dyDescent="0.3">
      <c r="U8361" s="25"/>
    </row>
    <row r="8383" spans="21:21" x14ac:dyDescent="0.3">
      <c r="U8383" s="25"/>
    </row>
    <row r="8405" spans="21:21" x14ac:dyDescent="0.3">
      <c r="U8405" s="25"/>
    </row>
    <row r="8427" spans="21:21" x14ac:dyDescent="0.3">
      <c r="U8427" s="25"/>
    </row>
    <row r="8449" spans="21:21" x14ac:dyDescent="0.3">
      <c r="U8449" s="25"/>
    </row>
    <row r="8471" spans="21:21" x14ac:dyDescent="0.3">
      <c r="U8471" s="25"/>
    </row>
    <row r="8493" spans="21:21" x14ac:dyDescent="0.3">
      <c r="U8493" s="25"/>
    </row>
    <row r="8515" spans="21:21" x14ac:dyDescent="0.3">
      <c r="U8515" s="25"/>
    </row>
    <row r="8537" spans="21:21" x14ac:dyDescent="0.3">
      <c r="U8537" s="25"/>
    </row>
    <row r="8559" spans="21:21" x14ac:dyDescent="0.3">
      <c r="U8559" s="25"/>
    </row>
    <row r="8581" spans="21:21" x14ac:dyDescent="0.3">
      <c r="U8581" s="25"/>
    </row>
    <row r="8603" spans="21:21" x14ac:dyDescent="0.3">
      <c r="U8603" s="25"/>
    </row>
    <row r="8625" spans="21:21" x14ac:dyDescent="0.3">
      <c r="U8625" s="25"/>
    </row>
    <row r="8647" spans="21:21" x14ac:dyDescent="0.3">
      <c r="U8647" s="25"/>
    </row>
    <row r="8669" spans="21:21" x14ac:dyDescent="0.3">
      <c r="U8669" s="25"/>
    </row>
    <row r="8691" spans="21:21" x14ac:dyDescent="0.3">
      <c r="U8691" s="25"/>
    </row>
    <row r="8713" spans="21:21" x14ac:dyDescent="0.3">
      <c r="U8713" s="25"/>
    </row>
    <row r="8735" spans="21:21" x14ac:dyDescent="0.3">
      <c r="U8735" s="25"/>
    </row>
    <row r="8757" spans="21:21" x14ac:dyDescent="0.3">
      <c r="U8757" s="25"/>
    </row>
    <row r="8779" spans="21:21" x14ac:dyDescent="0.3">
      <c r="U8779" s="25"/>
    </row>
    <row r="8801" spans="21:21" x14ac:dyDescent="0.3">
      <c r="U8801" s="25"/>
    </row>
    <row r="8823" spans="21:21" x14ac:dyDescent="0.3">
      <c r="U8823" s="25"/>
    </row>
    <row r="8845" spans="21:21" x14ac:dyDescent="0.3">
      <c r="U8845" s="25"/>
    </row>
    <row r="8867" spans="21:21" x14ac:dyDescent="0.3">
      <c r="U8867" s="25"/>
    </row>
    <row r="8889" spans="21:21" x14ac:dyDescent="0.3">
      <c r="U8889" s="25"/>
    </row>
    <row r="8911" spans="21:21" x14ac:dyDescent="0.3">
      <c r="U8911" s="25"/>
    </row>
    <row r="8933" spans="21:21" x14ac:dyDescent="0.3">
      <c r="U8933" s="25"/>
    </row>
    <row r="8955" spans="21:21" x14ac:dyDescent="0.3">
      <c r="U8955" s="25"/>
    </row>
    <row r="8977" spans="21:21" x14ac:dyDescent="0.3">
      <c r="U8977" s="25"/>
    </row>
    <row r="8999" spans="21:21" x14ac:dyDescent="0.3">
      <c r="U8999" s="25"/>
    </row>
    <row r="9021" spans="21:21" x14ac:dyDescent="0.3">
      <c r="U9021" s="25"/>
    </row>
    <row r="9043" spans="21:21" x14ac:dyDescent="0.3">
      <c r="U9043" s="25"/>
    </row>
    <row r="9065" spans="21:21" x14ac:dyDescent="0.3">
      <c r="U9065" s="25"/>
    </row>
    <row r="9087" spans="21:21" x14ac:dyDescent="0.3">
      <c r="U9087" s="25"/>
    </row>
    <row r="9109" spans="21:21" x14ac:dyDescent="0.3">
      <c r="U9109" s="25"/>
    </row>
    <row r="9131" spans="21:21" x14ac:dyDescent="0.3">
      <c r="U9131" s="25"/>
    </row>
    <row r="9153" spans="21:21" x14ac:dyDescent="0.3">
      <c r="U9153" s="25"/>
    </row>
    <row r="9175" spans="21:21" x14ac:dyDescent="0.3">
      <c r="U9175" s="25"/>
    </row>
    <row r="9197" spans="21:21" x14ac:dyDescent="0.3">
      <c r="U9197" s="25"/>
    </row>
    <row r="9219" spans="21:21" x14ac:dyDescent="0.3">
      <c r="U9219" s="25"/>
    </row>
    <row r="9241" spans="21:21" x14ac:dyDescent="0.3">
      <c r="U9241" s="25"/>
    </row>
    <row r="9263" spans="21:21" x14ac:dyDescent="0.3">
      <c r="U9263" s="25"/>
    </row>
    <row r="9285" spans="21:21" x14ac:dyDescent="0.3">
      <c r="U9285" s="25"/>
    </row>
    <row r="9307" spans="21:21" x14ac:dyDescent="0.3">
      <c r="U9307" s="25"/>
    </row>
    <row r="9329" spans="21:21" x14ac:dyDescent="0.3">
      <c r="U9329" s="25"/>
    </row>
    <row r="9351" spans="21:21" x14ac:dyDescent="0.3">
      <c r="U9351" s="25"/>
    </row>
    <row r="9373" spans="21:21" x14ac:dyDescent="0.3">
      <c r="U9373" s="25"/>
    </row>
    <row r="9395" spans="21:21" x14ac:dyDescent="0.3">
      <c r="U9395" s="25"/>
    </row>
    <row r="9417" spans="21:21" x14ac:dyDescent="0.3">
      <c r="U9417" s="25"/>
    </row>
    <row r="9439" spans="21:21" x14ac:dyDescent="0.3">
      <c r="U9439" s="25"/>
    </row>
    <row r="9461" spans="21:21" x14ac:dyDescent="0.3">
      <c r="U9461" s="25"/>
    </row>
    <row r="9483" spans="21:21" x14ac:dyDescent="0.3">
      <c r="U9483" s="25"/>
    </row>
    <row r="9505" spans="21:21" x14ac:dyDescent="0.3">
      <c r="U9505" s="25"/>
    </row>
    <row r="9527" spans="21:21" x14ac:dyDescent="0.3">
      <c r="U9527" s="25"/>
    </row>
    <row r="9549" spans="21:21" x14ac:dyDescent="0.3">
      <c r="U9549" s="25"/>
    </row>
    <row r="9571" spans="21:21" x14ac:dyDescent="0.3">
      <c r="U9571" s="25"/>
    </row>
    <row r="9593" spans="21:21" x14ac:dyDescent="0.3">
      <c r="U9593" s="25"/>
    </row>
    <row r="9615" spans="21:21" x14ac:dyDescent="0.3">
      <c r="U9615" s="25"/>
    </row>
    <row r="9637" spans="21:21" x14ac:dyDescent="0.3">
      <c r="U9637" s="25"/>
    </row>
    <row r="9659" spans="21:21" x14ac:dyDescent="0.3">
      <c r="U9659" s="25"/>
    </row>
    <row r="9681" spans="21:21" x14ac:dyDescent="0.3">
      <c r="U9681" s="25"/>
    </row>
    <row r="9703" spans="21:21" x14ac:dyDescent="0.3">
      <c r="U9703" s="25"/>
    </row>
    <row r="9725" spans="21:21" x14ac:dyDescent="0.3">
      <c r="U9725" s="25"/>
    </row>
    <row r="9747" spans="21:21" x14ac:dyDescent="0.3">
      <c r="U9747" s="25"/>
    </row>
    <row r="9769" spans="21:21" x14ac:dyDescent="0.3">
      <c r="U9769" s="25"/>
    </row>
    <row r="9791" spans="21:21" x14ac:dyDescent="0.3">
      <c r="U9791" s="25"/>
    </row>
    <row r="9813" spans="21:21" x14ac:dyDescent="0.3">
      <c r="U9813" s="25"/>
    </row>
    <row r="9835" spans="21:21" x14ac:dyDescent="0.3">
      <c r="U9835" s="25"/>
    </row>
    <row r="9857" spans="21:21" x14ac:dyDescent="0.3">
      <c r="U9857" s="25"/>
    </row>
    <row r="9879" spans="21:21" x14ac:dyDescent="0.3">
      <c r="U9879" s="25"/>
    </row>
    <row r="9901" spans="21:21" x14ac:dyDescent="0.3">
      <c r="U9901" s="25"/>
    </row>
    <row r="9923" spans="21:21" x14ac:dyDescent="0.3">
      <c r="U9923" s="25"/>
    </row>
    <row r="9945" spans="21:21" x14ac:dyDescent="0.3">
      <c r="U9945" s="25"/>
    </row>
    <row r="9967" spans="21:21" x14ac:dyDescent="0.3">
      <c r="U9967" s="25"/>
    </row>
    <row r="9989" spans="21:21" x14ac:dyDescent="0.3">
      <c r="U9989" s="25"/>
    </row>
    <row r="10011" spans="21:21" x14ac:dyDescent="0.3">
      <c r="U10011" s="25"/>
    </row>
    <row r="10033" spans="21:21" x14ac:dyDescent="0.3">
      <c r="U10033" s="25"/>
    </row>
    <row r="10055" spans="21:21" x14ac:dyDescent="0.3">
      <c r="U10055" s="25"/>
    </row>
    <row r="10077" spans="21:21" x14ac:dyDescent="0.3">
      <c r="U10077" s="25"/>
    </row>
    <row r="10099" spans="21:21" x14ac:dyDescent="0.3">
      <c r="U10099" s="25"/>
    </row>
    <row r="10121" spans="21:21" x14ac:dyDescent="0.3">
      <c r="U10121" s="25"/>
    </row>
    <row r="10143" spans="21:21" x14ac:dyDescent="0.3">
      <c r="U10143" s="25"/>
    </row>
    <row r="10165" spans="21:21" x14ac:dyDescent="0.3">
      <c r="U10165" s="25"/>
    </row>
    <row r="10187" spans="21:21" x14ac:dyDescent="0.3">
      <c r="U10187" s="25"/>
    </row>
    <row r="10209" spans="21:21" x14ac:dyDescent="0.3">
      <c r="U10209" s="25"/>
    </row>
    <row r="10231" spans="21:21" x14ac:dyDescent="0.3">
      <c r="U10231" s="25"/>
    </row>
    <row r="10253" spans="21:21" x14ac:dyDescent="0.3">
      <c r="U10253" s="25"/>
    </row>
    <row r="10275" spans="21:21" x14ac:dyDescent="0.3">
      <c r="U10275" s="25"/>
    </row>
    <row r="10297" spans="21:21" x14ac:dyDescent="0.3">
      <c r="U10297" s="25"/>
    </row>
    <row r="10319" spans="21:21" x14ac:dyDescent="0.3">
      <c r="U10319" s="25"/>
    </row>
    <row r="10341" spans="21:21" x14ac:dyDescent="0.3">
      <c r="U10341" s="25"/>
    </row>
    <row r="10363" spans="21:21" x14ac:dyDescent="0.3">
      <c r="U10363" s="25"/>
    </row>
    <row r="10385" spans="21:21" x14ac:dyDescent="0.3">
      <c r="U10385" s="25"/>
    </row>
    <row r="10407" spans="21:21" x14ac:dyDescent="0.3">
      <c r="U10407" s="25"/>
    </row>
    <row r="10429" spans="21:21" x14ac:dyDescent="0.3">
      <c r="U10429" s="25"/>
    </row>
    <row r="10451" spans="21:21" x14ac:dyDescent="0.3">
      <c r="U10451" s="25"/>
    </row>
    <row r="10473" spans="21:21" x14ac:dyDescent="0.3">
      <c r="U10473" s="25"/>
    </row>
    <row r="10495" spans="21:21" x14ac:dyDescent="0.3">
      <c r="U10495" s="25"/>
    </row>
    <row r="10517" spans="21:21" x14ac:dyDescent="0.3">
      <c r="U10517" s="25"/>
    </row>
    <row r="10539" spans="21:21" x14ac:dyDescent="0.3">
      <c r="U10539" s="25"/>
    </row>
    <row r="10561" spans="21:21" x14ac:dyDescent="0.3">
      <c r="U10561" s="25"/>
    </row>
    <row r="10583" spans="21:21" x14ac:dyDescent="0.3">
      <c r="U10583" s="25"/>
    </row>
    <row r="10605" spans="21:21" x14ac:dyDescent="0.3">
      <c r="U10605" s="25"/>
    </row>
    <row r="10627" spans="21:21" x14ac:dyDescent="0.3">
      <c r="U10627" s="25"/>
    </row>
    <row r="10649" spans="21:21" x14ac:dyDescent="0.3">
      <c r="U10649" s="25"/>
    </row>
    <row r="10671" spans="21:21" x14ac:dyDescent="0.3">
      <c r="U10671" s="25"/>
    </row>
    <row r="10693" spans="21:21" x14ac:dyDescent="0.3">
      <c r="U10693" s="25"/>
    </row>
    <row r="10715" spans="21:21" x14ac:dyDescent="0.3">
      <c r="U10715" s="25"/>
    </row>
    <row r="10737" spans="21:21" x14ac:dyDescent="0.3">
      <c r="U10737" s="25"/>
    </row>
    <row r="10759" spans="21:21" x14ac:dyDescent="0.3">
      <c r="U10759" s="25"/>
    </row>
    <row r="10781" spans="21:21" x14ac:dyDescent="0.3">
      <c r="U10781" s="25"/>
    </row>
    <row r="10803" spans="21:21" x14ac:dyDescent="0.3">
      <c r="U10803" s="25"/>
    </row>
    <row r="10825" spans="21:21" x14ac:dyDescent="0.3">
      <c r="U10825" s="25"/>
    </row>
    <row r="10847" spans="21:21" x14ac:dyDescent="0.3">
      <c r="U10847" s="25"/>
    </row>
    <row r="10869" spans="21:21" x14ac:dyDescent="0.3">
      <c r="U10869" s="25"/>
    </row>
    <row r="10891" spans="21:21" x14ac:dyDescent="0.3">
      <c r="U10891" s="25"/>
    </row>
    <row r="10913" spans="21:21" x14ac:dyDescent="0.3">
      <c r="U10913" s="25"/>
    </row>
    <row r="10935" spans="21:21" x14ac:dyDescent="0.3">
      <c r="U10935" s="25"/>
    </row>
    <row r="10957" spans="21:21" x14ac:dyDescent="0.3">
      <c r="U10957" s="25"/>
    </row>
    <row r="10979" spans="21:21" x14ac:dyDescent="0.3">
      <c r="U10979" s="25"/>
    </row>
    <row r="11001" spans="21:21" x14ac:dyDescent="0.3">
      <c r="U11001" s="25"/>
    </row>
    <row r="11023" spans="21:21" x14ac:dyDescent="0.3">
      <c r="U11023" s="25"/>
    </row>
    <row r="11045" spans="21:21" x14ac:dyDescent="0.3">
      <c r="U11045" s="25"/>
    </row>
    <row r="11067" spans="21:21" x14ac:dyDescent="0.3">
      <c r="U11067" s="25"/>
    </row>
    <row r="11089" spans="21:21" x14ac:dyDescent="0.3">
      <c r="U11089" s="25"/>
    </row>
    <row r="11111" spans="21:21" x14ac:dyDescent="0.3">
      <c r="U11111" s="25"/>
    </row>
    <row r="11133" spans="21:21" x14ac:dyDescent="0.3">
      <c r="U11133" s="25"/>
    </row>
    <row r="11155" spans="21:21" x14ac:dyDescent="0.3">
      <c r="U11155" s="25"/>
    </row>
    <row r="11177" spans="21:21" x14ac:dyDescent="0.3">
      <c r="U11177" s="25"/>
    </row>
    <row r="11199" spans="21:21" x14ac:dyDescent="0.3">
      <c r="U11199" s="25"/>
    </row>
    <row r="11221" spans="21:21" x14ac:dyDescent="0.3">
      <c r="U11221" s="25"/>
    </row>
    <row r="11243" spans="21:21" x14ac:dyDescent="0.3">
      <c r="U11243" s="25"/>
    </row>
    <row r="11265" spans="21:21" x14ac:dyDescent="0.3">
      <c r="U11265" s="25"/>
    </row>
    <row r="11287" spans="21:21" x14ac:dyDescent="0.3">
      <c r="U11287" s="25"/>
    </row>
    <row r="11309" spans="21:21" x14ac:dyDescent="0.3">
      <c r="U11309" s="25"/>
    </row>
    <row r="11331" spans="21:21" x14ac:dyDescent="0.3">
      <c r="U11331" s="25"/>
    </row>
    <row r="11353" spans="21:21" x14ac:dyDescent="0.3">
      <c r="U11353" s="25"/>
    </row>
    <row r="11375" spans="21:21" x14ac:dyDescent="0.3">
      <c r="U11375" s="25"/>
    </row>
    <row r="11397" spans="21:21" x14ac:dyDescent="0.3">
      <c r="U11397" s="25"/>
    </row>
    <row r="11419" spans="21:21" x14ac:dyDescent="0.3">
      <c r="U11419" s="25"/>
    </row>
    <row r="11441" spans="21:21" x14ac:dyDescent="0.3">
      <c r="U11441" s="25"/>
    </row>
    <row r="11463" spans="21:21" x14ac:dyDescent="0.3">
      <c r="U11463" s="25"/>
    </row>
    <row r="11485" spans="21:21" x14ac:dyDescent="0.3">
      <c r="U11485" s="25"/>
    </row>
    <row r="11507" spans="21:21" x14ac:dyDescent="0.3">
      <c r="U11507" s="25"/>
    </row>
    <row r="11529" spans="21:21" x14ac:dyDescent="0.3">
      <c r="U11529" s="25"/>
    </row>
    <row r="11551" spans="21:21" x14ac:dyDescent="0.3">
      <c r="U11551" s="25"/>
    </row>
    <row r="11573" spans="21:21" x14ac:dyDescent="0.3">
      <c r="U11573" s="25"/>
    </row>
    <row r="11595" spans="21:21" x14ac:dyDescent="0.3">
      <c r="U11595" s="25"/>
    </row>
    <row r="11617" spans="21:21" x14ac:dyDescent="0.3">
      <c r="U11617" s="25"/>
    </row>
    <row r="11639" spans="21:21" x14ac:dyDescent="0.3">
      <c r="U11639" s="25"/>
    </row>
    <row r="11661" spans="21:21" x14ac:dyDescent="0.3">
      <c r="U11661" s="25"/>
    </row>
    <row r="11683" spans="21:21" x14ac:dyDescent="0.3">
      <c r="U11683" s="25"/>
    </row>
    <row r="11705" spans="21:21" x14ac:dyDescent="0.3">
      <c r="U11705" s="25"/>
    </row>
    <row r="11727" spans="21:21" x14ac:dyDescent="0.3">
      <c r="U11727" s="25"/>
    </row>
    <row r="11749" spans="21:21" x14ac:dyDescent="0.3">
      <c r="U11749" s="25"/>
    </row>
    <row r="11771" spans="21:21" x14ac:dyDescent="0.3">
      <c r="U11771" s="25"/>
    </row>
    <row r="11793" spans="21:21" x14ac:dyDescent="0.3">
      <c r="U11793" s="25"/>
    </row>
    <row r="11815" spans="21:21" x14ac:dyDescent="0.3">
      <c r="U11815" s="25"/>
    </row>
    <row r="11837" spans="21:21" x14ac:dyDescent="0.3">
      <c r="U11837" s="25"/>
    </row>
    <row r="11859" spans="21:21" x14ac:dyDescent="0.3">
      <c r="U11859" s="25"/>
    </row>
    <row r="11881" spans="21:21" x14ac:dyDescent="0.3">
      <c r="U11881" s="25"/>
    </row>
    <row r="11903" spans="21:21" x14ac:dyDescent="0.3">
      <c r="U11903" s="25"/>
    </row>
    <row r="11925" spans="21:21" x14ac:dyDescent="0.3">
      <c r="U11925" s="25"/>
    </row>
    <row r="11947" spans="21:21" x14ac:dyDescent="0.3">
      <c r="U11947" s="25"/>
    </row>
    <row r="11969" spans="21:21" x14ac:dyDescent="0.3">
      <c r="U11969" s="25"/>
    </row>
    <row r="11991" spans="21:21" x14ac:dyDescent="0.3">
      <c r="U11991" s="25"/>
    </row>
    <row r="12013" spans="21:21" x14ac:dyDescent="0.3">
      <c r="U12013" s="25"/>
    </row>
    <row r="12035" spans="21:21" x14ac:dyDescent="0.3">
      <c r="U12035" s="25"/>
    </row>
    <row r="12057" spans="21:21" x14ac:dyDescent="0.3">
      <c r="U12057" s="25"/>
    </row>
    <row r="12079" spans="21:21" x14ac:dyDescent="0.3">
      <c r="U12079" s="25"/>
    </row>
    <row r="12101" spans="21:21" x14ac:dyDescent="0.3">
      <c r="U12101" s="25"/>
    </row>
    <row r="12123" spans="21:21" x14ac:dyDescent="0.3">
      <c r="U12123" s="25"/>
    </row>
    <row r="12145" spans="21:21" x14ac:dyDescent="0.3">
      <c r="U12145" s="25"/>
    </row>
    <row r="12167" spans="21:21" x14ac:dyDescent="0.3">
      <c r="U12167" s="25"/>
    </row>
    <row r="12189" spans="21:21" x14ac:dyDescent="0.3">
      <c r="U12189" s="25"/>
    </row>
    <row r="12211" spans="21:21" x14ac:dyDescent="0.3">
      <c r="U12211" s="25"/>
    </row>
    <row r="12233" spans="21:21" x14ac:dyDescent="0.3">
      <c r="U12233" s="25"/>
    </row>
    <row r="12255" spans="21:21" x14ac:dyDescent="0.3">
      <c r="U12255" s="25"/>
    </row>
    <row r="12277" spans="21:21" x14ac:dyDescent="0.3">
      <c r="U12277" s="25"/>
    </row>
    <row r="12299" spans="21:21" x14ac:dyDescent="0.3">
      <c r="U12299" s="25"/>
    </row>
    <row r="12321" spans="21:21" x14ac:dyDescent="0.3">
      <c r="U12321" s="25"/>
    </row>
    <row r="12343" spans="21:21" x14ac:dyDescent="0.3">
      <c r="U12343" s="25"/>
    </row>
    <row r="12365" spans="21:21" x14ac:dyDescent="0.3">
      <c r="U12365" s="25"/>
    </row>
    <row r="12387" spans="21:21" x14ac:dyDescent="0.3">
      <c r="U12387" s="25"/>
    </row>
    <row r="12409" spans="21:21" x14ac:dyDescent="0.3">
      <c r="U12409" s="25"/>
    </row>
    <row r="12431" spans="21:21" x14ac:dyDescent="0.3">
      <c r="U12431" s="25"/>
    </row>
    <row r="12453" spans="21:21" x14ac:dyDescent="0.3">
      <c r="U12453" s="25"/>
    </row>
    <row r="12475" spans="21:21" x14ac:dyDescent="0.3">
      <c r="U12475" s="25"/>
    </row>
    <row r="12497" spans="21:21" x14ac:dyDescent="0.3">
      <c r="U12497" s="25"/>
    </row>
    <row r="12519" spans="21:21" x14ac:dyDescent="0.3">
      <c r="U12519" s="25"/>
    </row>
    <row r="12541" spans="21:21" x14ac:dyDescent="0.3">
      <c r="U12541" s="25"/>
    </row>
    <row r="12563" spans="21:21" x14ac:dyDescent="0.3">
      <c r="U12563" s="25"/>
    </row>
    <row r="12585" spans="21:21" x14ac:dyDescent="0.3">
      <c r="U12585" s="25"/>
    </row>
    <row r="12607" spans="21:21" x14ac:dyDescent="0.3">
      <c r="U12607" s="25"/>
    </row>
    <row r="12629" spans="21:21" x14ac:dyDescent="0.3">
      <c r="U12629" s="25"/>
    </row>
    <row r="12651" spans="21:21" x14ac:dyDescent="0.3">
      <c r="U12651" s="25"/>
    </row>
    <row r="12673" spans="21:21" x14ac:dyDescent="0.3">
      <c r="U12673" s="25"/>
    </row>
    <row r="12695" spans="21:21" x14ac:dyDescent="0.3">
      <c r="U12695" s="25"/>
    </row>
    <row r="12717" spans="21:21" x14ac:dyDescent="0.3">
      <c r="U12717" s="25"/>
    </row>
    <row r="12739" spans="21:21" x14ac:dyDescent="0.3">
      <c r="U12739" s="25"/>
    </row>
    <row r="12761" spans="21:21" x14ac:dyDescent="0.3">
      <c r="U12761" s="25"/>
    </row>
    <row r="12783" spans="21:21" x14ac:dyDescent="0.3">
      <c r="U12783" s="25"/>
    </row>
    <row r="12805" spans="21:21" x14ac:dyDescent="0.3">
      <c r="U12805" s="25"/>
    </row>
    <row r="12827" spans="21:21" x14ac:dyDescent="0.3">
      <c r="U12827" s="25"/>
    </row>
    <row r="12849" spans="21:21" x14ac:dyDescent="0.3">
      <c r="U12849" s="25"/>
    </row>
    <row r="12871" spans="21:21" x14ac:dyDescent="0.3">
      <c r="U12871" s="25"/>
    </row>
    <row r="12893" spans="21:21" x14ac:dyDescent="0.3">
      <c r="U12893" s="25"/>
    </row>
    <row r="12915" spans="21:21" x14ac:dyDescent="0.3">
      <c r="U12915" s="25"/>
    </row>
    <row r="12937" spans="21:21" x14ac:dyDescent="0.3">
      <c r="U12937" s="25"/>
    </row>
    <row r="12959" spans="21:21" x14ac:dyDescent="0.3">
      <c r="U12959" s="25"/>
    </row>
    <row r="12981" spans="21:21" x14ac:dyDescent="0.3">
      <c r="U12981" s="25"/>
    </row>
    <row r="13003" spans="21:21" x14ac:dyDescent="0.3">
      <c r="U13003" s="25"/>
    </row>
    <row r="13025" spans="21:21" x14ac:dyDescent="0.3">
      <c r="U13025" s="25"/>
    </row>
    <row r="13047" spans="21:21" x14ac:dyDescent="0.3">
      <c r="U13047" s="25"/>
    </row>
    <row r="13069" spans="21:21" x14ac:dyDescent="0.3">
      <c r="U13069" s="25"/>
    </row>
    <row r="13091" spans="21:21" x14ac:dyDescent="0.3">
      <c r="U13091" s="25"/>
    </row>
    <row r="13113" spans="21:21" x14ac:dyDescent="0.3">
      <c r="U13113" s="25"/>
    </row>
    <row r="13135" spans="21:21" x14ac:dyDescent="0.3">
      <c r="U13135" s="25"/>
    </row>
    <row r="13157" spans="21:21" x14ac:dyDescent="0.3">
      <c r="U13157" s="25"/>
    </row>
    <row r="13179" spans="21:21" x14ac:dyDescent="0.3">
      <c r="U13179" s="25"/>
    </row>
    <row r="13201" spans="21:21" x14ac:dyDescent="0.3">
      <c r="U13201" s="25"/>
    </row>
    <row r="13223" spans="21:21" x14ac:dyDescent="0.3">
      <c r="U13223" s="25"/>
    </row>
    <row r="13245" spans="21:21" x14ac:dyDescent="0.3">
      <c r="U13245" s="25"/>
    </row>
    <row r="13267" spans="21:21" x14ac:dyDescent="0.3">
      <c r="U13267" s="25"/>
    </row>
    <row r="13289" spans="21:21" x14ac:dyDescent="0.3">
      <c r="U13289" s="25"/>
    </row>
    <row r="13311" spans="21:21" x14ac:dyDescent="0.3">
      <c r="U13311" s="25"/>
    </row>
    <row r="13333" spans="21:21" x14ac:dyDescent="0.3">
      <c r="U13333" s="25"/>
    </row>
    <row r="13355" spans="21:21" x14ac:dyDescent="0.3">
      <c r="U13355" s="25"/>
    </row>
    <row r="13377" spans="21:21" x14ac:dyDescent="0.3">
      <c r="U13377" s="25"/>
    </row>
    <row r="13399" spans="21:21" x14ac:dyDescent="0.3">
      <c r="U13399" s="25"/>
    </row>
    <row r="13421" spans="21:21" x14ac:dyDescent="0.3">
      <c r="U13421" s="25"/>
    </row>
    <row r="13443" spans="21:21" x14ac:dyDescent="0.3">
      <c r="U13443" s="25"/>
    </row>
    <row r="13465" spans="21:21" x14ac:dyDescent="0.3">
      <c r="U13465" s="25"/>
    </row>
    <row r="13487" spans="21:21" x14ac:dyDescent="0.3">
      <c r="U13487" s="25"/>
    </row>
    <row r="13509" spans="21:21" x14ac:dyDescent="0.3">
      <c r="U13509" s="25"/>
    </row>
    <row r="13531" spans="21:21" x14ac:dyDescent="0.3">
      <c r="U13531" s="25"/>
    </row>
    <row r="13553" spans="21:21" x14ac:dyDescent="0.3">
      <c r="U13553" s="25"/>
    </row>
    <row r="13575" spans="21:21" x14ac:dyDescent="0.3">
      <c r="U13575" s="25"/>
    </row>
    <row r="13597" spans="21:21" x14ac:dyDescent="0.3">
      <c r="U13597" s="25"/>
    </row>
    <row r="13619" spans="21:21" x14ac:dyDescent="0.3">
      <c r="U13619" s="25"/>
    </row>
    <row r="13641" spans="21:21" x14ac:dyDescent="0.3">
      <c r="U13641" s="25"/>
    </row>
    <row r="13663" spans="21:21" x14ac:dyDescent="0.3">
      <c r="U13663" s="25"/>
    </row>
    <row r="13685" spans="21:21" x14ac:dyDescent="0.3">
      <c r="U13685" s="25"/>
    </row>
    <row r="13707" spans="21:21" x14ac:dyDescent="0.3">
      <c r="U13707" s="25"/>
    </row>
    <row r="13729" spans="21:21" x14ac:dyDescent="0.3">
      <c r="U13729" s="25"/>
    </row>
    <row r="13751" spans="21:21" x14ac:dyDescent="0.3">
      <c r="U13751" s="25"/>
    </row>
    <row r="13773" spans="21:21" x14ac:dyDescent="0.3">
      <c r="U13773" s="25"/>
    </row>
    <row r="13795" spans="21:21" x14ac:dyDescent="0.3">
      <c r="U13795" s="25"/>
    </row>
    <row r="13817" spans="21:21" x14ac:dyDescent="0.3">
      <c r="U13817" s="25"/>
    </row>
    <row r="13839" spans="21:21" x14ac:dyDescent="0.3">
      <c r="U13839" s="25"/>
    </row>
    <row r="13861" spans="21:21" x14ac:dyDescent="0.3">
      <c r="U13861" s="25"/>
    </row>
    <row r="13883" spans="21:21" x14ac:dyDescent="0.3">
      <c r="U13883" s="25"/>
    </row>
    <row r="13905" spans="21:21" x14ac:dyDescent="0.3">
      <c r="U13905" s="25"/>
    </row>
    <row r="13927" spans="21:21" x14ac:dyDescent="0.3">
      <c r="U13927" s="25"/>
    </row>
    <row r="13949" spans="21:21" x14ac:dyDescent="0.3">
      <c r="U13949" s="25"/>
    </row>
    <row r="13971" spans="21:21" x14ac:dyDescent="0.3">
      <c r="U13971" s="25"/>
    </row>
    <row r="13993" spans="21:21" x14ac:dyDescent="0.3">
      <c r="U13993" s="25"/>
    </row>
    <row r="14015" spans="21:21" x14ac:dyDescent="0.3">
      <c r="U14015" s="25"/>
    </row>
    <row r="14037" spans="21:21" x14ac:dyDescent="0.3">
      <c r="U14037" s="25"/>
    </row>
    <row r="14059" spans="21:21" x14ac:dyDescent="0.3">
      <c r="U14059" s="25"/>
    </row>
    <row r="14081" spans="21:21" x14ac:dyDescent="0.3">
      <c r="U14081" s="25"/>
    </row>
    <row r="14103" spans="21:21" x14ac:dyDescent="0.3">
      <c r="U14103" s="25"/>
    </row>
    <row r="14125" spans="21:21" x14ac:dyDescent="0.3">
      <c r="U14125" s="25"/>
    </row>
    <row r="14147" spans="21:21" x14ac:dyDescent="0.3">
      <c r="U14147" s="25"/>
    </row>
    <row r="14169" spans="21:21" x14ac:dyDescent="0.3">
      <c r="U14169" s="25"/>
    </row>
    <row r="14191" spans="21:21" x14ac:dyDescent="0.3">
      <c r="U14191" s="25"/>
    </row>
    <row r="14213" spans="21:21" x14ac:dyDescent="0.3">
      <c r="U14213" s="25"/>
    </row>
    <row r="14235" spans="21:21" x14ac:dyDescent="0.3">
      <c r="U14235" s="25"/>
    </row>
    <row r="14257" spans="21:21" x14ac:dyDescent="0.3">
      <c r="U14257" s="25"/>
    </row>
    <row r="14279" spans="21:21" x14ac:dyDescent="0.3">
      <c r="U14279" s="25"/>
    </row>
    <row r="14301" spans="21:21" x14ac:dyDescent="0.3">
      <c r="U14301" s="25"/>
    </row>
    <row r="14323" spans="21:21" x14ac:dyDescent="0.3">
      <c r="U14323" s="25"/>
    </row>
    <row r="14345" spans="21:21" x14ac:dyDescent="0.3">
      <c r="U14345" s="25"/>
    </row>
    <row r="14367" spans="21:21" x14ac:dyDescent="0.3">
      <c r="U14367" s="25"/>
    </row>
    <row r="14389" spans="21:21" x14ac:dyDescent="0.3">
      <c r="U14389" s="25"/>
    </row>
    <row r="14411" spans="21:21" x14ac:dyDescent="0.3">
      <c r="U14411" s="25"/>
    </row>
    <row r="14433" spans="21:21" x14ac:dyDescent="0.3">
      <c r="U14433" s="25"/>
    </row>
    <row r="14455" spans="21:21" x14ac:dyDescent="0.3">
      <c r="U14455" s="25"/>
    </row>
    <row r="14477" spans="21:21" x14ac:dyDescent="0.3">
      <c r="U14477" s="25"/>
    </row>
    <row r="14499" spans="21:21" x14ac:dyDescent="0.3">
      <c r="U14499" s="25"/>
    </row>
    <row r="14521" spans="21:21" x14ac:dyDescent="0.3">
      <c r="U14521" s="25"/>
    </row>
    <row r="14543" spans="21:21" x14ac:dyDescent="0.3">
      <c r="U14543" s="25"/>
    </row>
    <row r="14565" spans="21:21" x14ac:dyDescent="0.3">
      <c r="U14565" s="25"/>
    </row>
    <row r="14587" spans="21:21" x14ac:dyDescent="0.3">
      <c r="U14587" s="25"/>
    </row>
    <row r="14609" spans="21:21" x14ac:dyDescent="0.3">
      <c r="U14609" s="25"/>
    </row>
    <row r="14631" spans="21:21" x14ac:dyDescent="0.3">
      <c r="U14631" s="25"/>
    </row>
    <row r="14653" spans="21:21" x14ac:dyDescent="0.3">
      <c r="U14653" s="25"/>
    </row>
    <row r="14675" spans="21:21" x14ac:dyDescent="0.3">
      <c r="U14675" s="25"/>
    </row>
    <row r="14697" spans="21:21" x14ac:dyDescent="0.3">
      <c r="U14697" s="25"/>
    </row>
    <row r="14719" spans="21:21" x14ac:dyDescent="0.3">
      <c r="U14719" s="25"/>
    </row>
    <row r="14741" spans="21:21" x14ac:dyDescent="0.3">
      <c r="U14741" s="25"/>
    </row>
    <row r="14763" spans="21:21" x14ac:dyDescent="0.3">
      <c r="U14763" s="25"/>
    </row>
    <row r="14785" spans="21:21" x14ac:dyDescent="0.3">
      <c r="U14785" s="25"/>
    </row>
    <row r="14807" spans="21:21" x14ac:dyDescent="0.3">
      <c r="U14807" s="25"/>
    </row>
    <row r="14829" spans="21:21" x14ac:dyDescent="0.3">
      <c r="U14829" s="25"/>
    </row>
    <row r="14851" spans="21:21" x14ac:dyDescent="0.3">
      <c r="U14851" s="25"/>
    </row>
    <row r="14873" spans="21:21" x14ac:dyDescent="0.3">
      <c r="U14873" s="25"/>
    </row>
    <row r="14895" spans="21:21" x14ac:dyDescent="0.3">
      <c r="U14895" s="25"/>
    </row>
    <row r="14917" spans="21:21" x14ac:dyDescent="0.3">
      <c r="U14917" s="25"/>
    </row>
    <row r="14939" spans="21:21" x14ac:dyDescent="0.3">
      <c r="U14939" s="25"/>
    </row>
    <row r="14961" spans="21:21" x14ac:dyDescent="0.3">
      <c r="U14961" s="25"/>
    </row>
    <row r="14983" spans="21:21" x14ac:dyDescent="0.3">
      <c r="U14983" s="25"/>
    </row>
    <row r="15005" spans="21:21" x14ac:dyDescent="0.3">
      <c r="U15005" s="25"/>
    </row>
    <row r="15027" spans="21:21" x14ac:dyDescent="0.3">
      <c r="U15027" s="25"/>
    </row>
    <row r="15049" spans="21:21" x14ac:dyDescent="0.3">
      <c r="U15049" s="25"/>
    </row>
    <row r="15071" spans="21:21" x14ac:dyDescent="0.3">
      <c r="U15071" s="25"/>
    </row>
    <row r="15093" spans="21:21" x14ac:dyDescent="0.3">
      <c r="U15093" s="25"/>
    </row>
    <row r="15115" spans="21:21" x14ac:dyDescent="0.3">
      <c r="U15115" s="25"/>
    </row>
    <row r="15137" spans="21:21" x14ac:dyDescent="0.3">
      <c r="U15137" s="25"/>
    </row>
    <row r="15159" spans="21:21" x14ac:dyDescent="0.3">
      <c r="U15159" s="25"/>
    </row>
    <row r="15181" spans="21:21" x14ac:dyDescent="0.3">
      <c r="U15181" s="25"/>
    </row>
    <row r="15203" spans="21:21" x14ac:dyDescent="0.3">
      <c r="U15203" s="25"/>
    </row>
    <row r="15225" spans="21:21" x14ac:dyDescent="0.3">
      <c r="U15225" s="25"/>
    </row>
    <row r="15247" spans="21:21" x14ac:dyDescent="0.3">
      <c r="U15247" s="25"/>
    </row>
    <row r="15269" spans="21:21" x14ac:dyDescent="0.3">
      <c r="U15269" s="25"/>
    </row>
    <row r="15291" spans="21:21" x14ac:dyDescent="0.3">
      <c r="U15291" s="25"/>
    </row>
    <row r="15313" spans="21:21" x14ac:dyDescent="0.3">
      <c r="U15313" s="25"/>
    </row>
    <row r="15335" spans="21:21" x14ac:dyDescent="0.3">
      <c r="U15335" s="25"/>
    </row>
    <row r="15357" spans="21:21" x14ac:dyDescent="0.3">
      <c r="U15357" s="25"/>
    </row>
    <row r="15379" spans="21:21" x14ac:dyDescent="0.3">
      <c r="U15379" s="25"/>
    </row>
    <row r="15401" spans="21:21" x14ac:dyDescent="0.3">
      <c r="U15401" s="25"/>
    </row>
    <row r="15423" spans="21:21" x14ac:dyDescent="0.3">
      <c r="U15423" s="25"/>
    </row>
    <row r="15445" spans="21:21" x14ac:dyDescent="0.3">
      <c r="U15445" s="25"/>
    </row>
    <row r="15467" spans="21:21" x14ac:dyDescent="0.3">
      <c r="U15467" s="25"/>
    </row>
    <row r="15489" spans="21:21" x14ac:dyDescent="0.3">
      <c r="U15489" s="25"/>
    </row>
    <row r="15511" spans="21:21" x14ac:dyDescent="0.3">
      <c r="U15511" s="25"/>
    </row>
    <row r="15533" spans="21:21" x14ac:dyDescent="0.3">
      <c r="U15533" s="25"/>
    </row>
    <row r="15555" spans="21:21" x14ac:dyDescent="0.3">
      <c r="U15555" s="25"/>
    </row>
    <row r="15577" spans="21:21" x14ac:dyDescent="0.3">
      <c r="U15577" s="25"/>
    </row>
    <row r="15599" spans="21:21" x14ac:dyDescent="0.3">
      <c r="U15599" s="25"/>
    </row>
    <row r="15621" spans="21:21" x14ac:dyDescent="0.3">
      <c r="U15621" s="25"/>
    </row>
    <row r="15643" spans="21:21" x14ac:dyDescent="0.3">
      <c r="U15643" s="25"/>
    </row>
    <row r="15665" spans="21:21" x14ac:dyDescent="0.3">
      <c r="U15665" s="25"/>
    </row>
    <row r="15687" spans="21:21" x14ac:dyDescent="0.3">
      <c r="U15687" s="25"/>
    </row>
    <row r="15709" spans="21:21" x14ac:dyDescent="0.3">
      <c r="U15709" s="25"/>
    </row>
    <row r="15731" spans="21:21" x14ac:dyDescent="0.3">
      <c r="U15731" s="25"/>
    </row>
    <row r="15753" spans="21:21" x14ac:dyDescent="0.3">
      <c r="U15753" s="25"/>
    </row>
    <row r="15775" spans="21:21" x14ac:dyDescent="0.3">
      <c r="U15775" s="25"/>
    </row>
    <row r="15797" spans="21:21" x14ac:dyDescent="0.3">
      <c r="U15797" s="25"/>
    </row>
    <row r="15819" spans="21:21" x14ac:dyDescent="0.3">
      <c r="U15819" s="25"/>
    </row>
    <row r="15841" spans="21:21" x14ac:dyDescent="0.3">
      <c r="U15841" s="25"/>
    </row>
    <row r="15863" spans="21:21" x14ac:dyDescent="0.3">
      <c r="U15863" s="25"/>
    </row>
    <row r="15885" spans="21:21" x14ac:dyDescent="0.3">
      <c r="U15885" s="25"/>
    </row>
    <row r="15907" spans="21:21" x14ac:dyDescent="0.3">
      <c r="U15907" s="25"/>
    </row>
    <row r="15929" spans="21:21" x14ac:dyDescent="0.3">
      <c r="U15929" s="25"/>
    </row>
    <row r="15951" spans="21:21" x14ac:dyDescent="0.3">
      <c r="U15951" s="25"/>
    </row>
    <row r="15973" spans="21:21" x14ac:dyDescent="0.3">
      <c r="U15973" s="25"/>
    </row>
    <row r="15995" spans="21:21" x14ac:dyDescent="0.3">
      <c r="U15995" s="25"/>
    </row>
    <row r="16017" spans="21:21" x14ac:dyDescent="0.3">
      <c r="U16017" s="25"/>
    </row>
    <row r="16039" spans="21:21" x14ac:dyDescent="0.3">
      <c r="U16039" s="25"/>
    </row>
    <row r="16061" spans="21:21" x14ac:dyDescent="0.3">
      <c r="U16061" s="25"/>
    </row>
    <row r="16083" spans="21:21" x14ac:dyDescent="0.3">
      <c r="U16083" s="25"/>
    </row>
    <row r="16105" spans="21:21" x14ac:dyDescent="0.3">
      <c r="U16105" s="25"/>
    </row>
    <row r="16127" spans="21:21" x14ac:dyDescent="0.3">
      <c r="U16127" s="25"/>
    </row>
    <row r="16149" spans="21:21" x14ac:dyDescent="0.3">
      <c r="U16149" s="25"/>
    </row>
    <row r="16171" spans="21:21" x14ac:dyDescent="0.3">
      <c r="U16171" s="25"/>
    </row>
    <row r="16193" spans="21:21" x14ac:dyDescent="0.3">
      <c r="U16193" s="25"/>
    </row>
    <row r="16215" spans="21:21" x14ac:dyDescent="0.3">
      <c r="U16215" s="25"/>
    </row>
    <row r="16237" spans="21:21" x14ac:dyDescent="0.3">
      <c r="U16237" s="25"/>
    </row>
    <row r="16259" spans="21:21" x14ac:dyDescent="0.3">
      <c r="U16259" s="25"/>
    </row>
    <row r="16281" spans="21:21" x14ac:dyDescent="0.3">
      <c r="U16281" s="25"/>
    </row>
    <row r="16303" spans="21:21" x14ac:dyDescent="0.3">
      <c r="U16303" s="25"/>
    </row>
    <row r="16325" spans="21:21" x14ac:dyDescent="0.3">
      <c r="U16325" s="25"/>
    </row>
    <row r="16347" spans="21:21" x14ac:dyDescent="0.3">
      <c r="U16347" s="25"/>
    </row>
    <row r="16369" spans="21:21" x14ac:dyDescent="0.3">
      <c r="U16369" s="25"/>
    </row>
    <row r="16391" spans="21:21" x14ac:dyDescent="0.3">
      <c r="U16391" s="25"/>
    </row>
    <row r="16413" spans="21:21" x14ac:dyDescent="0.3">
      <c r="U16413" s="25"/>
    </row>
    <row r="16435" spans="21:21" x14ac:dyDescent="0.3">
      <c r="U16435" s="25"/>
    </row>
    <row r="16457" spans="21:21" x14ac:dyDescent="0.3">
      <c r="U16457" s="25"/>
    </row>
    <row r="16479" spans="21:21" x14ac:dyDescent="0.3">
      <c r="U16479" s="25"/>
    </row>
    <row r="16501" spans="21:21" x14ac:dyDescent="0.3">
      <c r="U16501" s="25"/>
    </row>
    <row r="16523" spans="21:21" x14ac:dyDescent="0.3">
      <c r="U16523" s="25"/>
    </row>
    <row r="16545" spans="21:21" x14ac:dyDescent="0.3">
      <c r="U16545" s="25"/>
    </row>
    <row r="16567" spans="21:21" x14ac:dyDescent="0.3">
      <c r="U16567" s="25"/>
    </row>
    <row r="16589" spans="21:21" x14ac:dyDescent="0.3">
      <c r="U16589" s="25"/>
    </row>
    <row r="16611" spans="21:21" x14ac:dyDescent="0.3">
      <c r="U16611" s="25"/>
    </row>
    <row r="16633" spans="21:21" x14ac:dyDescent="0.3">
      <c r="U16633" s="25"/>
    </row>
    <row r="16655" spans="21:21" x14ac:dyDescent="0.3">
      <c r="U16655" s="25"/>
    </row>
    <row r="16677" spans="21:21" x14ac:dyDescent="0.3">
      <c r="U16677" s="25"/>
    </row>
    <row r="16699" spans="21:21" x14ac:dyDescent="0.3">
      <c r="U16699" s="25"/>
    </row>
    <row r="16721" spans="21:21" x14ac:dyDescent="0.3">
      <c r="U16721" s="25"/>
    </row>
    <row r="16743" spans="21:21" x14ac:dyDescent="0.3">
      <c r="U16743" s="25"/>
    </row>
    <row r="16765" spans="21:21" x14ac:dyDescent="0.3">
      <c r="U16765" s="25"/>
    </row>
    <row r="16787" spans="21:21" x14ac:dyDescent="0.3">
      <c r="U16787" s="25"/>
    </row>
    <row r="16809" spans="21:21" x14ac:dyDescent="0.3">
      <c r="U16809" s="25"/>
    </row>
    <row r="16831" spans="21:21" x14ac:dyDescent="0.3">
      <c r="U16831" s="25"/>
    </row>
    <row r="16853" spans="21:21" x14ac:dyDescent="0.3">
      <c r="U16853" s="25"/>
    </row>
    <row r="16875" spans="21:21" x14ac:dyDescent="0.3">
      <c r="U16875" s="25"/>
    </row>
    <row r="16897" spans="21:21" x14ac:dyDescent="0.3">
      <c r="U16897" s="25"/>
    </row>
    <row r="16919" spans="21:21" x14ac:dyDescent="0.3">
      <c r="U16919" s="25"/>
    </row>
    <row r="16941" spans="21:21" x14ac:dyDescent="0.3">
      <c r="U16941" s="25"/>
    </row>
    <row r="16963" spans="21:21" x14ac:dyDescent="0.3">
      <c r="U16963" s="25"/>
    </row>
    <row r="16985" spans="21:21" x14ac:dyDescent="0.3">
      <c r="U16985" s="25"/>
    </row>
    <row r="17007" spans="21:21" x14ac:dyDescent="0.3">
      <c r="U17007" s="25"/>
    </row>
    <row r="17029" spans="21:21" x14ac:dyDescent="0.3">
      <c r="U17029" s="25"/>
    </row>
    <row r="17051" spans="21:21" x14ac:dyDescent="0.3">
      <c r="U17051" s="25"/>
    </row>
    <row r="17073" spans="21:21" x14ac:dyDescent="0.3">
      <c r="U17073" s="25"/>
    </row>
    <row r="17095" spans="21:21" x14ac:dyDescent="0.3">
      <c r="U17095" s="25"/>
    </row>
    <row r="17117" spans="21:21" x14ac:dyDescent="0.3">
      <c r="U17117" s="25"/>
    </row>
    <row r="17139" spans="21:21" x14ac:dyDescent="0.3">
      <c r="U17139" s="25"/>
    </row>
    <row r="17161" spans="21:21" x14ac:dyDescent="0.3">
      <c r="U17161" s="25"/>
    </row>
    <row r="17183" spans="21:21" x14ac:dyDescent="0.3">
      <c r="U17183" s="25"/>
    </row>
    <row r="17205" spans="21:21" x14ac:dyDescent="0.3">
      <c r="U17205" s="25"/>
    </row>
    <row r="17227" spans="21:21" x14ac:dyDescent="0.3">
      <c r="U17227" s="25"/>
    </row>
    <row r="17249" spans="21:21" x14ac:dyDescent="0.3">
      <c r="U17249" s="25"/>
    </row>
    <row r="17271" spans="21:21" x14ac:dyDescent="0.3">
      <c r="U17271" s="25"/>
    </row>
    <row r="17293" spans="21:21" x14ac:dyDescent="0.3">
      <c r="U17293" s="25"/>
    </row>
    <row r="17315" spans="21:21" x14ac:dyDescent="0.3">
      <c r="U17315" s="25"/>
    </row>
    <row r="17337" spans="21:21" x14ac:dyDescent="0.3">
      <c r="U17337" s="25"/>
    </row>
    <row r="17359" spans="21:21" x14ac:dyDescent="0.3">
      <c r="U17359" s="25"/>
    </row>
    <row r="17381" spans="21:21" x14ac:dyDescent="0.3">
      <c r="U17381" s="25"/>
    </row>
    <row r="17403" spans="21:21" x14ac:dyDescent="0.3">
      <c r="U17403" s="25"/>
    </row>
    <row r="17425" spans="21:21" x14ac:dyDescent="0.3">
      <c r="U17425" s="25"/>
    </row>
    <row r="17447" spans="21:21" x14ac:dyDescent="0.3">
      <c r="U17447" s="25"/>
    </row>
    <row r="17469" spans="21:21" x14ac:dyDescent="0.3">
      <c r="U17469" s="25"/>
    </row>
    <row r="17491" spans="21:21" x14ac:dyDescent="0.3">
      <c r="U17491" s="25"/>
    </row>
    <row r="17513" spans="21:21" x14ac:dyDescent="0.3">
      <c r="U17513" s="25"/>
    </row>
    <row r="17535" spans="21:21" x14ac:dyDescent="0.3">
      <c r="U17535" s="25"/>
    </row>
    <row r="17557" spans="21:21" x14ac:dyDescent="0.3">
      <c r="U17557" s="25"/>
    </row>
    <row r="17579" spans="21:21" x14ac:dyDescent="0.3">
      <c r="U17579" s="25"/>
    </row>
    <row r="17601" spans="21:21" x14ac:dyDescent="0.3">
      <c r="U17601" s="25"/>
    </row>
    <row r="17623" spans="21:21" x14ac:dyDescent="0.3">
      <c r="U17623" s="25"/>
    </row>
    <row r="17645" spans="21:21" x14ac:dyDescent="0.3">
      <c r="U17645" s="25"/>
    </row>
    <row r="17667" spans="21:21" x14ac:dyDescent="0.3">
      <c r="U17667" s="25"/>
    </row>
    <row r="17689" spans="21:21" x14ac:dyDescent="0.3">
      <c r="U17689" s="25"/>
    </row>
    <row r="17711" spans="21:21" x14ac:dyDescent="0.3">
      <c r="U17711" s="25"/>
    </row>
    <row r="17733" spans="21:21" x14ac:dyDescent="0.3">
      <c r="U17733" s="25"/>
    </row>
    <row r="17755" spans="21:21" x14ac:dyDescent="0.3">
      <c r="U17755" s="25"/>
    </row>
    <row r="17777" spans="21:21" x14ac:dyDescent="0.3">
      <c r="U17777" s="25"/>
    </row>
    <row r="17799" spans="21:21" x14ac:dyDescent="0.3">
      <c r="U17799" s="25"/>
    </row>
    <row r="17821" spans="21:21" x14ac:dyDescent="0.3">
      <c r="U17821" s="25"/>
    </row>
    <row r="17843" spans="21:21" x14ac:dyDescent="0.3">
      <c r="U17843" s="25"/>
    </row>
    <row r="17865" spans="21:21" x14ac:dyDescent="0.3">
      <c r="U17865" s="25"/>
    </row>
    <row r="17887" spans="21:21" x14ac:dyDescent="0.3">
      <c r="U17887" s="25"/>
    </row>
    <row r="17909" spans="21:21" x14ac:dyDescent="0.3">
      <c r="U17909" s="25"/>
    </row>
    <row r="17931" spans="21:21" x14ac:dyDescent="0.3">
      <c r="U17931" s="25"/>
    </row>
    <row r="17953" spans="21:21" x14ac:dyDescent="0.3">
      <c r="U17953" s="25"/>
    </row>
    <row r="17975" spans="21:21" x14ac:dyDescent="0.3">
      <c r="U17975" s="25"/>
    </row>
    <row r="17997" spans="21:21" x14ac:dyDescent="0.3">
      <c r="U17997" s="25"/>
    </row>
    <row r="18019" spans="21:21" x14ac:dyDescent="0.3">
      <c r="U18019" s="25"/>
    </row>
    <row r="18041" spans="21:21" x14ac:dyDescent="0.3">
      <c r="U18041" s="25"/>
    </row>
    <row r="18063" spans="21:21" x14ac:dyDescent="0.3">
      <c r="U18063" s="25"/>
    </row>
    <row r="18085" spans="21:21" x14ac:dyDescent="0.3">
      <c r="U18085" s="25"/>
    </row>
    <row r="18107" spans="21:21" x14ac:dyDescent="0.3">
      <c r="U18107" s="25"/>
    </row>
    <row r="18129" spans="21:21" x14ac:dyDescent="0.3">
      <c r="U18129" s="25"/>
    </row>
    <row r="18151" spans="21:21" x14ac:dyDescent="0.3">
      <c r="U18151" s="25"/>
    </row>
    <row r="18173" spans="21:21" x14ac:dyDescent="0.3">
      <c r="U18173" s="25"/>
    </row>
    <row r="18195" spans="21:21" x14ac:dyDescent="0.3">
      <c r="U18195" s="25"/>
    </row>
    <row r="18217" spans="21:21" x14ac:dyDescent="0.3">
      <c r="U18217" s="25"/>
    </row>
    <row r="18239" spans="21:21" x14ac:dyDescent="0.3">
      <c r="U18239" s="25"/>
    </row>
    <row r="18261" spans="21:21" x14ac:dyDescent="0.3">
      <c r="U18261" s="25"/>
    </row>
    <row r="18283" spans="21:21" x14ac:dyDescent="0.3">
      <c r="U18283" s="25"/>
    </row>
    <row r="18305" spans="21:21" x14ac:dyDescent="0.3">
      <c r="U18305" s="25"/>
    </row>
    <row r="18327" spans="21:21" x14ac:dyDescent="0.3">
      <c r="U18327" s="25"/>
    </row>
    <row r="18349" spans="21:21" x14ac:dyDescent="0.3">
      <c r="U18349" s="25"/>
    </row>
    <row r="18371" spans="21:21" x14ac:dyDescent="0.3">
      <c r="U18371" s="25"/>
    </row>
    <row r="18393" spans="21:21" x14ac:dyDescent="0.3">
      <c r="U18393" s="25"/>
    </row>
    <row r="18415" spans="21:21" x14ac:dyDescent="0.3">
      <c r="U18415" s="25"/>
    </row>
    <row r="18437" spans="21:21" x14ac:dyDescent="0.3">
      <c r="U18437" s="25"/>
    </row>
    <row r="18459" spans="21:21" x14ac:dyDescent="0.3">
      <c r="U18459" s="25"/>
    </row>
    <row r="18481" spans="21:21" x14ac:dyDescent="0.3">
      <c r="U18481" s="25"/>
    </row>
    <row r="18503" spans="21:21" x14ac:dyDescent="0.3">
      <c r="U18503" s="25"/>
    </row>
    <row r="18525" spans="21:21" x14ac:dyDescent="0.3">
      <c r="U18525" s="25"/>
    </row>
    <row r="18547" spans="21:21" x14ac:dyDescent="0.3">
      <c r="U18547" s="25"/>
    </row>
    <row r="18569" spans="21:21" x14ac:dyDescent="0.3">
      <c r="U18569" s="25"/>
    </row>
    <row r="18591" spans="21:21" x14ac:dyDescent="0.3">
      <c r="U18591" s="25"/>
    </row>
    <row r="18613" spans="21:21" x14ac:dyDescent="0.3">
      <c r="U18613" s="25"/>
    </row>
    <row r="18635" spans="21:21" x14ac:dyDescent="0.3">
      <c r="U18635" s="25"/>
    </row>
    <row r="18657" spans="21:21" x14ac:dyDescent="0.3">
      <c r="U18657" s="25"/>
    </row>
    <row r="18679" spans="21:21" x14ac:dyDescent="0.3">
      <c r="U18679" s="25"/>
    </row>
    <row r="18701" spans="21:21" x14ac:dyDescent="0.3">
      <c r="U18701" s="25"/>
    </row>
    <row r="18723" spans="21:21" x14ac:dyDescent="0.3">
      <c r="U18723" s="25"/>
    </row>
    <row r="18745" spans="21:21" x14ac:dyDescent="0.3">
      <c r="U18745" s="25"/>
    </row>
    <row r="18767" spans="21:21" x14ac:dyDescent="0.3">
      <c r="U18767" s="25"/>
    </row>
    <row r="18789" spans="21:21" x14ac:dyDescent="0.3">
      <c r="U18789" s="25"/>
    </row>
    <row r="18811" spans="21:21" x14ac:dyDescent="0.3">
      <c r="U18811" s="25"/>
    </row>
    <row r="18833" spans="21:21" x14ac:dyDescent="0.3">
      <c r="U18833" s="25"/>
    </row>
    <row r="18855" spans="21:21" x14ac:dyDescent="0.3">
      <c r="U18855" s="25"/>
    </row>
    <row r="18877" spans="21:21" x14ac:dyDescent="0.3">
      <c r="U18877" s="25"/>
    </row>
    <row r="18899" spans="21:21" x14ac:dyDescent="0.3">
      <c r="U18899" s="25"/>
    </row>
    <row r="18921" spans="21:21" x14ac:dyDescent="0.3">
      <c r="U18921" s="25"/>
    </row>
    <row r="18943" spans="21:21" x14ac:dyDescent="0.3">
      <c r="U18943" s="25"/>
    </row>
    <row r="18965" spans="21:21" x14ac:dyDescent="0.3">
      <c r="U18965" s="25"/>
    </row>
    <row r="18987" spans="21:21" x14ac:dyDescent="0.3">
      <c r="U18987" s="25"/>
    </row>
    <row r="19009" spans="21:21" x14ac:dyDescent="0.3">
      <c r="U19009" s="25"/>
    </row>
    <row r="19031" spans="21:21" x14ac:dyDescent="0.3">
      <c r="U19031" s="25"/>
    </row>
    <row r="19053" spans="21:21" x14ac:dyDescent="0.3">
      <c r="U19053" s="25"/>
    </row>
    <row r="19075" spans="21:21" x14ac:dyDescent="0.3">
      <c r="U19075" s="25"/>
    </row>
    <row r="19097" spans="21:21" x14ac:dyDescent="0.3">
      <c r="U19097" s="25"/>
    </row>
    <row r="19119" spans="21:21" x14ac:dyDescent="0.3">
      <c r="U19119" s="25"/>
    </row>
    <row r="19141" spans="21:21" x14ac:dyDescent="0.3">
      <c r="U19141" s="25"/>
    </row>
    <row r="19163" spans="21:21" x14ac:dyDescent="0.3">
      <c r="U19163" s="25"/>
    </row>
    <row r="19185" spans="21:21" x14ac:dyDescent="0.3">
      <c r="U19185" s="25"/>
    </row>
    <row r="19207" spans="21:21" x14ac:dyDescent="0.3">
      <c r="U19207" s="25"/>
    </row>
    <row r="19229" spans="21:21" x14ac:dyDescent="0.3">
      <c r="U19229" s="25"/>
    </row>
    <row r="19251" spans="21:21" x14ac:dyDescent="0.3">
      <c r="U19251" s="25"/>
    </row>
    <row r="19273" spans="21:21" x14ac:dyDescent="0.3">
      <c r="U19273" s="25"/>
    </row>
    <row r="19295" spans="21:21" x14ac:dyDescent="0.3">
      <c r="U19295" s="25"/>
    </row>
    <row r="19317" spans="21:21" x14ac:dyDescent="0.3">
      <c r="U19317" s="25"/>
    </row>
    <row r="19339" spans="21:21" x14ac:dyDescent="0.3">
      <c r="U19339" s="25"/>
    </row>
    <row r="19361" spans="21:21" x14ac:dyDescent="0.3">
      <c r="U19361" s="25"/>
    </row>
    <row r="19383" spans="21:21" x14ac:dyDescent="0.3">
      <c r="U19383" s="25"/>
    </row>
    <row r="19405" spans="21:21" x14ac:dyDescent="0.3">
      <c r="U19405" s="25"/>
    </row>
    <row r="19427" spans="21:21" x14ac:dyDescent="0.3">
      <c r="U19427" s="25"/>
    </row>
    <row r="19449" spans="21:21" x14ac:dyDescent="0.3">
      <c r="U19449" s="25"/>
    </row>
    <row r="19471" spans="21:21" x14ac:dyDescent="0.3">
      <c r="U19471" s="25"/>
    </row>
    <row r="19493" spans="21:21" x14ac:dyDescent="0.3">
      <c r="U19493" s="25"/>
    </row>
    <row r="19515" spans="21:21" x14ac:dyDescent="0.3">
      <c r="U19515" s="25"/>
    </row>
    <row r="19537" spans="21:21" x14ac:dyDescent="0.3">
      <c r="U19537" s="25"/>
    </row>
    <row r="19559" spans="21:21" x14ac:dyDescent="0.3">
      <c r="U19559" s="25"/>
    </row>
    <row r="19581" spans="21:21" x14ac:dyDescent="0.3">
      <c r="U19581" s="25"/>
    </row>
    <row r="19603" spans="21:21" x14ac:dyDescent="0.3">
      <c r="U19603" s="25"/>
    </row>
    <row r="19625" spans="21:21" x14ac:dyDescent="0.3">
      <c r="U19625" s="25"/>
    </row>
    <row r="19647" spans="21:21" x14ac:dyDescent="0.3">
      <c r="U19647" s="25"/>
    </row>
    <row r="19669" spans="21:21" x14ac:dyDescent="0.3">
      <c r="U19669" s="25"/>
    </row>
    <row r="19691" spans="21:21" x14ac:dyDescent="0.3">
      <c r="U19691" s="25"/>
    </row>
    <row r="19713" spans="21:21" x14ac:dyDescent="0.3">
      <c r="U19713" s="25"/>
    </row>
    <row r="19735" spans="21:21" x14ac:dyDescent="0.3">
      <c r="U19735" s="25"/>
    </row>
    <row r="19757" spans="21:21" x14ac:dyDescent="0.3">
      <c r="U19757" s="25"/>
    </row>
    <row r="19779" spans="21:21" x14ac:dyDescent="0.3">
      <c r="U19779" s="25"/>
    </row>
    <row r="19801" spans="21:21" x14ac:dyDescent="0.3">
      <c r="U19801" s="25"/>
    </row>
    <row r="19823" spans="21:21" x14ac:dyDescent="0.3">
      <c r="U19823" s="25"/>
    </row>
    <row r="19845" spans="21:21" x14ac:dyDescent="0.3">
      <c r="U19845" s="25"/>
    </row>
    <row r="19867" spans="21:21" x14ac:dyDescent="0.3">
      <c r="U19867" s="25"/>
    </row>
    <row r="19889" spans="21:21" x14ac:dyDescent="0.3">
      <c r="U19889" s="25"/>
    </row>
    <row r="19911" spans="21:21" x14ac:dyDescent="0.3">
      <c r="U19911" s="25"/>
    </row>
    <row r="19933" spans="21:21" x14ac:dyDescent="0.3">
      <c r="U19933" s="25"/>
    </row>
    <row r="19955" spans="21:21" x14ac:dyDescent="0.3">
      <c r="U19955" s="25"/>
    </row>
    <row r="19977" spans="21:21" x14ac:dyDescent="0.3">
      <c r="U19977" s="25"/>
    </row>
    <row r="19999" spans="21:21" x14ac:dyDescent="0.3">
      <c r="U19999" s="25"/>
    </row>
    <row r="20021" spans="21:21" x14ac:dyDescent="0.3">
      <c r="U20021" s="25"/>
    </row>
    <row r="20043" spans="21:21" x14ac:dyDescent="0.3">
      <c r="U20043" s="25"/>
    </row>
    <row r="20065" spans="21:21" x14ac:dyDescent="0.3">
      <c r="U20065" s="25"/>
    </row>
    <row r="20087" spans="21:21" x14ac:dyDescent="0.3">
      <c r="U20087" s="25"/>
    </row>
    <row r="20109" spans="21:21" x14ac:dyDescent="0.3">
      <c r="U20109" s="25"/>
    </row>
    <row r="20131" spans="21:21" x14ac:dyDescent="0.3">
      <c r="U20131" s="25"/>
    </row>
    <row r="20153" spans="21:21" x14ac:dyDescent="0.3">
      <c r="U20153" s="25"/>
    </row>
    <row r="20175" spans="21:21" x14ac:dyDescent="0.3">
      <c r="U20175" s="25"/>
    </row>
    <row r="20197" spans="21:21" x14ac:dyDescent="0.3">
      <c r="U20197" s="25"/>
    </row>
    <row r="20219" spans="21:21" x14ac:dyDescent="0.3">
      <c r="U20219" s="25"/>
    </row>
    <row r="20241" spans="21:21" x14ac:dyDescent="0.3">
      <c r="U20241" s="25"/>
    </row>
    <row r="20263" spans="21:21" x14ac:dyDescent="0.3">
      <c r="U20263" s="25"/>
    </row>
    <row r="20285" spans="21:21" x14ac:dyDescent="0.3">
      <c r="U20285" s="25"/>
    </row>
    <row r="20307" spans="21:21" x14ac:dyDescent="0.3">
      <c r="U20307" s="25"/>
    </row>
    <row r="20329" spans="21:21" x14ac:dyDescent="0.3">
      <c r="U20329" s="25"/>
    </row>
    <row r="20351" spans="21:21" x14ac:dyDescent="0.3">
      <c r="U20351" s="25"/>
    </row>
    <row r="20373" spans="21:21" x14ac:dyDescent="0.3">
      <c r="U20373" s="25"/>
    </row>
    <row r="20395" spans="21:21" x14ac:dyDescent="0.3">
      <c r="U20395" s="25"/>
    </row>
    <row r="20417" spans="21:21" x14ac:dyDescent="0.3">
      <c r="U20417" s="25"/>
    </row>
    <row r="20439" spans="21:21" x14ac:dyDescent="0.3">
      <c r="U20439" s="25"/>
    </row>
    <row r="20461" spans="21:21" x14ac:dyDescent="0.3">
      <c r="U20461" s="25"/>
    </row>
    <row r="20483" spans="21:21" x14ac:dyDescent="0.3">
      <c r="U20483" s="25"/>
    </row>
    <row r="20505" spans="21:21" x14ac:dyDescent="0.3">
      <c r="U20505" s="25"/>
    </row>
    <row r="20527" spans="21:21" x14ac:dyDescent="0.3">
      <c r="U20527" s="25"/>
    </row>
    <row r="20549" spans="21:21" x14ac:dyDescent="0.3">
      <c r="U20549" s="25"/>
    </row>
    <row r="20571" spans="21:21" x14ac:dyDescent="0.3">
      <c r="U20571" s="25"/>
    </row>
    <row r="20593" spans="21:21" x14ac:dyDescent="0.3">
      <c r="U20593" s="25"/>
    </row>
    <row r="20615" spans="21:21" x14ac:dyDescent="0.3">
      <c r="U20615" s="25"/>
    </row>
    <row r="20637" spans="21:21" x14ac:dyDescent="0.3">
      <c r="U20637" s="25"/>
    </row>
    <row r="20659" spans="21:21" x14ac:dyDescent="0.3">
      <c r="U20659" s="25"/>
    </row>
    <row r="20681" spans="21:21" x14ac:dyDescent="0.3">
      <c r="U20681" s="25"/>
    </row>
    <row r="20703" spans="21:21" x14ac:dyDescent="0.3">
      <c r="U20703" s="25"/>
    </row>
    <row r="20725" spans="21:21" x14ac:dyDescent="0.3">
      <c r="U20725" s="25"/>
    </row>
    <row r="20747" spans="21:21" x14ac:dyDescent="0.3">
      <c r="U20747" s="25"/>
    </row>
    <row r="20769" spans="21:21" x14ac:dyDescent="0.3">
      <c r="U20769" s="25"/>
    </row>
    <row r="20791" spans="21:21" x14ac:dyDescent="0.3">
      <c r="U20791" s="25"/>
    </row>
    <row r="20813" spans="21:21" x14ac:dyDescent="0.3">
      <c r="U20813" s="25"/>
    </row>
    <row r="20835" spans="21:21" x14ac:dyDescent="0.3">
      <c r="U20835" s="25"/>
    </row>
    <row r="20857" spans="21:21" x14ac:dyDescent="0.3">
      <c r="U20857" s="25"/>
    </row>
    <row r="20879" spans="21:21" x14ac:dyDescent="0.3">
      <c r="U20879" s="25"/>
    </row>
    <row r="20901" spans="21:21" x14ac:dyDescent="0.3">
      <c r="U20901" s="25"/>
    </row>
    <row r="20923" spans="21:21" x14ac:dyDescent="0.3">
      <c r="U20923" s="25"/>
    </row>
    <row r="20945" spans="21:21" x14ac:dyDescent="0.3">
      <c r="U20945" s="25"/>
    </row>
    <row r="20967" spans="21:21" x14ac:dyDescent="0.3">
      <c r="U20967" s="25"/>
    </row>
    <row r="20989" spans="21:21" x14ac:dyDescent="0.3">
      <c r="U20989" s="25"/>
    </row>
    <row r="21011" spans="21:21" x14ac:dyDescent="0.3">
      <c r="U21011" s="25"/>
    </row>
    <row r="21033" spans="21:21" x14ac:dyDescent="0.3">
      <c r="U21033" s="25"/>
    </row>
    <row r="21055" spans="21:21" x14ac:dyDescent="0.3">
      <c r="U21055" s="25"/>
    </row>
    <row r="21077" spans="21:21" x14ac:dyDescent="0.3">
      <c r="U21077" s="25"/>
    </row>
    <row r="21099" spans="21:21" x14ac:dyDescent="0.3">
      <c r="U21099" s="25"/>
    </row>
    <row r="21121" spans="21:21" x14ac:dyDescent="0.3">
      <c r="U21121" s="25"/>
    </row>
    <row r="21143" spans="21:21" x14ac:dyDescent="0.3">
      <c r="U21143" s="25"/>
    </row>
    <row r="21165" spans="21:21" x14ac:dyDescent="0.3">
      <c r="U21165" s="25"/>
    </row>
    <row r="21187" spans="21:21" x14ac:dyDescent="0.3">
      <c r="U21187" s="25"/>
    </row>
    <row r="21209" spans="21:21" x14ac:dyDescent="0.3">
      <c r="U21209" s="25"/>
    </row>
    <row r="21231" spans="21:21" x14ac:dyDescent="0.3">
      <c r="U21231" s="25"/>
    </row>
    <row r="21253" spans="21:21" x14ac:dyDescent="0.3">
      <c r="U21253" s="25"/>
    </row>
    <row r="21275" spans="21:21" x14ac:dyDescent="0.3">
      <c r="U21275" s="25"/>
    </row>
    <row r="21297" spans="21:21" x14ac:dyDescent="0.3">
      <c r="U21297" s="25"/>
    </row>
    <row r="21319" spans="21:21" x14ac:dyDescent="0.3">
      <c r="U21319" s="25"/>
    </row>
    <row r="21341" spans="21:21" x14ac:dyDescent="0.3">
      <c r="U21341" s="25"/>
    </row>
    <row r="21363" spans="21:21" x14ac:dyDescent="0.3">
      <c r="U21363" s="25"/>
    </row>
    <row r="21385" spans="21:21" x14ac:dyDescent="0.3">
      <c r="U21385" s="25"/>
    </row>
    <row r="21407" spans="21:21" x14ac:dyDescent="0.3">
      <c r="U21407" s="25"/>
    </row>
    <row r="21429" spans="21:21" x14ac:dyDescent="0.3">
      <c r="U21429" s="25"/>
    </row>
    <row r="21451" spans="21:21" x14ac:dyDescent="0.3">
      <c r="U21451" s="25"/>
    </row>
    <row r="21473" spans="21:21" x14ac:dyDescent="0.3">
      <c r="U21473" s="25"/>
    </row>
    <row r="21495" spans="21:21" x14ac:dyDescent="0.3">
      <c r="U21495" s="25"/>
    </row>
    <row r="21517" spans="21:21" x14ac:dyDescent="0.3">
      <c r="U21517" s="25"/>
    </row>
    <row r="21539" spans="21:21" x14ac:dyDescent="0.3">
      <c r="U21539" s="25"/>
    </row>
    <row r="21561" spans="21:21" x14ac:dyDescent="0.3">
      <c r="U21561" s="25"/>
    </row>
    <row r="21583" spans="21:21" x14ac:dyDescent="0.3">
      <c r="U21583" s="25"/>
    </row>
    <row r="21605" spans="21:21" x14ac:dyDescent="0.3">
      <c r="U21605" s="25"/>
    </row>
    <row r="21627" spans="21:21" x14ac:dyDescent="0.3">
      <c r="U21627" s="25"/>
    </row>
    <row r="21649" spans="21:21" x14ac:dyDescent="0.3">
      <c r="U21649" s="25"/>
    </row>
    <row r="21671" spans="21:21" x14ac:dyDescent="0.3">
      <c r="U21671" s="25"/>
    </row>
    <row r="21693" spans="21:21" x14ac:dyDescent="0.3">
      <c r="U21693" s="25"/>
    </row>
    <row r="21715" spans="21:21" x14ac:dyDescent="0.3">
      <c r="U21715" s="25"/>
    </row>
    <row r="21737" spans="21:21" x14ac:dyDescent="0.3">
      <c r="U21737" s="25"/>
    </row>
    <row r="21759" spans="21:21" x14ac:dyDescent="0.3">
      <c r="U21759" s="25"/>
    </row>
    <row r="21781" spans="21:21" x14ac:dyDescent="0.3">
      <c r="U21781" s="25"/>
    </row>
    <row r="21803" spans="21:21" x14ac:dyDescent="0.3">
      <c r="U21803" s="25"/>
    </row>
    <row r="21825" spans="21:21" x14ac:dyDescent="0.3">
      <c r="U21825" s="25"/>
    </row>
    <row r="21847" spans="21:21" x14ac:dyDescent="0.3">
      <c r="U21847" s="25"/>
    </row>
    <row r="21869" spans="21:21" x14ac:dyDescent="0.3">
      <c r="U21869" s="25"/>
    </row>
    <row r="21891" spans="21:21" x14ac:dyDescent="0.3">
      <c r="U21891" s="25"/>
    </row>
    <row r="21913" spans="21:21" x14ac:dyDescent="0.3">
      <c r="U21913" s="25"/>
    </row>
    <row r="21935" spans="21:21" x14ac:dyDescent="0.3">
      <c r="U21935" s="25"/>
    </row>
    <row r="21957" spans="21:21" x14ac:dyDescent="0.3">
      <c r="U21957" s="25"/>
    </row>
    <row r="21979" spans="21:21" x14ac:dyDescent="0.3">
      <c r="U21979" s="25"/>
    </row>
    <row r="22001" spans="21:21" x14ac:dyDescent="0.3">
      <c r="U22001" s="25"/>
    </row>
    <row r="22023" spans="21:21" x14ac:dyDescent="0.3">
      <c r="U22023" s="25"/>
    </row>
    <row r="22045" spans="21:21" x14ac:dyDescent="0.3">
      <c r="U22045" s="25"/>
    </row>
    <row r="22067" spans="21:21" x14ac:dyDescent="0.3">
      <c r="U22067" s="25"/>
    </row>
    <row r="22089" spans="21:21" x14ac:dyDescent="0.3">
      <c r="U22089" s="25"/>
    </row>
    <row r="22111" spans="21:21" x14ac:dyDescent="0.3">
      <c r="U22111" s="25"/>
    </row>
    <row r="22133" spans="21:21" x14ac:dyDescent="0.3">
      <c r="U22133" s="25"/>
    </row>
    <row r="22155" spans="21:21" x14ac:dyDescent="0.3">
      <c r="U22155" s="25"/>
    </row>
    <row r="22177" spans="21:21" x14ac:dyDescent="0.3">
      <c r="U22177" s="25"/>
    </row>
    <row r="22199" spans="21:21" x14ac:dyDescent="0.3">
      <c r="U22199" s="25"/>
    </row>
    <row r="22221" spans="21:21" x14ac:dyDescent="0.3">
      <c r="U22221" s="25"/>
    </row>
    <row r="22243" spans="21:21" x14ac:dyDescent="0.3">
      <c r="U22243" s="25"/>
    </row>
    <row r="22265" spans="21:21" x14ac:dyDescent="0.3">
      <c r="U22265" s="25"/>
    </row>
    <row r="22287" spans="21:21" x14ac:dyDescent="0.3">
      <c r="U22287" s="25"/>
    </row>
    <row r="22309" spans="21:21" x14ac:dyDescent="0.3">
      <c r="U22309" s="25"/>
    </row>
    <row r="22331" spans="21:21" x14ac:dyDescent="0.3">
      <c r="U22331" s="25"/>
    </row>
    <row r="22353" spans="21:21" x14ac:dyDescent="0.3">
      <c r="U22353" s="25"/>
    </row>
    <row r="22375" spans="21:21" x14ac:dyDescent="0.3">
      <c r="U22375" s="25"/>
    </row>
    <row r="22397" spans="21:21" x14ac:dyDescent="0.3">
      <c r="U22397" s="25"/>
    </row>
    <row r="22419" spans="21:21" x14ac:dyDescent="0.3">
      <c r="U22419" s="25"/>
    </row>
    <row r="22441" spans="21:21" x14ac:dyDescent="0.3">
      <c r="U22441" s="25"/>
    </row>
    <row r="22463" spans="21:21" x14ac:dyDescent="0.3">
      <c r="U22463" s="25"/>
    </row>
    <row r="22485" spans="21:21" x14ac:dyDescent="0.3">
      <c r="U22485" s="25"/>
    </row>
    <row r="22507" spans="21:21" x14ac:dyDescent="0.3">
      <c r="U22507" s="25"/>
    </row>
    <row r="22529" spans="21:21" x14ac:dyDescent="0.3">
      <c r="U22529" s="25"/>
    </row>
    <row r="22551" spans="21:21" x14ac:dyDescent="0.3">
      <c r="U22551" s="25"/>
    </row>
    <row r="22573" spans="21:21" x14ac:dyDescent="0.3">
      <c r="U22573" s="25"/>
    </row>
    <row r="22595" spans="21:21" x14ac:dyDescent="0.3">
      <c r="U22595" s="25"/>
    </row>
    <row r="22617" spans="21:21" x14ac:dyDescent="0.3">
      <c r="U22617" s="25"/>
    </row>
    <row r="22639" spans="21:21" x14ac:dyDescent="0.3">
      <c r="U22639" s="25"/>
    </row>
    <row r="22661" spans="21:21" x14ac:dyDescent="0.3">
      <c r="U22661" s="25"/>
    </row>
    <row r="22683" spans="21:21" x14ac:dyDescent="0.3">
      <c r="U22683" s="25"/>
    </row>
    <row r="22705" spans="21:21" x14ac:dyDescent="0.3">
      <c r="U22705" s="25"/>
    </row>
    <row r="22727" spans="21:21" x14ac:dyDescent="0.3">
      <c r="U22727" s="25"/>
    </row>
    <row r="22749" spans="21:21" x14ac:dyDescent="0.3">
      <c r="U22749" s="25"/>
    </row>
    <row r="22771" spans="21:21" x14ac:dyDescent="0.3">
      <c r="U22771" s="25"/>
    </row>
    <row r="22793" spans="21:21" x14ac:dyDescent="0.3">
      <c r="U22793" s="25"/>
    </row>
    <row r="22815" spans="21:21" x14ac:dyDescent="0.3">
      <c r="U22815" s="25"/>
    </row>
    <row r="22837" spans="21:21" x14ac:dyDescent="0.3">
      <c r="U22837" s="25"/>
    </row>
    <row r="22859" spans="21:21" x14ac:dyDescent="0.3">
      <c r="U22859" s="25"/>
    </row>
    <row r="22881" spans="21:21" x14ac:dyDescent="0.3">
      <c r="U22881" s="25"/>
    </row>
    <row r="22903" spans="21:21" x14ac:dyDescent="0.3">
      <c r="U22903" s="25"/>
    </row>
    <row r="22925" spans="21:21" x14ac:dyDescent="0.3">
      <c r="U22925" s="25"/>
    </row>
    <row r="22947" spans="21:21" x14ac:dyDescent="0.3">
      <c r="U22947" s="25"/>
    </row>
    <row r="22969" spans="21:21" x14ac:dyDescent="0.3">
      <c r="U22969" s="25"/>
    </row>
    <row r="22991" spans="21:21" x14ac:dyDescent="0.3">
      <c r="U22991" s="25"/>
    </row>
    <row r="23013" spans="21:21" x14ac:dyDescent="0.3">
      <c r="U23013" s="25"/>
    </row>
    <row r="23035" spans="21:21" x14ac:dyDescent="0.3">
      <c r="U23035" s="25"/>
    </row>
    <row r="23057" spans="21:21" x14ac:dyDescent="0.3">
      <c r="U23057" s="25"/>
    </row>
    <row r="23079" spans="21:21" x14ac:dyDescent="0.3">
      <c r="U23079" s="25"/>
    </row>
    <row r="23101" spans="21:21" x14ac:dyDescent="0.3">
      <c r="U23101" s="25"/>
    </row>
    <row r="23123" spans="21:21" x14ac:dyDescent="0.3">
      <c r="U23123" s="25"/>
    </row>
    <row r="23145" spans="21:21" x14ac:dyDescent="0.3">
      <c r="U23145" s="25"/>
    </row>
    <row r="23167" spans="21:21" x14ac:dyDescent="0.3">
      <c r="U23167" s="25"/>
    </row>
    <row r="23189" spans="21:21" x14ac:dyDescent="0.3">
      <c r="U23189" s="25"/>
    </row>
    <row r="23211" spans="21:21" x14ac:dyDescent="0.3">
      <c r="U23211" s="25"/>
    </row>
    <row r="23233" spans="21:21" x14ac:dyDescent="0.3">
      <c r="U23233" s="25"/>
    </row>
    <row r="23255" spans="21:21" x14ac:dyDescent="0.3">
      <c r="U23255" s="25"/>
    </row>
    <row r="23277" spans="21:21" x14ac:dyDescent="0.3">
      <c r="U23277" s="25"/>
    </row>
    <row r="23299" spans="21:21" x14ac:dyDescent="0.3">
      <c r="U23299" s="25"/>
    </row>
    <row r="23321" spans="21:21" x14ac:dyDescent="0.3">
      <c r="U23321" s="25"/>
    </row>
    <row r="23343" spans="21:21" x14ac:dyDescent="0.3">
      <c r="U23343" s="25"/>
    </row>
    <row r="23365" spans="21:21" x14ac:dyDescent="0.3">
      <c r="U23365" s="25"/>
    </row>
    <row r="23387" spans="21:21" x14ac:dyDescent="0.3">
      <c r="U23387" s="25"/>
    </row>
    <row r="23409" spans="21:21" x14ac:dyDescent="0.3">
      <c r="U23409" s="25"/>
    </row>
    <row r="23431" spans="21:21" x14ac:dyDescent="0.3">
      <c r="U23431" s="25"/>
    </row>
    <row r="23453" spans="21:21" x14ac:dyDescent="0.3">
      <c r="U23453" s="25"/>
    </row>
    <row r="23475" spans="21:21" x14ac:dyDescent="0.3">
      <c r="U23475" s="25"/>
    </row>
    <row r="23497" spans="21:21" x14ac:dyDescent="0.3">
      <c r="U23497" s="25"/>
    </row>
    <row r="23519" spans="21:21" x14ac:dyDescent="0.3">
      <c r="U23519" s="25"/>
    </row>
    <row r="23541" spans="21:21" x14ac:dyDescent="0.3">
      <c r="U23541" s="25"/>
    </row>
    <row r="23563" spans="21:21" x14ac:dyDescent="0.3">
      <c r="U23563" s="25"/>
    </row>
    <row r="23585" spans="21:21" x14ac:dyDescent="0.3">
      <c r="U23585" s="25"/>
    </row>
    <row r="23607" spans="21:21" x14ac:dyDescent="0.3">
      <c r="U23607" s="25"/>
    </row>
    <row r="23629" spans="21:21" x14ac:dyDescent="0.3">
      <c r="U23629" s="25"/>
    </row>
    <row r="23651" spans="21:21" x14ac:dyDescent="0.3">
      <c r="U23651" s="25"/>
    </row>
    <row r="23673" spans="21:21" x14ac:dyDescent="0.3">
      <c r="U23673" s="25"/>
    </row>
    <row r="23695" spans="21:21" x14ac:dyDescent="0.3">
      <c r="U23695" s="25"/>
    </row>
    <row r="23717" spans="21:21" x14ac:dyDescent="0.3">
      <c r="U23717" s="25"/>
    </row>
    <row r="23739" spans="21:21" x14ac:dyDescent="0.3">
      <c r="U23739" s="25"/>
    </row>
    <row r="23761" spans="21:21" x14ac:dyDescent="0.3">
      <c r="U23761" s="25"/>
    </row>
    <row r="23783" spans="21:21" x14ac:dyDescent="0.3">
      <c r="U23783" s="25"/>
    </row>
    <row r="23805" spans="21:21" x14ac:dyDescent="0.3">
      <c r="U23805" s="25"/>
    </row>
    <row r="23827" spans="21:21" x14ac:dyDescent="0.3">
      <c r="U23827" s="25"/>
    </row>
    <row r="23849" spans="21:21" x14ac:dyDescent="0.3">
      <c r="U23849" s="25"/>
    </row>
    <row r="23871" spans="21:21" x14ac:dyDescent="0.3">
      <c r="U23871" s="25"/>
    </row>
    <row r="23893" spans="21:21" x14ac:dyDescent="0.3">
      <c r="U23893" s="25"/>
    </row>
    <row r="23915" spans="21:21" x14ac:dyDescent="0.3">
      <c r="U23915" s="25"/>
    </row>
    <row r="23937" spans="21:21" x14ac:dyDescent="0.3">
      <c r="U23937" s="25"/>
    </row>
    <row r="23959" spans="21:21" x14ac:dyDescent="0.3">
      <c r="U23959" s="25"/>
    </row>
    <row r="23981" spans="21:21" x14ac:dyDescent="0.3">
      <c r="U23981" s="25"/>
    </row>
    <row r="24003" spans="21:21" x14ac:dyDescent="0.3">
      <c r="U24003" s="25"/>
    </row>
    <row r="24025" spans="21:21" x14ac:dyDescent="0.3">
      <c r="U24025" s="25"/>
    </row>
    <row r="24047" spans="21:21" x14ac:dyDescent="0.3">
      <c r="U24047" s="25"/>
    </row>
    <row r="24069" spans="21:21" x14ac:dyDescent="0.3">
      <c r="U24069" s="25"/>
    </row>
    <row r="24091" spans="21:21" x14ac:dyDescent="0.3">
      <c r="U24091" s="25"/>
    </row>
    <row r="24113" spans="21:21" x14ac:dyDescent="0.3">
      <c r="U24113" s="25"/>
    </row>
    <row r="24135" spans="21:21" x14ac:dyDescent="0.3">
      <c r="U24135" s="25"/>
    </row>
    <row r="24157" spans="21:21" x14ac:dyDescent="0.3">
      <c r="U24157" s="25"/>
    </row>
    <row r="24179" spans="21:21" x14ac:dyDescent="0.3">
      <c r="U24179" s="25"/>
    </row>
    <row r="24201" spans="21:21" x14ac:dyDescent="0.3">
      <c r="U24201" s="25"/>
    </row>
    <row r="24223" spans="21:21" x14ac:dyDescent="0.3">
      <c r="U24223" s="25"/>
    </row>
    <row r="24245" spans="21:21" x14ac:dyDescent="0.3">
      <c r="U24245" s="25"/>
    </row>
    <row r="24267" spans="21:21" x14ac:dyDescent="0.3">
      <c r="U24267" s="25"/>
    </row>
    <row r="24289" spans="21:21" x14ac:dyDescent="0.3">
      <c r="U24289" s="25"/>
    </row>
    <row r="24311" spans="21:21" x14ac:dyDescent="0.3">
      <c r="U24311" s="25"/>
    </row>
    <row r="24333" spans="21:21" x14ac:dyDescent="0.3">
      <c r="U24333" s="25"/>
    </row>
    <row r="24355" spans="21:21" x14ac:dyDescent="0.3">
      <c r="U24355" s="25"/>
    </row>
    <row r="24377" spans="21:21" x14ac:dyDescent="0.3">
      <c r="U24377" s="25"/>
    </row>
    <row r="24399" spans="21:21" x14ac:dyDescent="0.3">
      <c r="U24399" s="25"/>
    </row>
    <row r="24421" spans="21:21" x14ac:dyDescent="0.3">
      <c r="U24421" s="25"/>
    </row>
    <row r="24443" spans="21:21" x14ac:dyDescent="0.3">
      <c r="U24443" s="25"/>
    </row>
    <row r="24465" spans="21:21" x14ac:dyDescent="0.3">
      <c r="U24465" s="25"/>
    </row>
    <row r="24487" spans="21:21" x14ac:dyDescent="0.3">
      <c r="U24487" s="25"/>
    </row>
    <row r="24509" spans="21:21" x14ac:dyDescent="0.3">
      <c r="U24509" s="25"/>
    </row>
    <row r="24531" spans="21:21" x14ac:dyDescent="0.3">
      <c r="U24531" s="25"/>
    </row>
    <row r="24553" spans="21:21" x14ac:dyDescent="0.3">
      <c r="U24553" s="25"/>
    </row>
    <row r="24575" spans="21:21" x14ac:dyDescent="0.3">
      <c r="U24575" s="25"/>
    </row>
    <row r="24597" spans="21:21" x14ac:dyDescent="0.3">
      <c r="U24597" s="25"/>
    </row>
    <row r="24619" spans="21:21" x14ac:dyDescent="0.3">
      <c r="U24619" s="25"/>
    </row>
    <row r="24641" spans="21:21" x14ac:dyDescent="0.3">
      <c r="U24641" s="25"/>
    </row>
    <row r="24663" spans="21:21" x14ac:dyDescent="0.3">
      <c r="U24663" s="25"/>
    </row>
    <row r="24685" spans="21:21" x14ac:dyDescent="0.3">
      <c r="U24685" s="25"/>
    </row>
    <row r="24707" spans="21:21" x14ac:dyDescent="0.3">
      <c r="U24707" s="25"/>
    </row>
    <row r="24729" spans="21:21" x14ac:dyDescent="0.3">
      <c r="U24729" s="25"/>
    </row>
    <row r="24751" spans="21:21" x14ac:dyDescent="0.3">
      <c r="U24751" s="25"/>
    </row>
    <row r="24773" spans="21:21" x14ac:dyDescent="0.3">
      <c r="U24773" s="25"/>
    </row>
    <row r="24795" spans="21:21" x14ac:dyDescent="0.3">
      <c r="U24795" s="25"/>
    </row>
    <row r="24817" spans="21:21" x14ac:dyDescent="0.3">
      <c r="U24817" s="25"/>
    </row>
    <row r="24839" spans="21:21" x14ac:dyDescent="0.3">
      <c r="U24839" s="25"/>
    </row>
    <row r="24861" spans="21:21" x14ac:dyDescent="0.3">
      <c r="U24861" s="25"/>
    </row>
    <row r="24883" spans="21:21" x14ac:dyDescent="0.3">
      <c r="U24883" s="25"/>
    </row>
    <row r="24905" spans="21:21" x14ac:dyDescent="0.3">
      <c r="U24905" s="25"/>
    </row>
    <row r="24927" spans="21:21" x14ac:dyDescent="0.3">
      <c r="U24927" s="25"/>
    </row>
    <row r="24949" spans="21:21" x14ac:dyDescent="0.3">
      <c r="U24949" s="25"/>
    </row>
    <row r="24971" spans="21:21" x14ac:dyDescent="0.3">
      <c r="U24971" s="25"/>
    </row>
    <row r="24993" spans="21:21" x14ac:dyDescent="0.3">
      <c r="U24993" s="25"/>
    </row>
    <row r="25015" spans="21:21" x14ac:dyDescent="0.3">
      <c r="U25015" s="25"/>
    </row>
    <row r="25037" spans="21:21" x14ac:dyDescent="0.3">
      <c r="U25037" s="25"/>
    </row>
    <row r="25059" spans="21:21" x14ac:dyDescent="0.3">
      <c r="U25059" s="25"/>
    </row>
    <row r="25081" spans="21:21" x14ac:dyDescent="0.3">
      <c r="U25081" s="25"/>
    </row>
    <row r="25103" spans="21:21" x14ac:dyDescent="0.3">
      <c r="U25103" s="25"/>
    </row>
    <row r="25125" spans="21:21" x14ac:dyDescent="0.3">
      <c r="U25125" s="25"/>
    </row>
    <row r="25147" spans="21:21" x14ac:dyDescent="0.3">
      <c r="U25147" s="25"/>
    </row>
    <row r="25169" spans="21:21" x14ac:dyDescent="0.3">
      <c r="U25169" s="25"/>
    </row>
    <row r="25191" spans="21:21" x14ac:dyDescent="0.3">
      <c r="U25191" s="25"/>
    </row>
    <row r="25213" spans="21:21" x14ac:dyDescent="0.3">
      <c r="U25213" s="25"/>
    </row>
    <row r="25235" spans="21:21" x14ac:dyDescent="0.3">
      <c r="U25235" s="25"/>
    </row>
    <row r="25257" spans="21:21" x14ac:dyDescent="0.3">
      <c r="U25257" s="25"/>
    </row>
    <row r="25279" spans="21:21" x14ac:dyDescent="0.3">
      <c r="U25279" s="25"/>
    </row>
    <row r="25301" spans="21:21" x14ac:dyDescent="0.3">
      <c r="U25301" s="25"/>
    </row>
    <row r="25323" spans="21:21" x14ac:dyDescent="0.3">
      <c r="U25323" s="25"/>
    </row>
    <row r="25345" spans="21:21" x14ac:dyDescent="0.3">
      <c r="U25345" s="25"/>
    </row>
    <row r="25367" spans="21:21" x14ac:dyDescent="0.3">
      <c r="U25367" s="25"/>
    </row>
    <row r="25389" spans="21:21" x14ac:dyDescent="0.3">
      <c r="U25389" s="25"/>
    </row>
    <row r="25411" spans="21:21" x14ac:dyDescent="0.3">
      <c r="U25411" s="25"/>
    </row>
    <row r="25433" spans="21:21" x14ac:dyDescent="0.3">
      <c r="U25433" s="25"/>
    </row>
    <row r="25455" spans="21:21" x14ac:dyDescent="0.3">
      <c r="U25455" s="25"/>
    </row>
    <row r="25477" spans="21:21" x14ac:dyDescent="0.3">
      <c r="U25477" s="25"/>
    </row>
    <row r="25499" spans="21:21" x14ac:dyDescent="0.3">
      <c r="U25499" s="25"/>
    </row>
    <row r="25521" spans="21:21" x14ac:dyDescent="0.3">
      <c r="U25521" s="25"/>
    </row>
    <row r="25543" spans="21:21" x14ac:dyDescent="0.3">
      <c r="U25543" s="25"/>
    </row>
    <row r="25565" spans="21:21" x14ac:dyDescent="0.3">
      <c r="U25565" s="25"/>
    </row>
    <row r="25587" spans="21:21" x14ac:dyDescent="0.3">
      <c r="U25587" s="25"/>
    </row>
    <row r="25609" spans="21:21" x14ac:dyDescent="0.3">
      <c r="U25609" s="25"/>
    </row>
    <row r="25631" spans="21:21" x14ac:dyDescent="0.3">
      <c r="U25631" s="25"/>
    </row>
    <row r="25653" spans="21:21" x14ac:dyDescent="0.3">
      <c r="U25653" s="25"/>
    </row>
    <row r="25675" spans="21:21" x14ac:dyDescent="0.3">
      <c r="U25675" s="25"/>
    </row>
    <row r="25697" spans="21:21" x14ac:dyDescent="0.3">
      <c r="U25697" s="25"/>
    </row>
    <row r="25719" spans="21:21" x14ac:dyDescent="0.3">
      <c r="U25719" s="25"/>
    </row>
    <row r="25741" spans="21:21" x14ac:dyDescent="0.3">
      <c r="U25741" s="25"/>
    </row>
    <row r="25763" spans="21:21" x14ac:dyDescent="0.3">
      <c r="U25763" s="25"/>
    </row>
    <row r="25785" spans="21:21" x14ac:dyDescent="0.3">
      <c r="U25785" s="25"/>
    </row>
    <row r="25807" spans="21:21" x14ac:dyDescent="0.3">
      <c r="U25807" s="25"/>
    </row>
    <row r="25829" spans="21:21" x14ac:dyDescent="0.3">
      <c r="U25829" s="25"/>
    </row>
    <row r="25851" spans="21:21" x14ac:dyDescent="0.3">
      <c r="U25851" s="25"/>
    </row>
    <row r="25873" spans="21:21" x14ac:dyDescent="0.3">
      <c r="U25873" s="25"/>
    </row>
    <row r="25895" spans="21:21" x14ac:dyDescent="0.3">
      <c r="U25895" s="25"/>
    </row>
    <row r="25917" spans="21:21" x14ac:dyDescent="0.3">
      <c r="U25917" s="25"/>
    </row>
    <row r="25939" spans="21:21" x14ac:dyDescent="0.3">
      <c r="U25939" s="25"/>
    </row>
    <row r="25961" spans="21:21" x14ac:dyDescent="0.3">
      <c r="U25961" s="25"/>
    </row>
    <row r="25983" spans="21:21" x14ac:dyDescent="0.3">
      <c r="U25983" s="25"/>
    </row>
    <row r="26005" spans="21:21" x14ac:dyDescent="0.3">
      <c r="U26005" s="25"/>
    </row>
    <row r="26027" spans="21:21" x14ac:dyDescent="0.3">
      <c r="U26027" s="25"/>
    </row>
    <row r="26049" spans="21:21" x14ac:dyDescent="0.3">
      <c r="U26049" s="25"/>
    </row>
    <row r="26071" spans="21:21" x14ac:dyDescent="0.3">
      <c r="U26071" s="25"/>
    </row>
    <row r="26093" spans="21:21" x14ac:dyDescent="0.3">
      <c r="U26093" s="25"/>
    </row>
    <row r="26115" spans="21:21" x14ac:dyDescent="0.3">
      <c r="U26115" s="25"/>
    </row>
    <row r="26137" spans="21:21" x14ac:dyDescent="0.3">
      <c r="U26137" s="25"/>
    </row>
    <row r="26159" spans="21:21" x14ac:dyDescent="0.3">
      <c r="U26159" s="25"/>
    </row>
    <row r="26181" spans="21:21" x14ac:dyDescent="0.3">
      <c r="U26181" s="25"/>
    </row>
    <row r="26203" spans="21:21" x14ac:dyDescent="0.3">
      <c r="U26203" s="25"/>
    </row>
    <row r="26225" spans="21:21" x14ac:dyDescent="0.3">
      <c r="U26225" s="25"/>
    </row>
    <row r="26247" spans="21:21" x14ac:dyDescent="0.3">
      <c r="U26247" s="25"/>
    </row>
    <row r="26269" spans="21:21" x14ac:dyDescent="0.3">
      <c r="U26269" s="25"/>
    </row>
    <row r="26291" spans="21:21" x14ac:dyDescent="0.3">
      <c r="U26291" s="25"/>
    </row>
    <row r="26313" spans="21:21" x14ac:dyDescent="0.3">
      <c r="U26313" s="25"/>
    </row>
    <row r="26335" spans="21:21" x14ac:dyDescent="0.3">
      <c r="U26335" s="25"/>
    </row>
    <row r="26357" spans="21:21" x14ac:dyDescent="0.3">
      <c r="U26357" s="25"/>
    </row>
    <row r="26379" spans="21:21" x14ac:dyDescent="0.3">
      <c r="U26379" s="25"/>
    </row>
    <row r="26401" spans="21:21" x14ac:dyDescent="0.3">
      <c r="U26401" s="25"/>
    </row>
    <row r="26423" spans="21:21" x14ac:dyDescent="0.3">
      <c r="U26423" s="25"/>
    </row>
    <row r="26445" spans="21:21" x14ac:dyDescent="0.3">
      <c r="U26445" s="25"/>
    </row>
    <row r="26467" spans="21:21" x14ac:dyDescent="0.3">
      <c r="U26467" s="25"/>
    </row>
    <row r="26489" spans="21:21" x14ac:dyDescent="0.3">
      <c r="U26489" s="25"/>
    </row>
    <row r="26511" spans="21:21" x14ac:dyDescent="0.3">
      <c r="U26511" s="25"/>
    </row>
    <row r="26533" spans="21:21" x14ac:dyDescent="0.3">
      <c r="U26533" s="25"/>
    </row>
    <row r="26555" spans="21:21" x14ac:dyDescent="0.3">
      <c r="U26555" s="25"/>
    </row>
    <row r="26577" spans="21:21" x14ac:dyDescent="0.3">
      <c r="U26577" s="25"/>
    </row>
    <row r="26599" spans="21:21" x14ac:dyDescent="0.3">
      <c r="U26599" s="25"/>
    </row>
    <row r="26621" spans="21:21" x14ac:dyDescent="0.3">
      <c r="U26621" s="25"/>
    </row>
    <row r="26643" spans="21:21" x14ac:dyDescent="0.3">
      <c r="U26643" s="25"/>
    </row>
    <row r="26665" spans="21:21" x14ac:dyDescent="0.3">
      <c r="U26665" s="25"/>
    </row>
    <row r="26687" spans="21:21" x14ac:dyDescent="0.3">
      <c r="U26687" s="25"/>
    </row>
    <row r="26709" spans="21:21" x14ac:dyDescent="0.3">
      <c r="U26709" s="25"/>
    </row>
    <row r="26731" spans="21:21" x14ac:dyDescent="0.3">
      <c r="U26731" s="25"/>
    </row>
    <row r="26753" spans="21:21" x14ac:dyDescent="0.3">
      <c r="U26753" s="25"/>
    </row>
    <row r="26775" spans="21:21" x14ac:dyDescent="0.3">
      <c r="U26775" s="25"/>
    </row>
    <row r="26797" spans="21:21" x14ac:dyDescent="0.3">
      <c r="U26797" s="25"/>
    </row>
    <row r="26819" spans="21:21" x14ac:dyDescent="0.3">
      <c r="U26819" s="25"/>
    </row>
    <row r="26841" spans="21:21" x14ac:dyDescent="0.3">
      <c r="U26841" s="25"/>
    </row>
    <row r="26863" spans="21:21" x14ac:dyDescent="0.3">
      <c r="U26863" s="25"/>
    </row>
    <row r="26885" spans="21:21" x14ac:dyDescent="0.3">
      <c r="U26885" s="25"/>
    </row>
    <row r="26907" spans="21:21" x14ac:dyDescent="0.3">
      <c r="U26907" s="25"/>
    </row>
    <row r="26929" spans="21:21" x14ac:dyDescent="0.3">
      <c r="U26929" s="25"/>
    </row>
    <row r="26951" spans="21:21" x14ac:dyDescent="0.3">
      <c r="U26951" s="25"/>
    </row>
    <row r="26973" spans="21:21" x14ac:dyDescent="0.3">
      <c r="U26973" s="25"/>
    </row>
    <row r="26995" spans="21:21" x14ac:dyDescent="0.3">
      <c r="U26995" s="25"/>
    </row>
    <row r="27017" spans="21:21" x14ac:dyDescent="0.3">
      <c r="U27017" s="25"/>
    </row>
    <row r="27039" spans="21:21" x14ac:dyDescent="0.3">
      <c r="U27039" s="25"/>
    </row>
    <row r="27061" spans="21:21" x14ac:dyDescent="0.3">
      <c r="U27061" s="25"/>
    </row>
    <row r="27083" spans="21:21" x14ac:dyDescent="0.3">
      <c r="U27083" s="25"/>
    </row>
    <row r="27105" spans="21:21" x14ac:dyDescent="0.3">
      <c r="U27105" s="25"/>
    </row>
    <row r="27127" spans="21:21" x14ac:dyDescent="0.3">
      <c r="U27127" s="25"/>
    </row>
    <row r="27149" spans="21:21" x14ac:dyDescent="0.3">
      <c r="U27149" s="25"/>
    </row>
    <row r="27171" spans="21:21" x14ac:dyDescent="0.3">
      <c r="U27171" s="25"/>
    </row>
    <row r="27193" spans="21:21" x14ac:dyDescent="0.3">
      <c r="U27193" s="25"/>
    </row>
    <row r="27215" spans="21:21" x14ac:dyDescent="0.3">
      <c r="U27215" s="25"/>
    </row>
    <row r="27237" spans="21:21" x14ac:dyDescent="0.3">
      <c r="U27237" s="25"/>
    </row>
    <row r="27259" spans="21:21" x14ac:dyDescent="0.3">
      <c r="U27259" s="25"/>
    </row>
    <row r="27281" spans="21:21" x14ac:dyDescent="0.3">
      <c r="U27281" s="25"/>
    </row>
    <row r="27303" spans="21:21" x14ac:dyDescent="0.3">
      <c r="U27303" s="25"/>
    </row>
    <row r="27325" spans="21:21" x14ac:dyDescent="0.3">
      <c r="U27325" s="25"/>
    </row>
    <row r="27347" spans="21:21" x14ac:dyDescent="0.3">
      <c r="U27347" s="25"/>
    </row>
    <row r="27369" spans="21:21" x14ac:dyDescent="0.3">
      <c r="U27369" s="25"/>
    </row>
    <row r="27391" spans="21:21" x14ac:dyDescent="0.3">
      <c r="U27391" s="25"/>
    </row>
    <row r="27413" spans="21:21" x14ac:dyDescent="0.3">
      <c r="U27413" s="25"/>
    </row>
    <row r="27435" spans="21:21" x14ac:dyDescent="0.3">
      <c r="U27435" s="25"/>
    </row>
    <row r="27457" spans="21:21" x14ac:dyDescent="0.3">
      <c r="U27457" s="25"/>
    </row>
    <row r="27479" spans="21:21" x14ac:dyDescent="0.3">
      <c r="U27479" s="25"/>
    </row>
    <row r="27501" spans="21:21" x14ac:dyDescent="0.3">
      <c r="U27501" s="25"/>
    </row>
    <row r="27523" spans="21:21" x14ac:dyDescent="0.3">
      <c r="U27523" s="25"/>
    </row>
    <row r="27545" spans="21:21" x14ac:dyDescent="0.3">
      <c r="U27545" s="25"/>
    </row>
    <row r="27567" spans="21:21" x14ac:dyDescent="0.3">
      <c r="U27567" s="25"/>
    </row>
    <row r="27589" spans="21:21" x14ac:dyDescent="0.3">
      <c r="U27589" s="25"/>
    </row>
    <row r="27611" spans="21:21" x14ac:dyDescent="0.3">
      <c r="U27611" s="25"/>
    </row>
    <row r="27633" spans="21:21" x14ac:dyDescent="0.3">
      <c r="U27633" s="25"/>
    </row>
    <row r="27655" spans="21:21" x14ac:dyDescent="0.3">
      <c r="U27655" s="25"/>
    </row>
    <row r="27677" spans="21:21" x14ac:dyDescent="0.3">
      <c r="U27677" s="25"/>
    </row>
    <row r="27699" spans="21:21" x14ac:dyDescent="0.3">
      <c r="U27699" s="25"/>
    </row>
    <row r="27721" spans="21:21" x14ac:dyDescent="0.3">
      <c r="U27721" s="25"/>
    </row>
    <row r="27743" spans="21:21" x14ac:dyDescent="0.3">
      <c r="U27743" s="25"/>
    </row>
    <row r="27765" spans="21:21" x14ac:dyDescent="0.3">
      <c r="U27765" s="25"/>
    </row>
    <row r="27787" spans="21:21" x14ac:dyDescent="0.3">
      <c r="U27787" s="25"/>
    </row>
    <row r="27809" spans="21:21" x14ac:dyDescent="0.3">
      <c r="U27809" s="25"/>
    </row>
    <row r="27831" spans="21:21" x14ac:dyDescent="0.3">
      <c r="U27831" s="25"/>
    </row>
    <row r="27853" spans="21:21" x14ac:dyDescent="0.3">
      <c r="U27853" s="25"/>
    </row>
    <row r="27875" spans="21:21" x14ac:dyDescent="0.3">
      <c r="U27875" s="25"/>
    </row>
    <row r="27897" spans="21:21" x14ac:dyDescent="0.3">
      <c r="U27897" s="25"/>
    </row>
    <row r="27919" spans="21:21" x14ac:dyDescent="0.3">
      <c r="U27919" s="25"/>
    </row>
    <row r="27941" spans="21:21" x14ac:dyDescent="0.3">
      <c r="U27941" s="25"/>
    </row>
    <row r="27963" spans="21:21" x14ac:dyDescent="0.3">
      <c r="U27963" s="25"/>
    </row>
    <row r="27985" spans="21:21" x14ac:dyDescent="0.3">
      <c r="U27985" s="25"/>
    </row>
    <row r="28007" spans="21:21" x14ac:dyDescent="0.3">
      <c r="U28007" s="25"/>
    </row>
    <row r="28029" spans="21:21" x14ac:dyDescent="0.3">
      <c r="U28029" s="25"/>
    </row>
    <row r="28051" spans="21:21" x14ac:dyDescent="0.3">
      <c r="U28051" s="25"/>
    </row>
    <row r="28073" spans="21:21" x14ac:dyDescent="0.3">
      <c r="U28073" s="25"/>
    </row>
    <row r="28095" spans="21:21" x14ac:dyDescent="0.3">
      <c r="U28095" s="25"/>
    </row>
    <row r="28117" spans="21:21" x14ac:dyDescent="0.3">
      <c r="U28117" s="25"/>
    </row>
    <row r="28139" spans="21:21" x14ac:dyDescent="0.3">
      <c r="U28139" s="25"/>
    </row>
    <row r="28161" spans="21:21" x14ac:dyDescent="0.3">
      <c r="U28161" s="25"/>
    </row>
    <row r="28183" spans="21:21" x14ac:dyDescent="0.3">
      <c r="U28183" s="25"/>
    </row>
    <row r="28205" spans="21:21" x14ac:dyDescent="0.3">
      <c r="U28205" s="25"/>
    </row>
    <row r="28227" spans="21:21" x14ac:dyDescent="0.3">
      <c r="U28227" s="25"/>
    </row>
    <row r="28249" spans="21:21" x14ac:dyDescent="0.3">
      <c r="U28249" s="25"/>
    </row>
    <row r="28271" spans="21:21" x14ac:dyDescent="0.3">
      <c r="U28271" s="25"/>
    </row>
    <row r="28293" spans="21:21" x14ac:dyDescent="0.3">
      <c r="U28293" s="25"/>
    </row>
    <row r="28315" spans="21:21" x14ac:dyDescent="0.3">
      <c r="U28315" s="25"/>
    </row>
    <row r="28337" spans="21:21" x14ac:dyDescent="0.3">
      <c r="U28337" s="25"/>
    </row>
    <row r="28359" spans="21:21" x14ac:dyDescent="0.3">
      <c r="U28359" s="25"/>
    </row>
    <row r="28381" spans="21:21" x14ac:dyDescent="0.3">
      <c r="U28381" s="25"/>
    </row>
    <row r="28403" spans="21:21" x14ac:dyDescent="0.3">
      <c r="U28403" s="25"/>
    </row>
    <row r="28425" spans="21:21" x14ac:dyDescent="0.3">
      <c r="U28425" s="25"/>
    </row>
    <row r="28447" spans="21:21" x14ac:dyDescent="0.3">
      <c r="U28447" s="25"/>
    </row>
    <row r="28469" spans="21:21" x14ac:dyDescent="0.3">
      <c r="U28469" s="25"/>
    </row>
    <row r="28491" spans="21:21" x14ac:dyDescent="0.3">
      <c r="U28491" s="25"/>
    </row>
    <row r="28513" spans="21:21" x14ac:dyDescent="0.3">
      <c r="U28513" s="25"/>
    </row>
    <row r="28535" spans="21:21" x14ac:dyDescent="0.3">
      <c r="U28535" s="25"/>
    </row>
    <row r="28557" spans="21:21" x14ac:dyDescent="0.3">
      <c r="U28557" s="25"/>
    </row>
    <row r="28579" spans="21:21" x14ac:dyDescent="0.3">
      <c r="U28579" s="25"/>
    </row>
    <row r="28601" spans="21:21" x14ac:dyDescent="0.3">
      <c r="U28601" s="25"/>
    </row>
    <row r="28623" spans="21:21" x14ac:dyDescent="0.3">
      <c r="U28623" s="25"/>
    </row>
    <row r="28645" spans="21:21" x14ac:dyDescent="0.3">
      <c r="U28645" s="25"/>
    </row>
    <row r="28667" spans="21:21" x14ac:dyDescent="0.3">
      <c r="U28667" s="25"/>
    </row>
    <row r="28689" spans="21:21" x14ac:dyDescent="0.3">
      <c r="U28689" s="25"/>
    </row>
    <row r="28711" spans="21:21" x14ac:dyDescent="0.3">
      <c r="U28711" s="25"/>
    </row>
    <row r="28733" spans="21:21" x14ac:dyDescent="0.3">
      <c r="U28733" s="25"/>
    </row>
    <row r="28755" spans="21:21" x14ac:dyDescent="0.3">
      <c r="U28755" s="25"/>
    </row>
    <row r="28777" spans="21:21" x14ac:dyDescent="0.3">
      <c r="U28777" s="25"/>
    </row>
    <row r="28799" spans="21:21" x14ac:dyDescent="0.3">
      <c r="U28799" s="25"/>
    </row>
    <row r="28821" spans="21:21" x14ac:dyDescent="0.3">
      <c r="U28821" s="25"/>
    </row>
    <row r="28843" spans="21:21" x14ac:dyDescent="0.3">
      <c r="U28843" s="25"/>
    </row>
    <row r="28865" spans="21:21" x14ac:dyDescent="0.3">
      <c r="U28865" s="25"/>
    </row>
    <row r="28887" spans="21:21" x14ac:dyDescent="0.3">
      <c r="U28887" s="25"/>
    </row>
    <row r="28909" spans="21:21" x14ac:dyDescent="0.3">
      <c r="U28909" s="25"/>
    </row>
    <row r="28931" spans="21:21" x14ac:dyDescent="0.3">
      <c r="U28931" s="25"/>
    </row>
    <row r="28953" spans="21:21" x14ac:dyDescent="0.3">
      <c r="U28953" s="25"/>
    </row>
    <row r="28975" spans="21:21" x14ac:dyDescent="0.3">
      <c r="U28975" s="25"/>
    </row>
    <row r="28997" spans="21:21" x14ac:dyDescent="0.3">
      <c r="U28997" s="25"/>
    </row>
    <row r="29019" spans="21:21" x14ac:dyDescent="0.3">
      <c r="U29019" s="25"/>
    </row>
    <row r="29041" spans="21:21" x14ac:dyDescent="0.3">
      <c r="U29041" s="25"/>
    </row>
    <row r="29063" spans="21:21" x14ac:dyDescent="0.3">
      <c r="U29063" s="25"/>
    </row>
    <row r="29085" spans="21:21" x14ac:dyDescent="0.3">
      <c r="U29085" s="25"/>
    </row>
    <row r="29107" spans="21:21" x14ac:dyDescent="0.3">
      <c r="U29107" s="25"/>
    </row>
    <row r="29129" spans="21:21" x14ac:dyDescent="0.3">
      <c r="U29129" s="25"/>
    </row>
    <row r="29151" spans="21:21" x14ac:dyDescent="0.3">
      <c r="U29151" s="25"/>
    </row>
    <row r="29173" spans="21:21" x14ac:dyDescent="0.3">
      <c r="U29173" s="25"/>
    </row>
    <row r="29195" spans="21:21" x14ac:dyDescent="0.3">
      <c r="U29195" s="25"/>
    </row>
    <row r="29217" spans="21:21" x14ac:dyDescent="0.3">
      <c r="U29217" s="25"/>
    </row>
    <row r="29239" spans="21:21" x14ac:dyDescent="0.3">
      <c r="U29239" s="25"/>
    </row>
    <row r="29261" spans="21:21" x14ac:dyDescent="0.3">
      <c r="U29261" s="25"/>
    </row>
    <row r="29283" spans="21:21" x14ac:dyDescent="0.3">
      <c r="U29283" s="25"/>
    </row>
    <row r="29305" spans="21:21" x14ac:dyDescent="0.3">
      <c r="U29305" s="25"/>
    </row>
    <row r="29327" spans="21:21" x14ac:dyDescent="0.3">
      <c r="U29327" s="25"/>
    </row>
    <row r="29349" spans="21:21" x14ac:dyDescent="0.3">
      <c r="U29349" s="25"/>
    </row>
    <row r="29371" spans="21:21" x14ac:dyDescent="0.3">
      <c r="U29371" s="25"/>
    </row>
    <row r="29393" spans="21:21" x14ac:dyDescent="0.3">
      <c r="U29393" s="25"/>
    </row>
    <row r="29415" spans="21:21" x14ac:dyDescent="0.3">
      <c r="U29415" s="25"/>
    </row>
    <row r="29437" spans="21:21" x14ac:dyDescent="0.3">
      <c r="U29437" s="25"/>
    </row>
    <row r="29459" spans="21:21" x14ac:dyDescent="0.3">
      <c r="U29459" s="25"/>
    </row>
    <row r="29481" spans="21:21" x14ac:dyDescent="0.3">
      <c r="U29481" s="25"/>
    </row>
    <row r="29503" spans="21:21" x14ac:dyDescent="0.3">
      <c r="U29503" s="25"/>
    </row>
    <row r="29525" spans="21:21" x14ac:dyDescent="0.3">
      <c r="U29525" s="25"/>
    </row>
    <row r="29547" spans="21:21" x14ac:dyDescent="0.3">
      <c r="U29547" s="25"/>
    </row>
    <row r="29569" spans="21:21" x14ac:dyDescent="0.3">
      <c r="U29569" s="25"/>
    </row>
    <row r="29591" spans="21:21" x14ac:dyDescent="0.3">
      <c r="U29591" s="25"/>
    </row>
    <row r="29613" spans="21:21" x14ac:dyDescent="0.3">
      <c r="U29613" s="25"/>
    </row>
    <row r="29635" spans="21:21" x14ac:dyDescent="0.3">
      <c r="U29635" s="25"/>
    </row>
    <row r="29657" spans="21:21" x14ac:dyDescent="0.3">
      <c r="U29657" s="25"/>
    </row>
    <row r="29679" spans="21:21" x14ac:dyDescent="0.3">
      <c r="U29679" s="25"/>
    </row>
    <row r="29701" spans="21:21" x14ac:dyDescent="0.3">
      <c r="U29701" s="25"/>
    </row>
    <row r="29723" spans="21:21" x14ac:dyDescent="0.3">
      <c r="U29723" s="25"/>
    </row>
    <row r="29745" spans="21:21" x14ac:dyDescent="0.3">
      <c r="U29745" s="25"/>
    </row>
    <row r="29767" spans="21:21" x14ac:dyDescent="0.3">
      <c r="U29767" s="25"/>
    </row>
    <row r="29789" spans="21:21" x14ac:dyDescent="0.3">
      <c r="U29789" s="25"/>
    </row>
    <row r="29811" spans="21:21" x14ac:dyDescent="0.3">
      <c r="U29811" s="25"/>
    </row>
    <row r="29833" spans="21:21" x14ac:dyDescent="0.3">
      <c r="U29833" s="25"/>
    </row>
    <row r="29855" spans="21:21" x14ac:dyDescent="0.3">
      <c r="U29855" s="25"/>
    </row>
    <row r="29877" spans="21:21" x14ac:dyDescent="0.3">
      <c r="U29877" s="25"/>
    </row>
    <row r="29899" spans="21:21" x14ac:dyDescent="0.3">
      <c r="U29899" s="25"/>
    </row>
    <row r="29921" spans="21:21" x14ac:dyDescent="0.3">
      <c r="U29921" s="25"/>
    </row>
    <row r="29943" spans="21:21" x14ac:dyDescent="0.3">
      <c r="U29943" s="25"/>
    </row>
    <row r="29965" spans="21:21" x14ac:dyDescent="0.3">
      <c r="U29965" s="25"/>
    </row>
    <row r="29987" spans="21:21" x14ac:dyDescent="0.3">
      <c r="U29987" s="25"/>
    </row>
    <row r="30009" spans="21:21" x14ac:dyDescent="0.3">
      <c r="U30009" s="25"/>
    </row>
    <row r="30031" spans="21:21" x14ac:dyDescent="0.3">
      <c r="U30031" s="25"/>
    </row>
    <row r="30053" spans="21:21" x14ac:dyDescent="0.3">
      <c r="U30053" s="25"/>
    </row>
    <row r="30075" spans="21:21" x14ac:dyDescent="0.3">
      <c r="U30075" s="25"/>
    </row>
    <row r="30097" spans="21:21" x14ac:dyDescent="0.3">
      <c r="U30097" s="25"/>
    </row>
    <row r="30119" spans="21:21" x14ac:dyDescent="0.3">
      <c r="U30119" s="25"/>
    </row>
    <row r="30141" spans="21:21" x14ac:dyDescent="0.3">
      <c r="U30141" s="25"/>
    </row>
    <row r="30163" spans="21:21" x14ac:dyDescent="0.3">
      <c r="U30163" s="25"/>
    </row>
    <row r="30185" spans="21:21" x14ac:dyDescent="0.3">
      <c r="U30185" s="25"/>
    </row>
    <row r="30207" spans="21:21" x14ac:dyDescent="0.3">
      <c r="U30207" s="25"/>
    </row>
    <row r="30229" spans="21:21" x14ac:dyDescent="0.3">
      <c r="U30229" s="25"/>
    </row>
    <row r="30251" spans="21:21" x14ac:dyDescent="0.3">
      <c r="U30251" s="25"/>
    </row>
    <row r="30273" spans="21:21" x14ac:dyDescent="0.3">
      <c r="U30273" s="25"/>
    </row>
    <row r="30295" spans="21:21" x14ac:dyDescent="0.3">
      <c r="U30295" s="25"/>
    </row>
    <row r="30317" spans="21:21" x14ac:dyDescent="0.3">
      <c r="U30317" s="25"/>
    </row>
    <row r="30339" spans="21:21" x14ac:dyDescent="0.3">
      <c r="U30339" s="25"/>
    </row>
    <row r="30361" spans="21:21" x14ac:dyDescent="0.3">
      <c r="U30361" s="25"/>
    </row>
    <row r="30383" spans="21:21" x14ac:dyDescent="0.3">
      <c r="U30383" s="25"/>
    </row>
    <row r="30405" spans="21:21" x14ac:dyDescent="0.3">
      <c r="U30405" s="25"/>
    </row>
    <row r="30427" spans="21:21" x14ac:dyDescent="0.3">
      <c r="U30427" s="25"/>
    </row>
    <row r="30449" spans="21:21" x14ac:dyDescent="0.3">
      <c r="U30449" s="25"/>
    </row>
    <row r="30471" spans="21:21" x14ac:dyDescent="0.3">
      <c r="U30471" s="25"/>
    </row>
    <row r="30493" spans="21:21" x14ac:dyDescent="0.3">
      <c r="U30493" s="25"/>
    </row>
    <row r="30515" spans="21:21" x14ac:dyDescent="0.3">
      <c r="U30515" s="25"/>
    </row>
    <row r="30537" spans="21:21" x14ac:dyDescent="0.3">
      <c r="U30537" s="25"/>
    </row>
    <row r="30559" spans="21:21" x14ac:dyDescent="0.3">
      <c r="U30559" s="25"/>
    </row>
    <row r="30581" spans="21:21" x14ac:dyDescent="0.3">
      <c r="U30581" s="25"/>
    </row>
    <row r="30603" spans="21:21" x14ac:dyDescent="0.3">
      <c r="U30603" s="25"/>
    </row>
    <row r="30625" spans="21:21" x14ac:dyDescent="0.3">
      <c r="U30625" s="25"/>
    </row>
    <row r="30647" spans="21:21" x14ac:dyDescent="0.3">
      <c r="U30647" s="25"/>
    </row>
    <row r="30669" spans="21:21" x14ac:dyDescent="0.3">
      <c r="U30669" s="25"/>
    </row>
    <row r="30691" spans="21:21" x14ac:dyDescent="0.3">
      <c r="U30691" s="25"/>
    </row>
    <row r="30713" spans="21:21" x14ac:dyDescent="0.3">
      <c r="U30713" s="25"/>
    </row>
    <row r="30735" spans="21:21" x14ac:dyDescent="0.3">
      <c r="U30735" s="25"/>
    </row>
    <row r="30757" spans="21:21" x14ac:dyDescent="0.3">
      <c r="U30757" s="25"/>
    </row>
    <row r="30779" spans="21:21" x14ac:dyDescent="0.3">
      <c r="U30779" s="25"/>
    </row>
    <row r="30801" spans="21:21" x14ac:dyDescent="0.3">
      <c r="U30801" s="25"/>
    </row>
    <row r="30823" spans="21:21" x14ac:dyDescent="0.3">
      <c r="U30823" s="25"/>
    </row>
    <row r="30845" spans="21:21" x14ac:dyDescent="0.3">
      <c r="U30845" s="25"/>
    </row>
    <row r="30867" spans="21:21" x14ac:dyDescent="0.3">
      <c r="U30867" s="25"/>
    </row>
    <row r="30889" spans="21:21" x14ac:dyDescent="0.3">
      <c r="U30889" s="25"/>
    </row>
    <row r="30911" spans="21:21" x14ac:dyDescent="0.3">
      <c r="U30911" s="25"/>
    </row>
    <row r="30933" spans="21:21" x14ac:dyDescent="0.3">
      <c r="U30933" s="25"/>
    </row>
    <row r="30955" spans="21:21" x14ac:dyDescent="0.3">
      <c r="U30955" s="25"/>
    </row>
    <row r="30977" spans="21:21" x14ac:dyDescent="0.3">
      <c r="U30977" s="25"/>
    </row>
    <row r="30999" spans="21:21" x14ac:dyDescent="0.3">
      <c r="U30999" s="25"/>
    </row>
    <row r="31021" spans="21:21" x14ac:dyDescent="0.3">
      <c r="U31021" s="25"/>
    </row>
    <row r="31043" spans="21:21" x14ac:dyDescent="0.3">
      <c r="U31043" s="25"/>
    </row>
    <row r="31065" spans="21:21" x14ac:dyDescent="0.3">
      <c r="U31065" s="25"/>
    </row>
    <row r="31087" spans="21:21" x14ac:dyDescent="0.3">
      <c r="U31087" s="25"/>
    </row>
    <row r="31109" spans="21:21" x14ac:dyDescent="0.3">
      <c r="U31109" s="25"/>
    </row>
    <row r="31131" spans="21:21" x14ac:dyDescent="0.3">
      <c r="U31131" s="25"/>
    </row>
    <row r="31153" spans="21:21" x14ac:dyDescent="0.3">
      <c r="U31153" s="25"/>
    </row>
    <row r="31175" spans="21:21" x14ac:dyDescent="0.3">
      <c r="U31175" s="25"/>
    </row>
    <row r="31197" spans="21:21" x14ac:dyDescent="0.3">
      <c r="U31197" s="25"/>
    </row>
    <row r="31219" spans="21:21" x14ac:dyDescent="0.3">
      <c r="U31219" s="25"/>
    </row>
    <row r="31241" spans="21:21" x14ac:dyDescent="0.3">
      <c r="U31241" s="25"/>
    </row>
    <row r="31263" spans="21:21" x14ac:dyDescent="0.3">
      <c r="U31263" s="25"/>
    </row>
    <row r="31285" spans="21:21" x14ac:dyDescent="0.3">
      <c r="U31285" s="25"/>
    </row>
    <row r="31307" spans="21:21" x14ac:dyDescent="0.3">
      <c r="U31307" s="25"/>
    </row>
    <row r="31329" spans="21:21" x14ac:dyDescent="0.3">
      <c r="U31329" s="25"/>
    </row>
    <row r="31351" spans="21:21" x14ac:dyDescent="0.3">
      <c r="U31351" s="25"/>
    </row>
    <row r="31373" spans="21:21" x14ac:dyDescent="0.3">
      <c r="U31373" s="25"/>
    </row>
    <row r="31395" spans="21:21" x14ac:dyDescent="0.3">
      <c r="U31395" s="25"/>
    </row>
    <row r="31417" spans="21:21" x14ac:dyDescent="0.3">
      <c r="U31417" s="25"/>
    </row>
    <row r="31439" spans="21:21" x14ac:dyDescent="0.3">
      <c r="U31439" s="25"/>
    </row>
    <row r="31461" spans="21:21" x14ac:dyDescent="0.3">
      <c r="U31461" s="25"/>
    </row>
    <row r="31483" spans="21:21" x14ac:dyDescent="0.3">
      <c r="U31483" s="25"/>
    </row>
    <row r="31505" spans="21:21" x14ac:dyDescent="0.3">
      <c r="U31505" s="25"/>
    </row>
    <row r="31527" spans="21:21" x14ac:dyDescent="0.3">
      <c r="U31527" s="25"/>
    </row>
    <row r="31549" spans="21:21" x14ac:dyDescent="0.3">
      <c r="U31549" s="25"/>
    </row>
    <row r="31571" spans="21:21" x14ac:dyDescent="0.3">
      <c r="U31571" s="25"/>
    </row>
    <row r="31593" spans="21:21" x14ac:dyDescent="0.3">
      <c r="U31593" s="25"/>
    </row>
    <row r="31615" spans="21:21" x14ac:dyDescent="0.3">
      <c r="U31615" s="25"/>
    </row>
    <row r="31637" spans="21:21" x14ac:dyDescent="0.3">
      <c r="U31637" s="25"/>
    </row>
    <row r="31659" spans="21:21" x14ac:dyDescent="0.3">
      <c r="U31659" s="25"/>
    </row>
    <row r="31681" spans="21:21" x14ac:dyDescent="0.3">
      <c r="U31681" s="25"/>
    </row>
    <row r="31703" spans="21:21" x14ac:dyDescent="0.3">
      <c r="U31703" s="25"/>
    </row>
    <row r="31725" spans="21:21" x14ac:dyDescent="0.3">
      <c r="U31725" s="25"/>
    </row>
    <row r="31747" spans="21:21" x14ac:dyDescent="0.3">
      <c r="U31747" s="25"/>
    </row>
    <row r="31769" spans="21:21" x14ac:dyDescent="0.3">
      <c r="U31769" s="25"/>
    </row>
    <row r="31791" spans="21:21" x14ac:dyDescent="0.3">
      <c r="U31791" s="25"/>
    </row>
    <row r="31813" spans="21:21" x14ac:dyDescent="0.3">
      <c r="U31813" s="25"/>
    </row>
    <row r="31835" spans="21:21" x14ac:dyDescent="0.3">
      <c r="U31835" s="25"/>
    </row>
    <row r="31857" spans="21:21" x14ac:dyDescent="0.3">
      <c r="U31857" s="25"/>
    </row>
    <row r="31879" spans="21:21" x14ac:dyDescent="0.3">
      <c r="U31879" s="25"/>
    </row>
    <row r="31901" spans="21:21" x14ac:dyDescent="0.3">
      <c r="U31901" s="25"/>
    </row>
    <row r="31923" spans="21:21" x14ac:dyDescent="0.3">
      <c r="U31923" s="25"/>
    </row>
    <row r="31945" spans="21:21" x14ac:dyDescent="0.3">
      <c r="U31945" s="25"/>
    </row>
    <row r="31967" spans="21:21" x14ac:dyDescent="0.3">
      <c r="U31967" s="25"/>
    </row>
    <row r="31989" spans="21:21" x14ac:dyDescent="0.3">
      <c r="U31989" s="25"/>
    </row>
    <row r="32011" spans="21:21" x14ac:dyDescent="0.3">
      <c r="U32011" s="25"/>
    </row>
    <row r="32033" spans="21:21" x14ac:dyDescent="0.3">
      <c r="U32033" s="25"/>
    </row>
    <row r="32055" spans="21:21" x14ac:dyDescent="0.3">
      <c r="U32055" s="25"/>
    </row>
    <row r="32077" spans="21:21" x14ac:dyDescent="0.3">
      <c r="U32077" s="25"/>
    </row>
    <row r="32099" spans="21:21" x14ac:dyDescent="0.3">
      <c r="U32099" s="25"/>
    </row>
    <row r="32121" spans="21:21" x14ac:dyDescent="0.3">
      <c r="U32121" s="25"/>
    </row>
    <row r="32143" spans="21:21" x14ac:dyDescent="0.3">
      <c r="U32143" s="25"/>
    </row>
    <row r="32165" spans="21:21" x14ac:dyDescent="0.3">
      <c r="U32165" s="25"/>
    </row>
    <row r="32187" spans="21:21" x14ac:dyDescent="0.3">
      <c r="U32187" s="25"/>
    </row>
    <row r="32209" spans="21:21" x14ac:dyDescent="0.3">
      <c r="U32209" s="25"/>
    </row>
    <row r="32231" spans="21:21" x14ac:dyDescent="0.3">
      <c r="U32231" s="25"/>
    </row>
    <row r="32253" spans="21:21" x14ac:dyDescent="0.3">
      <c r="U32253" s="25"/>
    </row>
    <row r="32275" spans="21:21" x14ac:dyDescent="0.3">
      <c r="U32275" s="25"/>
    </row>
    <row r="32297" spans="21:21" x14ac:dyDescent="0.3">
      <c r="U32297" s="25"/>
    </row>
    <row r="32319" spans="21:21" x14ac:dyDescent="0.3">
      <c r="U32319" s="25"/>
    </row>
    <row r="32341" spans="21:21" x14ac:dyDescent="0.3">
      <c r="U32341" s="25"/>
    </row>
    <row r="32363" spans="21:21" x14ac:dyDescent="0.3">
      <c r="U32363" s="25"/>
    </row>
    <row r="32385" spans="21:21" x14ac:dyDescent="0.3">
      <c r="U32385" s="25"/>
    </row>
    <row r="32407" spans="21:21" x14ac:dyDescent="0.3">
      <c r="U32407" s="25"/>
    </row>
    <row r="32429" spans="21:21" x14ac:dyDescent="0.3">
      <c r="U32429" s="25"/>
    </row>
    <row r="32451" spans="21:21" x14ac:dyDescent="0.3">
      <c r="U32451" s="25"/>
    </row>
    <row r="32473" spans="21:21" x14ac:dyDescent="0.3">
      <c r="U32473" s="25"/>
    </row>
    <row r="32495" spans="21:21" x14ac:dyDescent="0.3">
      <c r="U32495" s="25"/>
    </row>
    <row r="32517" spans="21:21" x14ac:dyDescent="0.3">
      <c r="U32517" s="25"/>
    </row>
    <row r="32539" spans="21:21" x14ac:dyDescent="0.3">
      <c r="U32539" s="25"/>
    </row>
    <row r="32561" spans="21:21" x14ac:dyDescent="0.3">
      <c r="U32561" s="25"/>
    </row>
    <row r="32583" spans="21:21" x14ac:dyDescent="0.3">
      <c r="U32583" s="25"/>
    </row>
    <row r="32605" spans="21:21" x14ac:dyDescent="0.3">
      <c r="U32605" s="25"/>
    </row>
    <row r="32627" spans="21:21" x14ac:dyDescent="0.3">
      <c r="U32627" s="25"/>
    </row>
    <row r="32649" spans="21:21" x14ac:dyDescent="0.3">
      <c r="U32649" s="25"/>
    </row>
    <row r="32671" spans="21:21" x14ac:dyDescent="0.3">
      <c r="U32671" s="25"/>
    </row>
    <row r="32693" spans="21:21" x14ac:dyDescent="0.3">
      <c r="U32693" s="25"/>
    </row>
    <row r="32715" spans="21:21" x14ac:dyDescent="0.3">
      <c r="U32715" s="25"/>
    </row>
    <row r="32737" spans="21:21" x14ac:dyDescent="0.3">
      <c r="U32737" s="25"/>
    </row>
    <row r="32759" spans="21:21" x14ac:dyDescent="0.3">
      <c r="U32759" s="25"/>
    </row>
    <row r="32781" spans="21:21" x14ac:dyDescent="0.3">
      <c r="U32781" s="25"/>
    </row>
    <row r="32803" spans="21:21" x14ac:dyDescent="0.3">
      <c r="U32803" s="25"/>
    </row>
    <row r="32825" spans="21:21" x14ac:dyDescent="0.3">
      <c r="U32825" s="25"/>
    </row>
    <row r="32847" spans="21:21" x14ac:dyDescent="0.3">
      <c r="U32847" s="25"/>
    </row>
    <row r="32869" spans="21:21" x14ac:dyDescent="0.3">
      <c r="U32869" s="25"/>
    </row>
    <row r="32891" spans="21:21" x14ac:dyDescent="0.3">
      <c r="U32891" s="25"/>
    </row>
    <row r="32913" spans="21:21" x14ac:dyDescent="0.3">
      <c r="U32913" s="25"/>
    </row>
    <row r="32935" spans="21:21" x14ac:dyDescent="0.3">
      <c r="U32935" s="25"/>
    </row>
    <row r="32957" spans="21:21" x14ac:dyDescent="0.3">
      <c r="U32957" s="25"/>
    </row>
    <row r="32979" spans="21:21" x14ac:dyDescent="0.3">
      <c r="U32979" s="25"/>
    </row>
    <row r="33001" spans="21:21" x14ac:dyDescent="0.3">
      <c r="U33001" s="25"/>
    </row>
    <row r="33023" spans="21:21" x14ac:dyDescent="0.3">
      <c r="U33023" s="25"/>
    </row>
    <row r="33045" spans="21:21" x14ac:dyDescent="0.3">
      <c r="U33045" s="25"/>
    </row>
    <row r="33067" spans="21:21" x14ac:dyDescent="0.3">
      <c r="U33067" s="25"/>
    </row>
    <row r="33089" spans="21:21" x14ac:dyDescent="0.3">
      <c r="U33089" s="25"/>
    </row>
    <row r="33111" spans="21:21" x14ac:dyDescent="0.3">
      <c r="U33111" s="25"/>
    </row>
    <row r="33133" spans="21:21" x14ac:dyDescent="0.3">
      <c r="U33133" s="25"/>
    </row>
    <row r="33155" spans="21:21" x14ac:dyDescent="0.3">
      <c r="U33155" s="25"/>
    </row>
    <row r="33177" spans="21:21" x14ac:dyDescent="0.3">
      <c r="U33177" s="25"/>
    </row>
    <row r="33199" spans="21:21" x14ac:dyDescent="0.3">
      <c r="U33199" s="25"/>
    </row>
    <row r="33221" spans="21:21" x14ac:dyDescent="0.3">
      <c r="U33221" s="25"/>
    </row>
    <row r="33243" spans="21:21" x14ac:dyDescent="0.3">
      <c r="U33243" s="25"/>
    </row>
    <row r="33265" spans="21:21" x14ac:dyDescent="0.3">
      <c r="U33265" s="25"/>
    </row>
    <row r="33287" spans="21:21" x14ac:dyDescent="0.3">
      <c r="U33287" s="25"/>
    </row>
    <row r="33309" spans="21:21" x14ac:dyDescent="0.3">
      <c r="U33309" s="25"/>
    </row>
    <row r="33331" spans="21:21" x14ac:dyDescent="0.3">
      <c r="U33331" s="25"/>
    </row>
    <row r="33353" spans="21:21" x14ac:dyDescent="0.3">
      <c r="U33353" s="25"/>
    </row>
    <row r="33375" spans="21:21" x14ac:dyDescent="0.3">
      <c r="U33375" s="25"/>
    </row>
    <row r="33397" spans="21:21" x14ac:dyDescent="0.3">
      <c r="U33397" s="25"/>
    </row>
    <row r="33419" spans="21:21" x14ac:dyDescent="0.3">
      <c r="U33419" s="25"/>
    </row>
    <row r="33441" spans="21:21" x14ac:dyDescent="0.3">
      <c r="U33441" s="25"/>
    </row>
    <row r="33463" spans="21:21" x14ac:dyDescent="0.3">
      <c r="U33463" s="25"/>
    </row>
    <row r="33485" spans="21:21" x14ac:dyDescent="0.3">
      <c r="U33485" s="25"/>
    </row>
    <row r="33507" spans="21:21" x14ac:dyDescent="0.3">
      <c r="U33507" s="25"/>
    </row>
    <row r="33529" spans="21:21" x14ac:dyDescent="0.3">
      <c r="U33529" s="25"/>
    </row>
    <row r="33551" spans="21:21" x14ac:dyDescent="0.3">
      <c r="U33551" s="25"/>
    </row>
    <row r="33573" spans="21:21" x14ac:dyDescent="0.3">
      <c r="U33573" s="25"/>
    </row>
    <row r="33595" spans="21:21" x14ac:dyDescent="0.3">
      <c r="U33595" s="25"/>
    </row>
    <row r="33617" spans="21:21" x14ac:dyDescent="0.3">
      <c r="U33617" s="25"/>
    </row>
    <row r="33639" spans="21:21" x14ac:dyDescent="0.3">
      <c r="U33639" s="25"/>
    </row>
    <row r="33661" spans="21:21" x14ac:dyDescent="0.3">
      <c r="U33661" s="25"/>
    </row>
    <row r="33683" spans="21:21" x14ac:dyDescent="0.3">
      <c r="U33683" s="25"/>
    </row>
    <row r="33705" spans="21:21" x14ac:dyDescent="0.3">
      <c r="U33705" s="25"/>
    </row>
    <row r="33727" spans="21:21" x14ac:dyDescent="0.3">
      <c r="U33727" s="25"/>
    </row>
    <row r="33749" spans="21:21" x14ac:dyDescent="0.3">
      <c r="U33749" s="25"/>
    </row>
    <row r="33771" spans="21:21" x14ac:dyDescent="0.3">
      <c r="U33771" s="25"/>
    </row>
    <row r="33793" spans="21:21" x14ac:dyDescent="0.3">
      <c r="U33793" s="25"/>
    </row>
    <row r="33815" spans="21:21" x14ac:dyDescent="0.3">
      <c r="U33815" s="25"/>
    </row>
    <row r="33837" spans="21:21" x14ac:dyDescent="0.3">
      <c r="U33837" s="25"/>
    </row>
    <row r="33859" spans="21:21" x14ac:dyDescent="0.3">
      <c r="U33859" s="25"/>
    </row>
    <row r="33881" spans="21:21" x14ac:dyDescent="0.3">
      <c r="U33881" s="25"/>
    </row>
    <row r="33903" spans="21:21" x14ac:dyDescent="0.3">
      <c r="U33903" s="25"/>
    </row>
    <row r="33925" spans="21:21" x14ac:dyDescent="0.3">
      <c r="U33925" s="25"/>
    </row>
    <row r="33947" spans="21:21" x14ac:dyDescent="0.3">
      <c r="U33947" s="25"/>
    </row>
    <row r="33969" spans="21:21" x14ac:dyDescent="0.3">
      <c r="U33969" s="25"/>
    </row>
    <row r="33991" spans="21:21" x14ac:dyDescent="0.3">
      <c r="U33991" s="25"/>
    </row>
    <row r="34013" spans="21:21" x14ac:dyDescent="0.3">
      <c r="U34013" s="25"/>
    </row>
    <row r="34035" spans="21:21" x14ac:dyDescent="0.3">
      <c r="U34035" s="25"/>
    </row>
    <row r="34057" spans="21:21" x14ac:dyDescent="0.3">
      <c r="U34057" s="25"/>
    </row>
    <row r="34079" spans="21:21" x14ac:dyDescent="0.3">
      <c r="U34079" s="25"/>
    </row>
    <row r="34101" spans="21:21" x14ac:dyDescent="0.3">
      <c r="U34101" s="25"/>
    </row>
    <row r="34123" spans="21:21" x14ac:dyDescent="0.3">
      <c r="U34123" s="25"/>
    </row>
    <row r="34145" spans="21:21" x14ac:dyDescent="0.3">
      <c r="U34145" s="25"/>
    </row>
    <row r="34167" spans="21:21" x14ac:dyDescent="0.3">
      <c r="U34167" s="25"/>
    </row>
    <row r="34189" spans="21:21" x14ac:dyDescent="0.3">
      <c r="U34189" s="25"/>
    </row>
    <row r="34211" spans="21:21" x14ac:dyDescent="0.3">
      <c r="U34211" s="25"/>
    </row>
    <row r="34233" spans="21:21" x14ac:dyDescent="0.3">
      <c r="U34233" s="25"/>
    </row>
    <row r="34255" spans="21:21" x14ac:dyDescent="0.3">
      <c r="U34255" s="25"/>
    </row>
    <row r="34277" spans="21:21" x14ac:dyDescent="0.3">
      <c r="U34277" s="25"/>
    </row>
    <row r="34299" spans="21:21" x14ac:dyDescent="0.3">
      <c r="U34299" s="25"/>
    </row>
    <row r="34321" spans="21:21" x14ac:dyDescent="0.3">
      <c r="U34321" s="25"/>
    </row>
    <row r="34343" spans="21:21" x14ac:dyDescent="0.3">
      <c r="U34343" s="25"/>
    </row>
    <row r="34365" spans="21:21" x14ac:dyDescent="0.3">
      <c r="U34365" s="25"/>
    </row>
    <row r="34387" spans="21:21" x14ac:dyDescent="0.3">
      <c r="U34387" s="25"/>
    </row>
    <row r="34409" spans="21:21" x14ac:dyDescent="0.3">
      <c r="U34409" s="25"/>
    </row>
    <row r="34431" spans="21:21" x14ac:dyDescent="0.3">
      <c r="U34431" s="25"/>
    </row>
    <row r="34453" spans="21:21" x14ac:dyDescent="0.3">
      <c r="U34453" s="25"/>
    </row>
    <row r="34475" spans="21:21" x14ac:dyDescent="0.3">
      <c r="U34475" s="25"/>
    </row>
    <row r="34497" spans="21:21" x14ac:dyDescent="0.3">
      <c r="U34497" s="25"/>
    </row>
    <row r="34519" spans="21:21" x14ac:dyDescent="0.3">
      <c r="U34519" s="25"/>
    </row>
    <row r="34541" spans="21:21" x14ac:dyDescent="0.3">
      <c r="U34541" s="25"/>
    </row>
    <row r="34563" spans="21:21" x14ac:dyDescent="0.3">
      <c r="U34563" s="25"/>
    </row>
    <row r="34585" spans="21:21" x14ac:dyDescent="0.3">
      <c r="U34585" s="25"/>
    </row>
    <row r="34607" spans="21:21" x14ac:dyDescent="0.3">
      <c r="U34607" s="25"/>
    </row>
    <row r="34629" spans="21:21" x14ac:dyDescent="0.3">
      <c r="U34629" s="25"/>
    </row>
    <row r="34651" spans="21:21" x14ac:dyDescent="0.3">
      <c r="U34651" s="25"/>
    </row>
    <row r="34673" spans="21:21" x14ac:dyDescent="0.3">
      <c r="U34673" s="25"/>
    </row>
    <row r="34695" spans="21:21" x14ac:dyDescent="0.3">
      <c r="U34695" s="25"/>
    </row>
    <row r="34717" spans="21:21" x14ac:dyDescent="0.3">
      <c r="U34717" s="25"/>
    </row>
    <row r="34739" spans="21:21" x14ac:dyDescent="0.3">
      <c r="U34739" s="25"/>
    </row>
    <row r="34761" spans="21:21" x14ac:dyDescent="0.3">
      <c r="U34761" s="25"/>
    </row>
    <row r="34783" spans="21:21" x14ac:dyDescent="0.3">
      <c r="U34783" s="25"/>
    </row>
    <row r="34805" spans="21:21" x14ac:dyDescent="0.3">
      <c r="U34805" s="25"/>
    </row>
    <row r="34827" spans="21:21" x14ac:dyDescent="0.3">
      <c r="U34827" s="25"/>
    </row>
    <row r="34849" spans="21:21" x14ac:dyDescent="0.3">
      <c r="U34849" s="25"/>
    </row>
    <row r="34871" spans="21:21" x14ac:dyDescent="0.3">
      <c r="U34871" s="25"/>
    </row>
    <row r="34893" spans="21:21" x14ac:dyDescent="0.3">
      <c r="U34893" s="25"/>
    </row>
    <row r="34915" spans="21:21" x14ac:dyDescent="0.3">
      <c r="U34915" s="25"/>
    </row>
    <row r="34937" spans="21:21" x14ac:dyDescent="0.3">
      <c r="U34937" s="25"/>
    </row>
    <row r="34959" spans="21:21" x14ac:dyDescent="0.3">
      <c r="U34959" s="25"/>
    </row>
    <row r="34981" spans="21:21" x14ac:dyDescent="0.3">
      <c r="U34981" s="25"/>
    </row>
    <row r="35003" spans="21:21" x14ac:dyDescent="0.3">
      <c r="U35003" s="25"/>
    </row>
    <row r="35025" spans="21:21" x14ac:dyDescent="0.3">
      <c r="U35025" s="25"/>
    </row>
    <row r="35047" spans="21:21" x14ac:dyDescent="0.3">
      <c r="U35047" s="25"/>
    </row>
    <row r="35069" spans="21:21" x14ac:dyDescent="0.3">
      <c r="U35069" s="25"/>
    </row>
    <row r="35091" spans="21:21" x14ac:dyDescent="0.3">
      <c r="U35091" s="25"/>
    </row>
    <row r="35113" spans="21:21" x14ac:dyDescent="0.3">
      <c r="U35113" s="25"/>
    </row>
    <row r="35135" spans="21:21" x14ac:dyDescent="0.3">
      <c r="U35135" s="25"/>
    </row>
    <row r="35157" spans="21:21" x14ac:dyDescent="0.3">
      <c r="U35157" s="25"/>
    </row>
    <row r="35179" spans="21:21" x14ac:dyDescent="0.3">
      <c r="U35179" s="25"/>
    </row>
    <row r="35201" spans="21:21" x14ac:dyDescent="0.3">
      <c r="U35201" s="25"/>
    </row>
    <row r="35223" spans="21:21" x14ac:dyDescent="0.3">
      <c r="U35223" s="25"/>
    </row>
    <row r="35245" spans="21:21" x14ac:dyDescent="0.3">
      <c r="U35245" s="25"/>
    </row>
    <row r="35267" spans="21:21" x14ac:dyDescent="0.3">
      <c r="U35267" s="25"/>
    </row>
    <row r="35289" spans="21:21" x14ac:dyDescent="0.3">
      <c r="U35289" s="25"/>
    </row>
    <row r="35311" spans="21:21" x14ac:dyDescent="0.3">
      <c r="U35311" s="25"/>
    </row>
    <row r="35333" spans="21:21" x14ac:dyDescent="0.3">
      <c r="U35333" s="25"/>
    </row>
    <row r="35355" spans="21:21" x14ac:dyDescent="0.3">
      <c r="U35355" s="25"/>
    </row>
    <row r="35377" spans="21:21" x14ac:dyDescent="0.3">
      <c r="U35377" s="25"/>
    </row>
    <row r="35399" spans="21:21" x14ac:dyDescent="0.3">
      <c r="U35399" s="25"/>
    </row>
    <row r="35421" spans="21:21" x14ac:dyDescent="0.3">
      <c r="U35421" s="25"/>
    </row>
    <row r="35443" spans="21:21" x14ac:dyDescent="0.3">
      <c r="U35443" s="25"/>
    </row>
    <row r="35465" spans="21:21" x14ac:dyDescent="0.3">
      <c r="U35465" s="25"/>
    </row>
    <row r="35487" spans="21:21" x14ac:dyDescent="0.3">
      <c r="U35487" s="25"/>
    </row>
    <row r="35509" spans="21:21" x14ac:dyDescent="0.3">
      <c r="U35509" s="25"/>
    </row>
    <row r="35531" spans="21:21" x14ac:dyDescent="0.3">
      <c r="U35531" s="25"/>
    </row>
    <row r="35553" spans="21:21" x14ac:dyDescent="0.3">
      <c r="U35553" s="25"/>
    </row>
    <row r="35575" spans="21:21" x14ac:dyDescent="0.3">
      <c r="U35575" s="25"/>
    </row>
    <row r="35597" spans="21:21" x14ac:dyDescent="0.3">
      <c r="U35597" s="25"/>
    </row>
    <row r="35619" spans="21:21" x14ac:dyDescent="0.3">
      <c r="U35619" s="25"/>
    </row>
    <row r="35641" spans="21:21" x14ac:dyDescent="0.3">
      <c r="U35641" s="25"/>
    </row>
    <row r="35663" spans="21:21" x14ac:dyDescent="0.3">
      <c r="U35663" s="25"/>
    </row>
    <row r="35685" spans="21:21" x14ac:dyDescent="0.3">
      <c r="U35685" s="25"/>
    </row>
    <row r="35707" spans="21:21" x14ac:dyDescent="0.3">
      <c r="U35707" s="25"/>
    </row>
    <row r="35729" spans="21:21" x14ac:dyDescent="0.3">
      <c r="U35729" s="25"/>
    </row>
    <row r="35751" spans="21:21" x14ac:dyDescent="0.3">
      <c r="U35751" s="25"/>
    </row>
    <row r="35773" spans="21:21" x14ac:dyDescent="0.3">
      <c r="U35773" s="25"/>
    </row>
    <row r="35795" spans="21:21" x14ac:dyDescent="0.3">
      <c r="U35795" s="25"/>
    </row>
    <row r="35817" spans="21:21" x14ac:dyDescent="0.3">
      <c r="U35817" s="25"/>
    </row>
    <row r="35839" spans="21:21" x14ac:dyDescent="0.3">
      <c r="U35839" s="25"/>
    </row>
    <row r="35861" spans="21:21" x14ac:dyDescent="0.3">
      <c r="U35861" s="25"/>
    </row>
    <row r="35883" spans="21:21" x14ac:dyDescent="0.3">
      <c r="U35883" s="25"/>
    </row>
    <row r="35905" spans="21:21" x14ac:dyDescent="0.3">
      <c r="U35905" s="25"/>
    </row>
    <row r="35927" spans="21:21" x14ac:dyDescent="0.3">
      <c r="U35927" s="25"/>
    </row>
    <row r="35949" spans="21:21" x14ac:dyDescent="0.3">
      <c r="U35949" s="25"/>
    </row>
    <row r="35971" spans="21:21" x14ac:dyDescent="0.3">
      <c r="U35971" s="25"/>
    </row>
    <row r="35993" spans="21:21" x14ac:dyDescent="0.3">
      <c r="U35993" s="25"/>
    </row>
    <row r="36015" spans="21:21" x14ac:dyDescent="0.3">
      <c r="U36015" s="25"/>
    </row>
    <row r="36037" spans="21:21" x14ac:dyDescent="0.3">
      <c r="U36037" s="25"/>
    </row>
    <row r="36059" spans="21:21" x14ac:dyDescent="0.3">
      <c r="U36059" s="25"/>
    </row>
    <row r="36081" spans="21:21" x14ac:dyDescent="0.3">
      <c r="U36081" s="25"/>
    </row>
    <row r="36103" spans="21:21" x14ac:dyDescent="0.3">
      <c r="U36103" s="25"/>
    </row>
    <row r="36125" spans="21:21" x14ac:dyDescent="0.3">
      <c r="U36125" s="25"/>
    </row>
    <row r="36147" spans="21:21" x14ac:dyDescent="0.3">
      <c r="U36147" s="25"/>
    </row>
    <row r="36169" spans="21:21" x14ac:dyDescent="0.3">
      <c r="U36169" s="25"/>
    </row>
    <row r="36191" spans="21:21" x14ac:dyDescent="0.3">
      <c r="U36191" s="25"/>
    </row>
    <row r="36213" spans="21:21" x14ac:dyDescent="0.3">
      <c r="U36213" s="25"/>
    </row>
    <row r="36235" spans="21:21" x14ac:dyDescent="0.3">
      <c r="U36235" s="25"/>
    </row>
    <row r="36257" spans="21:21" x14ac:dyDescent="0.3">
      <c r="U36257" s="25"/>
    </row>
    <row r="36279" spans="21:21" x14ac:dyDescent="0.3">
      <c r="U36279" s="25"/>
    </row>
    <row r="36301" spans="21:21" x14ac:dyDescent="0.3">
      <c r="U36301" s="25"/>
    </row>
    <row r="36323" spans="21:21" x14ac:dyDescent="0.3">
      <c r="U36323" s="25"/>
    </row>
    <row r="36345" spans="21:21" x14ac:dyDescent="0.3">
      <c r="U36345" s="25"/>
    </row>
    <row r="36367" spans="21:21" x14ac:dyDescent="0.3">
      <c r="U36367" s="25"/>
    </row>
    <row r="36389" spans="21:21" x14ac:dyDescent="0.3">
      <c r="U36389" s="25"/>
    </row>
    <row r="36411" spans="21:21" x14ac:dyDescent="0.3">
      <c r="U36411" s="25"/>
    </row>
    <row r="36433" spans="21:21" x14ac:dyDescent="0.3">
      <c r="U36433" s="25"/>
    </row>
    <row r="36455" spans="21:21" x14ac:dyDescent="0.3">
      <c r="U36455" s="25"/>
    </row>
    <row r="36477" spans="21:21" x14ac:dyDescent="0.3">
      <c r="U36477" s="25"/>
    </row>
    <row r="36499" spans="21:21" x14ac:dyDescent="0.3">
      <c r="U36499" s="25"/>
    </row>
    <row r="36521" spans="21:21" x14ac:dyDescent="0.3">
      <c r="U36521" s="25"/>
    </row>
    <row r="36543" spans="21:21" x14ac:dyDescent="0.3">
      <c r="U36543" s="25"/>
    </row>
    <row r="36565" spans="21:21" x14ac:dyDescent="0.3">
      <c r="U36565" s="25"/>
    </row>
    <row r="36587" spans="21:21" x14ac:dyDescent="0.3">
      <c r="U36587" s="25"/>
    </row>
    <row r="36609" spans="21:21" x14ac:dyDescent="0.3">
      <c r="U36609" s="25"/>
    </row>
    <row r="36631" spans="21:21" x14ac:dyDescent="0.3">
      <c r="U36631" s="25"/>
    </row>
    <row r="36653" spans="21:21" x14ac:dyDescent="0.3">
      <c r="U36653" s="25"/>
    </row>
    <row r="36675" spans="21:21" x14ac:dyDescent="0.3">
      <c r="U36675" s="25"/>
    </row>
    <row r="36697" spans="21:21" x14ac:dyDescent="0.3">
      <c r="U36697" s="25"/>
    </row>
    <row r="36719" spans="21:21" x14ac:dyDescent="0.3">
      <c r="U36719" s="25"/>
    </row>
    <row r="36741" spans="21:21" x14ac:dyDescent="0.3">
      <c r="U36741" s="25"/>
    </row>
    <row r="36763" spans="21:21" x14ac:dyDescent="0.3">
      <c r="U36763" s="25"/>
    </row>
    <row r="36785" spans="21:21" x14ac:dyDescent="0.3">
      <c r="U36785" s="25"/>
    </row>
    <row r="36807" spans="21:21" x14ac:dyDescent="0.3">
      <c r="U36807" s="25"/>
    </row>
    <row r="36829" spans="21:21" x14ac:dyDescent="0.3">
      <c r="U36829" s="25"/>
    </row>
    <row r="36851" spans="21:21" x14ac:dyDescent="0.3">
      <c r="U36851" s="25"/>
    </row>
    <row r="36873" spans="21:21" x14ac:dyDescent="0.3">
      <c r="U36873" s="25"/>
    </row>
    <row r="36895" spans="21:21" x14ac:dyDescent="0.3">
      <c r="U36895" s="25"/>
    </row>
    <row r="36917" spans="21:21" x14ac:dyDescent="0.3">
      <c r="U36917" s="25"/>
    </row>
    <row r="36939" spans="21:21" x14ac:dyDescent="0.3">
      <c r="U36939" s="25"/>
    </row>
    <row r="36961" spans="21:21" x14ac:dyDescent="0.3">
      <c r="U36961" s="25"/>
    </row>
    <row r="36983" spans="21:21" x14ac:dyDescent="0.3">
      <c r="U36983" s="25"/>
    </row>
    <row r="37005" spans="21:21" x14ac:dyDescent="0.3">
      <c r="U37005" s="25"/>
    </row>
    <row r="37027" spans="21:21" x14ac:dyDescent="0.3">
      <c r="U37027" s="25"/>
    </row>
    <row r="37049" spans="21:21" x14ac:dyDescent="0.3">
      <c r="U37049" s="25"/>
    </row>
    <row r="37071" spans="21:21" x14ac:dyDescent="0.3">
      <c r="U37071" s="25"/>
    </row>
    <row r="37093" spans="21:21" x14ac:dyDescent="0.3">
      <c r="U37093" s="25"/>
    </row>
    <row r="37115" spans="21:21" x14ac:dyDescent="0.3">
      <c r="U37115" s="25"/>
    </row>
    <row r="37137" spans="21:21" x14ac:dyDescent="0.3">
      <c r="U37137" s="25"/>
    </row>
    <row r="37159" spans="21:21" x14ac:dyDescent="0.3">
      <c r="U37159" s="25"/>
    </row>
    <row r="37181" spans="21:21" x14ac:dyDescent="0.3">
      <c r="U37181" s="25"/>
    </row>
    <row r="37203" spans="21:21" x14ac:dyDescent="0.3">
      <c r="U37203" s="25"/>
    </row>
    <row r="37225" spans="21:21" x14ac:dyDescent="0.3">
      <c r="U37225" s="25"/>
    </row>
    <row r="37247" spans="21:21" x14ac:dyDescent="0.3">
      <c r="U37247" s="25"/>
    </row>
    <row r="37269" spans="21:21" x14ac:dyDescent="0.3">
      <c r="U37269" s="25"/>
    </row>
    <row r="37291" spans="21:21" x14ac:dyDescent="0.3">
      <c r="U37291" s="25"/>
    </row>
    <row r="37313" spans="21:21" x14ac:dyDescent="0.3">
      <c r="U37313" s="25"/>
    </row>
    <row r="37335" spans="21:21" x14ac:dyDescent="0.3">
      <c r="U37335" s="25"/>
    </row>
    <row r="37357" spans="21:21" x14ac:dyDescent="0.3">
      <c r="U37357" s="25"/>
    </row>
    <row r="37379" spans="21:21" x14ac:dyDescent="0.3">
      <c r="U37379" s="25"/>
    </row>
    <row r="37401" spans="21:21" x14ac:dyDescent="0.3">
      <c r="U37401" s="25"/>
    </row>
    <row r="37423" spans="21:21" x14ac:dyDescent="0.3">
      <c r="U37423" s="25"/>
    </row>
    <row r="37445" spans="21:21" x14ac:dyDescent="0.3">
      <c r="U37445" s="25"/>
    </row>
    <row r="37467" spans="21:21" x14ac:dyDescent="0.3">
      <c r="U37467" s="25"/>
    </row>
    <row r="37489" spans="21:21" x14ac:dyDescent="0.3">
      <c r="U37489" s="25"/>
    </row>
    <row r="37511" spans="21:21" x14ac:dyDescent="0.3">
      <c r="U37511" s="25"/>
    </row>
    <row r="37533" spans="21:21" x14ac:dyDescent="0.3">
      <c r="U37533" s="25"/>
    </row>
    <row r="37555" spans="21:21" x14ac:dyDescent="0.3">
      <c r="U37555" s="25"/>
    </row>
    <row r="37577" spans="21:21" x14ac:dyDescent="0.3">
      <c r="U37577" s="25"/>
    </row>
    <row r="37599" spans="21:21" x14ac:dyDescent="0.3">
      <c r="U37599" s="25"/>
    </row>
    <row r="37621" spans="21:21" x14ac:dyDescent="0.3">
      <c r="U37621" s="25"/>
    </row>
    <row r="37643" spans="21:21" x14ac:dyDescent="0.3">
      <c r="U37643" s="25"/>
    </row>
    <row r="37665" spans="21:21" x14ac:dyDescent="0.3">
      <c r="U37665" s="25"/>
    </row>
    <row r="37687" spans="21:21" x14ac:dyDescent="0.3">
      <c r="U37687" s="25"/>
    </row>
    <row r="37709" spans="21:21" x14ac:dyDescent="0.3">
      <c r="U37709" s="25"/>
    </row>
    <row r="37731" spans="21:21" x14ac:dyDescent="0.3">
      <c r="U37731" s="25"/>
    </row>
    <row r="37753" spans="21:21" x14ac:dyDescent="0.3">
      <c r="U37753" s="25"/>
    </row>
    <row r="37775" spans="21:21" x14ac:dyDescent="0.3">
      <c r="U37775" s="25"/>
    </row>
    <row r="37797" spans="21:21" x14ac:dyDescent="0.3">
      <c r="U37797" s="25"/>
    </row>
    <row r="37819" spans="21:21" x14ac:dyDescent="0.3">
      <c r="U37819" s="25"/>
    </row>
    <row r="37841" spans="21:21" x14ac:dyDescent="0.3">
      <c r="U37841" s="25"/>
    </row>
    <row r="37863" spans="21:21" x14ac:dyDescent="0.3">
      <c r="U37863" s="25"/>
    </row>
    <row r="37885" spans="21:21" x14ac:dyDescent="0.3">
      <c r="U37885" s="25"/>
    </row>
    <row r="37907" spans="21:21" x14ac:dyDescent="0.3">
      <c r="U37907" s="25"/>
    </row>
    <row r="37929" spans="21:21" x14ac:dyDescent="0.3">
      <c r="U37929" s="25"/>
    </row>
    <row r="37951" spans="21:21" x14ac:dyDescent="0.3">
      <c r="U37951" s="25"/>
    </row>
    <row r="37973" spans="21:21" x14ac:dyDescent="0.3">
      <c r="U37973" s="25"/>
    </row>
    <row r="37995" spans="21:21" x14ac:dyDescent="0.3">
      <c r="U37995" s="25"/>
    </row>
    <row r="38017" spans="21:21" x14ac:dyDescent="0.3">
      <c r="U38017" s="25"/>
    </row>
    <row r="38039" spans="21:21" x14ac:dyDescent="0.3">
      <c r="U38039" s="25"/>
    </row>
    <row r="38061" spans="21:21" x14ac:dyDescent="0.3">
      <c r="U38061" s="25"/>
    </row>
    <row r="38083" spans="21:21" x14ac:dyDescent="0.3">
      <c r="U38083" s="25"/>
    </row>
    <row r="38105" spans="21:21" x14ac:dyDescent="0.3">
      <c r="U38105" s="25"/>
    </row>
    <row r="38127" spans="21:21" x14ac:dyDescent="0.3">
      <c r="U38127" s="25"/>
    </row>
    <row r="38149" spans="21:21" x14ac:dyDescent="0.3">
      <c r="U38149" s="25"/>
    </row>
    <row r="38171" spans="21:21" x14ac:dyDescent="0.3">
      <c r="U38171" s="25"/>
    </row>
    <row r="38193" spans="21:21" x14ac:dyDescent="0.3">
      <c r="U38193" s="25"/>
    </row>
    <row r="38215" spans="21:21" x14ac:dyDescent="0.3">
      <c r="U38215" s="25"/>
    </row>
    <row r="38237" spans="21:21" x14ac:dyDescent="0.3">
      <c r="U38237" s="25"/>
    </row>
    <row r="38259" spans="21:21" x14ac:dyDescent="0.3">
      <c r="U38259" s="25"/>
    </row>
    <row r="38281" spans="21:21" x14ac:dyDescent="0.3">
      <c r="U38281" s="25"/>
    </row>
    <row r="38303" spans="21:21" x14ac:dyDescent="0.3">
      <c r="U38303" s="25"/>
    </row>
    <row r="38325" spans="21:21" x14ac:dyDescent="0.3">
      <c r="U38325" s="25"/>
    </row>
    <row r="38347" spans="21:21" x14ac:dyDescent="0.3">
      <c r="U38347" s="25"/>
    </row>
    <row r="38369" spans="21:21" x14ac:dyDescent="0.3">
      <c r="U38369" s="25"/>
    </row>
    <row r="38391" spans="21:21" x14ac:dyDescent="0.3">
      <c r="U38391" s="25"/>
    </row>
    <row r="38413" spans="21:21" x14ac:dyDescent="0.3">
      <c r="U38413" s="25"/>
    </row>
    <row r="38435" spans="21:21" x14ac:dyDescent="0.3">
      <c r="U38435" s="25"/>
    </row>
    <row r="38457" spans="21:21" x14ac:dyDescent="0.3">
      <c r="U38457" s="25"/>
    </row>
    <row r="38479" spans="21:21" x14ac:dyDescent="0.3">
      <c r="U38479" s="25"/>
    </row>
    <row r="38501" spans="21:21" x14ac:dyDescent="0.3">
      <c r="U38501" s="25"/>
    </row>
    <row r="38523" spans="21:21" x14ac:dyDescent="0.3">
      <c r="U38523" s="25"/>
    </row>
    <row r="38545" spans="21:21" x14ac:dyDescent="0.3">
      <c r="U38545" s="25"/>
    </row>
    <row r="38567" spans="21:21" x14ac:dyDescent="0.3">
      <c r="U38567" s="25"/>
    </row>
    <row r="38589" spans="21:21" x14ac:dyDescent="0.3">
      <c r="U38589" s="25"/>
    </row>
    <row r="38611" spans="21:21" x14ac:dyDescent="0.3">
      <c r="U38611" s="25"/>
    </row>
    <row r="38633" spans="21:21" x14ac:dyDescent="0.3">
      <c r="U38633" s="25"/>
    </row>
    <row r="38655" spans="21:21" x14ac:dyDescent="0.3">
      <c r="U38655" s="25"/>
    </row>
    <row r="38677" spans="21:21" x14ac:dyDescent="0.3">
      <c r="U38677" s="25"/>
    </row>
    <row r="38699" spans="21:21" x14ac:dyDescent="0.3">
      <c r="U38699" s="25"/>
    </row>
    <row r="38721" spans="21:21" x14ac:dyDescent="0.3">
      <c r="U38721" s="25"/>
    </row>
    <row r="38743" spans="21:21" x14ac:dyDescent="0.3">
      <c r="U38743" s="25"/>
    </row>
    <row r="38765" spans="21:21" x14ac:dyDescent="0.3">
      <c r="U38765" s="25"/>
    </row>
    <row r="38787" spans="21:21" x14ac:dyDescent="0.3">
      <c r="U38787" s="25"/>
    </row>
    <row r="38809" spans="21:21" x14ac:dyDescent="0.3">
      <c r="U38809" s="25"/>
    </row>
    <row r="38831" spans="21:21" x14ac:dyDescent="0.3">
      <c r="U38831" s="25"/>
    </row>
    <row r="38853" spans="21:21" x14ac:dyDescent="0.3">
      <c r="U38853" s="25"/>
    </row>
    <row r="38875" spans="21:21" x14ac:dyDescent="0.3">
      <c r="U38875" s="25"/>
    </row>
    <row r="38897" spans="21:21" x14ac:dyDescent="0.3">
      <c r="U38897" s="25"/>
    </row>
    <row r="38919" spans="21:21" x14ac:dyDescent="0.3">
      <c r="U38919" s="25"/>
    </row>
    <row r="38941" spans="21:21" x14ac:dyDescent="0.3">
      <c r="U38941" s="25"/>
    </row>
    <row r="38963" spans="21:21" x14ac:dyDescent="0.3">
      <c r="U38963" s="25"/>
    </row>
    <row r="38985" spans="21:21" x14ac:dyDescent="0.3">
      <c r="U38985" s="25"/>
    </row>
    <row r="39007" spans="21:21" x14ac:dyDescent="0.3">
      <c r="U39007" s="25"/>
    </row>
    <row r="39029" spans="21:21" x14ac:dyDescent="0.3">
      <c r="U39029" s="25"/>
    </row>
    <row r="39051" spans="21:21" x14ac:dyDescent="0.3">
      <c r="U39051" s="25"/>
    </row>
    <row r="39073" spans="21:21" x14ac:dyDescent="0.3">
      <c r="U39073" s="25"/>
    </row>
    <row r="39095" spans="21:21" x14ac:dyDescent="0.3">
      <c r="U39095" s="25"/>
    </row>
    <row r="39117" spans="21:21" x14ac:dyDescent="0.3">
      <c r="U39117" s="25"/>
    </row>
    <row r="39139" spans="21:21" x14ac:dyDescent="0.3">
      <c r="U39139" s="25"/>
    </row>
    <row r="39161" spans="21:21" x14ac:dyDescent="0.3">
      <c r="U39161" s="25"/>
    </row>
    <row r="39183" spans="21:21" x14ac:dyDescent="0.3">
      <c r="U39183" s="25"/>
    </row>
    <row r="39205" spans="21:21" x14ac:dyDescent="0.3">
      <c r="U39205" s="25"/>
    </row>
    <row r="39227" spans="21:21" x14ac:dyDescent="0.3">
      <c r="U39227" s="25"/>
    </row>
    <row r="39249" spans="21:21" x14ac:dyDescent="0.3">
      <c r="U39249" s="25"/>
    </row>
    <row r="39271" spans="21:21" x14ac:dyDescent="0.3">
      <c r="U39271" s="25"/>
    </row>
    <row r="39293" spans="21:21" x14ac:dyDescent="0.3">
      <c r="U39293" s="25"/>
    </row>
    <row r="39315" spans="21:21" x14ac:dyDescent="0.3">
      <c r="U39315" s="25"/>
    </row>
    <row r="39337" spans="21:21" x14ac:dyDescent="0.3">
      <c r="U39337" s="25"/>
    </row>
    <row r="39359" spans="21:21" x14ac:dyDescent="0.3">
      <c r="U39359" s="25"/>
    </row>
    <row r="39381" spans="21:21" x14ac:dyDescent="0.3">
      <c r="U39381" s="25"/>
    </row>
    <row r="39403" spans="21:21" x14ac:dyDescent="0.3">
      <c r="U39403" s="25"/>
    </row>
    <row r="39425" spans="21:21" x14ac:dyDescent="0.3">
      <c r="U39425" s="25"/>
    </row>
    <row r="39447" spans="21:21" x14ac:dyDescent="0.3">
      <c r="U39447" s="25"/>
    </row>
    <row r="39469" spans="21:21" x14ac:dyDescent="0.3">
      <c r="U39469" s="25"/>
    </row>
    <row r="39491" spans="21:21" x14ac:dyDescent="0.3">
      <c r="U39491" s="25"/>
    </row>
    <row r="39513" spans="21:21" x14ac:dyDescent="0.3">
      <c r="U39513" s="25"/>
    </row>
    <row r="39535" spans="21:21" x14ac:dyDescent="0.3">
      <c r="U39535" s="25"/>
    </row>
    <row r="39557" spans="21:21" x14ac:dyDescent="0.3">
      <c r="U39557" s="25"/>
    </row>
    <row r="39579" spans="21:21" x14ac:dyDescent="0.3">
      <c r="U39579" s="25"/>
    </row>
    <row r="39601" spans="21:21" x14ac:dyDescent="0.3">
      <c r="U39601" s="25"/>
    </row>
    <row r="39623" spans="21:21" x14ac:dyDescent="0.3">
      <c r="U39623" s="25"/>
    </row>
    <row r="39645" spans="21:21" x14ac:dyDescent="0.3">
      <c r="U39645" s="25"/>
    </row>
    <row r="39667" spans="21:21" x14ac:dyDescent="0.3">
      <c r="U39667" s="25"/>
    </row>
    <row r="39689" spans="21:21" x14ac:dyDescent="0.3">
      <c r="U39689" s="25"/>
    </row>
    <row r="39711" spans="21:21" x14ac:dyDescent="0.3">
      <c r="U39711" s="25"/>
    </row>
    <row r="39733" spans="21:21" x14ac:dyDescent="0.3">
      <c r="U39733" s="25"/>
    </row>
    <row r="39755" spans="21:21" x14ac:dyDescent="0.3">
      <c r="U39755" s="25"/>
    </row>
    <row r="39777" spans="21:21" x14ac:dyDescent="0.3">
      <c r="U39777" s="25"/>
    </row>
    <row r="39799" spans="21:21" x14ac:dyDescent="0.3">
      <c r="U39799" s="25"/>
    </row>
    <row r="39821" spans="21:21" x14ac:dyDescent="0.3">
      <c r="U39821" s="25"/>
    </row>
    <row r="39843" spans="21:21" x14ac:dyDescent="0.3">
      <c r="U39843" s="25"/>
    </row>
    <row r="39865" spans="21:21" x14ac:dyDescent="0.3">
      <c r="U39865" s="25"/>
    </row>
    <row r="39887" spans="21:21" x14ac:dyDescent="0.3">
      <c r="U39887" s="25"/>
    </row>
    <row r="39909" spans="21:21" x14ac:dyDescent="0.3">
      <c r="U39909" s="25"/>
    </row>
    <row r="39931" spans="21:21" x14ac:dyDescent="0.3">
      <c r="U39931" s="25"/>
    </row>
    <row r="39953" spans="21:21" x14ac:dyDescent="0.3">
      <c r="U39953" s="25"/>
    </row>
    <row r="39975" spans="21:21" x14ac:dyDescent="0.3">
      <c r="U39975" s="25"/>
    </row>
    <row r="39997" spans="21:21" x14ac:dyDescent="0.3">
      <c r="U39997" s="25"/>
    </row>
    <row r="40019" spans="21:21" x14ac:dyDescent="0.3">
      <c r="U40019" s="25"/>
    </row>
    <row r="40041" spans="21:21" x14ac:dyDescent="0.3">
      <c r="U40041" s="25"/>
    </row>
    <row r="40063" spans="21:21" x14ac:dyDescent="0.3">
      <c r="U40063" s="25"/>
    </row>
    <row r="40085" spans="21:21" x14ac:dyDescent="0.3">
      <c r="U40085" s="25"/>
    </row>
    <row r="40107" spans="21:21" x14ac:dyDescent="0.3">
      <c r="U40107" s="25"/>
    </row>
    <row r="40129" spans="21:21" x14ac:dyDescent="0.3">
      <c r="U40129" s="25"/>
    </row>
    <row r="40151" spans="21:21" x14ac:dyDescent="0.3">
      <c r="U40151" s="25"/>
    </row>
    <row r="40173" spans="21:21" x14ac:dyDescent="0.3">
      <c r="U40173" s="25"/>
    </row>
    <row r="40195" spans="21:21" x14ac:dyDescent="0.3">
      <c r="U40195" s="25"/>
    </row>
    <row r="40217" spans="21:21" x14ac:dyDescent="0.3">
      <c r="U40217" s="25"/>
    </row>
    <row r="40239" spans="21:21" x14ac:dyDescent="0.3">
      <c r="U40239" s="25"/>
    </row>
    <row r="40261" spans="21:21" x14ac:dyDescent="0.3">
      <c r="U40261" s="25"/>
    </row>
    <row r="40283" spans="21:21" x14ac:dyDescent="0.3">
      <c r="U40283" s="25"/>
    </row>
    <row r="40305" spans="21:21" x14ac:dyDescent="0.3">
      <c r="U40305" s="25"/>
    </row>
    <row r="40327" spans="21:21" x14ac:dyDescent="0.3">
      <c r="U40327" s="25"/>
    </row>
    <row r="40349" spans="21:21" x14ac:dyDescent="0.3">
      <c r="U40349" s="25"/>
    </row>
    <row r="40371" spans="21:21" x14ac:dyDescent="0.3">
      <c r="U40371" s="25"/>
    </row>
    <row r="40393" spans="21:21" x14ac:dyDescent="0.3">
      <c r="U40393" s="25"/>
    </row>
    <row r="40415" spans="21:21" x14ac:dyDescent="0.3">
      <c r="U40415" s="25"/>
    </row>
    <row r="40437" spans="21:21" x14ac:dyDescent="0.3">
      <c r="U40437" s="25"/>
    </row>
    <row r="40459" spans="21:21" x14ac:dyDescent="0.3">
      <c r="U40459" s="25"/>
    </row>
    <row r="40481" spans="21:21" x14ac:dyDescent="0.3">
      <c r="U40481" s="25"/>
    </row>
    <row r="40503" spans="21:21" x14ac:dyDescent="0.3">
      <c r="U40503" s="25"/>
    </row>
    <row r="40525" spans="21:21" x14ac:dyDescent="0.3">
      <c r="U40525" s="25"/>
    </row>
    <row r="40547" spans="21:21" x14ac:dyDescent="0.3">
      <c r="U40547" s="25"/>
    </row>
    <row r="40569" spans="21:21" x14ac:dyDescent="0.3">
      <c r="U40569" s="25"/>
    </row>
    <row r="40591" spans="21:21" x14ac:dyDescent="0.3">
      <c r="U40591" s="25"/>
    </row>
    <row r="40613" spans="21:21" x14ac:dyDescent="0.3">
      <c r="U40613" s="25"/>
    </row>
    <row r="40635" spans="21:21" x14ac:dyDescent="0.3">
      <c r="U40635" s="25"/>
    </row>
    <row r="40657" spans="21:21" x14ac:dyDescent="0.3">
      <c r="U40657" s="25"/>
    </row>
    <row r="40679" spans="21:21" x14ac:dyDescent="0.3">
      <c r="U40679" s="25"/>
    </row>
    <row r="40701" spans="21:21" x14ac:dyDescent="0.3">
      <c r="U40701" s="25"/>
    </row>
    <row r="40723" spans="21:21" x14ac:dyDescent="0.3">
      <c r="U40723" s="25"/>
    </row>
    <row r="40745" spans="21:21" x14ac:dyDescent="0.3">
      <c r="U40745" s="25"/>
    </row>
    <row r="40767" spans="21:21" x14ac:dyDescent="0.3">
      <c r="U40767" s="25"/>
    </row>
    <row r="40789" spans="21:21" x14ac:dyDescent="0.3">
      <c r="U40789" s="25"/>
    </row>
    <row r="40811" spans="21:21" x14ac:dyDescent="0.3">
      <c r="U40811" s="25"/>
    </row>
    <row r="40833" spans="21:21" x14ac:dyDescent="0.3">
      <c r="U40833" s="25"/>
    </row>
    <row r="40855" spans="21:21" x14ac:dyDescent="0.3">
      <c r="U40855" s="25"/>
    </row>
    <row r="40877" spans="21:21" x14ac:dyDescent="0.3">
      <c r="U40877" s="25"/>
    </row>
    <row r="40899" spans="21:21" x14ac:dyDescent="0.3">
      <c r="U40899" s="25"/>
    </row>
    <row r="40921" spans="21:21" x14ac:dyDescent="0.3">
      <c r="U40921" s="25"/>
    </row>
    <row r="40943" spans="21:21" x14ac:dyDescent="0.3">
      <c r="U40943" s="25"/>
    </row>
    <row r="40965" spans="21:21" x14ac:dyDescent="0.3">
      <c r="U40965" s="25"/>
    </row>
    <row r="40987" spans="21:21" x14ac:dyDescent="0.3">
      <c r="U40987" s="25"/>
    </row>
    <row r="41009" spans="21:21" x14ac:dyDescent="0.3">
      <c r="U41009" s="25"/>
    </row>
    <row r="41031" spans="21:21" x14ac:dyDescent="0.3">
      <c r="U41031" s="25"/>
    </row>
    <row r="41053" spans="21:21" x14ac:dyDescent="0.3">
      <c r="U41053" s="25"/>
    </row>
    <row r="41075" spans="21:21" x14ac:dyDescent="0.3">
      <c r="U41075" s="25"/>
    </row>
    <row r="41097" spans="21:21" x14ac:dyDescent="0.3">
      <c r="U41097" s="25"/>
    </row>
    <row r="41119" spans="21:21" x14ac:dyDescent="0.3">
      <c r="U41119" s="25"/>
    </row>
    <row r="41141" spans="21:21" x14ac:dyDescent="0.3">
      <c r="U41141" s="25"/>
    </row>
    <row r="41163" spans="21:21" x14ac:dyDescent="0.3">
      <c r="U41163" s="25"/>
    </row>
    <row r="41185" spans="21:21" x14ac:dyDescent="0.3">
      <c r="U41185" s="25"/>
    </row>
    <row r="41207" spans="21:21" x14ac:dyDescent="0.3">
      <c r="U41207" s="25"/>
    </row>
    <row r="41229" spans="21:21" x14ac:dyDescent="0.3">
      <c r="U41229" s="25"/>
    </row>
    <row r="41251" spans="21:21" x14ac:dyDescent="0.3">
      <c r="U41251" s="25"/>
    </row>
    <row r="41273" spans="21:21" x14ac:dyDescent="0.3">
      <c r="U41273" s="25"/>
    </row>
    <row r="41295" spans="21:21" x14ac:dyDescent="0.3">
      <c r="U41295" s="25"/>
    </row>
    <row r="41317" spans="21:21" x14ac:dyDescent="0.3">
      <c r="U41317" s="25"/>
    </row>
    <row r="41339" spans="21:21" x14ac:dyDescent="0.3">
      <c r="U41339" s="25"/>
    </row>
    <row r="41361" spans="21:21" x14ac:dyDescent="0.3">
      <c r="U41361" s="25"/>
    </row>
    <row r="41383" spans="21:21" x14ac:dyDescent="0.3">
      <c r="U41383" s="25"/>
    </row>
    <row r="41405" spans="21:21" x14ac:dyDescent="0.3">
      <c r="U41405" s="25"/>
    </row>
    <row r="41427" spans="21:21" x14ac:dyDescent="0.3">
      <c r="U41427" s="25"/>
    </row>
    <row r="41449" spans="21:21" x14ac:dyDescent="0.3">
      <c r="U41449" s="25"/>
    </row>
    <row r="41471" spans="21:21" x14ac:dyDescent="0.3">
      <c r="U41471" s="25"/>
    </row>
    <row r="41493" spans="21:21" x14ac:dyDescent="0.3">
      <c r="U41493" s="25"/>
    </row>
    <row r="41515" spans="21:21" x14ac:dyDescent="0.3">
      <c r="U41515" s="25"/>
    </row>
    <row r="41537" spans="21:21" x14ac:dyDescent="0.3">
      <c r="U41537" s="25"/>
    </row>
    <row r="41559" spans="21:21" x14ac:dyDescent="0.3">
      <c r="U41559" s="25"/>
    </row>
    <row r="41581" spans="21:21" x14ac:dyDescent="0.3">
      <c r="U41581" s="25"/>
    </row>
    <row r="41603" spans="21:21" x14ac:dyDescent="0.3">
      <c r="U41603" s="25"/>
    </row>
    <row r="41625" spans="21:21" x14ac:dyDescent="0.3">
      <c r="U41625" s="25"/>
    </row>
    <row r="41647" spans="21:21" x14ac:dyDescent="0.3">
      <c r="U41647" s="25"/>
    </row>
    <row r="41669" spans="21:21" x14ac:dyDescent="0.3">
      <c r="U41669" s="25"/>
    </row>
    <row r="41691" spans="21:21" x14ac:dyDescent="0.3">
      <c r="U41691" s="25"/>
    </row>
    <row r="41713" spans="21:21" x14ac:dyDescent="0.3">
      <c r="U41713" s="25"/>
    </row>
    <row r="41735" spans="21:21" x14ac:dyDescent="0.3">
      <c r="U41735" s="25"/>
    </row>
    <row r="41757" spans="21:21" x14ac:dyDescent="0.3">
      <c r="U41757" s="25"/>
    </row>
    <row r="41779" spans="21:21" x14ac:dyDescent="0.3">
      <c r="U41779" s="25"/>
    </row>
    <row r="41801" spans="21:21" x14ac:dyDescent="0.3">
      <c r="U41801" s="25"/>
    </row>
    <row r="41823" spans="21:21" x14ac:dyDescent="0.3">
      <c r="U41823" s="25"/>
    </row>
    <row r="41845" spans="21:21" x14ac:dyDescent="0.3">
      <c r="U41845" s="25"/>
    </row>
    <row r="41867" spans="21:21" x14ac:dyDescent="0.3">
      <c r="U41867" s="25"/>
    </row>
    <row r="41889" spans="21:21" x14ac:dyDescent="0.3">
      <c r="U41889" s="25"/>
    </row>
    <row r="41911" spans="21:21" x14ac:dyDescent="0.3">
      <c r="U41911" s="25"/>
    </row>
    <row r="41933" spans="21:21" x14ac:dyDescent="0.3">
      <c r="U41933" s="25"/>
    </row>
    <row r="41955" spans="21:21" x14ac:dyDescent="0.3">
      <c r="U41955" s="25"/>
    </row>
    <row r="41977" spans="21:21" x14ac:dyDescent="0.3">
      <c r="U41977" s="25"/>
    </row>
    <row r="41999" spans="21:21" x14ac:dyDescent="0.3">
      <c r="U41999" s="25"/>
    </row>
    <row r="42021" spans="21:21" x14ac:dyDescent="0.3">
      <c r="U42021" s="25"/>
    </row>
    <row r="42043" spans="21:21" x14ac:dyDescent="0.3">
      <c r="U42043" s="25"/>
    </row>
    <row r="42065" spans="21:21" x14ac:dyDescent="0.3">
      <c r="U42065" s="25"/>
    </row>
    <row r="42087" spans="21:21" x14ac:dyDescent="0.3">
      <c r="U42087" s="25"/>
    </row>
    <row r="42109" spans="21:21" x14ac:dyDescent="0.3">
      <c r="U42109" s="25"/>
    </row>
    <row r="42131" spans="21:21" x14ac:dyDescent="0.3">
      <c r="U42131" s="25"/>
    </row>
    <row r="42153" spans="21:21" x14ac:dyDescent="0.3">
      <c r="U42153" s="25"/>
    </row>
    <row r="42175" spans="21:21" x14ac:dyDescent="0.3">
      <c r="U42175" s="25"/>
    </row>
    <row r="42197" spans="21:21" x14ac:dyDescent="0.3">
      <c r="U42197" s="25"/>
    </row>
    <row r="42219" spans="21:21" x14ac:dyDescent="0.3">
      <c r="U42219" s="25"/>
    </row>
    <row r="42241" spans="21:21" x14ac:dyDescent="0.3">
      <c r="U42241" s="25"/>
    </row>
    <row r="42263" spans="21:21" x14ac:dyDescent="0.3">
      <c r="U42263" s="25"/>
    </row>
    <row r="42285" spans="21:21" x14ac:dyDescent="0.3">
      <c r="U42285" s="25"/>
    </row>
    <row r="42307" spans="21:21" x14ac:dyDescent="0.3">
      <c r="U42307" s="25"/>
    </row>
    <row r="42329" spans="21:21" x14ac:dyDescent="0.3">
      <c r="U42329" s="25"/>
    </row>
    <row r="42351" spans="21:21" x14ac:dyDescent="0.3">
      <c r="U42351" s="25"/>
    </row>
    <row r="42373" spans="21:21" x14ac:dyDescent="0.3">
      <c r="U42373" s="25"/>
    </row>
    <row r="42395" spans="21:21" x14ac:dyDescent="0.3">
      <c r="U42395" s="25"/>
    </row>
    <row r="42417" spans="21:21" x14ac:dyDescent="0.3">
      <c r="U42417" s="25"/>
    </row>
    <row r="42439" spans="21:21" x14ac:dyDescent="0.3">
      <c r="U42439" s="25"/>
    </row>
    <row r="42461" spans="21:21" x14ac:dyDescent="0.3">
      <c r="U42461" s="25"/>
    </row>
    <row r="42483" spans="21:21" x14ac:dyDescent="0.3">
      <c r="U42483" s="25"/>
    </row>
    <row r="42505" spans="21:21" x14ac:dyDescent="0.3">
      <c r="U42505" s="25"/>
    </row>
    <row r="42527" spans="21:21" x14ac:dyDescent="0.3">
      <c r="U42527" s="25"/>
    </row>
    <row r="42549" spans="21:21" x14ac:dyDescent="0.3">
      <c r="U42549" s="25"/>
    </row>
    <row r="42571" spans="21:21" x14ac:dyDescent="0.3">
      <c r="U42571" s="25"/>
    </row>
    <row r="42593" spans="21:21" x14ac:dyDescent="0.3">
      <c r="U42593" s="25"/>
    </row>
    <row r="42615" spans="21:21" x14ac:dyDescent="0.3">
      <c r="U42615" s="25"/>
    </row>
    <row r="42637" spans="21:21" x14ac:dyDescent="0.3">
      <c r="U42637" s="25"/>
    </row>
    <row r="42659" spans="21:21" x14ac:dyDescent="0.3">
      <c r="U42659" s="25"/>
    </row>
    <row r="42681" spans="21:21" x14ac:dyDescent="0.3">
      <c r="U42681" s="25"/>
    </row>
    <row r="42703" spans="21:21" x14ac:dyDescent="0.3">
      <c r="U42703" s="25"/>
    </row>
    <row r="42725" spans="21:21" x14ac:dyDescent="0.3">
      <c r="U42725" s="25"/>
    </row>
    <row r="42747" spans="21:21" x14ac:dyDescent="0.3">
      <c r="U42747" s="25"/>
    </row>
    <row r="42769" spans="21:21" x14ac:dyDescent="0.3">
      <c r="U42769" s="25"/>
    </row>
    <row r="42791" spans="21:21" x14ac:dyDescent="0.3">
      <c r="U42791" s="25"/>
    </row>
    <row r="42813" spans="21:21" x14ac:dyDescent="0.3">
      <c r="U42813" s="25"/>
    </row>
    <row r="42835" spans="21:21" x14ac:dyDescent="0.3">
      <c r="U42835" s="25"/>
    </row>
    <row r="42857" spans="21:21" x14ac:dyDescent="0.3">
      <c r="U42857" s="25"/>
    </row>
    <row r="42879" spans="21:21" x14ac:dyDescent="0.3">
      <c r="U42879" s="25"/>
    </row>
    <row r="42901" spans="21:21" x14ac:dyDescent="0.3">
      <c r="U42901" s="25"/>
    </row>
    <row r="42923" spans="21:21" x14ac:dyDescent="0.3">
      <c r="U42923" s="25"/>
    </row>
    <row r="42945" spans="21:21" x14ac:dyDescent="0.3">
      <c r="U42945" s="25"/>
    </row>
    <row r="42967" spans="21:21" x14ac:dyDescent="0.3">
      <c r="U42967" s="25"/>
    </row>
    <row r="42989" spans="21:21" x14ac:dyDescent="0.3">
      <c r="U42989" s="25"/>
    </row>
    <row r="43011" spans="21:21" x14ac:dyDescent="0.3">
      <c r="U43011" s="25"/>
    </row>
    <row r="43033" spans="21:21" x14ac:dyDescent="0.3">
      <c r="U43033" s="25"/>
    </row>
    <row r="43055" spans="21:21" x14ac:dyDescent="0.3">
      <c r="U43055" s="25"/>
    </row>
    <row r="43077" spans="21:21" x14ac:dyDescent="0.3">
      <c r="U43077" s="25"/>
    </row>
    <row r="43099" spans="21:21" x14ac:dyDescent="0.3">
      <c r="U43099" s="25"/>
    </row>
    <row r="43121" spans="21:21" x14ac:dyDescent="0.3">
      <c r="U43121" s="25"/>
    </row>
    <row r="43143" spans="21:21" x14ac:dyDescent="0.3">
      <c r="U43143" s="25"/>
    </row>
    <row r="43165" spans="21:21" x14ac:dyDescent="0.3">
      <c r="U43165" s="25"/>
    </row>
    <row r="43187" spans="21:21" x14ac:dyDescent="0.3">
      <c r="U43187" s="25"/>
    </row>
    <row r="43209" spans="21:21" x14ac:dyDescent="0.3">
      <c r="U43209" s="25"/>
    </row>
    <row r="43231" spans="21:21" x14ac:dyDescent="0.3">
      <c r="U43231" s="25"/>
    </row>
    <row r="43253" spans="21:21" x14ac:dyDescent="0.3">
      <c r="U43253" s="25"/>
    </row>
    <row r="43275" spans="21:21" x14ac:dyDescent="0.3">
      <c r="U43275" s="25"/>
    </row>
    <row r="43297" spans="21:21" x14ac:dyDescent="0.3">
      <c r="U43297" s="25"/>
    </row>
    <row r="43319" spans="21:21" x14ac:dyDescent="0.3">
      <c r="U43319" s="25"/>
    </row>
    <row r="43341" spans="21:21" x14ac:dyDescent="0.3">
      <c r="U43341" s="25"/>
    </row>
    <row r="43363" spans="21:21" x14ac:dyDescent="0.3">
      <c r="U43363" s="25"/>
    </row>
    <row r="43385" spans="21:21" x14ac:dyDescent="0.3">
      <c r="U43385" s="25"/>
    </row>
    <row r="43407" spans="21:21" x14ac:dyDescent="0.3">
      <c r="U43407" s="25"/>
    </row>
    <row r="43429" spans="21:21" x14ac:dyDescent="0.3">
      <c r="U43429" s="25"/>
    </row>
    <row r="43451" spans="21:21" x14ac:dyDescent="0.3">
      <c r="U43451" s="25"/>
    </row>
    <row r="43473" spans="21:21" x14ac:dyDescent="0.3">
      <c r="U43473" s="25"/>
    </row>
    <row r="43495" spans="21:21" x14ac:dyDescent="0.3">
      <c r="U43495" s="25"/>
    </row>
    <row r="43517" spans="21:21" x14ac:dyDescent="0.3">
      <c r="U43517" s="25"/>
    </row>
    <row r="43539" spans="21:21" x14ac:dyDescent="0.3">
      <c r="U43539" s="25"/>
    </row>
    <row r="43561" spans="21:21" x14ac:dyDescent="0.3">
      <c r="U43561" s="25"/>
    </row>
    <row r="43583" spans="21:21" x14ac:dyDescent="0.3">
      <c r="U43583" s="25"/>
    </row>
    <row r="43605" spans="21:21" x14ac:dyDescent="0.3">
      <c r="U43605" s="25"/>
    </row>
    <row r="43627" spans="21:21" x14ac:dyDescent="0.3">
      <c r="U43627" s="25"/>
    </row>
    <row r="43649" spans="21:21" x14ac:dyDescent="0.3">
      <c r="U43649" s="25"/>
    </row>
    <row r="43671" spans="21:21" x14ac:dyDescent="0.3">
      <c r="U43671" s="25"/>
    </row>
    <row r="43693" spans="21:21" x14ac:dyDescent="0.3">
      <c r="U43693" s="25"/>
    </row>
    <row r="43715" spans="21:21" x14ac:dyDescent="0.3">
      <c r="U43715" s="25"/>
    </row>
    <row r="43737" spans="21:21" x14ac:dyDescent="0.3">
      <c r="U43737" s="25"/>
    </row>
    <row r="43759" spans="21:21" x14ac:dyDescent="0.3">
      <c r="U43759" s="25"/>
    </row>
    <row r="43781" spans="21:21" x14ac:dyDescent="0.3">
      <c r="U43781" s="25"/>
    </row>
    <row r="43803" spans="21:21" x14ac:dyDescent="0.3">
      <c r="U43803" s="25"/>
    </row>
    <row r="43825" spans="21:21" x14ac:dyDescent="0.3">
      <c r="U43825" s="25"/>
    </row>
    <row r="43847" spans="21:21" x14ac:dyDescent="0.3">
      <c r="U43847" s="25"/>
    </row>
    <row r="43869" spans="21:21" x14ac:dyDescent="0.3">
      <c r="U43869" s="25"/>
    </row>
    <row r="43891" spans="21:21" x14ac:dyDescent="0.3">
      <c r="U43891" s="25"/>
    </row>
    <row r="43913" spans="21:21" x14ac:dyDescent="0.3">
      <c r="U43913" s="25"/>
    </row>
    <row r="43935" spans="21:21" x14ac:dyDescent="0.3">
      <c r="U43935" s="25"/>
    </row>
    <row r="43957" spans="21:21" x14ac:dyDescent="0.3">
      <c r="U43957" s="25"/>
    </row>
    <row r="43979" spans="21:21" x14ac:dyDescent="0.3">
      <c r="U43979" s="25"/>
    </row>
    <row r="44001" spans="21:21" x14ac:dyDescent="0.3">
      <c r="U44001" s="25"/>
    </row>
    <row r="44023" spans="21:21" x14ac:dyDescent="0.3">
      <c r="U44023" s="25"/>
    </row>
    <row r="44045" spans="21:21" x14ac:dyDescent="0.3">
      <c r="U44045" s="25"/>
    </row>
    <row r="44067" spans="21:21" x14ac:dyDescent="0.3">
      <c r="U44067" s="25"/>
    </row>
    <row r="44089" spans="21:21" x14ac:dyDescent="0.3">
      <c r="U44089" s="25"/>
    </row>
    <row r="44111" spans="21:21" x14ac:dyDescent="0.3">
      <c r="U44111" s="25"/>
    </row>
    <row r="44133" spans="21:21" x14ac:dyDescent="0.3">
      <c r="U44133" s="25"/>
    </row>
    <row r="44155" spans="21:21" x14ac:dyDescent="0.3">
      <c r="U44155" s="25"/>
    </row>
    <row r="44177" spans="21:21" x14ac:dyDescent="0.3">
      <c r="U44177" s="25"/>
    </row>
    <row r="44199" spans="21:21" x14ac:dyDescent="0.3">
      <c r="U44199" s="25"/>
    </row>
    <row r="44221" spans="21:21" x14ac:dyDescent="0.3">
      <c r="U44221" s="25"/>
    </row>
    <row r="44243" spans="21:21" x14ac:dyDescent="0.3">
      <c r="U44243" s="25"/>
    </row>
    <row r="44265" spans="21:21" x14ac:dyDescent="0.3">
      <c r="U44265" s="25"/>
    </row>
    <row r="44287" spans="21:21" x14ac:dyDescent="0.3">
      <c r="U44287" s="25"/>
    </row>
    <row r="44309" spans="21:21" x14ac:dyDescent="0.3">
      <c r="U44309" s="25"/>
    </row>
    <row r="44331" spans="21:21" x14ac:dyDescent="0.3">
      <c r="U44331" s="25"/>
    </row>
    <row r="44353" spans="21:21" x14ac:dyDescent="0.3">
      <c r="U44353" s="25"/>
    </row>
    <row r="44375" spans="21:21" x14ac:dyDescent="0.3">
      <c r="U44375" s="25"/>
    </row>
    <row r="44397" spans="21:21" x14ac:dyDescent="0.3">
      <c r="U44397" s="25"/>
    </row>
    <row r="44419" spans="21:21" x14ac:dyDescent="0.3">
      <c r="U44419" s="25"/>
    </row>
    <row r="44441" spans="21:21" x14ac:dyDescent="0.3">
      <c r="U44441" s="25"/>
    </row>
    <row r="44463" spans="21:21" x14ac:dyDescent="0.3">
      <c r="U44463" s="25"/>
    </row>
    <row r="44485" spans="21:21" x14ac:dyDescent="0.3">
      <c r="U44485" s="25"/>
    </row>
    <row r="44507" spans="21:21" x14ac:dyDescent="0.3">
      <c r="U44507" s="25"/>
    </row>
    <row r="44529" spans="21:21" x14ac:dyDescent="0.3">
      <c r="U44529" s="25"/>
    </row>
    <row r="44551" spans="21:21" x14ac:dyDescent="0.3">
      <c r="U44551" s="25"/>
    </row>
    <row r="44573" spans="21:21" x14ac:dyDescent="0.3">
      <c r="U44573" s="25"/>
    </row>
    <row r="44595" spans="21:21" x14ac:dyDescent="0.3">
      <c r="U44595" s="25"/>
    </row>
    <row r="44617" spans="21:21" x14ac:dyDescent="0.3">
      <c r="U44617" s="25"/>
    </row>
    <row r="44639" spans="21:21" x14ac:dyDescent="0.3">
      <c r="U44639" s="25"/>
    </row>
    <row r="44661" spans="21:21" x14ac:dyDescent="0.3">
      <c r="U44661" s="25"/>
    </row>
    <row r="44683" spans="21:21" x14ac:dyDescent="0.3">
      <c r="U44683" s="25"/>
    </row>
    <row r="44705" spans="21:21" x14ac:dyDescent="0.3">
      <c r="U44705" s="25"/>
    </row>
    <row r="44727" spans="21:21" x14ac:dyDescent="0.3">
      <c r="U44727" s="25"/>
    </row>
    <row r="44749" spans="21:21" x14ac:dyDescent="0.3">
      <c r="U44749" s="25"/>
    </row>
    <row r="44771" spans="21:21" x14ac:dyDescent="0.3">
      <c r="U44771" s="25"/>
    </row>
    <row r="44793" spans="21:21" x14ac:dyDescent="0.3">
      <c r="U44793" s="25"/>
    </row>
    <row r="44815" spans="21:21" x14ac:dyDescent="0.3">
      <c r="U44815" s="25"/>
    </row>
    <row r="44837" spans="21:21" x14ac:dyDescent="0.3">
      <c r="U44837" s="25"/>
    </row>
    <row r="44859" spans="21:21" x14ac:dyDescent="0.3">
      <c r="U44859" s="25"/>
    </row>
    <row r="44881" spans="21:21" x14ac:dyDescent="0.3">
      <c r="U44881" s="25"/>
    </row>
    <row r="44903" spans="21:21" x14ac:dyDescent="0.3">
      <c r="U44903" s="25"/>
    </row>
    <row r="44925" spans="21:21" x14ac:dyDescent="0.3">
      <c r="U44925" s="25"/>
    </row>
    <row r="44947" spans="21:21" x14ac:dyDescent="0.3">
      <c r="U44947" s="25"/>
    </row>
    <row r="44969" spans="21:21" x14ac:dyDescent="0.3">
      <c r="U44969" s="25"/>
    </row>
    <row r="44991" spans="21:21" x14ac:dyDescent="0.3">
      <c r="U44991" s="25"/>
    </row>
    <row r="45013" spans="21:21" x14ac:dyDescent="0.3">
      <c r="U45013" s="25"/>
    </row>
    <row r="45035" spans="21:21" x14ac:dyDescent="0.3">
      <c r="U45035" s="25"/>
    </row>
    <row r="45057" spans="21:21" x14ac:dyDescent="0.3">
      <c r="U45057" s="25"/>
    </row>
    <row r="45079" spans="21:21" x14ac:dyDescent="0.3">
      <c r="U45079" s="25"/>
    </row>
    <row r="45101" spans="21:21" x14ac:dyDescent="0.3">
      <c r="U45101" s="25"/>
    </row>
    <row r="45123" spans="21:21" x14ac:dyDescent="0.3">
      <c r="U45123" s="25"/>
    </row>
    <row r="45145" spans="21:21" x14ac:dyDescent="0.3">
      <c r="U45145" s="25"/>
    </row>
    <row r="45167" spans="21:21" x14ac:dyDescent="0.3">
      <c r="U45167" s="25"/>
    </row>
    <row r="45189" spans="21:21" x14ac:dyDescent="0.3">
      <c r="U45189" s="25"/>
    </row>
    <row r="45211" spans="21:21" x14ac:dyDescent="0.3">
      <c r="U45211" s="25"/>
    </row>
    <row r="45233" spans="21:21" x14ac:dyDescent="0.3">
      <c r="U45233" s="25"/>
    </row>
    <row r="45255" spans="21:21" x14ac:dyDescent="0.3">
      <c r="U45255" s="25"/>
    </row>
    <row r="45277" spans="21:21" x14ac:dyDescent="0.3">
      <c r="U45277" s="25"/>
    </row>
    <row r="45299" spans="21:21" x14ac:dyDescent="0.3">
      <c r="U45299" s="25"/>
    </row>
    <row r="45321" spans="21:21" x14ac:dyDescent="0.3">
      <c r="U45321" s="25"/>
    </row>
    <row r="45343" spans="21:21" x14ac:dyDescent="0.3">
      <c r="U45343" s="25"/>
    </row>
    <row r="45365" spans="21:21" x14ac:dyDescent="0.3">
      <c r="U45365" s="25"/>
    </row>
    <row r="45387" spans="21:21" x14ac:dyDescent="0.3">
      <c r="U45387" s="25"/>
    </row>
    <row r="45409" spans="21:21" x14ac:dyDescent="0.3">
      <c r="U45409" s="25"/>
    </row>
    <row r="45431" spans="21:21" x14ac:dyDescent="0.3">
      <c r="U45431" s="25"/>
    </row>
    <row r="45453" spans="21:21" x14ac:dyDescent="0.3">
      <c r="U45453" s="25"/>
    </row>
    <row r="45475" spans="21:21" x14ac:dyDescent="0.3">
      <c r="U45475" s="25"/>
    </row>
    <row r="45497" spans="21:21" x14ac:dyDescent="0.3">
      <c r="U45497" s="25"/>
    </row>
    <row r="45519" spans="21:21" x14ac:dyDescent="0.3">
      <c r="U45519" s="25"/>
    </row>
    <row r="45541" spans="21:21" x14ac:dyDescent="0.3">
      <c r="U45541" s="25"/>
    </row>
    <row r="45563" spans="21:21" x14ac:dyDescent="0.3">
      <c r="U45563" s="25"/>
    </row>
    <row r="45585" spans="21:21" x14ac:dyDescent="0.3">
      <c r="U45585" s="25"/>
    </row>
    <row r="45607" spans="21:21" x14ac:dyDescent="0.3">
      <c r="U45607" s="25"/>
    </row>
    <row r="45629" spans="21:21" x14ac:dyDescent="0.3">
      <c r="U45629" s="25"/>
    </row>
    <row r="45651" spans="21:21" x14ac:dyDescent="0.3">
      <c r="U45651" s="25"/>
    </row>
    <row r="45673" spans="21:21" x14ac:dyDescent="0.3">
      <c r="U45673" s="25"/>
    </row>
    <row r="45695" spans="21:21" x14ac:dyDescent="0.3">
      <c r="U45695" s="25"/>
    </row>
    <row r="45717" spans="21:21" x14ac:dyDescent="0.3">
      <c r="U45717" s="25"/>
    </row>
    <row r="45739" spans="21:21" x14ac:dyDescent="0.3">
      <c r="U45739" s="25"/>
    </row>
    <row r="45761" spans="21:21" x14ac:dyDescent="0.3">
      <c r="U45761" s="25"/>
    </row>
    <row r="45783" spans="21:21" x14ac:dyDescent="0.3">
      <c r="U45783" s="25"/>
    </row>
    <row r="45805" spans="21:21" x14ac:dyDescent="0.3">
      <c r="U45805" s="25"/>
    </row>
    <row r="45827" spans="21:21" x14ac:dyDescent="0.3">
      <c r="U45827" s="25"/>
    </row>
    <row r="45849" spans="21:21" x14ac:dyDescent="0.3">
      <c r="U45849" s="25"/>
    </row>
    <row r="45871" spans="21:21" x14ac:dyDescent="0.3">
      <c r="U45871" s="25"/>
    </row>
    <row r="45893" spans="21:21" x14ac:dyDescent="0.3">
      <c r="U45893" s="25"/>
    </row>
    <row r="45915" spans="21:21" x14ac:dyDescent="0.3">
      <c r="U45915" s="25"/>
    </row>
    <row r="45937" spans="21:21" x14ac:dyDescent="0.3">
      <c r="U45937" s="25"/>
    </row>
    <row r="45959" spans="21:21" x14ac:dyDescent="0.3">
      <c r="U45959" s="25"/>
    </row>
    <row r="45981" spans="21:21" x14ac:dyDescent="0.3">
      <c r="U45981" s="25"/>
    </row>
    <row r="46003" spans="21:21" x14ac:dyDescent="0.3">
      <c r="U46003" s="25"/>
    </row>
    <row r="46025" spans="21:21" x14ac:dyDescent="0.3">
      <c r="U46025" s="25"/>
    </row>
    <row r="46047" spans="21:21" x14ac:dyDescent="0.3">
      <c r="U46047" s="25"/>
    </row>
    <row r="46069" spans="21:21" x14ac:dyDescent="0.3">
      <c r="U46069" s="25"/>
    </row>
    <row r="46091" spans="21:21" x14ac:dyDescent="0.3">
      <c r="U46091" s="25"/>
    </row>
    <row r="46113" spans="21:21" x14ac:dyDescent="0.3">
      <c r="U46113" s="25"/>
    </row>
    <row r="46135" spans="21:21" x14ac:dyDescent="0.3">
      <c r="U46135" s="25"/>
    </row>
    <row r="46157" spans="21:21" x14ac:dyDescent="0.3">
      <c r="U46157" s="25"/>
    </row>
    <row r="46179" spans="21:21" x14ac:dyDescent="0.3">
      <c r="U46179" s="25"/>
    </row>
    <row r="46201" spans="21:21" x14ac:dyDescent="0.3">
      <c r="U46201" s="25"/>
    </row>
    <row r="46223" spans="21:21" x14ac:dyDescent="0.3">
      <c r="U46223" s="25"/>
    </row>
    <row r="46245" spans="21:21" x14ac:dyDescent="0.3">
      <c r="U46245" s="25"/>
    </row>
    <row r="46267" spans="21:21" x14ac:dyDescent="0.3">
      <c r="U46267" s="25"/>
    </row>
    <row r="46289" spans="21:21" x14ac:dyDescent="0.3">
      <c r="U46289" s="25"/>
    </row>
    <row r="46311" spans="21:21" x14ac:dyDescent="0.3">
      <c r="U46311" s="25"/>
    </row>
    <row r="46333" spans="21:21" x14ac:dyDescent="0.3">
      <c r="U46333" s="25"/>
    </row>
    <row r="46355" spans="21:21" x14ac:dyDescent="0.3">
      <c r="U46355" s="25"/>
    </row>
    <row r="46377" spans="21:21" x14ac:dyDescent="0.3">
      <c r="U46377" s="25"/>
    </row>
    <row r="46399" spans="21:21" x14ac:dyDescent="0.3">
      <c r="U46399" s="25"/>
    </row>
    <row r="46421" spans="21:21" x14ac:dyDescent="0.3">
      <c r="U46421" s="25"/>
    </row>
    <row r="46443" spans="21:21" x14ac:dyDescent="0.3">
      <c r="U46443" s="25"/>
    </row>
    <row r="46465" spans="21:21" x14ac:dyDescent="0.3">
      <c r="U46465" s="25"/>
    </row>
    <row r="46487" spans="21:21" x14ac:dyDescent="0.3">
      <c r="U46487" s="25"/>
    </row>
    <row r="46509" spans="21:21" x14ac:dyDescent="0.3">
      <c r="U46509" s="25"/>
    </row>
    <row r="46531" spans="21:21" x14ac:dyDescent="0.3">
      <c r="U46531" s="25"/>
    </row>
    <row r="46553" spans="21:21" x14ac:dyDescent="0.3">
      <c r="U46553" s="25"/>
    </row>
    <row r="46575" spans="21:21" x14ac:dyDescent="0.3">
      <c r="U46575" s="25"/>
    </row>
    <row r="46597" spans="21:21" x14ac:dyDescent="0.3">
      <c r="U46597" s="25"/>
    </row>
    <row r="46619" spans="21:21" x14ac:dyDescent="0.3">
      <c r="U46619" s="25"/>
    </row>
    <row r="46641" spans="21:21" x14ac:dyDescent="0.3">
      <c r="U46641" s="25"/>
    </row>
    <row r="46663" spans="21:21" x14ac:dyDescent="0.3">
      <c r="U46663" s="25"/>
    </row>
    <row r="46685" spans="21:21" x14ac:dyDescent="0.3">
      <c r="U46685" s="25"/>
    </row>
    <row r="46707" spans="21:21" x14ac:dyDescent="0.3">
      <c r="U46707" s="25"/>
    </row>
    <row r="46729" spans="21:21" x14ac:dyDescent="0.3">
      <c r="U46729" s="25"/>
    </row>
    <row r="46751" spans="21:21" x14ac:dyDescent="0.3">
      <c r="U46751" s="25"/>
    </row>
    <row r="46773" spans="21:21" x14ac:dyDescent="0.3">
      <c r="U46773" s="25"/>
    </row>
    <row r="46795" spans="21:21" x14ac:dyDescent="0.3">
      <c r="U46795" s="25"/>
    </row>
    <row r="46817" spans="21:21" x14ac:dyDescent="0.3">
      <c r="U46817" s="25"/>
    </row>
    <row r="46839" spans="21:21" x14ac:dyDescent="0.3">
      <c r="U46839" s="25"/>
    </row>
    <row r="46861" spans="21:21" x14ac:dyDescent="0.3">
      <c r="U46861" s="25"/>
    </row>
    <row r="46883" spans="21:21" x14ac:dyDescent="0.3">
      <c r="U46883" s="25"/>
    </row>
    <row r="46905" spans="21:21" x14ac:dyDescent="0.3">
      <c r="U46905" s="25"/>
    </row>
    <row r="46927" spans="21:21" x14ac:dyDescent="0.3">
      <c r="U46927" s="25"/>
    </row>
    <row r="46949" spans="21:21" x14ac:dyDescent="0.3">
      <c r="U46949" s="25"/>
    </row>
    <row r="46971" spans="21:21" x14ac:dyDescent="0.3">
      <c r="U46971" s="25"/>
    </row>
    <row r="46993" spans="21:21" x14ac:dyDescent="0.3">
      <c r="U46993" s="25"/>
    </row>
    <row r="47015" spans="21:21" x14ac:dyDescent="0.3">
      <c r="U47015" s="25"/>
    </row>
    <row r="47037" spans="21:21" x14ac:dyDescent="0.3">
      <c r="U47037" s="25"/>
    </row>
    <row r="47059" spans="21:21" x14ac:dyDescent="0.3">
      <c r="U47059" s="25"/>
    </row>
    <row r="47081" spans="21:21" x14ac:dyDescent="0.3">
      <c r="U47081" s="25"/>
    </row>
    <row r="47103" spans="21:21" x14ac:dyDescent="0.3">
      <c r="U47103" s="25"/>
    </row>
    <row r="47125" spans="21:21" x14ac:dyDescent="0.3">
      <c r="U47125" s="25"/>
    </row>
    <row r="47147" spans="21:21" x14ac:dyDescent="0.3">
      <c r="U47147" s="25"/>
    </row>
    <row r="47169" spans="21:21" x14ac:dyDescent="0.3">
      <c r="U47169" s="25"/>
    </row>
    <row r="47191" spans="21:21" x14ac:dyDescent="0.3">
      <c r="U47191" s="25"/>
    </row>
    <row r="47213" spans="21:21" x14ac:dyDescent="0.3">
      <c r="U47213" s="25"/>
    </row>
    <row r="47235" spans="21:21" x14ac:dyDescent="0.3">
      <c r="U47235" s="25"/>
    </row>
    <row r="47257" spans="21:21" x14ac:dyDescent="0.3">
      <c r="U47257" s="25"/>
    </row>
    <row r="47279" spans="21:21" x14ac:dyDescent="0.3">
      <c r="U47279" s="25"/>
    </row>
    <row r="47301" spans="21:21" x14ac:dyDescent="0.3">
      <c r="U47301" s="25"/>
    </row>
    <row r="47323" spans="21:21" x14ac:dyDescent="0.3">
      <c r="U47323" s="25"/>
    </row>
    <row r="47345" spans="21:21" x14ac:dyDescent="0.3">
      <c r="U47345" s="25"/>
    </row>
    <row r="47367" spans="21:21" x14ac:dyDescent="0.3">
      <c r="U47367" s="25"/>
    </row>
    <row r="47389" spans="21:21" x14ac:dyDescent="0.3">
      <c r="U47389" s="25"/>
    </row>
    <row r="47411" spans="21:21" x14ac:dyDescent="0.3">
      <c r="U47411" s="25"/>
    </row>
    <row r="47433" spans="21:21" x14ac:dyDescent="0.3">
      <c r="U47433" s="25"/>
    </row>
    <row r="47455" spans="21:21" x14ac:dyDescent="0.3">
      <c r="U47455" s="25"/>
    </row>
    <row r="47477" spans="21:21" x14ac:dyDescent="0.3">
      <c r="U47477" s="25"/>
    </row>
    <row r="47499" spans="21:21" x14ac:dyDescent="0.3">
      <c r="U47499" s="25"/>
    </row>
    <row r="47521" spans="21:21" x14ac:dyDescent="0.3">
      <c r="U47521" s="25"/>
    </row>
    <row r="47543" spans="21:21" x14ac:dyDescent="0.3">
      <c r="U47543" s="25"/>
    </row>
    <row r="47565" spans="21:21" x14ac:dyDescent="0.3">
      <c r="U47565" s="25"/>
    </row>
    <row r="47587" spans="21:21" x14ac:dyDescent="0.3">
      <c r="U47587" s="25"/>
    </row>
    <row r="47609" spans="21:21" x14ac:dyDescent="0.3">
      <c r="U47609" s="25"/>
    </row>
    <row r="47631" spans="21:21" x14ac:dyDescent="0.3">
      <c r="U47631" s="25"/>
    </row>
    <row r="47653" spans="21:21" x14ac:dyDescent="0.3">
      <c r="U47653" s="25"/>
    </row>
    <row r="47675" spans="21:21" x14ac:dyDescent="0.3">
      <c r="U47675" s="25"/>
    </row>
    <row r="47697" spans="21:21" x14ac:dyDescent="0.3">
      <c r="U47697" s="25"/>
    </row>
    <row r="47719" spans="21:21" x14ac:dyDescent="0.3">
      <c r="U47719" s="25"/>
    </row>
    <row r="47741" spans="21:21" x14ac:dyDescent="0.3">
      <c r="U47741" s="25"/>
    </row>
    <row r="47763" spans="21:21" x14ac:dyDescent="0.3">
      <c r="U47763" s="25"/>
    </row>
    <row r="47785" spans="21:21" x14ac:dyDescent="0.3">
      <c r="U47785" s="25"/>
    </row>
    <row r="47807" spans="21:21" x14ac:dyDescent="0.3">
      <c r="U47807" s="25"/>
    </row>
    <row r="47829" spans="21:21" x14ac:dyDescent="0.3">
      <c r="U47829" s="25"/>
    </row>
    <row r="47851" spans="21:21" x14ac:dyDescent="0.3">
      <c r="U47851" s="25"/>
    </row>
    <row r="47873" spans="21:21" x14ac:dyDescent="0.3">
      <c r="U47873" s="25"/>
    </row>
    <row r="47895" spans="21:21" x14ac:dyDescent="0.3">
      <c r="U47895" s="25"/>
    </row>
    <row r="47917" spans="21:21" x14ac:dyDescent="0.3">
      <c r="U47917" s="25"/>
    </row>
    <row r="47939" spans="21:21" x14ac:dyDescent="0.3">
      <c r="U47939" s="25"/>
    </row>
    <row r="47961" spans="21:21" x14ac:dyDescent="0.3">
      <c r="U47961" s="25"/>
    </row>
    <row r="47983" spans="21:21" x14ac:dyDescent="0.3">
      <c r="U47983" s="25"/>
    </row>
    <row r="48005" spans="21:21" x14ac:dyDescent="0.3">
      <c r="U48005" s="25"/>
    </row>
    <row r="48027" spans="21:21" x14ac:dyDescent="0.3">
      <c r="U48027" s="25"/>
    </row>
    <row r="48049" spans="21:21" x14ac:dyDescent="0.3">
      <c r="U48049" s="25"/>
    </row>
    <row r="48071" spans="21:21" x14ac:dyDescent="0.3">
      <c r="U48071" s="25"/>
    </row>
    <row r="48093" spans="21:21" x14ac:dyDescent="0.3">
      <c r="U48093" s="25"/>
    </row>
    <row r="48115" spans="21:21" x14ac:dyDescent="0.3">
      <c r="U48115" s="25"/>
    </row>
    <row r="48137" spans="21:21" x14ac:dyDescent="0.3">
      <c r="U48137" s="25"/>
    </row>
    <row r="48159" spans="21:21" x14ac:dyDescent="0.3">
      <c r="U48159" s="25"/>
    </row>
    <row r="48181" spans="21:21" x14ac:dyDescent="0.3">
      <c r="U48181" s="25"/>
    </row>
    <row r="48203" spans="21:21" x14ac:dyDescent="0.3">
      <c r="U48203" s="25"/>
    </row>
    <row r="48225" spans="21:21" x14ac:dyDescent="0.3">
      <c r="U48225" s="25"/>
    </row>
    <row r="48247" spans="21:21" x14ac:dyDescent="0.3">
      <c r="U48247" s="25"/>
    </row>
    <row r="48269" spans="21:21" x14ac:dyDescent="0.3">
      <c r="U48269" s="25"/>
    </row>
    <row r="48291" spans="21:21" x14ac:dyDescent="0.3">
      <c r="U48291" s="25"/>
    </row>
    <row r="48313" spans="21:21" x14ac:dyDescent="0.3">
      <c r="U48313" s="25"/>
    </row>
    <row r="48335" spans="21:21" x14ac:dyDescent="0.3">
      <c r="U48335" s="25"/>
    </row>
    <row r="48357" spans="21:21" x14ac:dyDescent="0.3">
      <c r="U48357" s="25"/>
    </row>
    <row r="48379" spans="21:21" x14ac:dyDescent="0.3">
      <c r="U48379" s="25"/>
    </row>
    <row r="48401" spans="21:21" x14ac:dyDescent="0.3">
      <c r="U48401" s="25"/>
    </row>
    <row r="48423" spans="21:21" x14ac:dyDescent="0.3">
      <c r="U48423" s="25"/>
    </row>
    <row r="48445" spans="21:21" x14ac:dyDescent="0.3">
      <c r="U48445" s="25"/>
    </row>
    <row r="48467" spans="21:21" x14ac:dyDescent="0.3">
      <c r="U48467" s="25"/>
    </row>
    <row r="48489" spans="21:21" x14ac:dyDescent="0.3">
      <c r="U48489" s="25"/>
    </row>
    <row r="48511" spans="21:21" x14ac:dyDescent="0.3">
      <c r="U48511" s="25"/>
    </row>
    <row r="48533" spans="21:21" x14ac:dyDescent="0.3">
      <c r="U48533" s="25"/>
    </row>
    <row r="48555" spans="21:21" x14ac:dyDescent="0.3">
      <c r="U48555" s="25"/>
    </row>
    <row r="48577" spans="21:21" x14ac:dyDescent="0.3">
      <c r="U48577" s="25"/>
    </row>
    <row r="48599" spans="21:21" x14ac:dyDescent="0.3">
      <c r="U48599" s="25"/>
    </row>
    <row r="48621" spans="21:21" x14ac:dyDescent="0.3">
      <c r="U48621" s="25"/>
    </row>
    <row r="48643" spans="21:21" x14ac:dyDescent="0.3">
      <c r="U48643" s="25"/>
    </row>
    <row r="48665" spans="21:21" x14ac:dyDescent="0.3">
      <c r="U48665" s="25"/>
    </row>
    <row r="48687" spans="21:21" x14ac:dyDescent="0.3">
      <c r="U48687" s="25"/>
    </row>
    <row r="48709" spans="21:21" x14ac:dyDescent="0.3">
      <c r="U48709" s="25"/>
    </row>
    <row r="48731" spans="21:21" x14ac:dyDescent="0.3">
      <c r="U48731" s="25"/>
    </row>
    <row r="48753" spans="21:21" x14ac:dyDescent="0.3">
      <c r="U48753" s="25"/>
    </row>
    <row r="48775" spans="21:21" x14ac:dyDescent="0.3">
      <c r="U48775" s="25"/>
    </row>
    <row r="48797" spans="21:21" x14ac:dyDescent="0.3">
      <c r="U48797" s="25"/>
    </row>
    <row r="48819" spans="21:21" x14ac:dyDescent="0.3">
      <c r="U48819" s="25"/>
    </row>
    <row r="48841" spans="21:21" x14ac:dyDescent="0.3">
      <c r="U48841" s="25"/>
    </row>
    <row r="48863" spans="21:21" x14ac:dyDescent="0.3">
      <c r="U48863" s="25"/>
    </row>
    <row r="48885" spans="21:21" x14ac:dyDescent="0.3">
      <c r="U48885" s="25"/>
    </row>
    <row r="48907" spans="21:21" x14ac:dyDescent="0.3">
      <c r="U48907" s="25"/>
    </row>
    <row r="48929" spans="21:21" x14ac:dyDescent="0.3">
      <c r="U48929" s="25"/>
    </row>
    <row r="48951" spans="21:21" x14ac:dyDescent="0.3">
      <c r="U48951" s="25"/>
    </row>
    <row r="48973" spans="21:21" x14ac:dyDescent="0.3">
      <c r="U48973" s="25"/>
    </row>
    <row r="48995" spans="21:21" x14ac:dyDescent="0.3">
      <c r="U48995" s="25"/>
    </row>
    <row r="49017" spans="21:21" x14ac:dyDescent="0.3">
      <c r="U49017" s="25"/>
    </row>
    <row r="49039" spans="21:21" x14ac:dyDescent="0.3">
      <c r="U49039" s="25"/>
    </row>
    <row r="49061" spans="21:21" x14ac:dyDescent="0.3">
      <c r="U49061" s="25"/>
    </row>
    <row r="49083" spans="21:21" x14ac:dyDescent="0.3">
      <c r="U49083" s="25"/>
    </row>
    <row r="49105" spans="21:21" x14ac:dyDescent="0.3">
      <c r="U49105" s="25"/>
    </row>
    <row r="49127" spans="21:21" x14ac:dyDescent="0.3">
      <c r="U49127" s="25"/>
    </row>
    <row r="49149" spans="21:21" x14ac:dyDescent="0.3">
      <c r="U49149" s="25"/>
    </row>
    <row r="49171" spans="21:21" x14ac:dyDescent="0.3">
      <c r="U49171" s="25"/>
    </row>
    <row r="49193" spans="21:21" x14ac:dyDescent="0.3">
      <c r="U49193" s="25"/>
    </row>
    <row r="49215" spans="21:21" x14ac:dyDescent="0.3">
      <c r="U49215" s="25"/>
    </row>
    <row r="49237" spans="21:21" x14ac:dyDescent="0.3">
      <c r="U49237" s="25"/>
    </row>
    <row r="49259" spans="21:21" x14ac:dyDescent="0.3">
      <c r="U49259" s="25"/>
    </row>
    <row r="49281" spans="21:21" x14ac:dyDescent="0.3">
      <c r="U49281" s="25"/>
    </row>
    <row r="49303" spans="21:21" x14ac:dyDescent="0.3">
      <c r="U49303" s="25"/>
    </row>
    <row r="49325" spans="21:21" x14ac:dyDescent="0.3">
      <c r="U49325" s="25"/>
    </row>
    <row r="49347" spans="21:21" x14ac:dyDescent="0.3">
      <c r="U49347" s="25"/>
    </row>
    <row r="49369" spans="21:21" x14ac:dyDescent="0.3">
      <c r="U49369" s="25"/>
    </row>
    <row r="49391" spans="21:21" x14ac:dyDescent="0.3">
      <c r="U49391" s="25"/>
    </row>
    <row r="49413" spans="21:21" x14ac:dyDescent="0.3">
      <c r="U49413" s="25"/>
    </row>
    <row r="49435" spans="21:21" x14ac:dyDescent="0.3">
      <c r="U49435" s="25"/>
    </row>
    <row r="49457" spans="21:21" x14ac:dyDescent="0.3">
      <c r="U49457" s="25"/>
    </row>
    <row r="49479" spans="21:21" x14ac:dyDescent="0.3">
      <c r="U49479" s="25"/>
    </row>
    <row r="49501" spans="21:21" x14ac:dyDescent="0.3">
      <c r="U49501" s="25"/>
    </row>
    <row r="49523" spans="21:21" x14ac:dyDescent="0.3">
      <c r="U49523" s="25"/>
    </row>
    <row r="49545" spans="21:21" x14ac:dyDescent="0.3">
      <c r="U49545" s="25"/>
    </row>
    <row r="49567" spans="21:21" x14ac:dyDescent="0.3">
      <c r="U49567" s="25"/>
    </row>
    <row r="49589" spans="21:21" x14ac:dyDescent="0.3">
      <c r="U49589" s="25"/>
    </row>
    <row r="49611" spans="21:21" x14ac:dyDescent="0.3">
      <c r="U49611" s="25"/>
    </row>
    <row r="49633" spans="21:21" x14ac:dyDescent="0.3">
      <c r="U49633" s="25"/>
    </row>
    <row r="49655" spans="21:21" x14ac:dyDescent="0.3">
      <c r="U49655" s="25"/>
    </row>
    <row r="49677" spans="21:21" x14ac:dyDescent="0.3">
      <c r="U49677" s="25"/>
    </row>
    <row r="49699" spans="21:21" x14ac:dyDescent="0.3">
      <c r="U49699" s="25"/>
    </row>
    <row r="49721" spans="21:21" x14ac:dyDescent="0.3">
      <c r="U49721" s="25"/>
    </row>
    <row r="49743" spans="21:21" x14ac:dyDescent="0.3">
      <c r="U49743" s="25"/>
    </row>
    <row r="49765" spans="21:21" x14ac:dyDescent="0.3">
      <c r="U49765" s="25"/>
    </row>
    <row r="49787" spans="21:21" x14ac:dyDescent="0.3">
      <c r="U49787" s="25"/>
    </row>
    <row r="49809" spans="21:21" x14ac:dyDescent="0.3">
      <c r="U49809" s="25"/>
    </row>
    <row r="49831" spans="21:21" x14ac:dyDescent="0.3">
      <c r="U49831" s="25"/>
    </row>
    <row r="49853" spans="21:21" x14ac:dyDescent="0.3">
      <c r="U49853" s="25"/>
    </row>
    <row r="49875" spans="21:21" x14ac:dyDescent="0.3">
      <c r="U49875" s="25"/>
    </row>
    <row r="49897" spans="21:21" x14ac:dyDescent="0.3">
      <c r="U49897" s="25"/>
    </row>
    <row r="49919" spans="21:21" x14ac:dyDescent="0.3">
      <c r="U49919" s="25"/>
    </row>
    <row r="49941" spans="21:21" x14ac:dyDescent="0.3">
      <c r="U49941" s="25"/>
    </row>
    <row r="49963" spans="21:21" x14ac:dyDescent="0.3">
      <c r="U49963" s="25"/>
    </row>
    <row r="49985" spans="21:21" x14ac:dyDescent="0.3">
      <c r="U49985" s="25"/>
    </row>
    <row r="50007" spans="21:21" x14ac:dyDescent="0.3">
      <c r="U50007" s="25"/>
    </row>
    <row r="50029" spans="21:21" x14ac:dyDescent="0.3">
      <c r="U50029" s="25"/>
    </row>
    <row r="50051" spans="21:21" x14ac:dyDescent="0.3">
      <c r="U50051" s="25"/>
    </row>
    <row r="50073" spans="21:21" x14ac:dyDescent="0.3">
      <c r="U50073" s="25"/>
    </row>
    <row r="50095" spans="21:21" x14ac:dyDescent="0.3">
      <c r="U50095" s="25"/>
    </row>
    <row r="50117" spans="21:21" x14ac:dyDescent="0.3">
      <c r="U50117" s="25"/>
    </row>
    <row r="50139" spans="21:21" x14ac:dyDescent="0.3">
      <c r="U50139" s="25"/>
    </row>
    <row r="50161" spans="21:21" x14ac:dyDescent="0.3">
      <c r="U50161" s="25"/>
    </row>
    <row r="50183" spans="21:21" x14ac:dyDescent="0.3">
      <c r="U50183" s="25"/>
    </row>
    <row r="50205" spans="21:21" x14ac:dyDescent="0.3">
      <c r="U50205" s="25"/>
    </row>
    <row r="50227" spans="21:21" x14ac:dyDescent="0.3">
      <c r="U50227" s="25"/>
    </row>
    <row r="50249" spans="21:21" x14ac:dyDescent="0.3">
      <c r="U50249" s="25"/>
    </row>
    <row r="50271" spans="21:21" x14ac:dyDescent="0.3">
      <c r="U50271" s="25"/>
    </row>
    <row r="50293" spans="21:21" x14ac:dyDescent="0.3">
      <c r="U50293" s="25"/>
    </row>
    <row r="50315" spans="21:21" x14ac:dyDescent="0.3">
      <c r="U50315" s="25"/>
    </row>
    <row r="50337" spans="21:21" x14ac:dyDescent="0.3">
      <c r="U50337" s="25"/>
    </row>
    <row r="50359" spans="21:21" x14ac:dyDescent="0.3">
      <c r="U50359" s="25"/>
    </row>
    <row r="50381" spans="21:21" x14ac:dyDescent="0.3">
      <c r="U50381" s="25"/>
    </row>
    <row r="50403" spans="21:21" x14ac:dyDescent="0.3">
      <c r="U50403" s="25"/>
    </row>
    <row r="50425" spans="21:21" x14ac:dyDescent="0.3">
      <c r="U50425" s="25"/>
    </row>
    <row r="50447" spans="21:21" x14ac:dyDescent="0.3">
      <c r="U50447" s="25"/>
    </row>
    <row r="50469" spans="21:21" x14ac:dyDescent="0.3">
      <c r="U50469" s="25"/>
    </row>
    <row r="50491" spans="21:21" x14ac:dyDescent="0.3">
      <c r="U50491" s="25"/>
    </row>
    <row r="50513" spans="21:21" x14ac:dyDescent="0.3">
      <c r="U50513" s="25"/>
    </row>
    <row r="50535" spans="21:21" x14ac:dyDescent="0.3">
      <c r="U50535" s="25"/>
    </row>
    <row r="50557" spans="21:21" x14ac:dyDescent="0.3">
      <c r="U50557" s="25"/>
    </row>
    <row r="50579" spans="21:21" x14ac:dyDescent="0.3">
      <c r="U50579" s="25"/>
    </row>
    <row r="50601" spans="21:21" x14ac:dyDescent="0.3">
      <c r="U50601" s="25"/>
    </row>
    <row r="50623" spans="21:21" x14ac:dyDescent="0.3">
      <c r="U50623" s="25"/>
    </row>
    <row r="50645" spans="21:21" x14ac:dyDescent="0.3">
      <c r="U50645" s="25"/>
    </row>
    <row r="50667" spans="21:21" x14ac:dyDescent="0.3">
      <c r="U50667" s="25"/>
    </row>
    <row r="50689" spans="21:21" x14ac:dyDescent="0.3">
      <c r="U50689" s="25"/>
    </row>
    <row r="50711" spans="21:21" x14ac:dyDescent="0.3">
      <c r="U50711" s="25"/>
    </row>
    <row r="50733" spans="21:21" x14ac:dyDescent="0.3">
      <c r="U50733" s="25"/>
    </row>
    <row r="50755" spans="21:21" x14ac:dyDescent="0.3">
      <c r="U50755" s="25"/>
    </row>
    <row r="50777" spans="21:21" x14ac:dyDescent="0.3">
      <c r="U50777" s="25"/>
    </row>
    <row r="50799" spans="21:21" x14ac:dyDescent="0.3">
      <c r="U50799" s="25"/>
    </row>
    <row r="50821" spans="21:21" x14ac:dyDescent="0.3">
      <c r="U50821" s="25"/>
    </row>
    <row r="50843" spans="21:21" x14ac:dyDescent="0.3">
      <c r="U50843" s="25"/>
    </row>
    <row r="50865" spans="21:21" x14ac:dyDescent="0.3">
      <c r="U50865" s="25"/>
    </row>
    <row r="50887" spans="21:21" x14ac:dyDescent="0.3">
      <c r="U50887" s="25"/>
    </row>
    <row r="50909" spans="21:21" x14ac:dyDescent="0.3">
      <c r="U50909" s="25"/>
    </row>
    <row r="50931" spans="21:21" x14ac:dyDescent="0.3">
      <c r="U50931" s="25"/>
    </row>
    <row r="50953" spans="21:21" x14ac:dyDescent="0.3">
      <c r="U50953" s="25"/>
    </row>
    <row r="50975" spans="21:21" x14ac:dyDescent="0.3">
      <c r="U50975" s="25"/>
    </row>
    <row r="50997" spans="21:21" x14ac:dyDescent="0.3">
      <c r="U50997" s="25"/>
    </row>
    <row r="51019" spans="21:21" x14ac:dyDescent="0.3">
      <c r="U51019" s="25"/>
    </row>
    <row r="51041" spans="21:21" x14ac:dyDescent="0.3">
      <c r="U51041" s="25"/>
    </row>
    <row r="51063" spans="21:21" x14ac:dyDescent="0.3">
      <c r="U51063" s="25"/>
    </row>
    <row r="51085" spans="21:21" x14ac:dyDescent="0.3">
      <c r="U51085" s="25"/>
    </row>
    <row r="51107" spans="21:21" x14ac:dyDescent="0.3">
      <c r="U51107" s="25"/>
    </row>
    <row r="51129" spans="21:21" x14ac:dyDescent="0.3">
      <c r="U51129" s="25"/>
    </row>
    <row r="51151" spans="21:21" x14ac:dyDescent="0.3">
      <c r="U51151" s="25"/>
    </row>
    <row r="51173" spans="21:21" x14ac:dyDescent="0.3">
      <c r="U51173" s="25"/>
    </row>
    <row r="51195" spans="21:21" x14ac:dyDescent="0.3">
      <c r="U51195" s="25"/>
    </row>
    <row r="51217" spans="21:21" x14ac:dyDescent="0.3">
      <c r="U51217" s="25"/>
    </row>
    <row r="51239" spans="21:21" x14ac:dyDescent="0.3">
      <c r="U51239" s="25"/>
    </row>
    <row r="51261" spans="21:21" x14ac:dyDescent="0.3">
      <c r="U51261" s="25"/>
    </row>
    <row r="51283" spans="21:21" x14ac:dyDescent="0.3">
      <c r="U51283" s="25"/>
    </row>
    <row r="51305" spans="21:21" x14ac:dyDescent="0.3">
      <c r="U51305" s="25"/>
    </row>
    <row r="51327" spans="21:21" x14ac:dyDescent="0.3">
      <c r="U51327" s="25"/>
    </row>
    <row r="51349" spans="21:21" x14ac:dyDescent="0.3">
      <c r="U51349" s="25"/>
    </row>
    <row r="51371" spans="21:21" x14ac:dyDescent="0.3">
      <c r="U51371" s="25"/>
    </row>
    <row r="51393" spans="21:21" x14ac:dyDescent="0.3">
      <c r="U51393" s="25"/>
    </row>
    <row r="51415" spans="21:21" x14ac:dyDescent="0.3">
      <c r="U51415" s="25"/>
    </row>
    <row r="51437" spans="21:21" x14ac:dyDescent="0.3">
      <c r="U51437" s="25"/>
    </row>
    <row r="51459" spans="21:21" x14ac:dyDescent="0.3">
      <c r="U51459" s="25"/>
    </row>
    <row r="51481" spans="21:21" x14ac:dyDescent="0.3">
      <c r="U51481" s="25"/>
    </row>
    <row r="51503" spans="21:21" x14ac:dyDescent="0.3">
      <c r="U51503" s="25"/>
    </row>
    <row r="51525" spans="21:21" x14ac:dyDescent="0.3">
      <c r="U51525" s="25"/>
    </row>
    <row r="51547" spans="21:21" x14ac:dyDescent="0.3">
      <c r="U51547" s="25"/>
    </row>
    <row r="51569" spans="21:21" x14ac:dyDescent="0.3">
      <c r="U51569" s="25"/>
    </row>
    <row r="51591" spans="21:21" x14ac:dyDescent="0.3">
      <c r="U51591" s="25"/>
    </row>
    <row r="51613" spans="21:21" x14ac:dyDescent="0.3">
      <c r="U51613" s="25"/>
    </row>
    <row r="51635" spans="21:21" x14ac:dyDescent="0.3">
      <c r="U51635" s="25"/>
    </row>
    <row r="51657" spans="21:21" x14ac:dyDescent="0.3">
      <c r="U51657" s="25"/>
    </row>
    <row r="51679" spans="21:21" x14ac:dyDescent="0.3">
      <c r="U51679" s="25"/>
    </row>
    <row r="51701" spans="21:21" x14ac:dyDescent="0.3">
      <c r="U51701" s="25"/>
    </row>
    <row r="51723" spans="21:21" x14ac:dyDescent="0.3">
      <c r="U51723" s="25"/>
    </row>
    <row r="51745" spans="21:21" x14ac:dyDescent="0.3">
      <c r="U51745" s="25"/>
    </row>
    <row r="51767" spans="21:21" x14ac:dyDescent="0.3">
      <c r="U51767" s="25"/>
    </row>
    <row r="51789" spans="21:21" x14ac:dyDescent="0.3">
      <c r="U51789" s="25"/>
    </row>
    <row r="51811" spans="21:21" x14ac:dyDescent="0.3">
      <c r="U51811" s="25"/>
    </row>
    <row r="51833" spans="21:21" x14ac:dyDescent="0.3">
      <c r="U51833" s="25"/>
    </row>
    <row r="51855" spans="21:21" x14ac:dyDescent="0.3">
      <c r="U51855" s="25"/>
    </row>
    <row r="51877" spans="21:21" x14ac:dyDescent="0.3">
      <c r="U51877" s="25"/>
    </row>
    <row r="51899" spans="21:21" x14ac:dyDescent="0.3">
      <c r="U51899" s="25"/>
    </row>
    <row r="51921" spans="21:21" x14ac:dyDescent="0.3">
      <c r="U51921" s="25"/>
    </row>
    <row r="51943" spans="21:21" x14ac:dyDescent="0.3">
      <c r="U51943" s="25"/>
    </row>
    <row r="51965" spans="21:21" x14ac:dyDescent="0.3">
      <c r="U51965" s="25"/>
    </row>
    <row r="51987" spans="21:21" x14ac:dyDescent="0.3">
      <c r="U51987" s="25"/>
    </row>
    <row r="52009" spans="21:21" x14ac:dyDescent="0.3">
      <c r="U52009" s="25"/>
    </row>
    <row r="52031" spans="21:21" x14ac:dyDescent="0.3">
      <c r="U52031" s="25"/>
    </row>
    <row r="52053" spans="21:21" x14ac:dyDescent="0.3">
      <c r="U52053" s="25"/>
    </row>
    <row r="52075" spans="21:21" x14ac:dyDescent="0.3">
      <c r="U52075" s="25"/>
    </row>
    <row r="52097" spans="21:21" x14ac:dyDescent="0.3">
      <c r="U52097" s="25"/>
    </row>
    <row r="52119" spans="21:21" x14ac:dyDescent="0.3">
      <c r="U52119" s="25"/>
    </row>
    <row r="52141" spans="21:21" x14ac:dyDescent="0.3">
      <c r="U52141" s="25"/>
    </row>
    <row r="52163" spans="21:21" x14ac:dyDescent="0.3">
      <c r="U52163" s="25"/>
    </row>
    <row r="52185" spans="21:21" x14ac:dyDescent="0.3">
      <c r="U52185" s="25"/>
    </row>
    <row r="52207" spans="21:21" x14ac:dyDescent="0.3">
      <c r="U52207" s="25"/>
    </row>
    <row r="52229" spans="21:21" x14ac:dyDescent="0.3">
      <c r="U52229" s="25"/>
    </row>
    <row r="52251" spans="21:21" x14ac:dyDescent="0.3">
      <c r="U52251" s="25"/>
    </row>
    <row r="52273" spans="21:21" x14ac:dyDescent="0.3">
      <c r="U52273" s="25"/>
    </row>
    <row r="52295" spans="21:21" x14ac:dyDescent="0.3">
      <c r="U52295" s="25"/>
    </row>
    <row r="52317" spans="21:21" x14ac:dyDescent="0.3">
      <c r="U52317" s="25"/>
    </row>
    <row r="52339" spans="21:21" x14ac:dyDescent="0.3">
      <c r="U52339" s="25"/>
    </row>
    <row r="52361" spans="21:21" x14ac:dyDescent="0.3">
      <c r="U52361" s="25"/>
    </row>
    <row r="52383" spans="21:21" x14ac:dyDescent="0.3">
      <c r="U52383" s="25"/>
    </row>
    <row r="52405" spans="21:21" x14ac:dyDescent="0.3">
      <c r="U52405" s="25"/>
    </row>
    <row r="52427" spans="21:21" x14ac:dyDescent="0.3">
      <c r="U52427" s="25"/>
    </row>
    <row r="52449" spans="21:21" x14ac:dyDescent="0.3">
      <c r="U52449" s="25"/>
    </row>
    <row r="52471" spans="21:21" x14ac:dyDescent="0.3">
      <c r="U52471" s="25"/>
    </row>
    <row r="52493" spans="21:21" x14ac:dyDescent="0.3">
      <c r="U52493" s="25"/>
    </row>
    <row r="52515" spans="21:21" x14ac:dyDescent="0.3">
      <c r="U52515" s="25"/>
    </row>
    <row r="52537" spans="21:21" x14ac:dyDescent="0.3">
      <c r="U52537" s="25"/>
    </row>
    <row r="52559" spans="21:21" x14ac:dyDescent="0.3">
      <c r="U52559" s="25"/>
    </row>
    <row r="52581" spans="21:21" x14ac:dyDescent="0.3">
      <c r="U52581" s="25"/>
    </row>
    <row r="52603" spans="21:21" x14ac:dyDescent="0.3">
      <c r="U52603" s="25"/>
    </row>
    <row r="52625" spans="21:21" x14ac:dyDescent="0.3">
      <c r="U52625" s="25"/>
    </row>
    <row r="52647" spans="21:21" x14ac:dyDescent="0.3">
      <c r="U52647" s="25"/>
    </row>
    <row r="52669" spans="21:21" x14ac:dyDescent="0.3">
      <c r="U52669" s="25"/>
    </row>
    <row r="52691" spans="21:21" x14ac:dyDescent="0.3">
      <c r="U52691" s="25"/>
    </row>
    <row r="52713" spans="21:21" x14ac:dyDescent="0.3">
      <c r="U52713" s="25"/>
    </row>
    <row r="52735" spans="21:21" x14ac:dyDescent="0.3">
      <c r="U52735" s="25"/>
    </row>
    <row r="52757" spans="21:21" x14ac:dyDescent="0.3">
      <c r="U52757" s="25"/>
    </row>
    <row r="52779" spans="21:21" x14ac:dyDescent="0.3">
      <c r="U52779" s="25"/>
    </row>
    <row r="52801" spans="21:21" x14ac:dyDescent="0.3">
      <c r="U52801" s="25"/>
    </row>
    <row r="52823" spans="21:21" x14ac:dyDescent="0.3">
      <c r="U52823" s="25"/>
    </row>
    <row r="52845" spans="21:21" x14ac:dyDescent="0.3">
      <c r="U52845" s="25"/>
    </row>
    <row r="52867" spans="21:21" x14ac:dyDescent="0.3">
      <c r="U52867" s="25"/>
    </row>
    <row r="52889" spans="21:21" x14ac:dyDescent="0.3">
      <c r="U52889" s="25"/>
    </row>
    <row r="52911" spans="21:21" x14ac:dyDescent="0.3">
      <c r="U52911" s="25"/>
    </row>
    <row r="52933" spans="21:21" x14ac:dyDescent="0.3">
      <c r="U52933" s="25"/>
    </row>
    <row r="52955" spans="21:21" x14ac:dyDescent="0.3">
      <c r="U52955" s="25"/>
    </row>
    <row r="52977" spans="21:21" x14ac:dyDescent="0.3">
      <c r="U52977" s="25"/>
    </row>
    <row r="52999" spans="21:21" x14ac:dyDescent="0.3">
      <c r="U52999" s="25"/>
    </row>
    <row r="53021" spans="21:21" x14ac:dyDescent="0.3">
      <c r="U53021" s="25"/>
    </row>
    <row r="53043" spans="21:21" x14ac:dyDescent="0.3">
      <c r="U53043" s="25"/>
    </row>
    <row r="53065" spans="21:21" x14ac:dyDescent="0.3">
      <c r="U53065" s="25"/>
    </row>
    <row r="53087" spans="21:21" x14ac:dyDescent="0.3">
      <c r="U53087" s="25"/>
    </row>
    <row r="53109" spans="21:21" x14ac:dyDescent="0.3">
      <c r="U53109" s="25"/>
    </row>
    <row r="53131" spans="21:21" x14ac:dyDescent="0.3">
      <c r="U53131" s="25"/>
    </row>
    <row r="53153" spans="21:21" x14ac:dyDescent="0.3">
      <c r="U53153" s="25"/>
    </row>
    <row r="53175" spans="21:21" x14ac:dyDescent="0.3">
      <c r="U53175" s="25"/>
    </row>
    <row r="53197" spans="21:21" x14ac:dyDescent="0.3">
      <c r="U53197" s="25"/>
    </row>
    <row r="53219" spans="21:21" x14ac:dyDescent="0.3">
      <c r="U53219" s="25"/>
    </row>
    <row r="53241" spans="21:21" x14ac:dyDescent="0.3">
      <c r="U53241" s="25"/>
    </row>
    <row r="53263" spans="21:21" x14ac:dyDescent="0.3">
      <c r="U53263" s="25"/>
    </row>
    <row r="53285" spans="21:21" x14ac:dyDescent="0.3">
      <c r="U53285" s="25"/>
    </row>
    <row r="53307" spans="21:21" x14ac:dyDescent="0.3">
      <c r="U53307" s="25"/>
    </row>
    <row r="53329" spans="21:21" x14ac:dyDescent="0.3">
      <c r="U53329" s="25"/>
    </row>
    <row r="53351" spans="21:21" x14ac:dyDescent="0.3">
      <c r="U53351" s="25"/>
    </row>
    <row r="53373" spans="21:21" x14ac:dyDescent="0.3">
      <c r="U53373" s="25"/>
    </row>
    <row r="53395" spans="21:21" x14ac:dyDescent="0.3">
      <c r="U53395" s="25"/>
    </row>
    <row r="53417" spans="21:21" x14ac:dyDescent="0.3">
      <c r="U53417" s="25"/>
    </row>
    <row r="53439" spans="21:21" x14ac:dyDescent="0.3">
      <c r="U53439" s="25"/>
    </row>
    <row r="53461" spans="21:21" x14ac:dyDescent="0.3">
      <c r="U53461" s="25"/>
    </row>
    <row r="53483" spans="21:21" x14ac:dyDescent="0.3">
      <c r="U53483" s="25"/>
    </row>
    <row r="53505" spans="21:21" x14ac:dyDescent="0.3">
      <c r="U53505" s="25"/>
    </row>
    <row r="53527" spans="21:21" x14ac:dyDescent="0.3">
      <c r="U53527" s="25"/>
    </row>
    <row r="53549" spans="21:21" x14ac:dyDescent="0.3">
      <c r="U53549" s="25"/>
    </row>
    <row r="53571" spans="21:21" x14ac:dyDescent="0.3">
      <c r="U53571" s="25"/>
    </row>
    <row r="53593" spans="21:21" x14ac:dyDescent="0.3">
      <c r="U53593" s="25"/>
    </row>
    <row r="53615" spans="21:21" x14ac:dyDescent="0.3">
      <c r="U53615" s="25"/>
    </row>
    <row r="53637" spans="21:21" x14ac:dyDescent="0.3">
      <c r="U53637" s="25"/>
    </row>
    <row r="53659" spans="21:21" x14ac:dyDescent="0.3">
      <c r="U53659" s="25"/>
    </row>
    <row r="53681" spans="21:21" x14ac:dyDescent="0.3">
      <c r="U53681" s="25"/>
    </row>
    <row r="53703" spans="21:21" x14ac:dyDescent="0.3">
      <c r="U53703" s="25"/>
    </row>
    <row r="53725" spans="21:21" x14ac:dyDescent="0.3">
      <c r="U53725" s="25"/>
    </row>
    <row r="53747" spans="21:21" x14ac:dyDescent="0.3">
      <c r="U53747" s="25"/>
    </row>
    <row r="53769" spans="21:21" x14ac:dyDescent="0.3">
      <c r="U53769" s="25"/>
    </row>
    <row r="53791" spans="21:21" x14ac:dyDescent="0.3">
      <c r="U53791" s="25"/>
    </row>
    <row r="53813" spans="21:21" x14ac:dyDescent="0.3">
      <c r="U53813" s="25"/>
    </row>
    <row r="53835" spans="21:21" x14ac:dyDescent="0.3">
      <c r="U53835" s="25"/>
    </row>
    <row r="53857" spans="21:21" x14ac:dyDescent="0.3">
      <c r="U53857" s="25"/>
    </row>
    <row r="53879" spans="21:21" x14ac:dyDescent="0.3">
      <c r="U53879" s="25"/>
    </row>
    <row r="53901" spans="21:21" x14ac:dyDescent="0.3">
      <c r="U53901" s="25"/>
    </row>
    <row r="53923" spans="21:21" x14ac:dyDescent="0.3">
      <c r="U53923" s="25"/>
    </row>
    <row r="53945" spans="21:21" x14ac:dyDescent="0.3">
      <c r="U53945" s="25"/>
    </row>
    <row r="53967" spans="21:21" x14ac:dyDescent="0.3">
      <c r="U53967" s="25"/>
    </row>
    <row r="53989" spans="21:21" x14ac:dyDescent="0.3">
      <c r="U53989" s="25"/>
    </row>
    <row r="54011" spans="21:21" x14ac:dyDescent="0.3">
      <c r="U54011" s="25"/>
    </row>
    <row r="54033" spans="21:21" x14ac:dyDescent="0.3">
      <c r="U54033" s="25"/>
    </row>
    <row r="54055" spans="21:21" x14ac:dyDescent="0.3">
      <c r="U54055" s="25"/>
    </row>
    <row r="54077" spans="21:21" x14ac:dyDescent="0.3">
      <c r="U54077" s="25"/>
    </row>
    <row r="54099" spans="21:21" x14ac:dyDescent="0.3">
      <c r="U54099" s="25"/>
    </row>
    <row r="54121" spans="21:21" x14ac:dyDescent="0.3">
      <c r="U54121" s="25"/>
    </row>
    <row r="54143" spans="21:21" x14ac:dyDescent="0.3">
      <c r="U54143" s="25"/>
    </row>
    <row r="54165" spans="21:21" x14ac:dyDescent="0.3">
      <c r="U54165" s="25"/>
    </row>
    <row r="54187" spans="21:21" x14ac:dyDescent="0.3">
      <c r="U54187" s="25"/>
    </row>
    <row r="54209" spans="21:21" x14ac:dyDescent="0.3">
      <c r="U54209" s="25"/>
    </row>
    <row r="54231" spans="21:21" x14ac:dyDescent="0.3">
      <c r="U54231" s="25"/>
    </row>
    <row r="54253" spans="21:21" x14ac:dyDescent="0.3">
      <c r="U54253" s="25"/>
    </row>
    <row r="54275" spans="21:21" x14ac:dyDescent="0.3">
      <c r="U54275" s="25"/>
    </row>
    <row r="54297" spans="21:21" x14ac:dyDescent="0.3">
      <c r="U54297" s="25"/>
    </row>
    <row r="54319" spans="21:21" x14ac:dyDescent="0.3">
      <c r="U54319" s="25"/>
    </row>
    <row r="54341" spans="21:21" x14ac:dyDescent="0.3">
      <c r="U54341" s="25"/>
    </row>
    <row r="54363" spans="21:21" x14ac:dyDescent="0.3">
      <c r="U54363" s="25"/>
    </row>
    <row r="54385" spans="21:21" x14ac:dyDescent="0.3">
      <c r="U54385" s="25"/>
    </row>
    <row r="54407" spans="21:21" x14ac:dyDescent="0.3">
      <c r="U54407" s="25"/>
    </row>
    <row r="54429" spans="21:21" x14ac:dyDescent="0.3">
      <c r="U54429" s="25"/>
    </row>
    <row r="54451" spans="21:21" x14ac:dyDescent="0.3">
      <c r="U54451" s="25"/>
    </row>
    <row r="54473" spans="21:21" x14ac:dyDescent="0.3">
      <c r="U54473" s="25"/>
    </row>
    <row r="54495" spans="21:21" x14ac:dyDescent="0.3">
      <c r="U54495" s="25"/>
    </row>
    <row r="54517" spans="21:21" x14ac:dyDescent="0.3">
      <c r="U54517" s="25"/>
    </row>
    <row r="54539" spans="21:21" x14ac:dyDescent="0.3">
      <c r="U54539" s="25"/>
    </row>
    <row r="54561" spans="21:21" x14ac:dyDescent="0.3">
      <c r="U54561" s="25"/>
    </row>
    <row r="54583" spans="21:21" x14ac:dyDescent="0.3">
      <c r="U54583" s="25"/>
    </row>
    <row r="54605" spans="21:21" x14ac:dyDescent="0.3">
      <c r="U54605" s="25"/>
    </row>
    <row r="54627" spans="21:21" x14ac:dyDescent="0.3">
      <c r="U54627" s="25"/>
    </row>
    <row r="54649" spans="21:21" x14ac:dyDescent="0.3">
      <c r="U54649" s="25"/>
    </row>
    <row r="54671" spans="21:21" x14ac:dyDescent="0.3">
      <c r="U54671" s="25"/>
    </row>
    <row r="54693" spans="21:21" x14ac:dyDescent="0.3">
      <c r="U54693" s="25"/>
    </row>
    <row r="54715" spans="21:21" x14ac:dyDescent="0.3">
      <c r="U54715" s="25"/>
    </row>
    <row r="54737" spans="21:21" x14ac:dyDescent="0.3">
      <c r="U54737" s="25"/>
    </row>
    <row r="54759" spans="21:21" x14ac:dyDescent="0.3">
      <c r="U54759" s="25"/>
    </row>
    <row r="54781" spans="21:21" x14ac:dyDescent="0.3">
      <c r="U54781" s="25"/>
    </row>
    <row r="54803" spans="21:21" x14ac:dyDescent="0.3">
      <c r="U54803" s="25"/>
    </row>
    <row r="54825" spans="21:21" x14ac:dyDescent="0.3">
      <c r="U54825" s="25"/>
    </row>
    <row r="54847" spans="21:21" x14ac:dyDescent="0.3">
      <c r="U54847" s="25"/>
    </row>
    <row r="54869" spans="21:21" x14ac:dyDescent="0.3">
      <c r="U54869" s="25"/>
    </row>
    <row r="54891" spans="21:21" x14ac:dyDescent="0.3">
      <c r="U54891" s="25"/>
    </row>
    <row r="54913" spans="21:21" x14ac:dyDescent="0.3">
      <c r="U54913" s="25"/>
    </row>
    <row r="54935" spans="21:21" x14ac:dyDescent="0.3">
      <c r="U54935" s="25"/>
    </row>
    <row r="54957" spans="21:21" x14ac:dyDescent="0.3">
      <c r="U54957" s="25"/>
    </row>
    <row r="54979" spans="21:21" x14ac:dyDescent="0.3">
      <c r="U54979" s="25"/>
    </row>
    <row r="55001" spans="21:21" x14ac:dyDescent="0.3">
      <c r="U55001" s="25"/>
    </row>
    <row r="55023" spans="21:21" x14ac:dyDescent="0.3">
      <c r="U55023" s="25"/>
    </row>
    <row r="55045" spans="21:21" x14ac:dyDescent="0.3">
      <c r="U55045" s="25"/>
    </row>
    <row r="55067" spans="21:21" x14ac:dyDescent="0.3">
      <c r="U55067" s="25"/>
    </row>
    <row r="55089" spans="21:21" x14ac:dyDescent="0.3">
      <c r="U55089" s="25"/>
    </row>
    <row r="55111" spans="21:21" x14ac:dyDescent="0.3">
      <c r="U55111" s="25"/>
    </row>
    <row r="55133" spans="21:21" x14ac:dyDescent="0.3">
      <c r="U55133" s="25"/>
    </row>
    <row r="55155" spans="21:21" x14ac:dyDescent="0.3">
      <c r="U55155" s="25"/>
    </row>
    <row r="55177" spans="21:21" x14ac:dyDescent="0.3">
      <c r="U55177" s="25"/>
    </row>
    <row r="55199" spans="21:21" x14ac:dyDescent="0.3">
      <c r="U55199" s="25"/>
    </row>
    <row r="55221" spans="21:21" x14ac:dyDescent="0.3">
      <c r="U55221" s="25"/>
    </row>
    <row r="55243" spans="21:21" x14ac:dyDescent="0.3">
      <c r="U55243" s="25"/>
    </row>
    <row r="55265" spans="21:21" x14ac:dyDescent="0.3">
      <c r="U55265" s="25"/>
    </row>
    <row r="55287" spans="21:21" x14ac:dyDescent="0.3">
      <c r="U55287" s="25"/>
    </row>
    <row r="55309" spans="21:21" x14ac:dyDescent="0.3">
      <c r="U55309" s="25"/>
    </row>
    <row r="55331" spans="21:21" x14ac:dyDescent="0.3">
      <c r="U55331" s="25"/>
    </row>
    <row r="55353" spans="21:21" x14ac:dyDescent="0.3">
      <c r="U55353" s="25"/>
    </row>
    <row r="55375" spans="21:21" x14ac:dyDescent="0.3">
      <c r="U55375" s="25"/>
    </row>
    <row r="55397" spans="21:21" x14ac:dyDescent="0.3">
      <c r="U55397" s="25"/>
    </row>
    <row r="55419" spans="21:21" x14ac:dyDescent="0.3">
      <c r="U55419" s="25"/>
    </row>
    <row r="55441" spans="21:21" x14ac:dyDescent="0.3">
      <c r="U55441" s="25"/>
    </row>
    <row r="55463" spans="21:21" x14ac:dyDescent="0.3">
      <c r="U55463" s="25"/>
    </row>
    <row r="55485" spans="21:21" x14ac:dyDescent="0.3">
      <c r="U55485" s="25"/>
    </row>
    <row r="55507" spans="21:21" x14ac:dyDescent="0.3">
      <c r="U55507" s="25"/>
    </row>
    <row r="55529" spans="21:21" x14ac:dyDescent="0.3">
      <c r="U55529" s="25"/>
    </row>
    <row r="55551" spans="21:21" x14ac:dyDescent="0.3">
      <c r="U55551" s="25"/>
    </row>
    <row r="55573" spans="21:21" x14ac:dyDescent="0.3">
      <c r="U55573" s="25"/>
    </row>
    <row r="55595" spans="21:21" x14ac:dyDescent="0.3">
      <c r="U55595" s="25"/>
    </row>
    <row r="55617" spans="21:21" x14ac:dyDescent="0.3">
      <c r="U55617" s="25"/>
    </row>
    <row r="55639" spans="21:21" x14ac:dyDescent="0.3">
      <c r="U55639" s="25"/>
    </row>
    <row r="55661" spans="21:21" x14ac:dyDescent="0.3">
      <c r="U55661" s="25"/>
    </row>
    <row r="55683" spans="21:21" x14ac:dyDescent="0.3">
      <c r="U55683" s="25"/>
    </row>
    <row r="55705" spans="21:21" x14ac:dyDescent="0.3">
      <c r="U55705" s="25"/>
    </row>
    <row r="55727" spans="21:21" x14ac:dyDescent="0.3">
      <c r="U55727" s="25"/>
    </row>
    <row r="55749" spans="21:21" x14ac:dyDescent="0.3">
      <c r="U55749" s="25"/>
    </row>
    <row r="55771" spans="21:21" x14ac:dyDescent="0.3">
      <c r="U55771" s="25"/>
    </row>
    <row r="55793" spans="21:21" x14ac:dyDescent="0.3">
      <c r="U55793" s="25"/>
    </row>
    <row r="55815" spans="21:21" x14ac:dyDescent="0.3">
      <c r="U55815" s="25"/>
    </row>
    <row r="55837" spans="21:21" x14ac:dyDescent="0.3">
      <c r="U55837" s="25"/>
    </row>
    <row r="55859" spans="21:21" x14ac:dyDescent="0.3">
      <c r="U55859" s="25"/>
    </row>
    <row r="55881" spans="21:21" x14ac:dyDescent="0.3">
      <c r="U55881" s="25"/>
    </row>
    <row r="55903" spans="21:21" x14ac:dyDescent="0.3">
      <c r="U55903" s="25"/>
    </row>
    <row r="55925" spans="21:21" x14ac:dyDescent="0.3">
      <c r="U55925" s="25"/>
    </row>
    <row r="55947" spans="21:21" x14ac:dyDescent="0.3">
      <c r="U55947" s="25"/>
    </row>
    <row r="55969" spans="21:21" x14ac:dyDescent="0.3">
      <c r="U55969" s="25"/>
    </row>
    <row r="55991" spans="21:21" x14ac:dyDescent="0.3">
      <c r="U55991" s="25"/>
    </row>
    <row r="56013" spans="21:21" x14ac:dyDescent="0.3">
      <c r="U56013" s="25"/>
    </row>
    <row r="56035" spans="21:21" x14ac:dyDescent="0.3">
      <c r="U56035" s="25"/>
    </row>
    <row r="56057" spans="21:21" x14ac:dyDescent="0.3">
      <c r="U56057" s="25"/>
    </row>
    <row r="56079" spans="21:21" x14ac:dyDescent="0.3">
      <c r="U56079" s="25"/>
    </row>
    <row r="56101" spans="21:21" x14ac:dyDescent="0.3">
      <c r="U56101" s="25"/>
    </row>
    <row r="56123" spans="21:21" x14ac:dyDescent="0.3">
      <c r="U56123" s="25"/>
    </row>
    <row r="56145" spans="21:21" x14ac:dyDescent="0.3">
      <c r="U56145" s="25"/>
    </row>
    <row r="56167" spans="21:21" x14ac:dyDescent="0.3">
      <c r="U56167" s="25"/>
    </row>
    <row r="56189" spans="21:21" x14ac:dyDescent="0.3">
      <c r="U56189" s="25"/>
    </row>
    <row r="56211" spans="21:21" x14ac:dyDescent="0.3">
      <c r="U56211" s="25"/>
    </row>
    <row r="56233" spans="21:21" x14ac:dyDescent="0.3">
      <c r="U56233" s="25"/>
    </row>
    <row r="56255" spans="21:21" x14ac:dyDescent="0.3">
      <c r="U56255" s="25"/>
    </row>
    <row r="56277" spans="21:21" x14ac:dyDescent="0.3">
      <c r="U56277" s="25"/>
    </row>
    <row r="56299" spans="21:21" x14ac:dyDescent="0.3">
      <c r="U56299" s="25"/>
    </row>
    <row r="56321" spans="21:21" x14ac:dyDescent="0.3">
      <c r="U56321" s="25"/>
    </row>
    <row r="56343" spans="21:21" x14ac:dyDescent="0.3">
      <c r="U56343" s="25"/>
    </row>
    <row r="56365" spans="21:21" x14ac:dyDescent="0.3">
      <c r="U56365" s="25"/>
    </row>
    <row r="56387" spans="21:21" x14ac:dyDescent="0.3">
      <c r="U56387" s="25"/>
    </row>
    <row r="56409" spans="21:21" x14ac:dyDescent="0.3">
      <c r="U56409" s="25"/>
    </row>
    <row r="56431" spans="21:21" x14ac:dyDescent="0.3">
      <c r="U56431" s="25"/>
    </row>
    <row r="56453" spans="21:21" x14ac:dyDescent="0.3">
      <c r="U56453" s="25"/>
    </row>
    <row r="56475" spans="21:21" x14ac:dyDescent="0.3">
      <c r="U56475" s="25"/>
    </row>
    <row r="56497" spans="21:21" x14ac:dyDescent="0.3">
      <c r="U56497" s="25"/>
    </row>
    <row r="56519" spans="21:21" x14ac:dyDescent="0.3">
      <c r="U56519" s="25"/>
    </row>
    <row r="56541" spans="21:21" x14ac:dyDescent="0.3">
      <c r="U56541" s="25"/>
    </row>
    <row r="56563" spans="21:21" x14ac:dyDescent="0.3">
      <c r="U56563" s="25"/>
    </row>
    <row r="56585" spans="21:21" x14ac:dyDescent="0.3">
      <c r="U56585" s="25"/>
    </row>
    <row r="56607" spans="21:21" x14ac:dyDescent="0.3">
      <c r="U56607" s="25"/>
    </row>
    <row r="56629" spans="21:21" x14ac:dyDescent="0.3">
      <c r="U56629" s="25"/>
    </row>
    <row r="56651" spans="21:21" x14ac:dyDescent="0.3">
      <c r="U56651" s="25"/>
    </row>
    <row r="56673" spans="21:21" x14ac:dyDescent="0.3">
      <c r="U56673" s="25"/>
    </row>
    <row r="56695" spans="21:21" x14ac:dyDescent="0.3">
      <c r="U56695" s="25"/>
    </row>
    <row r="56717" spans="21:21" x14ac:dyDescent="0.3">
      <c r="U56717" s="25"/>
    </row>
    <row r="56739" spans="21:21" x14ac:dyDescent="0.3">
      <c r="U56739" s="25"/>
    </row>
    <row r="56761" spans="21:21" x14ac:dyDescent="0.3">
      <c r="U56761" s="25"/>
    </row>
    <row r="56783" spans="21:21" x14ac:dyDescent="0.3">
      <c r="U56783" s="25"/>
    </row>
    <row r="56805" spans="21:21" x14ac:dyDescent="0.3">
      <c r="U56805" s="25"/>
    </row>
    <row r="56827" spans="21:21" x14ac:dyDescent="0.3">
      <c r="U56827" s="25"/>
    </row>
    <row r="56849" spans="21:21" x14ac:dyDescent="0.3">
      <c r="U56849" s="25"/>
    </row>
    <row r="56871" spans="21:21" x14ac:dyDescent="0.3">
      <c r="U56871" s="25"/>
    </row>
    <row r="56893" spans="21:21" x14ac:dyDescent="0.3">
      <c r="U56893" s="25"/>
    </row>
    <row r="56915" spans="21:21" x14ac:dyDescent="0.3">
      <c r="U56915" s="25"/>
    </row>
    <row r="56937" spans="21:21" x14ac:dyDescent="0.3">
      <c r="U56937" s="25"/>
    </row>
    <row r="56959" spans="21:21" x14ac:dyDescent="0.3">
      <c r="U56959" s="25"/>
    </row>
    <row r="56981" spans="21:21" x14ac:dyDescent="0.3">
      <c r="U56981" s="25"/>
    </row>
    <row r="57003" spans="21:21" x14ac:dyDescent="0.3">
      <c r="U57003" s="25"/>
    </row>
    <row r="57025" spans="21:21" x14ac:dyDescent="0.3">
      <c r="U57025" s="25"/>
    </row>
    <row r="57047" spans="21:21" x14ac:dyDescent="0.3">
      <c r="U57047" s="25"/>
    </row>
    <row r="57069" spans="21:21" x14ac:dyDescent="0.3">
      <c r="U57069" s="25"/>
    </row>
    <row r="57091" spans="21:21" x14ac:dyDescent="0.3">
      <c r="U57091" s="25"/>
    </row>
    <row r="57113" spans="21:21" x14ac:dyDescent="0.3">
      <c r="U57113" s="25"/>
    </row>
    <row r="57135" spans="21:21" x14ac:dyDescent="0.3">
      <c r="U57135" s="25"/>
    </row>
    <row r="57157" spans="21:21" x14ac:dyDescent="0.3">
      <c r="U57157" s="25"/>
    </row>
    <row r="57179" spans="21:21" x14ac:dyDescent="0.3">
      <c r="U57179" s="25"/>
    </row>
    <row r="57201" spans="21:21" x14ac:dyDescent="0.3">
      <c r="U57201" s="25"/>
    </row>
    <row r="57223" spans="21:21" x14ac:dyDescent="0.3">
      <c r="U57223" s="25"/>
    </row>
    <row r="57245" spans="21:21" x14ac:dyDescent="0.3">
      <c r="U57245" s="25"/>
    </row>
    <row r="57267" spans="21:21" x14ac:dyDescent="0.3">
      <c r="U57267" s="25"/>
    </row>
    <row r="57289" spans="21:21" x14ac:dyDescent="0.3">
      <c r="U57289" s="25"/>
    </row>
    <row r="57311" spans="21:21" x14ac:dyDescent="0.3">
      <c r="U57311" s="25"/>
    </row>
    <row r="57333" spans="21:21" x14ac:dyDescent="0.3">
      <c r="U57333" s="25"/>
    </row>
    <row r="57355" spans="21:21" x14ac:dyDescent="0.3">
      <c r="U57355" s="25"/>
    </row>
    <row r="57377" spans="21:21" x14ac:dyDescent="0.3">
      <c r="U57377" s="25"/>
    </row>
    <row r="57399" spans="21:21" x14ac:dyDescent="0.3">
      <c r="U57399" s="25"/>
    </row>
    <row r="57421" spans="21:21" x14ac:dyDescent="0.3">
      <c r="U57421" s="25"/>
    </row>
    <row r="57443" spans="21:21" x14ac:dyDescent="0.3">
      <c r="U57443" s="25"/>
    </row>
    <row r="57465" spans="21:21" x14ac:dyDescent="0.3">
      <c r="U57465" s="25"/>
    </row>
    <row r="57487" spans="21:21" x14ac:dyDescent="0.3">
      <c r="U57487" s="25"/>
    </row>
    <row r="57509" spans="21:21" x14ac:dyDescent="0.3">
      <c r="U57509" s="25"/>
    </row>
    <row r="57531" spans="21:21" x14ac:dyDescent="0.3">
      <c r="U57531" s="25"/>
    </row>
    <row r="57553" spans="21:21" x14ac:dyDescent="0.3">
      <c r="U57553" s="25"/>
    </row>
    <row r="57575" spans="21:21" x14ac:dyDescent="0.3">
      <c r="U57575" s="25"/>
    </row>
    <row r="57597" spans="21:21" x14ac:dyDescent="0.3">
      <c r="U57597" s="25"/>
    </row>
    <row r="57619" spans="21:21" x14ac:dyDescent="0.3">
      <c r="U57619" s="25"/>
    </row>
    <row r="57641" spans="21:21" x14ac:dyDescent="0.3">
      <c r="U57641" s="25"/>
    </row>
    <row r="57663" spans="21:21" x14ac:dyDescent="0.3">
      <c r="U57663" s="25"/>
    </row>
    <row r="57685" spans="21:21" x14ac:dyDescent="0.3">
      <c r="U57685" s="25"/>
    </row>
    <row r="57707" spans="21:21" x14ac:dyDescent="0.3">
      <c r="U57707" s="25"/>
    </row>
    <row r="57729" spans="21:21" x14ac:dyDescent="0.3">
      <c r="U57729" s="25"/>
    </row>
    <row r="57751" spans="21:21" x14ac:dyDescent="0.3">
      <c r="U57751" s="25"/>
    </row>
    <row r="57773" spans="21:21" x14ac:dyDescent="0.3">
      <c r="U57773" s="25"/>
    </row>
    <row r="57795" spans="21:21" x14ac:dyDescent="0.3">
      <c r="U57795" s="25"/>
    </row>
    <row r="57817" spans="21:21" x14ac:dyDescent="0.3">
      <c r="U57817" s="25"/>
    </row>
    <row r="57839" spans="21:21" x14ac:dyDescent="0.3">
      <c r="U57839" s="25"/>
    </row>
    <row r="57861" spans="21:21" x14ac:dyDescent="0.3">
      <c r="U57861" s="25"/>
    </row>
    <row r="57883" spans="21:21" x14ac:dyDescent="0.3">
      <c r="U57883" s="25"/>
    </row>
    <row r="57905" spans="21:21" x14ac:dyDescent="0.3">
      <c r="U57905" s="25"/>
    </row>
    <row r="57927" spans="21:21" x14ac:dyDescent="0.3">
      <c r="U57927" s="25"/>
    </row>
    <row r="57949" spans="21:21" x14ac:dyDescent="0.3">
      <c r="U57949" s="25"/>
    </row>
    <row r="57971" spans="21:21" x14ac:dyDescent="0.3">
      <c r="U57971" s="25"/>
    </row>
    <row r="57993" spans="21:21" x14ac:dyDescent="0.3">
      <c r="U57993" s="25"/>
    </row>
    <row r="58015" spans="21:21" x14ac:dyDescent="0.3">
      <c r="U58015" s="25"/>
    </row>
    <row r="58037" spans="21:21" x14ac:dyDescent="0.3">
      <c r="U58037" s="25"/>
    </row>
    <row r="58059" spans="21:21" x14ac:dyDescent="0.3">
      <c r="U58059" s="25"/>
    </row>
    <row r="58081" spans="21:21" x14ac:dyDescent="0.3">
      <c r="U58081" s="25"/>
    </row>
    <row r="58103" spans="21:21" x14ac:dyDescent="0.3">
      <c r="U58103" s="25"/>
    </row>
    <row r="58125" spans="21:21" x14ac:dyDescent="0.3">
      <c r="U58125" s="25"/>
    </row>
    <row r="58147" spans="21:21" x14ac:dyDescent="0.3">
      <c r="U58147" s="25"/>
    </row>
    <row r="58169" spans="21:21" x14ac:dyDescent="0.3">
      <c r="U58169" s="25"/>
    </row>
    <row r="58191" spans="21:21" x14ac:dyDescent="0.3">
      <c r="U58191" s="25"/>
    </row>
    <row r="58213" spans="21:21" x14ac:dyDescent="0.3">
      <c r="U58213" s="25"/>
    </row>
    <row r="58235" spans="21:21" x14ac:dyDescent="0.3">
      <c r="U58235" s="25"/>
    </row>
    <row r="58257" spans="21:21" x14ac:dyDescent="0.3">
      <c r="U58257" s="25"/>
    </row>
    <row r="58279" spans="21:21" x14ac:dyDescent="0.3">
      <c r="U58279" s="25"/>
    </row>
    <row r="58301" spans="21:21" x14ac:dyDescent="0.3">
      <c r="U58301" s="25"/>
    </row>
    <row r="58323" spans="21:21" x14ac:dyDescent="0.3">
      <c r="U58323" s="25"/>
    </row>
    <row r="58345" spans="21:21" x14ac:dyDescent="0.3">
      <c r="U58345" s="25"/>
    </row>
    <row r="58367" spans="21:21" x14ac:dyDescent="0.3">
      <c r="U58367" s="25"/>
    </row>
    <row r="58389" spans="21:21" x14ac:dyDescent="0.3">
      <c r="U58389" s="25"/>
    </row>
    <row r="58411" spans="21:21" x14ac:dyDescent="0.3">
      <c r="U58411" s="25"/>
    </row>
    <row r="58433" spans="21:21" x14ac:dyDescent="0.3">
      <c r="U58433" s="25"/>
    </row>
    <row r="58455" spans="21:21" x14ac:dyDescent="0.3">
      <c r="U58455" s="25"/>
    </row>
    <row r="58477" spans="21:21" x14ac:dyDescent="0.3">
      <c r="U58477" s="25"/>
    </row>
    <row r="58499" spans="21:21" x14ac:dyDescent="0.3">
      <c r="U58499" s="25"/>
    </row>
    <row r="58521" spans="21:21" x14ac:dyDescent="0.3">
      <c r="U58521" s="25"/>
    </row>
    <row r="58543" spans="21:21" x14ac:dyDescent="0.3">
      <c r="U58543" s="25"/>
    </row>
    <row r="58565" spans="21:21" x14ac:dyDescent="0.3">
      <c r="U58565" s="25"/>
    </row>
    <row r="58587" spans="21:21" x14ac:dyDescent="0.3">
      <c r="U58587" s="25"/>
    </row>
    <row r="58609" spans="21:21" x14ac:dyDescent="0.3">
      <c r="U58609" s="25"/>
    </row>
    <row r="58631" spans="21:21" x14ac:dyDescent="0.3">
      <c r="U58631" s="25"/>
    </row>
    <row r="58653" spans="21:21" x14ac:dyDescent="0.3">
      <c r="U58653" s="25"/>
    </row>
    <row r="58675" spans="21:21" x14ac:dyDescent="0.3">
      <c r="U58675" s="25"/>
    </row>
    <row r="58697" spans="21:21" x14ac:dyDescent="0.3">
      <c r="U58697" s="25"/>
    </row>
    <row r="58719" spans="21:21" x14ac:dyDescent="0.3">
      <c r="U58719" s="25"/>
    </row>
    <row r="58741" spans="21:21" x14ac:dyDescent="0.3">
      <c r="U58741" s="25"/>
    </row>
    <row r="58763" spans="21:21" x14ac:dyDescent="0.3">
      <c r="U58763" s="25"/>
    </row>
    <row r="58785" spans="21:21" x14ac:dyDescent="0.3">
      <c r="U58785" s="25"/>
    </row>
    <row r="58807" spans="21:21" x14ac:dyDescent="0.3">
      <c r="U58807" s="25"/>
    </row>
    <row r="58829" spans="21:21" x14ac:dyDescent="0.3">
      <c r="U58829" s="25"/>
    </row>
    <row r="58851" spans="21:21" x14ac:dyDescent="0.3">
      <c r="U58851" s="25"/>
    </row>
    <row r="58873" spans="21:21" x14ac:dyDescent="0.3">
      <c r="U58873" s="25"/>
    </row>
    <row r="58895" spans="21:21" x14ac:dyDescent="0.3">
      <c r="U58895" s="25"/>
    </row>
    <row r="58917" spans="21:21" x14ac:dyDescent="0.3">
      <c r="U58917" s="25"/>
    </row>
    <row r="58939" spans="21:21" x14ac:dyDescent="0.3">
      <c r="U58939" s="25"/>
    </row>
    <row r="58961" spans="21:21" x14ac:dyDescent="0.3">
      <c r="U58961" s="25"/>
    </row>
    <row r="58983" spans="21:21" x14ac:dyDescent="0.3">
      <c r="U58983" s="25"/>
    </row>
    <row r="59005" spans="21:21" x14ac:dyDescent="0.3">
      <c r="U59005" s="25"/>
    </row>
    <row r="59027" spans="21:21" x14ac:dyDescent="0.3">
      <c r="U59027" s="25"/>
    </row>
    <row r="59049" spans="21:21" x14ac:dyDescent="0.3">
      <c r="U59049" s="25"/>
    </row>
    <row r="59071" spans="21:21" x14ac:dyDescent="0.3">
      <c r="U59071" s="25"/>
    </row>
    <row r="59093" spans="21:21" x14ac:dyDescent="0.3">
      <c r="U59093" s="25"/>
    </row>
    <row r="59115" spans="21:21" x14ac:dyDescent="0.3">
      <c r="U59115" s="25"/>
    </row>
    <row r="59137" spans="21:21" x14ac:dyDescent="0.3">
      <c r="U59137" s="25"/>
    </row>
    <row r="59159" spans="21:21" x14ac:dyDescent="0.3">
      <c r="U59159" s="25"/>
    </row>
    <row r="59181" spans="21:21" x14ac:dyDescent="0.3">
      <c r="U59181" s="25"/>
    </row>
    <row r="59203" spans="21:21" x14ac:dyDescent="0.3">
      <c r="U59203" s="25"/>
    </row>
    <row r="59225" spans="21:21" x14ac:dyDescent="0.3">
      <c r="U59225" s="25"/>
    </row>
    <row r="59247" spans="21:21" x14ac:dyDescent="0.3">
      <c r="U59247" s="25"/>
    </row>
    <row r="59269" spans="21:21" x14ac:dyDescent="0.3">
      <c r="U59269" s="25"/>
    </row>
    <row r="59291" spans="21:21" x14ac:dyDescent="0.3">
      <c r="U59291" s="25"/>
    </row>
    <row r="59313" spans="21:21" x14ac:dyDescent="0.3">
      <c r="U59313" s="25"/>
    </row>
    <row r="59335" spans="21:21" x14ac:dyDescent="0.3">
      <c r="U59335" s="25"/>
    </row>
    <row r="59357" spans="21:21" x14ac:dyDescent="0.3">
      <c r="U59357" s="25"/>
    </row>
    <row r="59379" spans="21:21" x14ac:dyDescent="0.3">
      <c r="U59379" s="25"/>
    </row>
    <row r="59401" spans="21:21" x14ac:dyDescent="0.3">
      <c r="U59401" s="25"/>
    </row>
    <row r="59423" spans="21:21" x14ac:dyDescent="0.3">
      <c r="U59423" s="25"/>
    </row>
    <row r="59445" spans="21:21" x14ac:dyDescent="0.3">
      <c r="U59445" s="25"/>
    </row>
    <row r="59467" spans="21:21" x14ac:dyDescent="0.3">
      <c r="U59467" s="25"/>
    </row>
    <row r="59489" spans="21:21" x14ac:dyDescent="0.3">
      <c r="U59489" s="25"/>
    </row>
    <row r="59511" spans="21:21" x14ac:dyDescent="0.3">
      <c r="U59511" s="25"/>
    </row>
    <row r="59533" spans="21:21" x14ac:dyDescent="0.3">
      <c r="U59533" s="25"/>
    </row>
    <row r="59555" spans="21:21" x14ac:dyDescent="0.3">
      <c r="U59555" s="25"/>
    </row>
    <row r="59577" spans="21:21" x14ac:dyDescent="0.3">
      <c r="U59577" s="25"/>
    </row>
    <row r="59599" spans="21:21" x14ac:dyDescent="0.3">
      <c r="U59599" s="25"/>
    </row>
    <row r="59621" spans="21:21" x14ac:dyDescent="0.3">
      <c r="U59621" s="25"/>
    </row>
    <row r="59643" spans="21:21" x14ac:dyDescent="0.3">
      <c r="U59643" s="25"/>
    </row>
    <row r="59665" spans="21:21" x14ac:dyDescent="0.3">
      <c r="U59665" s="25"/>
    </row>
    <row r="59687" spans="21:21" x14ac:dyDescent="0.3">
      <c r="U59687" s="25"/>
    </row>
    <row r="59709" spans="21:21" x14ac:dyDescent="0.3">
      <c r="U59709" s="25"/>
    </row>
    <row r="59731" spans="21:21" x14ac:dyDescent="0.3">
      <c r="U59731" s="25"/>
    </row>
    <row r="59753" spans="21:21" x14ac:dyDescent="0.3">
      <c r="U59753" s="25"/>
    </row>
    <row r="59775" spans="21:21" x14ac:dyDescent="0.3">
      <c r="U59775" s="25"/>
    </row>
    <row r="59797" spans="21:21" x14ac:dyDescent="0.3">
      <c r="U59797" s="25"/>
    </row>
    <row r="59819" spans="21:21" x14ac:dyDescent="0.3">
      <c r="U59819" s="25"/>
    </row>
    <row r="59841" spans="21:21" x14ac:dyDescent="0.3">
      <c r="U59841" s="25"/>
    </row>
    <row r="59863" spans="21:21" x14ac:dyDescent="0.3">
      <c r="U59863" s="25"/>
    </row>
    <row r="59885" spans="21:21" x14ac:dyDescent="0.3">
      <c r="U59885" s="25"/>
    </row>
    <row r="59907" spans="21:21" x14ac:dyDescent="0.3">
      <c r="U59907" s="25"/>
    </row>
    <row r="59929" spans="21:21" x14ac:dyDescent="0.3">
      <c r="U59929" s="25"/>
    </row>
    <row r="59951" spans="21:21" x14ac:dyDescent="0.3">
      <c r="U59951" s="25"/>
    </row>
    <row r="59973" spans="21:21" x14ac:dyDescent="0.3">
      <c r="U59973" s="25"/>
    </row>
    <row r="59995" spans="21:21" x14ac:dyDescent="0.3">
      <c r="U59995" s="25"/>
    </row>
    <row r="60017" spans="21:21" x14ac:dyDescent="0.3">
      <c r="U60017" s="25"/>
    </row>
    <row r="60039" spans="21:21" x14ac:dyDescent="0.3">
      <c r="U60039" s="25"/>
    </row>
    <row r="60061" spans="21:21" x14ac:dyDescent="0.3">
      <c r="U60061" s="25"/>
    </row>
    <row r="60083" spans="21:21" x14ac:dyDescent="0.3">
      <c r="U60083" s="25"/>
    </row>
    <row r="60105" spans="21:21" x14ac:dyDescent="0.3">
      <c r="U60105" s="25"/>
    </row>
    <row r="60127" spans="21:21" x14ac:dyDescent="0.3">
      <c r="U60127" s="25"/>
    </row>
    <row r="60149" spans="21:21" x14ac:dyDescent="0.3">
      <c r="U60149" s="25"/>
    </row>
    <row r="60171" spans="21:21" x14ac:dyDescent="0.3">
      <c r="U60171" s="25"/>
    </row>
    <row r="60193" spans="21:21" x14ac:dyDescent="0.3">
      <c r="U60193" s="25"/>
    </row>
    <row r="60215" spans="21:21" x14ac:dyDescent="0.3">
      <c r="U60215" s="25"/>
    </row>
    <row r="60237" spans="21:21" x14ac:dyDescent="0.3">
      <c r="U60237" s="25"/>
    </row>
    <row r="60259" spans="21:21" x14ac:dyDescent="0.3">
      <c r="U60259" s="25"/>
    </row>
    <row r="60281" spans="21:21" x14ac:dyDescent="0.3">
      <c r="U60281" s="25"/>
    </row>
    <row r="60303" spans="21:21" x14ac:dyDescent="0.3">
      <c r="U60303" s="25"/>
    </row>
    <row r="60325" spans="21:21" x14ac:dyDescent="0.3">
      <c r="U60325" s="25"/>
    </row>
    <row r="60347" spans="21:21" x14ac:dyDescent="0.3">
      <c r="U60347" s="25"/>
    </row>
    <row r="60369" spans="21:21" x14ac:dyDescent="0.3">
      <c r="U60369" s="25"/>
    </row>
    <row r="60391" spans="21:21" x14ac:dyDescent="0.3">
      <c r="U60391" s="25"/>
    </row>
    <row r="60413" spans="21:21" x14ac:dyDescent="0.3">
      <c r="U60413" s="25"/>
    </row>
    <row r="60435" spans="21:21" x14ac:dyDescent="0.3">
      <c r="U60435" s="25"/>
    </row>
    <row r="60457" spans="21:21" x14ac:dyDescent="0.3">
      <c r="U60457" s="25"/>
    </row>
    <row r="60479" spans="21:21" x14ac:dyDescent="0.3">
      <c r="U60479" s="25"/>
    </row>
    <row r="60501" spans="21:21" x14ac:dyDescent="0.3">
      <c r="U60501" s="25"/>
    </row>
    <row r="60523" spans="21:21" x14ac:dyDescent="0.3">
      <c r="U60523" s="25"/>
    </row>
    <row r="60545" spans="21:21" x14ac:dyDescent="0.3">
      <c r="U60545" s="25"/>
    </row>
    <row r="60567" spans="21:21" x14ac:dyDescent="0.3">
      <c r="U60567" s="25"/>
    </row>
    <row r="60589" spans="21:21" x14ac:dyDescent="0.3">
      <c r="U60589" s="25"/>
    </row>
    <row r="60611" spans="21:21" x14ac:dyDescent="0.3">
      <c r="U60611" s="25"/>
    </row>
    <row r="60633" spans="21:21" x14ac:dyDescent="0.3">
      <c r="U60633" s="25"/>
    </row>
    <row r="60655" spans="21:21" x14ac:dyDescent="0.3">
      <c r="U60655" s="25"/>
    </row>
    <row r="60677" spans="21:21" x14ac:dyDescent="0.3">
      <c r="U60677" s="25"/>
    </row>
    <row r="60699" spans="21:21" x14ac:dyDescent="0.3">
      <c r="U60699" s="25"/>
    </row>
    <row r="60721" spans="21:21" x14ac:dyDescent="0.3">
      <c r="U60721" s="25"/>
    </row>
    <row r="60743" spans="21:21" x14ac:dyDescent="0.3">
      <c r="U60743" s="25"/>
    </row>
    <row r="60765" spans="21:21" x14ac:dyDescent="0.3">
      <c r="U60765" s="25"/>
    </row>
    <row r="60787" spans="21:21" x14ac:dyDescent="0.3">
      <c r="U60787" s="25"/>
    </row>
    <row r="60809" spans="21:21" x14ac:dyDescent="0.3">
      <c r="U60809" s="25"/>
    </row>
    <row r="60831" spans="21:21" x14ac:dyDescent="0.3">
      <c r="U60831" s="25"/>
    </row>
    <row r="60853" spans="21:21" x14ac:dyDescent="0.3">
      <c r="U60853" s="25"/>
    </row>
    <row r="60875" spans="21:21" x14ac:dyDescent="0.3">
      <c r="U60875" s="25"/>
    </row>
    <row r="60897" spans="21:21" x14ac:dyDescent="0.3">
      <c r="U60897" s="25"/>
    </row>
    <row r="60919" spans="21:21" x14ac:dyDescent="0.3">
      <c r="U60919" s="25"/>
    </row>
    <row r="60941" spans="21:21" x14ac:dyDescent="0.3">
      <c r="U60941" s="25"/>
    </row>
    <row r="60963" spans="21:21" x14ac:dyDescent="0.3">
      <c r="U60963" s="25"/>
    </row>
    <row r="60985" spans="21:21" x14ac:dyDescent="0.3">
      <c r="U60985" s="25"/>
    </row>
    <row r="61007" spans="21:21" x14ac:dyDescent="0.3">
      <c r="U61007" s="25"/>
    </row>
    <row r="61029" spans="21:21" x14ac:dyDescent="0.3">
      <c r="U61029" s="25"/>
    </row>
    <row r="61051" spans="21:21" x14ac:dyDescent="0.3">
      <c r="U61051" s="25"/>
    </row>
    <row r="61073" spans="21:21" x14ac:dyDescent="0.3">
      <c r="U61073" s="25"/>
    </row>
    <row r="61095" spans="21:21" x14ac:dyDescent="0.3">
      <c r="U61095" s="25"/>
    </row>
    <row r="61117" spans="21:21" x14ac:dyDescent="0.3">
      <c r="U61117" s="25"/>
    </row>
    <row r="61139" spans="21:21" x14ac:dyDescent="0.3">
      <c r="U61139" s="25"/>
    </row>
    <row r="61161" spans="21:21" x14ac:dyDescent="0.3">
      <c r="U61161" s="25"/>
    </row>
    <row r="61183" spans="21:21" x14ac:dyDescent="0.3">
      <c r="U61183" s="25"/>
    </row>
    <row r="61205" spans="21:21" x14ac:dyDescent="0.3">
      <c r="U61205" s="25"/>
    </row>
    <row r="61227" spans="21:21" x14ac:dyDescent="0.3">
      <c r="U61227" s="25"/>
    </row>
    <row r="61249" spans="21:21" x14ac:dyDescent="0.3">
      <c r="U61249" s="25"/>
    </row>
    <row r="61271" spans="21:21" x14ac:dyDescent="0.3">
      <c r="U61271" s="25"/>
    </row>
    <row r="61293" spans="21:21" x14ac:dyDescent="0.3">
      <c r="U61293" s="25"/>
    </row>
    <row r="61315" spans="21:21" x14ac:dyDescent="0.3">
      <c r="U61315" s="25"/>
    </row>
    <row r="61337" spans="21:21" x14ac:dyDescent="0.3">
      <c r="U61337" s="25"/>
    </row>
    <row r="61359" spans="21:21" x14ac:dyDescent="0.3">
      <c r="U61359" s="25"/>
    </row>
    <row r="61381" spans="21:21" x14ac:dyDescent="0.3">
      <c r="U61381" s="25"/>
    </row>
    <row r="61403" spans="21:21" x14ac:dyDescent="0.3">
      <c r="U61403" s="25"/>
    </row>
    <row r="61425" spans="21:21" x14ac:dyDescent="0.3">
      <c r="U61425" s="25"/>
    </row>
    <row r="61447" spans="21:21" x14ac:dyDescent="0.3">
      <c r="U61447" s="25"/>
    </row>
    <row r="61469" spans="21:21" x14ac:dyDescent="0.3">
      <c r="U61469" s="25"/>
    </row>
    <row r="61491" spans="21:21" x14ac:dyDescent="0.3">
      <c r="U61491" s="25"/>
    </row>
    <row r="61513" spans="21:21" x14ac:dyDescent="0.3">
      <c r="U61513" s="25"/>
    </row>
    <row r="61535" spans="21:21" x14ac:dyDescent="0.3">
      <c r="U61535" s="25"/>
    </row>
    <row r="61557" spans="21:21" x14ac:dyDescent="0.3">
      <c r="U61557" s="25"/>
    </row>
    <row r="61579" spans="21:21" x14ac:dyDescent="0.3">
      <c r="U61579" s="25"/>
    </row>
    <row r="61601" spans="21:21" x14ac:dyDescent="0.3">
      <c r="U61601" s="25"/>
    </row>
    <row r="61623" spans="21:21" x14ac:dyDescent="0.3">
      <c r="U61623" s="25"/>
    </row>
    <row r="61645" spans="21:21" x14ac:dyDescent="0.3">
      <c r="U61645" s="25"/>
    </row>
    <row r="61667" spans="21:21" x14ac:dyDescent="0.3">
      <c r="U61667" s="25"/>
    </row>
    <row r="61689" spans="21:21" x14ac:dyDescent="0.3">
      <c r="U61689" s="25"/>
    </row>
    <row r="61711" spans="21:21" x14ac:dyDescent="0.3">
      <c r="U61711" s="25"/>
    </row>
    <row r="61733" spans="21:21" x14ac:dyDescent="0.3">
      <c r="U61733" s="25"/>
    </row>
    <row r="61755" spans="21:21" x14ac:dyDescent="0.3">
      <c r="U61755" s="25"/>
    </row>
    <row r="61777" spans="21:21" x14ac:dyDescent="0.3">
      <c r="U61777" s="25"/>
    </row>
    <row r="61799" spans="21:21" x14ac:dyDescent="0.3">
      <c r="U61799" s="25"/>
    </row>
    <row r="61821" spans="21:21" x14ac:dyDescent="0.3">
      <c r="U61821" s="25"/>
    </row>
    <row r="61843" spans="21:21" x14ac:dyDescent="0.3">
      <c r="U61843" s="25"/>
    </row>
    <row r="61865" spans="21:21" x14ac:dyDescent="0.3">
      <c r="U61865" s="25"/>
    </row>
    <row r="61887" spans="21:21" x14ac:dyDescent="0.3">
      <c r="U61887" s="25"/>
    </row>
    <row r="61909" spans="21:21" x14ac:dyDescent="0.3">
      <c r="U61909" s="25"/>
    </row>
    <row r="61931" spans="21:21" x14ac:dyDescent="0.3">
      <c r="U61931" s="25"/>
    </row>
    <row r="61953" spans="21:21" x14ac:dyDescent="0.3">
      <c r="U61953" s="25"/>
    </row>
    <row r="61975" spans="21:21" x14ac:dyDescent="0.3">
      <c r="U61975" s="25"/>
    </row>
    <row r="61997" spans="21:21" x14ac:dyDescent="0.3">
      <c r="U61997" s="25"/>
    </row>
    <row r="62019" spans="21:21" x14ac:dyDescent="0.3">
      <c r="U62019" s="25"/>
    </row>
    <row r="62041" spans="21:21" x14ac:dyDescent="0.3">
      <c r="U62041" s="25"/>
    </row>
    <row r="62063" spans="21:21" x14ac:dyDescent="0.3">
      <c r="U62063" s="25"/>
    </row>
    <row r="62085" spans="21:21" x14ac:dyDescent="0.3">
      <c r="U62085" s="25"/>
    </row>
    <row r="62107" spans="21:21" x14ac:dyDescent="0.3">
      <c r="U62107" s="25"/>
    </row>
    <row r="62129" spans="21:21" x14ac:dyDescent="0.3">
      <c r="U62129" s="25"/>
    </row>
    <row r="62151" spans="21:21" x14ac:dyDescent="0.3">
      <c r="U62151" s="25"/>
    </row>
    <row r="62173" spans="21:21" x14ac:dyDescent="0.3">
      <c r="U62173" s="25"/>
    </row>
    <row r="62195" spans="21:21" x14ac:dyDescent="0.3">
      <c r="U62195" s="25"/>
    </row>
    <row r="62217" spans="21:21" x14ac:dyDescent="0.3">
      <c r="U62217" s="25"/>
    </row>
    <row r="62239" spans="21:21" x14ac:dyDescent="0.3">
      <c r="U62239" s="25"/>
    </row>
    <row r="62261" spans="21:21" x14ac:dyDescent="0.3">
      <c r="U62261" s="25"/>
    </row>
    <row r="62283" spans="21:21" x14ac:dyDescent="0.3">
      <c r="U62283" s="25"/>
    </row>
    <row r="62305" spans="21:21" x14ac:dyDescent="0.3">
      <c r="U62305" s="25"/>
    </row>
    <row r="62327" spans="21:21" x14ac:dyDescent="0.3">
      <c r="U62327" s="25"/>
    </row>
    <row r="62349" spans="21:21" x14ac:dyDescent="0.3">
      <c r="U62349" s="25"/>
    </row>
    <row r="62371" spans="21:21" x14ac:dyDescent="0.3">
      <c r="U62371" s="25"/>
    </row>
    <row r="62393" spans="21:21" x14ac:dyDescent="0.3">
      <c r="U62393" s="25"/>
    </row>
    <row r="62415" spans="21:21" x14ac:dyDescent="0.3">
      <c r="U62415" s="25"/>
    </row>
    <row r="62437" spans="21:21" x14ac:dyDescent="0.3">
      <c r="U62437" s="25"/>
    </row>
    <row r="62459" spans="21:21" x14ac:dyDescent="0.3">
      <c r="U62459" s="25"/>
    </row>
    <row r="62481" spans="21:21" x14ac:dyDescent="0.3">
      <c r="U62481" s="25"/>
    </row>
    <row r="62503" spans="21:21" x14ac:dyDescent="0.3">
      <c r="U62503" s="25"/>
    </row>
    <row r="62525" spans="21:21" x14ac:dyDescent="0.3">
      <c r="U62525" s="25"/>
    </row>
    <row r="62547" spans="21:21" x14ac:dyDescent="0.3">
      <c r="U62547" s="25"/>
    </row>
    <row r="62569" spans="21:21" x14ac:dyDescent="0.3">
      <c r="U62569" s="25"/>
    </row>
    <row r="62591" spans="21:21" x14ac:dyDescent="0.3">
      <c r="U62591" s="25"/>
    </row>
    <row r="62613" spans="21:21" x14ac:dyDescent="0.3">
      <c r="U62613" s="25"/>
    </row>
    <row r="62635" spans="21:21" x14ac:dyDescent="0.3">
      <c r="U62635" s="25"/>
    </row>
    <row r="62657" spans="21:21" x14ac:dyDescent="0.3">
      <c r="U62657" s="25"/>
    </row>
    <row r="62679" spans="21:21" x14ac:dyDescent="0.3">
      <c r="U62679" s="25"/>
    </row>
    <row r="62701" spans="21:21" x14ac:dyDescent="0.3">
      <c r="U62701" s="25"/>
    </row>
    <row r="62723" spans="21:21" x14ac:dyDescent="0.3">
      <c r="U62723" s="25"/>
    </row>
    <row r="62745" spans="21:21" x14ac:dyDescent="0.3">
      <c r="U62745" s="25"/>
    </row>
    <row r="62767" spans="21:21" x14ac:dyDescent="0.3">
      <c r="U62767" s="25"/>
    </row>
    <row r="62789" spans="21:21" x14ac:dyDescent="0.3">
      <c r="U62789" s="25"/>
    </row>
    <row r="62811" spans="21:21" x14ac:dyDescent="0.3">
      <c r="U62811" s="25"/>
    </row>
    <row r="62833" spans="21:21" x14ac:dyDescent="0.3">
      <c r="U62833" s="25"/>
    </row>
    <row r="62855" spans="21:21" x14ac:dyDescent="0.3">
      <c r="U62855" s="25"/>
    </row>
    <row r="62877" spans="21:21" x14ac:dyDescent="0.3">
      <c r="U62877" s="25"/>
    </row>
    <row r="62899" spans="21:21" x14ac:dyDescent="0.3">
      <c r="U62899" s="25"/>
    </row>
    <row r="62921" spans="21:21" x14ac:dyDescent="0.3">
      <c r="U62921" s="25"/>
    </row>
    <row r="62943" spans="21:21" x14ac:dyDescent="0.3">
      <c r="U62943" s="25"/>
    </row>
    <row r="62965" spans="21:21" x14ac:dyDescent="0.3">
      <c r="U62965" s="25"/>
    </row>
    <row r="62987" spans="21:21" x14ac:dyDescent="0.3">
      <c r="U62987" s="25"/>
    </row>
    <row r="63009" spans="21:21" x14ac:dyDescent="0.3">
      <c r="U63009" s="25"/>
    </row>
    <row r="63031" spans="21:21" x14ac:dyDescent="0.3">
      <c r="U63031" s="25"/>
    </row>
    <row r="63053" spans="21:21" x14ac:dyDescent="0.3">
      <c r="U63053" s="25"/>
    </row>
    <row r="63075" spans="21:21" x14ac:dyDescent="0.3">
      <c r="U63075" s="25"/>
    </row>
    <row r="63097" spans="21:21" x14ac:dyDescent="0.3">
      <c r="U63097" s="25"/>
    </row>
    <row r="63119" spans="21:21" x14ac:dyDescent="0.3">
      <c r="U63119" s="25"/>
    </row>
    <row r="63141" spans="21:21" x14ac:dyDescent="0.3">
      <c r="U63141" s="25"/>
    </row>
    <row r="63163" spans="21:21" x14ac:dyDescent="0.3">
      <c r="U63163" s="25"/>
    </row>
    <row r="63185" spans="21:21" x14ac:dyDescent="0.3">
      <c r="U63185" s="25"/>
    </row>
    <row r="63207" spans="21:21" x14ac:dyDescent="0.3">
      <c r="U63207" s="25"/>
    </row>
    <row r="63229" spans="21:21" x14ac:dyDescent="0.3">
      <c r="U63229" s="25"/>
    </row>
    <row r="63251" spans="21:21" x14ac:dyDescent="0.3">
      <c r="U63251" s="25"/>
    </row>
    <row r="63273" spans="21:21" x14ac:dyDescent="0.3">
      <c r="U63273" s="25"/>
    </row>
    <row r="63295" spans="21:21" x14ac:dyDescent="0.3">
      <c r="U63295" s="25"/>
    </row>
    <row r="63317" spans="21:21" x14ac:dyDescent="0.3">
      <c r="U63317" s="25"/>
    </row>
    <row r="63339" spans="21:21" x14ac:dyDescent="0.3">
      <c r="U63339" s="25"/>
    </row>
    <row r="63361" spans="21:21" x14ac:dyDescent="0.3">
      <c r="U63361" s="25"/>
    </row>
    <row r="63383" spans="21:21" x14ac:dyDescent="0.3">
      <c r="U63383" s="25"/>
    </row>
    <row r="63405" spans="21:21" x14ac:dyDescent="0.3">
      <c r="U63405" s="25"/>
    </row>
    <row r="63427" spans="21:21" x14ac:dyDescent="0.3">
      <c r="U63427" s="25"/>
    </row>
    <row r="63449" spans="21:21" x14ac:dyDescent="0.3">
      <c r="U63449" s="25"/>
    </row>
    <row r="63471" spans="21:21" x14ac:dyDescent="0.3">
      <c r="U63471" s="25"/>
    </row>
    <row r="63493" spans="21:21" x14ac:dyDescent="0.3">
      <c r="U63493" s="25"/>
    </row>
    <row r="63515" spans="21:21" x14ac:dyDescent="0.3">
      <c r="U63515" s="25"/>
    </row>
    <row r="63537" spans="21:21" x14ac:dyDescent="0.3">
      <c r="U63537" s="25"/>
    </row>
    <row r="63559" spans="21:21" x14ac:dyDescent="0.3">
      <c r="U63559" s="25"/>
    </row>
    <row r="63581" spans="21:21" x14ac:dyDescent="0.3">
      <c r="U63581" s="25"/>
    </row>
    <row r="63603" spans="21:21" x14ac:dyDescent="0.3">
      <c r="U63603" s="25"/>
    </row>
    <row r="63625" spans="21:21" x14ac:dyDescent="0.3">
      <c r="U63625" s="25"/>
    </row>
    <row r="63647" spans="21:21" x14ac:dyDescent="0.3">
      <c r="U63647" s="25"/>
    </row>
    <row r="63669" spans="21:21" x14ac:dyDescent="0.3">
      <c r="U63669" s="25"/>
    </row>
    <row r="63691" spans="21:21" x14ac:dyDescent="0.3">
      <c r="U63691" s="25"/>
    </row>
    <row r="63713" spans="21:21" x14ac:dyDescent="0.3">
      <c r="U63713" s="25"/>
    </row>
    <row r="63735" spans="21:21" x14ac:dyDescent="0.3">
      <c r="U63735" s="25"/>
    </row>
    <row r="63757" spans="21:21" x14ac:dyDescent="0.3">
      <c r="U63757" s="25"/>
    </row>
    <row r="63779" spans="21:21" x14ac:dyDescent="0.3">
      <c r="U63779" s="25"/>
    </row>
    <row r="63801" spans="21:21" x14ac:dyDescent="0.3">
      <c r="U63801" s="25"/>
    </row>
    <row r="63823" spans="21:21" x14ac:dyDescent="0.3">
      <c r="U63823" s="25"/>
    </row>
    <row r="63845" spans="21:21" x14ac:dyDescent="0.3">
      <c r="U63845" s="25"/>
    </row>
    <row r="63867" spans="21:21" x14ac:dyDescent="0.3">
      <c r="U63867" s="25"/>
    </row>
    <row r="63889" spans="21:21" x14ac:dyDescent="0.3">
      <c r="U63889" s="25"/>
    </row>
    <row r="63911" spans="21:21" x14ac:dyDescent="0.3">
      <c r="U63911" s="25"/>
    </row>
    <row r="63933" spans="21:21" x14ac:dyDescent="0.3">
      <c r="U63933" s="25"/>
    </row>
    <row r="63955" spans="21:21" x14ac:dyDescent="0.3">
      <c r="U63955" s="25"/>
    </row>
    <row r="63977" spans="21:21" x14ac:dyDescent="0.3">
      <c r="U63977" s="25"/>
    </row>
    <row r="63999" spans="21:21" x14ac:dyDescent="0.3">
      <c r="U63999" s="25"/>
    </row>
    <row r="64021" spans="21:21" x14ac:dyDescent="0.3">
      <c r="U64021" s="25"/>
    </row>
    <row r="64043" spans="21:21" x14ac:dyDescent="0.3">
      <c r="U64043" s="25"/>
    </row>
    <row r="64065" spans="21:21" x14ac:dyDescent="0.3">
      <c r="U64065" s="25"/>
    </row>
    <row r="64087" spans="21:21" x14ac:dyDescent="0.3">
      <c r="U64087" s="25"/>
    </row>
    <row r="64109" spans="21:21" x14ac:dyDescent="0.3">
      <c r="U64109" s="25"/>
    </row>
    <row r="64131" spans="21:21" x14ac:dyDescent="0.3">
      <c r="U64131" s="25"/>
    </row>
    <row r="64153" spans="21:21" x14ac:dyDescent="0.3">
      <c r="U64153" s="25"/>
    </row>
    <row r="64175" spans="21:21" x14ac:dyDescent="0.3">
      <c r="U64175" s="25"/>
    </row>
    <row r="64197" spans="21:21" x14ac:dyDescent="0.3">
      <c r="U64197" s="25"/>
    </row>
    <row r="64219" spans="21:21" x14ac:dyDescent="0.3">
      <c r="U64219" s="25"/>
    </row>
    <row r="64241" spans="21:21" x14ac:dyDescent="0.3">
      <c r="U64241" s="25"/>
    </row>
    <row r="64263" spans="21:21" x14ac:dyDescent="0.3">
      <c r="U64263" s="25"/>
    </row>
    <row r="64285" spans="21:21" x14ac:dyDescent="0.3">
      <c r="U64285" s="25"/>
    </row>
    <row r="64307" spans="21:21" x14ac:dyDescent="0.3">
      <c r="U64307" s="25"/>
    </row>
    <row r="64329" spans="21:21" x14ac:dyDescent="0.3">
      <c r="U64329" s="25"/>
    </row>
    <row r="64351" spans="21:21" x14ac:dyDescent="0.3">
      <c r="U64351" s="25"/>
    </row>
    <row r="64373" spans="21:21" x14ac:dyDescent="0.3">
      <c r="U64373" s="25"/>
    </row>
    <row r="64395" spans="21:21" x14ac:dyDescent="0.3">
      <c r="U64395" s="25"/>
    </row>
    <row r="64417" spans="21:21" x14ac:dyDescent="0.3">
      <c r="U64417" s="25"/>
    </row>
    <row r="64439" spans="21:21" x14ac:dyDescent="0.3">
      <c r="U64439" s="25"/>
    </row>
    <row r="64461" spans="21:21" x14ac:dyDescent="0.3">
      <c r="U64461" s="25"/>
    </row>
    <row r="64483" spans="21:21" x14ac:dyDescent="0.3">
      <c r="U64483" s="25"/>
    </row>
    <row r="64505" spans="21:21" x14ac:dyDescent="0.3">
      <c r="U64505" s="25"/>
    </row>
    <row r="64527" spans="21:21" x14ac:dyDescent="0.3">
      <c r="U64527" s="25"/>
    </row>
    <row r="64549" spans="21:21" x14ac:dyDescent="0.3">
      <c r="U64549" s="25"/>
    </row>
    <row r="64571" spans="21:21" x14ac:dyDescent="0.3">
      <c r="U64571" s="25"/>
    </row>
    <row r="64593" spans="21:21" x14ac:dyDescent="0.3">
      <c r="U64593" s="25"/>
    </row>
    <row r="64615" spans="21:21" x14ac:dyDescent="0.3">
      <c r="U64615" s="25"/>
    </row>
    <row r="64637" spans="21:21" x14ac:dyDescent="0.3">
      <c r="U64637" s="25"/>
    </row>
    <row r="64659" spans="21:21" x14ac:dyDescent="0.3">
      <c r="U64659" s="25"/>
    </row>
    <row r="64681" spans="21:21" x14ac:dyDescent="0.3">
      <c r="U64681" s="25"/>
    </row>
    <row r="64703" spans="21:21" x14ac:dyDescent="0.3">
      <c r="U64703" s="25"/>
    </row>
    <row r="64725" spans="21:21" x14ac:dyDescent="0.3">
      <c r="U64725" s="25"/>
    </row>
    <row r="64747" spans="21:21" x14ac:dyDescent="0.3">
      <c r="U64747" s="25"/>
    </row>
    <row r="64769" spans="21:21" x14ac:dyDescent="0.3">
      <c r="U64769" s="25"/>
    </row>
    <row r="64791" spans="21:21" x14ac:dyDescent="0.3">
      <c r="U64791" s="25"/>
    </row>
    <row r="64813" spans="21:21" x14ac:dyDescent="0.3">
      <c r="U64813" s="25"/>
    </row>
    <row r="64835" spans="21:21" x14ac:dyDescent="0.3">
      <c r="U64835" s="25"/>
    </row>
    <row r="64857" spans="21:21" x14ac:dyDescent="0.3">
      <c r="U64857" s="25"/>
    </row>
    <row r="64879" spans="21:21" x14ac:dyDescent="0.3">
      <c r="U64879" s="25"/>
    </row>
    <row r="64901" spans="21:21" x14ac:dyDescent="0.3">
      <c r="U64901" s="25"/>
    </row>
    <row r="64923" spans="21:21" x14ac:dyDescent="0.3">
      <c r="U64923" s="25"/>
    </row>
    <row r="64945" spans="21:21" x14ac:dyDescent="0.3">
      <c r="U64945" s="25"/>
    </row>
    <row r="64967" spans="21:21" x14ac:dyDescent="0.3">
      <c r="U64967" s="25"/>
    </row>
    <row r="64989" spans="21:21" x14ac:dyDescent="0.3">
      <c r="U64989" s="25"/>
    </row>
    <row r="65011" spans="21:21" x14ac:dyDescent="0.3">
      <c r="U65011" s="25"/>
    </row>
    <row r="65033" spans="21:21" x14ac:dyDescent="0.3">
      <c r="U65033" s="25"/>
    </row>
    <row r="65055" spans="21:21" x14ac:dyDescent="0.3">
      <c r="U65055" s="25"/>
    </row>
    <row r="65077" spans="21:21" x14ac:dyDescent="0.3">
      <c r="U65077" s="25"/>
    </row>
    <row r="65099" spans="21:21" x14ac:dyDescent="0.3">
      <c r="U65099" s="25"/>
    </row>
    <row r="65121" spans="21:21" x14ac:dyDescent="0.3">
      <c r="U65121" s="25"/>
    </row>
    <row r="65143" spans="21:21" x14ac:dyDescent="0.3">
      <c r="U65143" s="25"/>
    </row>
    <row r="65165" spans="21:21" x14ac:dyDescent="0.3">
      <c r="U65165" s="25"/>
    </row>
    <row r="65187" spans="21:21" x14ac:dyDescent="0.3">
      <c r="U65187" s="25"/>
    </row>
    <row r="65209" spans="21:21" x14ac:dyDescent="0.3">
      <c r="U65209" s="25"/>
    </row>
    <row r="65231" spans="21:21" x14ac:dyDescent="0.3">
      <c r="U65231" s="25"/>
    </row>
    <row r="65253" spans="21:21" x14ac:dyDescent="0.3">
      <c r="U65253" s="25"/>
    </row>
    <row r="65275" spans="21:21" x14ac:dyDescent="0.3">
      <c r="U65275" s="25"/>
    </row>
    <row r="65297" spans="21:21" x14ac:dyDescent="0.3">
      <c r="U65297" s="25"/>
    </row>
    <row r="65319" spans="21:21" x14ac:dyDescent="0.3">
      <c r="U65319" s="25"/>
    </row>
    <row r="65341" spans="21:21" x14ac:dyDescent="0.3">
      <c r="U65341" s="25"/>
    </row>
    <row r="65363" spans="21:21" x14ac:dyDescent="0.3">
      <c r="U65363" s="25"/>
    </row>
    <row r="65385" spans="21:21" x14ac:dyDescent="0.3">
      <c r="U65385" s="25"/>
    </row>
    <row r="65407" spans="21:21" x14ac:dyDescent="0.3">
      <c r="U65407" s="25"/>
    </row>
    <row r="65429" spans="21:21" x14ac:dyDescent="0.3">
      <c r="U65429" s="25"/>
    </row>
    <row r="65451" spans="21:21" x14ac:dyDescent="0.3">
      <c r="U65451" s="25"/>
    </row>
    <row r="65473" spans="21:21" x14ac:dyDescent="0.3">
      <c r="U65473" s="25"/>
    </row>
    <row r="65495" spans="21:21" x14ac:dyDescent="0.3">
      <c r="U65495" s="25"/>
    </row>
    <row r="65517" spans="21:21" x14ac:dyDescent="0.3">
      <c r="U65517" s="25"/>
    </row>
    <row r="65539" spans="21:21" x14ac:dyDescent="0.3">
      <c r="U65539" s="25"/>
    </row>
    <row r="65561" spans="21:21" x14ac:dyDescent="0.3">
      <c r="U65561" s="25"/>
    </row>
    <row r="65583" spans="21:21" x14ac:dyDescent="0.3">
      <c r="U65583" s="25"/>
    </row>
    <row r="65605" spans="21:21" x14ac:dyDescent="0.3">
      <c r="U65605" s="25"/>
    </row>
    <row r="65627" spans="21:21" x14ac:dyDescent="0.3">
      <c r="U65627" s="25"/>
    </row>
    <row r="65649" spans="21:21" x14ac:dyDescent="0.3">
      <c r="U65649" s="25"/>
    </row>
    <row r="65671" spans="21:21" x14ac:dyDescent="0.3">
      <c r="U65671" s="25"/>
    </row>
    <row r="65693" spans="21:21" x14ac:dyDescent="0.3">
      <c r="U65693" s="25"/>
    </row>
    <row r="65715" spans="21:21" x14ac:dyDescent="0.3">
      <c r="U65715" s="25"/>
    </row>
    <row r="65737" spans="21:21" x14ac:dyDescent="0.3">
      <c r="U65737" s="25"/>
    </row>
    <row r="65759" spans="21:21" x14ac:dyDescent="0.3">
      <c r="U65759" s="25"/>
    </row>
    <row r="65781" spans="21:21" x14ac:dyDescent="0.3">
      <c r="U65781" s="25"/>
    </row>
    <row r="65803" spans="21:21" x14ac:dyDescent="0.3">
      <c r="U65803" s="25"/>
    </row>
    <row r="65825" spans="21:21" x14ac:dyDescent="0.3">
      <c r="U65825" s="25"/>
    </row>
    <row r="65847" spans="21:21" x14ac:dyDescent="0.3">
      <c r="U65847" s="25"/>
    </row>
    <row r="65869" spans="21:21" x14ac:dyDescent="0.3">
      <c r="U65869" s="25"/>
    </row>
    <row r="65891" spans="21:21" x14ac:dyDescent="0.3">
      <c r="U65891" s="25"/>
    </row>
    <row r="65913" spans="21:21" x14ac:dyDescent="0.3">
      <c r="U65913" s="25"/>
    </row>
    <row r="65935" spans="21:21" x14ac:dyDescent="0.3">
      <c r="U65935" s="25"/>
    </row>
    <row r="65957" spans="21:21" x14ac:dyDescent="0.3">
      <c r="U65957" s="25"/>
    </row>
    <row r="65979" spans="21:21" x14ac:dyDescent="0.3">
      <c r="U65979" s="25"/>
    </row>
    <row r="66001" spans="21:21" x14ac:dyDescent="0.3">
      <c r="U66001" s="25"/>
    </row>
    <row r="66023" spans="21:21" x14ac:dyDescent="0.3">
      <c r="U66023" s="25"/>
    </row>
    <row r="66045" spans="21:21" x14ac:dyDescent="0.3">
      <c r="U66045" s="25"/>
    </row>
    <row r="66067" spans="21:21" x14ac:dyDescent="0.3">
      <c r="U66067" s="25"/>
    </row>
    <row r="66089" spans="21:21" x14ac:dyDescent="0.3">
      <c r="U66089" s="25"/>
    </row>
    <row r="66111" spans="21:21" x14ac:dyDescent="0.3">
      <c r="U66111" s="25"/>
    </row>
    <row r="66133" spans="21:21" x14ac:dyDescent="0.3">
      <c r="U66133" s="25"/>
    </row>
    <row r="66155" spans="21:21" x14ac:dyDescent="0.3">
      <c r="U66155" s="25"/>
    </row>
    <row r="66177" spans="21:21" x14ac:dyDescent="0.3">
      <c r="U66177" s="25"/>
    </row>
    <row r="66199" spans="21:21" x14ac:dyDescent="0.3">
      <c r="U66199" s="25"/>
    </row>
    <row r="66221" spans="21:21" x14ac:dyDescent="0.3">
      <c r="U66221" s="25"/>
    </row>
    <row r="66243" spans="21:21" x14ac:dyDescent="0.3">
      <c r="U66243" s="25"/>
    </row>
    <row r="66265" spans="21:21" x14ac:dyDescent="0.3">
      <c r="U66265" s="25"/>
    </row>
    <row r="66287" spans="21:21" x14ac:dyDescent="0.3">
      <c r="U66287" s="25"/>
    </row>
    <row r="66309" spans="21:21" x14ac:dyDescent="0.3">
      <c r="U66309" s="25"/>
    </row>
    <row r="66331" spans="21:21" x14ac:dyDescent="0.3">
      <c r="U66331" s="25"/>
    </row>
    <row r="66353" spans="21:21" x14ac:dyDescent="0.3">
      <c r="U66353" s="25"/>
    </row>
    <row r="66375" spans="21:21" x14ac:dyDescent="0.3">
      <c r="U66375" s="25"/>
    </row>
    <row r="66397" spans="21:21" x14ac:dyDescent="0.3">
      <c r="U66397" s="25"/>
    </row>
    <row r="66419" spans="21:21" x14ac:dyDescent="0.3">
      <c r="U66419" s="25"/>
    </row>
    <row r="66441" spans="21:21" x14ac:dyDescent="0.3">
      <c r="U66441" s="25"/>
    </row>
    <row r="66463" spans="21:21" x14ac:dyDescent="0.3">
      <c r="U66463" s="25"/>
    </row>
    <row r="66485" spans="21:21" x14ac:dyDescent="0.3">
      <c r="U66485" s="25"/>
    </row>
    <row r="66507" spans="21:21" x14ac:dyDescent="0.3">
      <c r="U66507" s="25"/>
    </row>
    <row r="66529" spans="21:21" x14ac:dyDescent="0.3">
      <c r="U66529" s="25"/>
    </row>
    <row r="66551" spans="21:21" x14ac:dyDescent="0.3">
      <c r="U66551" s="25"/>
    </row>
    <row r="66573" spans="21:21" x14ac:dyDescent="0.3">
      <c r="U66573" s="25"/>
    </row>
    <row r="66595" spans="21:21" x14ac:dyDescent="0.3">
      <c r="U66595" s="25"/>
    </row>
    <row r="66617" spans="21:21" x14ac:dyDescent="0.3">
      <c r="U66617" s="25"/>
    </row>
    <row r="66639" spans="21:21" x14ac:dyDescent="0.3">
      <c r="U66639" s="25"/>
    </row>
    <row r="66661" spans="21:21" x14ac:dyDescent="0.3">
      <c r="U66661" s="25"/>
    </row>
    <row r="66683" spans="21:21" x14ac:dyDescent="0.3">
      <c r="U66683" s="25"/>
    </row>
    <row r="66705" spans="21:21" x14ac:dyDescent="0.3">
      <c r="U66705" s="25"/>
    </row>
    <row r="66727" spans="21:21" x14ac:dyDescent="0.3">
      <c r="U66727" s="25"/>
    </row>
    <row r="66749" spans="21:21" x14ac:dyDescent="0.3">
      <c r="U66749" s="25"/>
    </row>
    <row r="66771" spans="21:21" x14ac:dyDescent="0.3">
      <c r="U66771" s="25"/>
    </row>
    <row r="66793" spans="21:21" x14ac:dyDescent="0.3">
      <c r="U66793" s="25"/>
    </row>
    <row r="66815" spans="21:21" x14ac:dyDescent="0.3">
      <c r="U66815" s="25"/>
    </row>
    <row r="66837" spans="21:21" x14ac:dyDescent="0.3">
      <c r="U66837" s="25"/>
    </row>
    <row r="66859" spans="21:21" x14ac:dyDescent="0.3">
      <c r="U66859" s="25"/>
    </row>
    <row r="66881" spans="21:21" x14ac:dyDescent="0.3">
      <c r="U66881" s="25"/>
    </row>
    <row r="66903" spans="21:21" x14ac:dyDescent="0.3">
      <c r="U66903" s="25"/>
    </row>
    <row r="66925" spans="21:21" x14ac:dyDescent="0.3">
      <c r="U66925" s="25"/>
    </row>
    <row r="66947" spans="21:21" x14ac:dyDescent="0.3">
      <c r="U66947" s="25"/>
    </row>
    <row r="66969" spans="21:21" x14ac:dyDescent="0.3">
      <c r="U66969" s="25"/>
    </row>
    <row r="66991" spans="21:21" x14ac:dyDescent="0.3">
      <c r="U66991" s="25"/>
    </row>
    <row r="67013" spans="21:21" x14ac:dyDescent="0.3">
      <c r="U67013" s="25"/>
    </row>
    <row r="67035" spans="21:21" x14ac:dyDescent="0.3">
      <c r="U67035" s="25"/>
    </row>
    <row r="67057" spans="21:21" x14ac:dyDescent="0.3">
      <c r="U67057" s="25"/>
    </row>
    <row r="67079" spans="21:21" x14ac:dyDescent="0.3">
      <c r="U67079" s="25"/>
    </row>
    <row r="67101" spans="21:21" x14ac:dyDescent="0.3">
      <c r="U67101" s="25"/>
    </row>
    <row r="67123" spans="21:21" x14ac:dyDescent="0.3">
      <c r="U67123" s="25"/>
    </row>
    <row r="67145" spans="21:21" x14ac:dyDescent="0.3">
      <c r="U67145" s="25"/>
    </row>
    <row r="67167" spans="21:21" x14ac:dyDescent="0.3">
      <c r="U67167" s="25"/>
    </row>
    <row r="67189" spans="21:21" x14ac:dyDescent="0.3">
      <c r="U67189" s="25"/>
    </row>
    <row r="67211" spans="21:21" x14ac:dyDescent="0.3">
      <c r="U67211" s="25"/>
    </row>
    <row r="67233" spans="21:21" x14ac:dyDescent="0.3">
      <c r="U67233" s="25"/>
    </row>
    <row r="67255" spans="21:21" x14ac:dyDescent="0.3">
      <c r="U67255" s="25"/>
    </row>
    <row r="67277" spans="21:21" x14ac:dyDescent="0.3">
      <c r="U67277" s="25"/>
    </row>
    <row r="67299" spans="21:21" x14ac:dyDescent="0.3">
      <c r="U67299" s="25"/>
    </row>
    <row r="67321" spans="21:21" x14ac:dyDescent="0.3">
      <c r="U67321" s="25"/>
    </row>
    <row r="67343" spans="21:21" x14ac:dyDescent="0.3">
      <c r="U67343" s="25"/>
    </row>
    <row r="67365" spans="21:21" x14ac:dyDescent="0.3">
      <c r="U67365" s="25"/>
    </row>
    <row r="67387" spans="21:21" x14ac:dyDescent="0.3">
      <c r="U67387" s="25"/>
    </row>
    <row r="67409" spans="21:21" x14ac:dyDescent="0.3">
      <c r="U67409" s="25"/>
    </row>
    <row r="67431" spans="21:21" x14ac:dyDescent="0.3">
      <c r="U67431" s="25"/>
    </row>
    <row r="67453" spans="21:21" x14ac:dyDescent="0.3">
      <c r="U67453" s="25"/>
    </row>
    <row r="67475" spans="21:21" x14ac:dyDescent="0.3">
      <c r="U67475" s="25"/>
    </row>
    <row r="67497" spans="21:21" x14ac:dyDescent="0.3">
      <c r="U67497" s="25"/>
    </row>
    <row r="67519" spans="21:21" x14ac:dyDescent="0.3">
      <c r="U67519" s="25"/>
    </row>
    <row r="67541" spans="21:21" x14ac:dyDescent="0.3">
      <c r="U67541" s="25"/>
    </row>
    <row r="67563" spans="21:21" x14ac:dyDescent="0.3">
      <c r="U67563" s="25"/>
    </row>
    <row r="67585" spans="21:21" x14ac:dyDescent="0.3">
      <c r="U67585" s="25"/>
    </row>
    <row r="67607" spans="21:21" x14ac:dyDescent="0.3">
      <c r="U67607" s="25"/>
    </row>
    <row r="67629" spans="21:21" x14ac:dyDescent="0.3">
      <c r="U67629" s="25"/>
    </row>
    <row r="67651" spans="21:21" x14ac:dyDescent="0.3">
      <c r="U67651" s="25"/>
    </row>
    <row r="67673" spans="21:21" x14ac:dyDescent="0.3">
      <c r="U67673" s="25"/>
    </row>
    <row r="67695" spans="21:21" x14ac:dyDescent="0.3">
      <c r="U67695" s="25"/>
    </row>
    <row r="67717" spans="21:21" x14ac:dyDescent="0.3">
      <c r="U67717" s="25"/>
    </row>
    <row r="67739" spans="21:21" x14ac:dyDescent="0.3">
      <c r="U67739" s="25"/>
    </row>
    <row r="67761" spans="21:21" x14ac:dyDescent="0.3">
      <c r="U67761" s="25"/>
    </row>
    <row r="67783" spans="21:21" x14ac:dyDescent="0.3">
      <c r="U67783" s="25"/>
    </row>
    <row r="67805" spans="21:21" x14ac:dyDescent="0.3">
      <c r="U67805" s="25"/>
    </row>
    <row r="67827" spans="21:21" x14ac:dyDescent="0.3">
      <c r="U67827" s="25"/>
    </row>
    <row r="67849" spans="21:21" x14ac:dyDescent="0.3">
      <c r="U67849" s="25"/>
    </row>
    <row r="67871" spans="21:21" x14ac:dyDescent="0.3">
      <c r="U67871" s="25"/>
    </row>
    <row r="67893" spans="21:21" x14ac:dyDescent="0.3">
      <c r="U67893" s="25"/>
    </row>
    <row r="67915" spans="21:21" x14ac:dyDescent="0.3">
      <c r="U67915" s="25"/>
    </row>
    <row r="67937" spans="21:21" x14ac:dyDescent="0.3">
      <c r="U67937" s="25"/>
    </row>
    <row r="67959" spans="21:21" x14ac:dyDescent="0.3">
      <c r="U67959" s="25"/>
    </row>
    <row r="67981" spans="21:21" x14ac:dyDescent="0.3">
      <c r="U67981" s="25"/>
    </row>
    <row r="68003" spans="21:21" x14ac:dyDescent="0.3">
      <c r="U68003" s="25"/>
    </row>
    <row r="68025" spans="21:21" x14ac:dyDescent="0.3">
      <c r="U68025" s="25"/>
    </row>
    <row r="68047" spans="21:21" x14ac:dyDescent="0.3">
      <c r="U68047" s="25"/>
    </row>
    <row r="68069" spans="21:21" x14ac:dyDescent="0.3">
      <c r="U68069" s="25"/>
    </row>
    <row r="68091" spans="21:21" x14ac:dyDescent="0.3">
      <c r="U68091" s="25"/>
    </row>
    <row r="68113" spans="21:21" x14ac:dyDescent="0.3">
      <c r="U68113" s="25"/>
    </row>
    <row r="68135" spans="21:21" x14ac:dyDescent="0.3">
      <c r="U68135" s="25"/>
    </row>
    <row r="68157" spans="21:21" x14ac:dyDescent="0.3">
      <c r="U68157" s="25"/>
    </row>
    <row r="68179" spans="21:21" x14ac:dyDescent="0.3">
      <c r="U68179" s="25"/>
    </row>
    <row r="68201" spans="21:21" x14ac:dyDescent="0.3">
      <c r="U68201" s="25"/>
    </row>
    <row r="68223" spans="21:21" x14ac:dyDescent="0.3">
      <c r="U68223" s="25"/>
    </row>
    <row r="68245" spans="21:21" x14ac:dyDescent="0.3">
      <c r="U68245" s="25"/>
    </row>
    <row r="68267" spans="21:21" x14ac:dyDescent="0.3">
      <c r="U68267" s="25"/>
    </row>
    <row r="68289" spans="21:21" x14ac:dyDescent="0.3">
      <c r="U68289" s="25"/>
    </row>
    <row r="68311" spans="21:21" x14ac:dyDescent="0.3">
      <c r="U68311" s="25"/>
    </row>
    <row r="68333" spans="21:21" x14ac:dyDescent="0.3">
      <c r="U68333" s="25"/>
    </row>
    <row r="68355" spans="21:21" x14ac:dyDescent="0.3">
      <c r="U68355" s="25"/>
    </row>
    <row r="68377" spans="21:21" x14ac:dyDescent="0.3">
      <c r="U68377" s="25"/>
    </row>
    <row r="68399" spans="21:21" x14ac:dyDescent="0.3">
      <c r="U68399" s="25"/>
    </row>
    <row r="68421" spans="21:21" x14ac:dyDescent="0.3">
      <c r="U68421" s="25"/>
    </row>
    <row r="68443" spans="21:21" x14ac:dyDescent="0.3">
      <c r="U68443" s="25"/>
    </row>
    <row r="68465" spans="21:21" x14ac:dyDescent="0.3">
      <c r="U68465" s="25"/>
    </row>
    <row r="68487" spans="21:21" x14ac:dyDescent="0.3">
      <c r="U68487" s="25"/>
    </row>
    <row r="68509" spans="21:21" x14ac:dyDescent="0.3">
      <c r="U68509" s="25"/>
    </row>
    <row r="68531" spans="21:21" x14ac:dyDescent="0.3">
      <c r="U68531" s="25"/>
    </row>
    <row r="68553" spans="21:21" x14ac:dyDescent="0.3">
      <c r="U68553" s="25"/>
    </row>
    <row r="68575" spans="21:21" x14ac:dyDescent="0.3">
      <c r="U68575" s="25"/>
    </row>
    <row r="68597" spans="21:21" x14ac:dyDescent="0.3">
      <c r="U68597" s="25"/>
    </row>
    <row r="68619" spans="21:21" x14ac:dyDescent="0.3">
      <c r="U68619" s="25"/>
    </row>
    <row r="68641" spans="21:21" x14ac:dyDescent="0.3">
      <c r="U68641" s="25"/>
    </row>
    <row r="68663" spans="21:21" x14ac:dyDescent="0.3">
      <c r="U68663" s="25"/>
    </row>
    <row r="68685" spans="21:21" x14ac:dyDescent="0.3">
      <c r="U68685" s="25"/>
    </row>
    <row r="68707" spans="21:21" x14ac:dyDescent="0.3">
      <c r="U68707" s="25"/>
    </row>
    <row r="68729" spans="21:21" x14ac:dyDescent="0.3">
      <c r="U68729" s="25"/>
    </row>
    <row r="68751" spans="21:21" x14ac:dyDescent="0.3">
      <c r="U68751" s="25"/>
    </row>
    <row r="68773" spans="21:21" x14ac:dyDescent="0.3">
      <c r="U68773" s="25"/>
    </row>
    <row r="68795" spans="21:21" x14ac:dyDescent="0.3">
      <c r="U68795" s="25"/>
    </row>
    <row r="68817" spans="21:21" x14ac:dyDescent="0.3">
      <c r="U68817" s="25"/>
    </row>
    <row r="68839" spans="21:21" x14ac:dyDescent="0.3">
      <c r="U68839" s="25"/>
    </row>
    <row r="68861" spans="21:21" x14ac:dyDescent="0.3">
      <c r="U68861" s="25"/>
    </row>
    <row r="68883" spans="21:21" x14ac:dyDescent="0.3">
      <c r="U68883" s="25"/>
    </row>
    <row r="68905" spans="21:21" x14ac:dyDescent="0.3">
      <c r="U68905" s="25"/>
    </row>
    <row r="68927" spans="21:21" x14ac:dyDescent="0.3">
      <c r="U68927" s="25"/>
    </row>
    <row r="68949" spans="21:21" x14ac:dyDescent="0.3">
      <c r="U68949" s="25"/>
    </row>
    <row r="68971" spans="21:21" x14ac:dyDescent="0.3">
      <c r="U68971" s="25"/>
    </row>
    <row r="68993" spans="21:21" x14ac:dyDescent="0.3">
      <c r="U68993" s="25"/>
    </row>
    <row r="69015" spans="21:21" x14ac:dyDescent="0.3">
      <c r="U69015" s="25"/>
    </row>
    <row r="69037" spans="21:21" x14ac:dyDescent="0.3">
      <c r="U69037" s="25"/>
    </row>
    <row r="69059" spans="21:21" x14ac:dyDescent="0.3">
      <c r="U69059" s="25"/>
    </row>
    <row r="69081" spans="21:21" x14ac:dyDescent="0.3">
      <c r="U69081" s="25"/>
    </row>
    <row r="69103" spans="21:21" x14ac:dyDescent="0.3">
      <c r="U69103" s="25"/>
    </row>
    <row r="69125" spans="21:21" x14ac:dyDescent="0.3">
      <c r="U69125" s="25"/>
    </row>
    <row r="69147" spans="21:21" x14ac:dyDescent="0.3">
      <c r="U69147" s="25"/>
    </row>
    <row r="69169" spans="21:21" x14ac:dyDescent="0.3">
      <c r="U69169" s="25"/>
    </row>
    <row r="69191" spans="21:21" x14ac:dyDescent="0.3">
      <c r="U69191" s="25"/>
    </row>
    <row r="69213" spans="21:21" x14ac:dyDescent="0.3">
      <c r="U69213" s="25"/>
    </row>
    <row r="69235" spans="21:21" x14ac:dyDescent="0.3">
      <c r="U69235" s="25"/>
    </row>
    <row r="69257" spans="21:21" x14ac:dyDescent="0.3">
      <c r="U69257" s="25"/>
    </row>
    <row r="69279" spans="21:21" x14ac:dyDescent="0.3">
      <c r="U69279" s="25"/>
    </row>
    <row r="69301" spans="21:21" x14ac:dyDescent="0.3">
      <c r="U69301" s="25"/>
    </row>
    <row r="69323" spans="21:21" x14ac:dyDescent="0.3">
      <c r="U69323" s="25"/>
    </row>
    <row r="69345" spans="21:21" x14ac:dyDescent="0.3">
      <c r="U69345" s="25"/>
    </row>
    <row r="69367" spans="21:21" x14ac:dyDescent="0.3">
      <c r="U69367" s="25"/>
    </row>
    <row r="69389" spans="21:21" x14ac:dyDescent="0.3">
      <c r="U69389" s="25"/>
    </row>
    <row r="69411" spans="21:21" x14ac:dyDescent="0.3">
      <c r="U69411" s="25"/>
    </row>
    <row r="69433" spans="21:21" x14ac:dyDescent="0.3">
      <c r="U69433" s="25"/>
    </row>
    <row r="69455" spans="21:21" x14ac:dyDescent="0.3">
      <c r="U69455" s="25"/>
    </row>
    <row r="69477" spans="21:21" x14ac:dyDescent="0.3">
      <c r="U69477" s="25"/>
    </row>
    <row r="69499" spans="21:21" x14ac:dyDescent="0.3">
      <c r="U69499" s="25"/>
    </row>
    <row r="69521" spans="21:21" x14ac:dyDescent="0.3">
      <c r="U69521" s="25"/>
    </row>
    <row r="69543" spans="21:21" x14ac:dyDescent="0.3">
      <c r="U69543" s="25"/>
    </row>
    <row r="69565" spans="21:21" x14ac:dyDescent="0.3">
      <c r="U69565" s="25"/>
    </row>
    <row r="69587" spans="21:21" x14ac:dyDescent="0.3">
      <c r="U69587" s="25"/>
    </row>
    <row r="69609" spans="21:21" x14ac:dyDescent="0.3">
      <c r="U69609" s="25"/>
    </row>
    <row r="69631" spans="21:21" x14ac:dyDescent="0.3">
      <c r="U69631" s="25"/>
    </row>
    <row r="69653" spans="21:21" x14ac:dyDescent="0.3">
      <c r="U69653" s="25"/>
    </row>
    <row r="69675" spans="21:21" x14ac:dyDescent="0.3">
      <c r="U69675" s="25"/>
    </row>
    <row r="69697" spans="21:21" x14ac:dyDescent="0.3">
      <c r="U69697" s="25"/>
    </row>
    <row r="69719" spans="21:21" x14ac:dyDescent="0.3">
      <c r="U69719" s="25"/>
    </row>
    <row r="69741" spans="21:21" x14ac:dyDescent="0.3">
      <c r="U69741" s="25"/>
    </row>
    <row r="69763" spans="21:21" x14ac:dyDescent="0.3">
      <c r="U69763" s="25"/>
    </row>
    <row r="69785" spans="21:21" x14ac:dyDescent="0.3">
      <c r="U69785" s="25"/>
    </row>
    <row r="69807" spans="21:21" x14ac:dyDescent="0.3">
      <c r="U69807" s="25"/>
    </row>
    <row r="69829" spans="21:21" x14ac:dyDescent="0.3">
      <c r="U69829" s="25"/>
    </row>
    <row r="69851" spans="21:21" x14ac:dyDescent="0.3">
      <c r="U69851" s="25"/>
    </row>
    <row r="69873" spans="21:21" x14ac:dyDescent="0.3">
      <c r="U69873" s="25"/>
    </row>
    <row r="69895" spans="21:21" x14ac:dyDescent="0.3">
      <c r="U69895" s="25"/>
    </row>
    <row r="69917" spans="21:21" x14ac:dyDescent="0.3">
      <c r="U69917" s="25"/>
    </row>
    <row r="69939" spans="21:21" x14ac:dyDescent="0.3">
      <c r="U69939" s="25"/>
    </row>
    <row r="69961" spans="21:21" x14ac:dyDescent="0.3">
      <c r="U69961" s="25"/>
    </row>
    <row r="69983" spans="21:21" x14ac:dyDescent="0.3">
      <c r="U69983" s="25"/>
    </row>
    <row r="70005" spans="21:21" x14ac:dyDescent="0.3">
      <c r="U70005" s="25"/>
    </row>
    <row r="70027" spans="21:21" x14ac:dyDescent="0.3">
      <c r="U70027" s="25"/>
    </row>
    <row r="70049" spans="21:21" x14ac:dyDescent="0.3">
      <c r="U70049" s="25"/>
    </row>
    <row r="70071" spans="21:21" x14ac:dyDescent="0.3">
      <c r="U70071" s="25"/>
    </row>
    <row r="70093" spans="21:21" x14ac:dyDescent="0.3">
      <c r="U70093" s="25"/>
    </row>
    <row r="70115" spans="21:21" x14ac:dyDescent="0.3">
      <c r="U70115" s="25"/>
    </row>
    <row r="70137" spans="21:21" x14ac:dyDescent="0.3">
      <c r="U70137" s="25"/>
    </row>
    <row r="70159" spans="21:21" x14ac:dyDescent="0.3">
      <c r="U70159" s="25"/>
    </row>
    <row r="70181" spans="21:21" x14ac:dyDescent="0.3">
      <c r="U70181" s="25"/>
    </row>
    <row r="70203" spans="21:21" x14ac:dyDescent="0.3">
      <c r="U70203" s="25"/>
    </row>
    <row r="70225" spans="21:21" x14ac:dyDescent="0.3">
      <c r="U70225" s="25"/>
    </row>
    <row r="70247" spans="21:21" x14ac:dyDescent="0.3">
      <c r="U70247" s="25"/>
    </row>
    <row r="70269" spans="21:21" x14ac:dyDescent="0.3">
      <c r="U70269" s="25"/>
    </row>
    <row r="70291" spans="21:21" x14ac:dyDescent="0.3">
      <c r="U70291" s="25"/>
    </row>
    <row r="70313" spans="21:21" x14ac:dyDescent="0.3">
      <c r="U70313" s="25"/>
    </row>
    <row r="70335" spans="21:21" x14ac:dyDescent="0.3">
      <c r="U70335" s="25"/>
    </row>
    <row r="70357" spans="21:21" x14ac:dyDescent="0.3">
      <c r="U70357" s="25"/>
    </row>
    <row r="70379" spans="21:21" x14ac:dyDescent="0.3">
      <c r="U70379" s="25"/>
    </row>
    <row r="70401" spans="21:21" x14ac:dyDescent="0.3">
      <c r="U70401" s="25"/>
    </row>
    <row r="70423" spans="21:21" x14ac:dyDescent="0.3">
      <c r="U70423" s="25"/>
    </row>
    <row r="70445" spans="21:21" x14ac:dyDescent="0.3">
      <c r="U70445" s="25"/>
    </row>
    <row r="70467" spans="21:21" x14ac:dyDescent="0.3">
      <c r="U70467" s="25"/>
    </row>
    <row r="70489" spans="21:21" x14ac:dyDescent="0.3">
      <c r="U70489" s="25"/>
    </row>
    <row r="70511" spans="21:21" x14ac:dyDescent="0.3">
      <c r="U70511" s="25"/>
    </row>
    <row r="70533" spans="21:21" x14ac:dyDescent="0.3">
      <c r="U70533" s="25"/>
    </row>
    <row r="70555" spans="21:21" x14ac:dyDescent="0.3">
      <c r="U70555" s="25"/>
    </row>
    <row r="70577" spans="21:21" x14ac:dyDescent="0.3">
      <c r="U70577" s="25"/>
    </row>
    <row r="70599" spans="21:21" x14ac:dyDescent="0.3">
      <c r="U70599" s="25"/>
    </row>
    <row r="70621" spans="21:21" x14ac:dyDescent="0.3">
      <c r="U70621" s="25"/>
    </row>
    <row r="70643" spans="21:21" x14ac:dyDescent="0.3">
      <c r="U70643" s="25"/>
    </row>
    <row r="70665" spans="21:21" x14ac:dyDescent="0.3">
      <c r="U70665" s="25"/>
    </row>
    <row r="70687" spans="21:21" x14ac:dyDescent="0.3">
      <c r="U70687" s="25"/>
    </row>
    <row r="70709" spans="21:21" x14ac:dyDescent="0.3">
      <c r="U70709" s="25"/>
    </row>
    <row r="70731" spans="21:21" x14ac:dyDescent="0.3">
      <c r="U70731" s="25"/>
    </row>
    <row r="70753" spans="21:21" x14ac:dyDescent="0.3">
      <c r="U70753" s="25"/>
    </row>
    <row r="70775" spans="21:21" x14ac:dyDescent="0.3">
      <c r="U70775" s="25"/>
    </row>
    <row r="70797" spans="21:21" x14ac:dyDescent="0.3">
      <c r="U70797" s="25"/>
    </row>
    <row r="70819" spans="21:21" x14ac:dyDescent="0.3">
      <c r="U70819" s="25"/>
    </row>
    <row r="70841" spans="21:21" x14ac:dyDescent="0.3">
      <c r="U70841" s="25"/>
    </row>
    <row r="70863" spans="21:21" x14ac:dyDescent="0.3">
      <c r="U70863" s="25"/>
    </row>
    <row r="70885" spans="21:21" x14ac:dyDescent="0.3">
      <c r="U70885" s="25"/>
    </row>
    <row r="70907" spans="21:21" x14ac:dyDescent="0.3">
      <c r="U70907" s="25"/>
    </row>
    <row r="70929" spans="21:21" x14ac:dyDescent="0.3">
      <c r="U70929" s="25"/>
    </row>
    <row r="70951" spans="21:21" x14ac:dyDescent="0.3">
      <c r="U70951" s="25"/>
    </row>
    <row r="70973" spans="21:21" x14ac:dyDescent="0.3">
      <c r="U70973" s="25"/>
    </row>
    <row r="70995" spans="21:21" x14ac:dyDescent="0.3">
      <c r="U70995" s="25"/>
    </row>
    <row r="71017" spans="21:21" x14ac:dyDescent="0.3">
      <c r="U71017" s="25"/>
    </row>
    <row r="71039" spans="21:21" x14ac:dyDescent="0.3">
      <c r="U71039" s="25"/>
    </row>
    <row r="71061" spans="21:21" x14ac:dyDescent="0.3">
      <c r="U71061" s="25"/>
    </row>
    <row r="71083" spans="21:21" x14ac:dyDescent="0.3">
      <c r="U71083" s="25"/>
    </row>
    <row r="71105" spans="21:21" x14ac:dyDescent="0.3">
      <c r="U71105" s="25"/>
    </row>
    <row r="71127" spans="21:21" x14ac:dyDescent="0.3">
      <c r="U71127" s="25"/>
    </row>
    <row r="71149" spans="21:21" x14ac:dyDescent="0.3">
      <c r="U71149" s="25"/>
    </row>
    <row r="71171" spans="21:21" x14ac:dyDescent="0.3">
      <c r="U71171" s="25"/>
    </row>
    <row r="71193" spans="21:21" x14ac:dyDescent="0.3">
      <c r="U71193" s="25"/>
    </row>
    <row r="71215" spans="21:21" x14ac:dyDescent="0.3">
      <c r="U71215" s="25"/>
    </row>
    <row r="71237" spans="21:21" x14ac:dyDescent="0.3">
      <c r="U71237" s="25"/>
    </row>
    <row r="71259" spans="21:21" x14ac:dyDescent="0.3">
      <c r="U71259" s="25"/>
    </row>
    <row r="71281" spans="21:21" x14ac:dyDescent="0.3">
      <c r="U71281" s="25"/>
    </row>
    <row r="71303" spans="21:21" x14ac:dyDescent="0.3">
      <c r="U71303" s="25"/>
    </row>
    <row r="71325" spans="21:21" x14ac:dyDescent="0.3">
      <c r="U71325" s="25"/>
    </row>
    <row r="71347" spans="21:21" x14ac:dyDescent="0.3">
      <c r="U71347" s="25"/>
    </row>
    <row r="71369" spans="21:21" x14ac:dyDescent="0.3">
      <c r="U71369" s="25"/>
    </row>
    <row r="71391" spans="21:21" x14ac:dyDescent="0.3">
      <c r="U71391" s="25"/>
    </row>
    <row r="71413" spans="21:21" x14ac:dyDescent="0.3">
      <c r="U71413" s="25"/>
    </row>
    <row r="71435" spans="21:21" x14ac:dyDescent="0.3">
      <c r="U71435" s="25"/>
    </row>
    <row r="71457" spans="21:21" x14ac:dyDescent="0.3">
      <c r="U71457" s="25"/>
    </row>
    <row r="71479" spans="21:21" x14ac:dyDescent="0.3">
      <c r="U71479" s="25"/>
    </row>
    <row r="71501" spans="21:21" x14ac:dyDescent="0.3">
      <c r="U71501" s="25"/>
    </row>
    <row r="71523" spans="21:21" x14ac:dyDescent="0.3">
      <c r="U71523" s="25"/>
    </row>
    <row r="71545" spans="21:21" x14ac:dyDescent="0.3">
      <c r="U71545" s="25"/>
    </row>
    <row r="71567" spans="21:21" x14ac:dyDescent="0.3">
      <c r="U71567" s="25"/>
    </row>
    <row r="71589" spans="21:21" x14ac:dyDescent="0.3">
      <c r="U71589" s="25"/>
    </row>
    <row r="71611" spans="21:21" x14ac:dyDescent="0.3">
      <c r="U71611" s="25"/>
    </row>
    <row r="71633" spans="21:21" x14ac:dyDescent="0.3">
      <c r="U71633" s="25"/>
    </row>
    <row r="71655" spans="21:21" x14ac:dyDescent="0.3">
      <c r="U71655" s="25"/>
    </row>
    <row r="71677" spans="21:21" x14ac:dyDescent="0.3">
      <c r="U71677" s="25"/>
    </row>
    <row r="71699" spans="21:21" x14ac:dyDescent="0.3">
      <c r="U71699" s="25"/>
    </row>
    <row r="71721" spans="21:21" x14ac:dyDescent="0.3">
      <c r="U71721" s="25"/>
    </row>
    <row r="71743" spans="21:21" x14ac:dyDescent="0.3">
      <c r="U71743" s="25"/>
    </row>
    <row r="71765" spans="21:21" x14ac:dyDescent="0.3">
      <c r="U71765" s="25"/>
    </row>
    <row r="71787" spans="21:21" x14ac:dyDescent="0.3">
      <c r="U71787" s="25"/>
    </row>
    <row r="71809" spans="21:21" x14ac:dyDescent="0.3">
      <c r="U71809" s="25"/>
    </row>
    <row r="71831" spans="21:21" x14ac:dyDescent="0.3">
      <c r="U71831" s="25"/>
    </row>
    <row r="71853" spans="21:21" x14ac:dyDescent="0.3">
      <c r="U71853" s="25"/>
    </row>
    <row r="71875" spans="21:21" x14ac:dyDescent="0.3">
      <c r="U71875" s="25"/>
    </row>
    <row r="71897" spans="21:21" x14ac:dyDescent="0.3">
      <c r="U71897" s="25"/>
    </row>
    <row r="71919" spans="21:21" x14ac:dyDescent="0.3">
      <c r="U71919" s="25"/>
    </row>
    <row r="71941" spans="21:21" x14ac:dyDescent="0.3">
      <c r="U71941" s="25"/>
    </row>
    <row r="71963" spans="21:21" x14ac:dyDescent="0.3">
      <c r="U71963" s="25"/>
    </row>
    <row r="71985" spans="21:21" x14ac:dyDescent="0.3">
      <c r="U71985" s="25"/>
    </row>
    <row r="72007" spans="21:21" x14ac:dyDescent="0.3">
      <c r="U72007" s="25"/>
    </row>
    <row r="72029" spans="21:21" x14ac:dyDescent="0.3">
      <c r="U72029" s="25"/>
    </row>
    <row r="72051" spans="21:21" x14ac:dyDescent="0.3">
      <c r="U72051" s="25"/>
    </row>
    <row r="72073" spans="21:21" x14ac:dyDescent="0.3">
      <c r="U72073" s="25"/>
    </row>
    <row r="72095" spans="21:21" x14ac:dyDescent="0.3">
      <c r="U72095" s="25"/>
    </row>
    <row r="72117" spans="21:21" x14ac:dyDescent="0.3">
      <c r="U72117" s="25"/>
    </row>
    <row r="72139" spans="21:21" x14ac:dyDescent="0.3">
      <c r="U72139" s="25"/>
    </row>
    <row r="72161" spans="21:21" x14ac:dyDescent="0.3">
      <c r="U72161" s="25"/>
    </row>
    <row r="72183" spans="21:21" x14ac:dyDescent="0.3">
      <c r="U72183" s="25"/>
    </row>
    <row r="72205" spans="21:21" x14ac:dyDescent="0.3">
      <c r="U72205" s="25"/>
    </row>
    <row r="72227" spans="21:21" x14ac:dyDescent="0.3">
      <c r="U72227" s="25"/>
    </row>
    <row r="72249" spans="21:21" x14ac:dyDescent="0.3">
      <c r="U72249" s="25"/>
    </row>
    <row r="72271" spans="21:21" x14ac:dyDescent="0.3">
      <c r="U72271" s="25"/>
    </row>
    <row r="72293" spans="21:21" x14ac:dyDescent="0.3">
      <c r="U72293" s="25"/>
    </row>
    <row r="72315" spans="21:21" x14ac:dyDescent="0.3">
      <c r="U72315" s="25"/>
    </row>
    <row r="72337" spans="21:21" x14ac:dyDescent="0.3">
      <c r="U72337" s="25"/>
    </row>
    <row r="72359" spans="21:21" x14ac:dyDescent="0.3">
      <c r="U72359" s="25"/>
    </row>
    <row r="72381" spans="21:21" x14ac:dyDescent="0.3">
      <c r="U72381" s="25"/>
    </row>
    <row r="72403" spans="21:21" x14ac:dyDescent="0.3">
      <c r="U72403" s="25"/>
    </row>
    <row r="72425" spans="21:21" x14ac:dyDescent="0.3">
      <c r="U72425" s="25"/>
    </row>
    <row r="72447" spans="21:21" x14ac:dyDescent="0.3">
      <c r="U72447" s="25"/>
    </row>
    <row r="72469" spans="21:21" x14ac:dyDescent="0.3">
      <c r="U72469" s="25"/>
    </row>
    <row r="72491" spans="21:21" x14ac:dyDescent="0.3">
      <c r="U72491" s="25"/>
    </row>
    <row r="72513" spans="21:21" x14ac:dyDescent="0.3">
      <c r="U72513" s="25"/>
    </row>
    <row r="72535" spans="21:21" x14ac:dyDescent="0.3">
      <c r="U72535" s="25"/>
    </row>
    <row r="72557" spans="21:21" x14ac:dyDescent="0.3">
      <c r="U72557" s="25"/>
    </row>
    <row r="72579" spans="21:21" x14ac:dyDescent="0.3">
      <c r="U72579" s="25"/>
    </row>
    <row r="72601" spans="21:21" x14ac:dyDescent="0.3">
      <c r="U72601" s="25"/>
    </row>
    <row r="72623" spans="21:21" x14ac:dyDescent="0.3">
      <c r="U72623" s="25"/>
    </row>
    <row r="72645" spans="21:21" x14ac:dyDescent="0.3">
      <c r="U72645" s="25"/>
    </row>
    <row r="72667" spans="21:21" x14ac:dyDescent="0.3">
      <c r="U72667" s="25"/>
    </row>
    <row r="72689" spans="21:21" x14ac:dyDescent="0.3">
      <c r="U72689" s="25"/>
    </row>
    <row r="72711" spans="21:21" x14ac:dyDescent="0.3">
      <c r="U72711" s="25"/>
    </row>
    <row r="72733" spans="21:21" x14ac:dyDescent="0.3">
      <c r="U72733" s="25"/>
    </row>
    <row r="72755" spans="21:21" x14ac:dyDescent="0.3">
      <c r="U72755" s="25"/>
    </row>
    <row r="72777" spans="21:21" x14ac:dyDescent="0.3">
      <c r="U72777" s="25"/>
    </row>
    <row r="72799" spans="21:21" x14ac:dyDescent="0.3">
      <c r="U72799" s="25"/>
    </row>
    <row r="72821" spans="21:21" x14ac:dyDescent="0.3">
      <c r="U72821" s="25"/>
    </row>
    <row r="72843" spans="21:21" x14ac:dyDescent="0.3">
      <c r="U72843" s="25"/>
    </row>
    <row r="72865" spans="21:21" x14ac:dyDescent="0.3">
      <c r="U72865" s="25"/>
    </row>
    <row r="72887" spans="21:21" x14ac:dyDescent="0.3">
      <c r="U72887" s="25"/>
    </row>
    <row r="72909" spans="21:21" x14ac:dyDescent="0.3">
      <c r="U72909" s="25"/>
    </row>
    <row r="72931" spans="21:21" x14ac:dyDescent="0.3">
      <c r="U72931" s="25"/>
    </row>
    <row r="72953" spans="21:21" x14ac:dyDescent="0.3">
      <c r="U72953" s="25"/>
    </row>
    <row r="72975" spans="21:21" x14ac:dyDescent="0.3">
      <c r="U72975" s="25"/>
    </row>
    <row r="72997" spans="21:21" x14ac:dyDescent="0.3">
      <c r="U72997" s="25"/>
    </row>
    <row r="73019" spans="21:21" x14ac:dyDescent="0.3">
      <c r="U73019" s="25"/>
    </row>
    <row r="73041" spans="21:21" x14ac:dyDescent="0.3">
      <c r="U73041" s="25"/>
    </row>
    <row r="73063" spans="21:21" x14ac:dyDescent="0.3">
      <c r="U73063" s="25"/>
    </row>
    <row r="73085" spans="21:21" x14ac:dyDescent="0.3">
      <c r="U73085" s="25"/>
    </row>
    <row r="73107" spans="21:21" x14ac:dyDescent="0.3">
      <c r="U73107" s="25"/>
    </row>
    <row r="73129" spans="21:21" x14ac:dyDescent="0.3">
      <c r="U73129" s="25"/>
    </row>
    <row r="73151" spans="21:21" x14ac:dyDescent="0.3">
      <c r="U73151" s="25"/>
    </row>
    <row r="73173" spans="21:21" x14ac:dyDescent="0.3">
      <c r="U73173" s="25"/>
    </row>
    <row r="73195" spans="21:21" x14ac:dyDescent="0.3">
      <c r="U73195" s="25"/>
    </row>
    <row r="73217" spans="21:21" x14ac:dyDescent="0.3">
      <c r="U73217" s="25"/>
    </row>
    <row r="73239" spans="21:21" x14ac:dyDescent="0.3">
      <c r="U73239" s="25"/>
    </row>
    <row r="73261" spans="21:21" x14ac:dyDescent="0.3">
      <c r="U73261" s="25"/>
    </row>
    <row r="73283" spans="21:21" x14ac:dyDescent="0.3">
      <c r="U73283" s="25"/>
    </row>
    <row r="73305" spans="21:21" x14ac:dyDescent="0.3">
      <c r="U73305" s="25"/>
    </row>
    <row r="73327" spans="21:21" x14ac:dyDescent="0.3">
      <c r="U73327" s="25"/>
    </row>
    <row r="73349" spans="21:21" x14ac:dyDescent="0.3">
      <c r="U73349" s="25"/>
    </row>
    <row r="73371" spans="21:21" x14ac:dyDescent="0.3">
      <c r="U73371" s="25"/>
    </row>
    <row r="73393" spans="21:21" x14ac:dyDescent="0.3">
      <c r="U73393" s="25"/>
    </row>
    <row r="73415" spans="21:21" x14ac:dyDescent="0.3">
      <c r="U73415" s="25"/>
    </row>
    <row r="73437" spans="21:21" x14ac:dyDescent="0.3">
      <c r="U73437" s="25"/>
    </row>
    <row r="73459" spans="21:21" x14ac:dyDescent="0.3">
      <c r="U73459" s="25"/>
    </row>
    <row r="73481" spans="21:21" x14ac:dyDescent="0.3">
      <c r="U73481" s="25"/>
    </row>
    <row r="73503" spans="21:21" x14ac:dyDescent="0.3">
      <c r="U73503" s="25"/>
    </row>
    <row r="73525" spans="21:21" x14ac:dyDescent="0.3">
      <c r="U73525" s="25"/>
    </row>
    <row r="73547" spans="21:21" x14ac:dyDescent="0.3">
      <c r="U73547" s="25"/>
    </row>
    <row r="73569" spans="21:21" x14ac:dyDescent="0.3">
      <c r="U73569" s="25"/>
    </row>
    <row r="73591" spans="21:21" x14ac:dyDescent="0.3">
      <c r="U73591" s="25"/>
    </row>
    <row r="73613" spans="21:21" x14ac:dyDescent="0.3">
      <c r="U73613" s="25"/>
    </row>
    <row r="73635" spans="21:21" x14ac:dyDescent="0.3">
      <c r="U73635" s="25"/>
    </row>
    <row r="73657" spans="21:21" x14ac:dyDescent="0.3">
      <c r="U73657" s="25"/>
    </row>
    <row r="73679" spans="21:21" x14ac:dyDescent="0.3">
      <c r="U73679" s="25"/>
    </row>
    <row r="73701" spans="21:21" x14ac:dyDescent="0.3">
      <c r="U73701" s="25"/>
    </row>
    <row r="73723" spans="21:21" x14ac:dyDescent="0.3">
      <c r="U73723" s="25"/>
    </row>
    <row r="73745" spans="21:21" x14ac:dyDescent="0.3">
      <c r="U73745" s="25"/>
    </row>
    <row r="73767" spans="21:21" x14ac:dyDescent="0.3">
      <c r="U73767" s="25"/>
    </row>
    <row r="73789" spans="21:21" x14ac:dyDescent="0.3">
      <c r="U73789" s="25"/>
    </row>
    <row r="73811" spans="21:21" x14ac:dyDescent="0.3">
      <c r="U73811" s="25"/>
    </row>
    <row r="73833" spans="21:21" x14ac:dyDescent="0.3">
      <c r="U73833" s="25"/>
    </row>
    <row r="73855" spans="21:21" x14ac:dyDescent="0.3">
      <c r="U73855" s="25"/>
    </row>
    <row r="73877" spans="21:21" x14ac:dyDescent="0.3">
      <c r="U73877" s="25"/>
    </row>
    <row r="73899" spans="21:21" x14ac:dyDescent="0.3">
      <c r="U73899" s="25"/>
    </row>
    <row r="73921" spans="21:21" x14ac:dyDescent="0.3">
      <c r="U73921" s="25"/>
    </row>
    <row r="73943" spans="21:21" x14ac:dyDescent="0.3">
      <c r="U73943" s="25"/>
    </row>
    <row r="73965" spans="21:21" x14ac:dyDescent="0.3">
      <c r="U73965" s="25"/>
    </row>
    <row r="73987" spans="21:21" x14ac:dyDescent="0.3">
      <c r="U73987" s="25"/>
    </row>
    <row r="74009" spans="21:21" x14ac:dyDescent="0.3">
      <c r="U74009" s="25"/>
    </row>
    <row r="74031" spans="21:21" x14ac:dyDescent="0.3">
      <c r="U74031" s="25"/>
    </row>
    <row r="74053" spans="21:21" x14ac:dyDescent="0.3">
      <c r="U74053" s="25"/>
    </row>
    <row r="74075" spans="21:21" x14ac:dyDescent="0.3">
      <c r="U74075" s="25"/>
    </row>
    <row r="74097" spans="21:21" x14ac:dyDescent="0.3">
      <c r="U74097" s="25"/>
    </row>
    <row r="74119" spans="21:21" x14ac:dyDescent="0.3">
      <c r="U74119" s="25"/>
    </row>
    <row r="74141" spans="21:21" x14ac:dyDescent="0.3">
      <c r="U74141" s="25"/>
    </row>
    <row r="74163" spans="21:21" x14ac:dyDescent="0.3">
      <c r="U74163" s="25"/>
    </row>
    <row r="74185" spans="21:21" x14ac:dyDescent="0.3">
      <c r="U74185" s="25"/>
    </row>
    <row r="74207" spans="21:21" x14ac:dyDescent="0.3">
      <c r="U74207" s="25"/>
    </row>
    <row r="74229" spans="21:21" x14ac:dyDescent="0.3">
      <c r="U74229" s="25"/>
    </row>
    <row r="74251" spans="21:21" x14ac:dyDescent="0.3">
      <c r="U74251" s="25"/>
    </row>
    <row r="74273" spans="21:21" x14ac:dyDescent="0.3">
      <c r="U74273" s="25"/>
    </row>
    <row r="74295" spans="21:21" x14ac:dyDescent="0.3">
      <c r="U74295" s="25"/>
    </row>
    <row r="74317" spans="21:21" x14ac:dyDescent="0.3">
      <c r="U74317" s="25"/>
    </row>
    <row r="74339" spans="21:21" x14ac:dyDescent="0.3">
      <c r="U74339" s="25"/>
    </row>
    <row r="74361" spans="21:21" x14ac:dyDescent="0.3">
      <c r="U74361" s="25"/>
    </row>
    <row r="74383" spans="21:21" x14ac:dyDescent="0.3">
      <c r="U74383" s="25"/>
    </row>
    <row r="74405" spans="21:21" x14ac:dyDescent="0.3">
      <c r="U74405" s="25"/>
    </row>
    <row r="74427" spans="21:21" x14ac:dyDescent="0.3">
      <c r="U74427" s="25"/>
    </row>
    <row r="74449" spans="21:21" x14ac:dyDescent="0.3">
      <c r="U74449" s="25"/>
    </row>
    <row r="74471" spans="21:21" x14ac:dyDescent="0.3">
      <c r="U74471" s="25"/>
    </row>
    <row r="74493" spans="21:21" x14ac:dyDescent="0.3">
      <c r="U74493" s="25"/>
    </row>
    <row r="74515" spans="21:21" x14ac:dyDescent="0.3">
      <c r="U74515" s="25"/>
    </row>
    <row r="74537" spans="21:21" x14ac:dyDescent="0.3">
      <c r="U74537" s="25"/>
    </row>
    <row r="74559" spans="21:21" x14ac:dyDescent="0.3">
      <c r="U74559" s="25"/>
    </row>
    <row r="74581" spans="21:21" x14ac:dyDescent="0.3">
      <c r="U74581" s="25"/>
    </row>
    <row r="74603" spans="21:21" x14ac:dyDescent="0.3">
      <c r="U74603" s="25"/>
    </row>
    <row r="74625" spans="21:21" x14ac:dyDescent="0.3">
      <c r="U74625" s="25"/>
    </row>
    <row r="74647" spans="21:21" x14ac:dyDescent="0.3">
      <c r="U74647" s="25"/>
    </row>
    <row r="74669" spans="21:21" x14ac:dyDescent="0.3">
      <c r="U74669" s="25"/>
    </row>
    <row r="74691" spans="21:21" x14ac:dyDescent="0.3">
      <c r="U74691" s="25"/>
    </row>
    <row r="74713" spans="21:21" x14ac:dyDescent="0.3">
      <c r="U74713" s="25"/>
    </row>
    <row r="74735" spans="21:21" x14ac:dyDescent="0.3">
      <c r="U74735" s="25"/>
    </row>
    <row r="74757" spans="21:21" x14ac:dyDescent="0.3">
      <c r="U74757" s="25"/>
    </row>
    <row r="74779" spans="21:21" x14ac:dyDescent="0.3">
      <c r="U74779" s="25"/>
    </row>
    <row r="74801" spans="21:21" x14ac:dyDescent="0.3">
      <c r="U74801" s="25"/>
    </row>
    <row r="74823" spans="21:21" x14ac:dyDescent="0.3">
      <c r="U74823" s="25"/>
    </row>
    <row r="74845" spans="21:21" x14ac:dyDescent="0.3">
      <c r="U74845" s="25"/>
    </row>
    <row r="74867" spans="21:21" x14ac:dyDescent="0.3">
      <c r="U74867" s="25"/>
    </row>
    <row r="74889" spans="21:21" x14ac:dyDescent="0.3">
      <c r="U74889" s="25"/>
    </row>
    <row r="74911" spans="21:21" x14ac:dyDescent="0.3">
      <c r="U74911" s="25"/>
    </row>
    <row r="74933" spans="21:21" x14ac:dyDescent="0.3">
      <c r="U74933" s="25"/>
    </row>
    <row r="74955" spans="21:21" x14ac:dyDescent="0.3">
      <c r="U74955" s="25"/>
    </row>
    <row r="74977" spans="21:21" x14ac:dyDescent="0.3">
      <c r="U74977" s="25"/>
    </row>
    <row r="74999" spans="21:21" x14ac:dyDescent="0.3">
      <c r="U74999" s="25"/>
    </row>
    <row r="75021" spans="21:21" x14ac:dyDescent="0.3">
      <c r="U75021" s="25"/>
    </row>
    <row r="75043" spans="21:21" x14ac:dyDescent="0.3">
      <c r="U75043" s="25"/>
    </row>
    <row r="75065" spans="21:21" x14ac:dyDescent="0.3">
      <c r="U75065" s="25"/>
    </row>
    <row r="75087" spans="21:21" x14ac:dyDescent="0.3">
      <c r="U75087" s="25"/>
    </row>
    <row r="75109" spans="21:21" x14ac:dyDescent="0.3">
      <c r="U75109" s="25"/>
    </row>
    <row r="75131" spans="21:21" x14ac:dyDescent="0.3">
      <c r="U75131" s="25"/>
    </row>
    <row r="75153" spans="21:21" x14ac:dyDescent="0.3">
      <c r="U75153" s="25"/>
    </row>
    <row r="75175" spans="21:21" x14ac:dyDescent="0.3">
      <c r="U75175" s="25"/>
    </row>
    <row r="75197" spans="21:21" x14ac:dyDescent="0.3">
      <c r="U75197" s="25"/>
    </row>
    <row r="75219" spans="21:21" x14ac:dyDescent="0.3">
      <c r="U75219" s="25"/>
    </row>
    <row r="75241" spans="21:21" x14ac:dyDescent="0.3">
      <c r="U75241" s="25"/>
    </row>
    <row r="75263" spans="21:21" x14ac:dyDescent="0.3">
      <c r="U75263" s="25"/>
    </row>
    <row r="75285" spans="21:21" x14ac:dyDescent="0.3">
      <c r="U75285" s="25"/>
    </row>
    <row r="75307" spans="21:21" x14ac:dyDescent="0.3">
      <c r="U75307" s="25"/>
    </row>
    <row r="75329" spans="21:21" x14ac:dyDescent="0.3">
      <c r="U75329" s="25"/>
    </row>
    <row r="75351" spans="21:21" x14ac:dyDescent="0.3">
      <c r="U75351" s="25"/>
    </row>
    <row r="75373" spans="21:21" x14ac:dyDescent="0.3">
      <c r="U75373" s="25"/>
    </row>
    <row r="75395" spans="21:21" x14ac:dyDescent="0.3">
      <c r="U75395" s="25"/>
    </row>
    <row r="75417" spans="21:21" x14ac:dyDescent="0.3">
      <c r="U75417" s="25"/>
    </row>
    <row r="75439" spans="21:21" x14ac:dyDescent="0.3">
      <c r="U75439" s="25"/>
    </row>
    <row r="75461" spans="21:21" x14ac:dyDescent="0.3">
      <c r="U75461" s="25"/>
    </row>
    <row r="75483" spans="21:21" x14ac:dyDescent="0.3">
      <c r="U75483" s="25"/>
    </row>
    <row r="75505" spans="21:21" x14ac:dyDescent="0.3">
      <c r="U75505" s="25"/>
    </row>
    <row r="75527" spans="21:21" x14ac:dyDescent="0.3">
      <c r="U75527" s="25"/>
    </row>
    <row r="75549" spans="21:21" x14ac:dyDescent="0.3">
      <c r="U75549" s="25"/>
    </row>
    <row r="75571" spans="21:21" x14ac:dyDescent="0.3">
      <c r="U75571" s="25"/>
    </row>
    <row r="75593" spans="21:21" x14ac:dyDescent="0.3">
      <c r="U75593" s="25"/>
    </row>
    <row r="75615" spans="21:21" x14ac:dyDescent="0.3">
      <c r="U75615" s="25"/>
    </row>
    <row r="75637" spans="21:21" x14ac:dyDescent="0.3">
      <c r="U75637" s="25"/>
    </row>
    <row r="75659" spans="21:21" x14ac:dyDescent="0.3">
      <c r="U75659" s="25"/>
    </row>
    <row r="75681" spans="21:21" x14ac:dyDescent="0.3">
      <c r="U75681" s="25"/>
    </row>
    <row r="75703" spans="21:21" x14ac:dyDescent="0.3">
      <c r="U75703" s="25"/>
    </row>
    <row r="75725" spans="21:21" x14ac:dyDescent="0.3">
      <c r="U75725" s="25"/>
    </row>
    <row r="75747" spans="21:21" x14ac:dyDescent="0.3">
      <c r="U75747" s="25"/>
    </row>
    <row r="75769" spans="21:21" x14ac:dyDescent="0.3">
      <c r="U75769" s="25"/>
    </row>
    <row r="75791" spans="21:21" x14ac:dyDescent="0.3">
      <c r="U75791" s="25"/>
    </row>
    <row r="75813" spans="21:21" x14ac:dyDescent="0.3">
      <c r="U75813" s="25"/>
    </row>
    <row r="75835" spans="21:21" x14ac:dyDescent="0.3">
      <c r="U75835" s="25"/>
    </row>
    <row r="75857" spans="21:21" x14ac:dyDescent="0.3">
      <c r="U75857" s="25"/>
    </row>
    <row r="75879" spans="21:21" x14ac:dyDescent="0.3">
      <c r="U75879" s="25"/>
    </row>
    <row r="75901" spans="21:21" x14ac:dyDescent="0.3">
      <c r="U75901" s="25"/>
    </row>
    <row r="75923" spans="21:21" x14ac:dyDescent="0.3">
      <c r="U75923" s="25"/>
    </row>
    <row r="75945" spans="21:21" x14ac:dyDescent="0.3">
      <c r="U75945" s="25"/>
    </row>
    <row r="75967" spans="21:21" x14ac:dyDescent="0.3">
      <c r="U75967" s="25"/>
    </row>
    <row r="75989" spans="21:21" x14ac:dyDescent="0.3">
      <c r="U75989" s="25"/>
    </row>
    <row r="76011" spans="21:21" x14ac:dyDescent="0.3">
      <c r="U76011" s="25"/>
    </row>
    <row r="76033" spans="21:21" x14ac:dyDescent="0.3">
      <c r="U76033" s="25"/>
    </row>
    <row r="76055" spans="21:21" x14ac:dyDescent="0.3">
      <c r="U76055" s="25"/>
    </row>
    <row r="76077" spans="21:21" x14ac:dyDescent="0.3">
      <c r="U76077" s="25"/>
    </row>
    <row r="76099" spans="21:21" x14ac:dyDescent="0.3">
      <c r="U76099" s="25"/>
    </row>
    <row r="76121" spans="21:21" x14ac:dyDescent="0.3">
      <c r="U76121" s="25"/>
    </row>
    <row r="76143" spans="21:21" x14ac:dyDescent="0.3">
      <c r="U76143" s="25"/>
    </row>
    <row r="76165" spans="21:21" x14ac:dyDescent="0.3">
      <c r="U76165" s="25"/>
    </row>
    <row r="76187" spans="21:21" x14ac:dyDescent="0.3">
      <c r="U76187" s="25"/>
    </row>
    <row r="76209" spans="21:21" x14ac:dyDescent="0.3">
      <c r="U76209" s="25"/>
    </row>
    <row r="76231" spans="21:21" x14ac:dyDescent="0.3">
      <c r="U76231" s="25"/>
    </row>
    <row r="76253" spans="21:21" x14ac:dyDescent="0.3">
      <c r="U76253" s="25"/>
    </row>
    <row r="76275" spans="21:21" x14ac:dyDescent="0.3">
      <c r="U76275" s="25"/>
    </row>
    <row r="76297" spans="21:21" x14ac:dyDescent="0.3">
      <c r="U76297" s="25"/>
    </row>
    <row r="76319" spans="21:21" x14ac:dyDescent="0.3">
      <c r="U76319" s="25"/>
    </row>
    <row r="76341" spans="21:21" x14ac:dyDescent="0.3">
      <c r="U76341" s="25"/>
    </row>
    <row r="76363" spans="21:21" x14ac:dyDescent="0.3">
      <c r="U76363" s="25"/>
    </row>
    <row r="76385" spans="21:21" x14ac:dyDescent="0.3">
      <c r="U76385" s="25"/>
    </row>
    <row r="76407" spans="21:21" x14ac:dyDescent="0.3">
      <c r="U76407" s="25"/>
    </row>
    <row r="76429" spans="21:21" x14ac:dyDescent="0.3">
      <c r="U76429" s="25"/>
    </row>
    <row r="76451" spans="21:21" x14ac:dyDescent="0.3">
      <c r="U76451" s="25"/>
    </row>
    <row r="76473" spans="21:21" x14ac:dyDescent="0.3">
      <c r="U76473" s="25"/>
    </row>
    <row r="76495" spans="21:21" x14ac:dyDescent="0.3">
      <c r="U76495" s="25"/>
    </row>
    <row r="76517" spans="21:21" x14ac:dyDescent="0.3">
      <c r="U76517" s="25"/>
    </row>
    <row r="76539" spans="21:21" x14ac:dyDescent="0.3">
      <c r="U76539" s="25"/>
    </row>
    <row r="76561" spans="21:21" x14ac:dyDescent="0.3">
      <c r="U76561" s="25"/>
    </row>
    <row r="76583" spans="21:21" x14ac:dyDescent="0.3">
      <c r="U76583" s="25"/>
    </row>
    <row r="76605" spans="21:21" x14ac:dyDescent="0.3">
      <c r="U76605" s="25"/>
    </row>
    <row r="76627" spans="21:21" x14ac:dyDescent="0.3">
      <c r="U76627" s="25"/>
    </row>
    <row r="76649" spans="21:21" x14ac:dyDescent="0.3">
      <c r="U76649" s="25"/>
    </row>
    <row r="76671" spans="21:21" x14ac:dyDescent="0.3">
      <c r="U76671" s="25"/>
    </row>
    <row r="76693" spans="21:21" x14ac:dyDescent="0.3">
      <c r="U76693" s="25"/>
    </row>
    <row r="76715" spans="21:21" x14ac:dyDescent="0.3">
      <c r="U76715" s="25"/>
    </row>
    <row r="76737" spans="21:21" x14ac:dyDescent="0.3">
      <c r="U76737" s="25"/>
    </row>
    <row r="76759" spans="21:21" x14ac:dyDescent="0.3">
      <c r="U76759" s="25"/>
    </row>
    <row r="76781" spans="21:21" x14ac:dyDescent="0.3">
      <c r="U76781" s="25"/>
    </row>
    <row r="76803" spans="21:21" x14ac:dyDescent="0.3">
      <c r="U76803" s="25"/>
    </row>
    <row r="76825" spans="21:21" x14ac:dyDescent="0.3">
      <c r="U76825" s="25"/>
    </row>
    <row r="76847" spans="21:21" x14ac:dyDescent="0.3">
      <c r="U76847" s="25"/>
    </row>
    <row r="76869" spans="21:21" x14ac:dyDescent="0.3">
      <c r="U76869" s="25"/>
    </row>
    <row r="76891" spans="21:21" x14ac:dyDescent="0.3">
      <c r="U76891" s="25"/>
    </row>
    <row r="76913" spans="21:21" x14ac:dyDescent="0.3">
      <c r="U76913" s="25"/>
    </row>
    <row r="76935" spans="21:21" x14ac:dyDescent="0.3">
      <c r="U76935" s="25"/>
    </row>
    <row r="76957" spans="21:21" x14ac:dyDescent="0.3">
      <c r="U76957" s="25"/>
    </row>
    <row r="76979" spans="21:21" x14ac:dyDescent="0.3">
      <c r="U76979" s="25"/>
    </row>
    <row r="77001" spans="21:21" x14ac:dyDescent="0.3">
      <c r="U77001" s="25"/>
    </row>
    <row r="77023" spans="21:21" x14ac:dyDescent="0.3">
      <c r="U77023" s="25"/>
    </row>
    <row r="77045" spans="21:21" x14ac:dyDescent="0.3">
      <c r="U77045" s="25"/>
    </row>
    <row r="77067" spans="21:21" x14ac:dyDescent="0.3">
      <c r="U77067" s="25"/>
    </row>
    <row r="77089" spans="21:21" x14ac:dyDescent="0.3">
      <c r="U77089" s="25"/>
    </row>
    <row r="77111" spans="21:21" x14ac:dyDescent="0.3">
      <c r="U77111" s="25"/>
    </row>
    <row r="77133" spans="21:21" x14ac:dyDescent="0.3">
      <c r="U77133" s="25"/>
    </row>
    <row r="77155" spans="21:21" x14ac:dyDescent="0.3">
      <c r="U77155" s="25"/>
    </row>
    <row r="77177" spans="21:21" x14ac:dyDescent="0.3">
      <c r="U77177" s="25"/>
    </row>
    <row r="77199" spans="21:21" x14ac:dyDescent="0.3">
      <c r="U77199" s="25"/>
    </row>
    <row r="77221" spans="21:21" x14ac:dyDescent="0.3">
      <c r="U77221" s="25"/>
    </row>
    <row r="77243" spans="21:21" x14ac:dyDescent="0.3">
      <c r="U77243" s="25"/>
    </row>
    <row r="77265" spans="21:21" x14ac:dyDescent="0.3">
      <c r="U77265" s="25"/>
    </row>
    <row r="77287" spans="21:21" x14ac:dyDescent="0.3">
      <c r="U77287" s="25"/>
    </row>
    <row r="77309" spans="21:21" x14ac:dyDescent="0.3">
      <c r="U77309" s="25"/>
    </row>
    <row r="77331" spans="21:21" x14ac:dyDescent="0.3">
      <c r="U77331" s="25"/>
    </row>
    <row r="77353" spans="21:21" x14ac:dyDescent="0.3">
      <c r="U77353" s="25"/>
    </row>
    <row r="77375" spans="21:21" x14ac:dyDescent="0.3">
      <c r="U77375" s="25"/>
    </row>
    <row r="77397" spans="21:21" x14ac:dyDescent="0.3">
      <c r="U77397" s="25"/>
    </row>
    <row r="77419" spans="21:21" x14ac:dyDescent="0.3">
      <c r="U77419" s="25"/>
    </row>
    <row r="77441" spans="21:21" x14ac:dyDescent="0.3">
      <c r="U77441" s="25"/>
    </row>
    <row r="77463" spans="21:21" x14ac:dyDescent="0.3">
      <c r="U77463" s="25"/>
    </row>
    <row r="77485" spans="21:21" x14ac:dyDescent="0.3">
      <c r="U77485" s="25"/>
    </row>
    <row r="77507" spans="21:21" x14ac:dyDescent="0.3">
      <c r="U77507" s="25"/>
    </row>
    <row r="77529" spans="21:21" x14ac:dyDescent="0.3">
      <c r="U77529" s="25"/>
    </row>
    <row r="77551" spans="21:21" x14ac:dyDescent="0.3">
      <c r="U77551" s="25"/>
    </row>
    <row r="77573" spans="21:21" x14ac:dyDescent="0.3">
      <c r="U77573" s="25"/>
    </row>
    <row r="77595" spans="21:21" x14ac:dyDescent="0.3">
      <c r="U77595" s="25"/>
    </row>
    <row r="77617" spans="21:21" x14ac:dyDescent="0.3">
      <c r="U77617" s="25"/>
    </row>
    <row r="77639" spans="21:21" x14ac:dyDescent="0.3">
      <c r="U77639" s="25"/>
    </row>
    <row r="77661" spans="21:21" x14ac:dyDescent="0.3">
      <c r="U77661" s="25"/>
    </row>
    <row r="77683" spans="21:21" x14ac:dyDescent="0.3">
      <c r="U77683" s="25"/>
    </row>
    <row r="77705" spans="21:21" x14ac:dyDescent="0.3">
      <c r="U77705" s="25"/>
    </row>
    <row r="77727" spans="21:21" x14ac:dyDescent="0.3">
      <c r="U77727" s="25"/>
    </row>
    <row r="77749" spans="21:21" x14ac:dyDescent="0.3">
      <c r="U77749" s="25"/>
    </row>
    <row r="77771" spans="21:21" x14ac:dyDescent="0.3">
      <c r="U77771" s="25"/>
    </row>
    <row r="77793" spans="21:21" x14ac:dyDescent="0.3">
      <c r="U77793" s="25"/>
    </row>
    <row r="77815" spans="21:21" x14ac:dyDescent="0.3">
      <c r="U77815" s="25"/>
    </row>
    <row r="77837" spans="21:21" x14ac:dyDescent="0.3">
      <c r="U77837" s="25"/>
    </row>
    <row r="77859" spans="21:21" x14ac:dyDescent="0.3">
      <c r="U77859" s="25"/>
    </row>
    <row r="77881" spans="21:21" x14ac:dyDescent="0.3">
      <c r="U77881" s="25"/>
    </row>
    <row r="77903" spans="21:21" x14ac:dyDescent="0.3">
      <c r="U77903" s="25"/>
    </row>
    <row r="77925" spans="21:21" x14ac:dyDescent="0.3">
      <c r="U77925" s="25"/>
    </row>
    <row r="77947" spans="21:21" x14ac:dyDescent="0.3">
      <c r="U77947" s="25"/>
    </row>
    <row r="77969" spans="21:21" x14ac:dyDescent="0.3">
      <c r="U77969" s="25"/>
    </row>
    <row r="77991" spans="21:21" x14ac:dyDescent="0.3">
      <c r="U77991" s="25"/>
    </row>
    <row r="78013" spans="21:21" x14ac:dyDescent="0.3">
      <c r="U78013" s="25"/>
    </row>
    <row r="78035" spans="21:21" x14ac:dyDescent="0.3">
      <c r="U78035" s="25"/>
    </row>
    <row r="78057" spans="21:21" x14ac:dyDescent="0.3">
      <c r="U78057" s="25"/>
    </row>
    <row r="78079" spans="21:21" x14ac:dyDescent="0.3">
      <c r="U78079" s="25"/>
    </row>
    <row r="78101" spans="21:21" x14ac:dyDescent="0.3">
      <c r="U78101" s="25"/>
    </row>
    <row r="78123" spans="21:21" x14ac:dyDescent="0.3">
      <c r="U78123" s="25"/>
    </row>
    <row r="78145" spans="21:21" x14ac:dyDescent="0.3">
      <c r="U78145" s="25"/>
    </row>
    <row r="78167" spans="21:21" x14ac:dyDescent="0.3">
      <c r="U78167" s="25"/>
    </row>
    <row r="78189" spans="21:21" x14ac:dyDescent="0.3">
      <c r="U78189" s="25"/>
    </row>
    <row r="78211" spans="21:21" x14ac:dyDescent="0.3">
      <c r="U78211" s="25"/>
    </row>
    <row r="78233" spans="21:21" x14ac:dyDescent="0.3">
      <c r="U78233" s="25"/>
    </row>
    <row r="78255" spans="21:21" x14ac:dyDescent="0.3">
      <c r="U78255" s="25"/>
    </row>
    <row r="78277" spans="21:21" x14ac:dyDescent="0.3">
      <c r="U78277" s="25"/>
    </row>
    <row r="78299" spans="21:21" x14ac:dyDescent="0.3">
      <c r="U78299" s="25"/>
    </row>
    <row r="78321" spans="21:21" x14ac:dyDescent="0.3">
      <c r="U78321" s="25"/>
    </row>
    <row r="78343" spans="21:21" x14ac:dyDescent="0.3">
      <c r="U78343" s="25"/>
    </row>
    <row r="78365" spans="21:21" x14ac:dyDescent="0.3">
      <c r="U78365" s="25"/>
    </row>
    <row r="78387" spans="21:21" x14ac:dyDescent="0.3">
      <c r="U78387" s="25"/>
    </row>
    <row r="78409" spans="21:21" x14ac:dyDescent="0.3">
      <c r="U78409" s="25"/>
    </row>
    <row r="78431" spans="21:21" x14ac:dyDescent="0.3">
      <c r="U78431" s="25"/>
    </row>
    <row r="78453" spans="21:21" x14ac:dyDescent="0.3">
      <c r="U78453" s="25"/>
    </row>
    <row r="78475" spans="21:21" x14ac:dyDescent="0.3">
      <c r="U78475" s="25"/>
    </row>
    <row r="78497" spans="21:21" x14ac:dyDescent="0.3">
      <c r="U78497" s="25"/>
    </row>
    <row r="78519" spans="21:21" x14ac:dyDescent="0.3">
      <c r="U78519" s="25"/>
    </row>
    <row r="78541" spans="21:21" x14ac:dyDescent="0.3">
      <c r="U78541" s="25"/>
    </row>
    <row r="78563" spans="21:21" x14ac:dyDescent="0.3">
      <c r="U78563" s="25"/>
    </row>
    <row r="78585" spans="21:21" x14ac:dyDescent="0.3">
      <c r="U78585" s="25"/>
    </row>
    <row r="78607" spans="21:21" x14ac:dyDescent="0.3">
      <c r="U78607" s="25"/>
    </row>
    <row r="78629" spans="21:21" x14ac:dyDescent="0.3">
      <c r="U78629" s="25"/>
    </row>
    <row r="78651" spans="21:21" x14ac:dyDescent="0.3">
      <c r="U78651" s="25"/>
    </row>
    <row r="78673" spans="21:21" x14ac:dyDescent="0.3">
      <c r="U78673" s="25"/>
    </row>
    <row r="78695" spans="21:21" x14ac:dyDescent="0.3">
      <c r="U78695" s="25"/>
    </row>
    <row r="78717" spans="21:21" x14ac:dyDescent="0.3">
      <c r="U78717" s="25"/>
    </row>
    <row r="78739" spans="21:21" x14ac:dyDescent="0.3">
      <c r="U78739" s="25"/>
    </row>
    <row r="78761" spans="21:21" x14ac:dyDescent="0.3">
      <c r="U78761" s="25"/>
    </row>
    <row r="78783" spans="21:21" x14ac:dyDescent="0.3">
      <c r="U78783" s="25"/>
    </row>
    <row r="78805" spans="21:21" x14ac:dyDescent="0.3">
      <c r="U78805" s="25"/>
    </row>
    <row r="78827" spans="21:21" x14ac:dyDescent="0.3">
      <c r="U78827" s="25"/>
    </row>
    <row r="78849" spans="21:21" x14ac:dyDescent="0.3">
      <c r="U78849" s="25"/>
    </row>
    <row r="78871" spans="21:21" x14ac:dyDescent="0.3">
      <c r="U78871" s="25"/>
    </row>
    <row r="78893" spans="21:21" x14ac:dyDescent="0.3">
      <c r="U78893" s="25"/>
    </row>
    <row r="78915" spans="21:21" x14ac:dyDescent="0.3">
      <c r="U78915" s="25"/>
    </row>
    <row r="78937" spans="21:21" x14ac:dyDescent="0.3">
      <c r="U78937" s="25"/>
    </row>
    <row r="78959" spans="21:21" x14ac:dyDescent="0.3">
      <c r="U78959" s="25"/>
    </row>
    <row r="78981" spans="21:21" x14ac:dyDescent="0.3">
      <c r="U78981" s="25"/>
    </row>
    <row r="79003" spans="21:21" x14ac:dyDescent="0.3">
      <c r="U79003" s="25"/>
    </row>
    <row r="79025" spans="21:21" x14ac:dyDescent="0.3">
      <c r="U79025" s="25"/>
    </row>
    <row r="79047" spans="21:21" x14ac:dyDescent="0.3">
      <c r="U79047" s="25"/>
    </row>
    <row r="79069" spans="21:21" x14ac:dyDescent="0.3">
      <c r="U79069" s="25"/>
    </row>
    <row r="79091" spans="21:21" x14ac:dyDescent="0.3">
      <c r="U79091" s="25"/>
    </row>
    <row r="79113" spans="21:21" x14ac:dyDescent="0.3">
      <c r="U79113" s="25"/>
    </row>
    <row r="79135" spans="21:21" x14ac:dyDescent="0.3">
      <c r="U79135" s="25"/>
    </row>
    <row r="79157" spans="21:21" x14ac:dyDescent="0.3">
      <c r="U79157" s="25"/>
    </row>
    <row r="79179" spans="21:21" x14ac:dyDescent="0.3">
      <c r="U79179" s="25"/>
    </row>
    <row r="79201" spans="21:21" x14ac:dyDescent="0.3">
      <c r="U79201" s="25"/>
    </row>
    <row r="79223" spans="21:21" x14ac:dyDescent="0.3">
      <c r="U79223" s="25"/>
    </row>
    <row r="79245" spans="21:21" x14ac:dyDescent="0.3">
      <c r="U79245" s="25"/>
    </row>
    <row r="79267" spans="21:21" x14ac:dyDescent="0.3">
      <c r="U79267" s="25"/>
    </row>
    <row r="79289" spans="21:21" x14ac:dyDescent="0.3">
      <c r="U79289" s="25"/>
    </row>
    <row r="79311" spans="21:21" x14ac:dyDescent="0.3">
      <c r="U79311" s="25"/>
    </row>
    <row r="79333" spans="21:21" x14ac:dyDescent="0.3">
      <c r="U79333" s="25"/>
    </row>
    <row r="79355" spans="21:21" x14ac:dyDescent="0.3">
      <c r="U79355" s="25"/>
    </row>
    <row r="79377" spans="21:21" x14ac:dyDescent="0.3">
      <c r="U79377" s="25"/>
    </row>
    <row r="79399" spans="21:21" x14ac:dyDescent="0.3">
      <c r="U79399" s="25"/>
    </row>
    <row r="79421" spans="21:21" x14ac:dyDescent="0.3">
      <c r="U79421" s="25"/>
    </row>
    <row r="79443" spans="21:21" x14ac:dyDescent="0.3">
      <c r="U79443" s="25"/>
    </row>
    <row r="79465" spans="21:21" x14ac:dyDescent="0.3">
      <c r="U79465" s="25"/>
    </row>
    <row r="79487" spans="21:21" x14ac:dyDescent="0.3">
      <c r="U79487" s="25"/>
    </row>
    <row r="79509" spans="21:21" x14ac:dyDescent="0.3">
      <c r="U79509" s="25"/>
    </row>
    <row r="79531" spans="21:21" x14ac:dyDescent="0.3">
      <c r="U79531" s="25"/>
    </row>
    <row r="79553" spans="21:21" x14ac:dyDescent="0.3">
      <c r="U79553" s="25"/>
    </row>
    <row r="79575" spans="21:21" x14ac:dyDescent="0.3">
      <c r="U79575" s="25"/>
    </row>
    <row r="79597" spans="21:21" x14ac:dyDescent="0.3">
      <c r="U79597" s="25"/>
    </row>
    <row r="79619" spans="21:21" x14ac:dyDescent="0.3">
      <c r="U79619" s="25"/>
    </row>
    <row r="79641" spans="21:21" x14ac:dyDescent="0.3">
      <c r="U79641" s="25"/>
    </row>
    <row r="79663" spans="21:21" x14ac:dyDescent="0.3">
      <c r="U79663" s="25"/>
    </row>
    <row r="79685" spans="21:21" x14ac:dyDescent="0.3">
      <c r="U79685" s="25"/>
    </row>
    <row r="79707" spans="21:21" x14ac:dyDescent="0.3">
      <c r="U79707" s="25"/>
    </row>
    <row r="79729" spans="21:21" x14ac:dyDescent="0.3">
      <c r="U79729" s="25"/>
    </row>
    <row r="79751" spans="21:21" x14ac:dyDescent="0.3">
      <c r="U79751" s="25"/>
    </row>
    <row r="79773" spans="21:21" x14ac:dyDescent="0.3">
      <c r="U79773" s="25"/>
    </row>
    <row r="79795" spans="21:21" x14ac:dyDescent="0.3">
      <c r="U79795" s="25"/>
    </row>
    <row r="79817" spans="21:21" x14ac:dyDescent="0.3">
      <c r="U79817" s="25"/>
    </row>
    <row r="79839" spans="21:21" x14ac:dyDescent="0.3">
      <c r="U79839" s="25"/>
    </row>
    <row r="79861" spans="21:21" x14ac:dyDescent="0.3">
      <c r="U79861" s="25"/>
    </row>
    <row r="79883" spans="21:21" x14ac:dyDescent="0.3">
      <c r="U79883" s="25"/>
    </row>
    <row r="79905" spans="21:21" x14ac:dyDescent="0.3">
      <c r="U79905" s="25"/>
    </row>
    <row r="79927" spans="21:21" x14ac:dyDescent="0.3">
      <c r="U79927" s="25"/>
    </row>
    <row r="79949" spans="21:21" x14ac:dyDescent="0.3">
      <c r="U79949" s="25"/>
    </row>
    <row r="79971" spans="21:21" x14ac:dyDescent="0.3">
      <c r="U79971" s="25"/>
    </row>
    <row r="79993" spans="21:21" x14ac:dyDescent="0.3">
      <c r="U79993" s="25"/>
    </row>
    <row r="80015" spans="21:21" x14ac:dyDescent="0.3">
      <c r="U80015" s="25"/>
    </row>
    <row r="80037" spans="21:21" x14ac:dyDescent="0.3">
      <c r="U80037" s="25"/>
    </row>
    <row r="80059" spans="21:21" x14ac:dyDescent="0.3">
      <c r="U80059" s="25"/>
    </row>
    <row r="80081" spans="21:21" x14ac:dyDescent="0.3">
      <c r="U80081" s="25"/>
    </row>
    <row r="80103" spans="21:21" x14ac:dyDescent="0.3">
      <c r="U80103" s="25"/>
    </row>
    <row r="80125" spans="21:21" x14ac:dyDescent="0.3">
      <c r="U80125" s="25"/>
    </row>
    <row r="80147" spans="21:21" x14ac:dyDescent="0.3">
      <c r="U80147" s="25"/>
    </row>
    <row r="80169" spans="21:21" x14ac:dyDescent="0.3">
      <c r="U80169" s="25"/>
    </row>
    <row r="80191" spans="21:21" x14ac:dyDescent="0.3">
      <c r="U80191" s="25"/>
    </row>
    <row r="80213" spans="21:21" x14ac:dyDescent="0.3">
      <c r="U80213" s="25"/>
    </row>
    <row r="80235" spans="21:21" x14ac:dyDescent="0.3">
      <c r="U80235" s="25"/>
    </row>
    <row r="80257" spans="21:21" x14ac:dyDescent="0.3">
      <c r="U80257" s="25"/>
    </row>
    <row r="80279" spans="21:21" x14ac:dyDescent="0.3">
      <c r="U80279" s="25"/>
    </row>
    <row r="80301" spans="21:21" x14ac:dyDescent="0.3">
      <c r="U80301" s="25"/>
    </row>
    <row r="80323" spans="21:21" x14ac:dyDescent="0.3">
      <c r="U80323" s="25"/>
    </row>
    <row r="80345" spans="21:21" x14ac:dyDescent="0.3">
      <c r="U80345" s="25"/>
    </row>
    <row r="80367" spans="21:21" x14ac:dyDescent="0.3">
      <c r="U80367" s="25"/>
    </row>
    <row r="80389" spans="21:21" x14ac:dyDescent="0.3">
      <c r="U80389" s="25"/>
    </row>
    <row r="80411" spans="21:21" x14ac:dyDescent="0.3">
      <c r="U80411" s="25"/>
    </row>
    <row r="80433" spans="21:21" x14ac:dyDescent="0.3">
      <c r="U80433" s="25"/>
    </row>
    <row r="80455" spans="21:21" x14ac:dyDescent="0.3">
      <c r="U80455" s="25"/>
    </row>
    <row r="80477" spans="21:21" x14ac:dyDescent="0.3">
      <c r="U80477" s="25"/>
    </row>
    <row r="80499" spans="21:21" x14ac:dyDescent="0.3">
      <c r="U80499" s="25"/>
    </row>
    <row r="80521" spans="21:21" x14ac:dyDescent="0.3">
      <c r="U80521" s="25"/>
    </row>
    <row r="80543" spans="21:21" x14ac:dyDescent="0.3">
      <c r="U80543" s="25"/>
    </row>
    <row r="80565" spans="21:21" x14ac:dyDescent="0.3">
      <c r="U80565" s="25"/>
    </row>
    <row r="80587" spans="21:21" x14ac:dyDescent="0.3">
      <c r="U80587" s="25"/>
    </row>
    <row r="80609" spans="21:21" x14ac:dyDescent="0.3">
      <c r="U80609" s="25"/>
    </row>
    <row r="80631" spans="21:21" x14ac:dyDescent="0.3">
      <c r="U80631" s="25"/>
    </row>
    <row r="80653" spans="21:21" x14ac:dyDescent="0.3">
      <c r="U80653" s="25"/>
    </row>
    <row r="80675" spans="21:21" x14ac:dyDescent="0.3">
      <c r="U80675" s="25"/>
    </row>
    <row r="80697" spans="21:21" x14ac:dyDescent="0.3">
      <c r="U80697" s="25"/>
    </row>
    <row r="80719" spans="21:21" x14ac:dyDescent="0.3">
      <c r="U80719" s="25"/>
    </row>
    <row r="80741" spans="21:21" x14ac:dyDescent="0.3">
      <c r="U80741" s="25"/>
    </row>
    <row r="80763" spans="21:21" x14ac:dyDescent="0.3">
      <c r="U80763" s="25"/>
    </row>
    <row r="80785" spans="21:21" x14ac:dyDescent="0.3">
      <c r="U80785" s="25"/>
    </row>
    <row r="80807" spans="21:21" x14ac:dyDescent="0.3">
      <c r="U80807" s="25"/>
    </row>
    <row r="80829" spans="21:21" x14ac:dyDescent="0.3">
      <c r="U80829" s="25"/>
    </row>
    <row r="80851" spans="21:21" x14ac:dyDescent="0.3">
      <c r="U80851" s="25"/>
    </row>
    <row r="80873" spans="21:21" x14ac:dyDescent="0.3">
      <c r="U80873" s="25"/>
    </row>
    <row r="80895" spans="21:21" x14ac:dyDescent="0.3">
      <c r="U80895" s="25"/>
    </row>
    <row r="80917" spans="21:21" x14ac:dyDescent="0.3">
      <c r="U80917" s="25"/>
    </row>
    <row r="80939" spans="21:21" x14ac:dyDescent="0.3">
      <c r="U80939" s="25"/>
    </row>
    <row r="80961" spans="21:21" x14ac:dyDescent="0.3">
      <c r="U80961" s="25"/>
    </row>
    <row r="80983" spans="21:21" x14ac:dyDescent="0.3">
      <c r="U80983" s="25"/>
    </row>
    <row r="81005" spans="21:21" x14ac:dyDescent="0.3">
      <c r="U81005" s="25"/>
    </row>
    <row r="81027" spans="21:21" x14ac:dyDescent="0.3">
      <c r="U81027" s="25"/>
    </row>
    <row r="81049" spans="21:21" x14ac:dyDescent="0.3">
      <c r="U81049" s="25"/>
    </row>
    <row r="81071" spans="21:21" x14ac:dyDescent="0.3">
      <c r="U81071" s="25"/>
    </row>
    <row r="81093" spans="21:21" x14ac:dyDescent="0.3">
      <c r="U81093" s="25"/>
    </row>
    <row r="81115" spans="21:21" x14ac:dyDescent="0.3">
      <c r="U81115" s="25"/>
    </row>
    <row r="81137" spans="21:21" x14ac:dyDescent="0.3">
      <c r="U81137" s="25"/>
    </row>
    <row r="81159" spans="21:21" x14ac:dyDescent="0.3">
      <c r="U81159" s="25"/>
    </row>
    <row r="81181" spans="21:21" x14ac:dyDescent="0.3">
      <c r="U81181" s="25"/>
    </row>
    <row r="81203" spans="21:21" x14ac:dyDescent="0.3">
      <c r="U81203" s="25"/>
    </row>
    <row r="81225" spans="21:21" x14ac:dyDescent="0.3">
      <c r="U81225" s="25"/>
    </row>
    <row r="81247" spans="21:21" x14ac:dyDescent="0.3">
      <c r="U81247" s="25"/>
    </row>
    <row r="81269" spans="21:21" x14ac:dyDescent="0.3">
      <c r="U81269" s="25"/>
    </row>
    <row r="81291" spans="21:21" x14ac:dyDescent="0.3">
      <c r="U81291" s="25"/>
    </row>
    <row r="81313" spans="21:21" x14ac:dyDescent="0.3">
      <c r="U81313" s="25"/>
    </row>
    <row r="81335" spans="21:21" x14ac:dyDescent="0.3">
      <c r="U81335" s="25"/>
    </row>
    <row r="81357" spans="21:21" x14ac:dyDescent="0.3">
      <c r="U81357" s="25"/>
    </row>
    <row r="81379" spans="21:21" x14ac:dyDescent="0.3">
      <c r="U81379" s="25"/>
    </row>
    <row r="81401" spans="21:21" x14ac:dyDescent="0.3">
      <c r="U81401" s="25"/>
    </row>
    <row r="81423" spans="21:21" x14ac:dyDescent="0.3">
      <c r="U81423" s="25"/>
    </row>
    <row r="81445" spans="21:21" x14ac:dyDescent="0.3">
      <c r="U81445" s="25"/>
    </row>
    <row r="81467" spans="21:21" x14ac:dyDescent="0.3">
      <c r="U81467" s="25"/>
    </row>
    <row r="81489" spans="21:21" x14ac:dyDescent="0.3">
      <c r="U81489" s="25"/>
    </row>
    <row r="81511" spans="21:21" x14ac:dyDescent="0.3">
      <c r="U81511" s="25"/>
    </row>
    <row r="81533" spans="21:21" x14ac:dyDescent="0.3">
      <c r="U81533" s="25"/>
    </row>
    <row r="81555" spans="21:21" x14ac:dyDescent="0.3">
      <c r="U81555" s="25"/>
    </row>
    <row r="81577" spans="21:21" x14ac:dyDescent="0.3">
      <c r="U81577" s="25"/>
    </row>
    <row r="81599" spans="21:21" x14ac:dyDescent="0.3">
      <c r="U81599" s="25"/>
    </row>
    <row r="81621" spans="21:21" x14ac:dyDescent="0.3">
      <c r="U81621" s="25"/>
    </row>
    <row r="81643" spans="21:21" x14ac:dyDescent="0.3">
      <c r="U81643" s="25"/>
    </row>
    <row r="81665" spans="21:21" x14ac:dyDescent="0.3">
      <c r="U81665" s="25"/>
    </row>
    <row r="81687" spans="21:21" x14ac:dyDescent="0.3">
      <c r="U81687" s="25"/>
    </row>
    <row r="81709" spans="21:21" x14ac:dyDescent="0.3">
      <c r="U81709" s="25"/>
    </row>
    <row r="81731" spans="21:21" x14ac:dyDescent="0.3">
      <c r="U81731" s="25"/>
    </row>
    <row r="81753" spans="21:21" x14ac:dyDescent="0.3">
      <c r="U81753" s="25"/>
    </row>
    <row r="81775" spans="21:21" x14ac:dyDescent="0.3">
      <c r="U81775" s="25"/>
    </row>
    <row r="81797" spans="21:21" x14ac:dyDescent="0.3">
      <c r="U81797" s="25"/>
    </row>
    <row r="81819" spans="21:21" x14ac:dyDescent="0.3">
      <c r="U81819" s="25"/>
    </row>
    <row r="81841" spans="21:21" x14ac:dyDescent="0.3">
      <c r="U81841" s="25"/>
    </row>
    <row r="81863" spans="21:21" x14ac:dyDescent="0.3">
      <c r="U81863" s="25"/>
    </row>
    <row r="81885" spans="21:21" x14ac:dyDescent="0.3">
      <c r="U81885" s="25"/>
    </row>
    <row r="81907" spans="21:21" x14ac:dyDescent="0.3">
      <c r="U81907" s="25"/>
    </row>
    <row r="81929" spans="21:21" x14ac:dyDescent="0.3">
      <c r="U81929" s="25"/>
    </row>
    <row r="81951" spans="21:21" x14ac:dyDescent="0.3">
      <c r="U81951" s="25"/>
    </row>
    <row r="81973" spans="21:21" x14ac:dyDescent="0.3">
      <c r="U81973" s="25"/>
    </row>
    <row r="81995" spans="21:21" x14ac:dyDescent="0.3">
      <c r="U81995" s="25"/>
    </row>
    <row r="82017" spans="21:21" x14ac:dyDescent="0.3">
      <c r="U82017" s="25"/>
    </row>
    <row r="82039" spans="21:21" x14ac:dyDescent="0.3">
      <c r="U82039" s="25"/>
    </row>
    <row r="82061" spans="21:21" x14ac:dyDescent="0.3">
      <c r="U82061" s="25"/>
    </row>
    <row r="82083" spans="21:21" x14ac:dyDescent="0.3">
      <c r="U82083" s="25"/>
    </row>
    <row r="82105" spans="21:21" x14ac:dyDescent="0.3">
      <c r="U82105" s="25"/>
    </row>
    <row r="82127" spans="21:21" x14ac:dyDescent="0.3">
      <c r="U82127" s="25"/>
    </row>
    <row r="82149" spans="21:21" x14ac:dyDescent="0.3">
      <c r="U82149" s="25"/>
    </row>
    <row r="82171" spans="21:21" x14ac:dyDescent="0.3">
      <c r="U82171" s="25"/>
    </row>
    <row r="82193" spans="21:21" x14ac:dyDescent="0.3">
      <c r="U82193" s="25"/>
    </row>
    <row r="82215" spans="21:21" x14ac:dyDescent="0.3">
      <c r="U82215" s="25"/>
    </row>
    <row r="82237" spans="21:21" x14ac:dyDescent="0.3">
      <c r="U82237" s="25"/>
    </row>
    <row r="82259" spans="21:21" x14ac:dyDescent="0.3">
      <c r="U82259" s="25"/>
    </row>
    <row r="82281" spans="21:21" x14ac:dyDescent="0.3">
      <c r="U82281" s="25"/>
    </row>
    <row r="82303" spans="21:21" x14ac:dyDescent="0.3">
      <c r="U82303" s="25"/>
    </row>
    <row r="82325" spans="21:21" x14ac:dyDescent="0.3">
      <c r="U82325" s="25"/>
    </row>
    <row r="82347" spans="21:21" x14ac:dyDescent="0.3">
      <c r="U82347" s="25"/>
    </row>
    <row r="82369" spans="21:21" x14ac:dyDescent="0.3">
      <c r="U82369" s="25"/>
    </row>
    <row r="82391" spans="21:21" x14ac:dyDescent="0.3">
      <c r="U82391" s="25"/>
    </row>
    <row r="82413" spans="21:21" x14ac:dyDescent="0.3">
      <c r="U82413" s="25"/>
    </row>
    <row r="82435" spans="21:21" x14ac:dyDescent="0.3">
      <c r="U82435" s="25"/>
    </row>
    <row r="82457" spans="21:21" x14ac:dyDescent="0.3">
      <c r="U82457" s="25"/>
    </row>
    <row r="82479" spans="21:21" x14ac:dyDescent="0.3">
      <c r="U82479" s="25"/>
    </row>
    <row r="82501" spans="21:21" x14ac:dyDescent="0.3">
      <c r="U82501" s="25"/>
    </row>
    <row r="82523" spans="21:21" x14ac:dyDescent="0.3">
      <c r="U82523" s="25"/>
    </row>
    <row r="82545" spans="21:21" x14ac:dyDescent="0.3">
      <c r="U82545" s="25"/>
    </row>
    <row r="82567" spans="21:21" x14ac:dyDescent="0.3">
      <c r="U82567" s="25"/>
    </row>
    <row r="82589" spans="21:21" x14ac:dyDescent="0.3">
      <c r="U82589" s="25"/>
    </row>
    <row r="82611" spans="21:21" x14ac:dyDescent="0.3">
      <c r="U82611" s="25"/>
    </row>
    <row r="82633" spans="21:21" x14ac:dyDescent="0.3">
      <c r="U82633" s="25"/>
    </row>
    <row r="82655" spans="21:21" x14ac:dyDescent="0.3">
      <c r="U82655" s="25"/>
    </row>
    <row r="82677" spans="21:21" x14ac:dyDescent="0.3">
      <c r="U82677" s="25"/>
    </row>
    <row r="82699" spans="21:21" x14ac:dyDescent="0.3">
      <c r="U82699" s="25"/>
    </row>
    <row r="82721" spans="21:21" x14ac:dyDescent="0.3">
      <c r="U82721" s="25"/>
    </row>
    <row r="82743" spans="21:21" x14ac:dyDescent="0.3">
      <c r="U82743" s="25"/>
    </row>
    <row r="82765" spans="21:21" x14ac:dyDescent="0.3">
      <c r="U82765" s="25"/>
    </row>
    <row r="82787" spans="21:21" x14ac:dyDescent="0.3">
      <c r="U82787" s="25"/>
    </row>
    <row r="82809" spans="21:21" x14ac:dyDescent="0.3">
      <c r="U82809" s="25"/>
    </row>
    <row r="82831" spans="21:21" x14ac:dyDescent="0.3">
      <c r="U82831" s="25"/>
    </row>
    <row r="82853" spans="21:21" x14ac:dyDescent="0.3">
      <c r="U82853" s="25"/>
    </row>
    <row r="82875" spans="21:21" x14ac:dyDescent="0.3">
      <c r="U82875" s="25"/>
    </row>
    <row r="82897" spans="21:21" x14ac:dyDescent="0.3">
      <c r="U82897" s="25"/>
    </row>
    <row r="82919" spans="21:21" x14ac:dyDescent="0.3">
      <c r="U82919" s="25"/>
    </row>
    <row r="82941" spans="21:21" x14ac:dyDescent="0.3">
      <c r="U82941" s="25"/>
    </row>
    <row r="82963" spans="21:21" x14ac:dyDescent="0.3">
      <c r="U82963" s="25"/>
    </row>
    <row r="82985" spans="21:21" x14ac:dyDescent="0.3">
      <c r="U82985" s="25"/>
    </row>
    <row r="83007" spans="21:21" x14ac:dyDescent="0.3">
      <c r="U83007" s="25"/>
    </row>
    <row r="83029" spans="21:21" x14ac:dyDescent="0.3">
      <c r="U83029" s="25"/>
    </row>
    <row r="83051" spans="21:21" x14ac:dyDescent="0.3">
      <c r="U83051" s="25"/>
    </row>
    <row r="83073" spans="21:21" x14ac:dyDescent="0.3">
      <c r="U83073" s="25"/>
    </row>
    <row r="83095" spans="21:21" x14ac:dyDescent="0.3">
      <c r="U83095" s="25"/>
    </row>
    <row r="83117" spans="21:21" x14ac:dyDescent="0.3">
      <c r="U83117" s="25"/>
    </row>
    <row r="83139" spans="21:21" x14ac:dyDescent="0.3">
      <c r="U83139" s="25"/>
    </row>
    <row r="83161" spans="21:21" x14ac:dyDescent="0.3">
      <c r="U83161" s="25"/>
    </row>
    <row r="83183" spans="21:21" x14ac:dyDescent="0.3">
      <c r="U83183" s="25"/>
    </row>
    <row r="83205" spans="21:21" x14ac:dyDescent="0.3">
      <c r="U83205" s="25"/>
    </row>
    <row r="83227" spans="21:21" x14ac:dyDescent="0.3">
      <c r="U83227" s="25"/>
    </row>
    <row r="83249" spans="21:21" x14ac:dyDescent="0.3">
      <c r="U83249" s="25"/>
    </row>
    <row r="83271" spans="21:21" x14ac:dyDescent="0.3">
      <c r="U83271" s="25"/>
    </row>
    <row r="83293" spans="21:21" x14ac:dyDescent="0.3">
      <c r="U83293" s="25"/>
    </row>
    <row r="83315" spans="21:21" x14ac:dyDescent="0.3">
      <c r="U83315" s="25"/>
    </row>
    <row r="83337" spans="21:21" x14ac:dyDescent="0.3">
      <c r="U83337" s="25"/>
    </row>
    <row r="83359" spans="21:21" x14ac:dyDescent="0.3">
      <c r="U83359" s="25"/>
    </row>
    <row r="83381" spans="21:21" x14ac:dyDescent="0.3">
      <c r="U83381" s="25"/>
    </row>
    <row r="83403" spans="21:21" x14ac:dyDescent="0.3">
      <c r="U83403" s="25"/>
    </row>
    <row r="83425" spans="21:21" x14ac:dyDescent="0.3">
      <c r="U83425" s="25"/>
    </row>
    <row r="83447" spans="21:21" x14ac:dyDescent="0.3">
      <c r="U83447" s="25"/>
    </row>
    <row r="83469" spans="21:21" x14ac:dyDescent="0.3">
      <c r="U83469" s="25"/>
    </row>
    <row r="83491" spans="21:21" x14ac:dyDescent="0.3">
      <c r="U83491" s="25"/>
    </row>
    <row r="83513" spans="21:21" x14ac:dyDescent="0.3">
      <c r="U83513" s="25"/>
    </row>
    <row r="83535" spans="21:21" x14ac:dyDescent="0.3">
      <c r="U83535" s="25"/>
    </row>
    <row r="83557" spans="21:21" x14ac:dyDescent="0.3">
      <c r="U83557" s="25"/>
    </row>
    <row r="83579" spans="21:21" x14ac:dyDescent="0.3">
      <c r="U83579" s="25"/>
    </row>
    <row r="83601" spans="21:21" x14ac:dyDescent="0.3">
      <c r="U83601" s="25"/>
    </row>
    <row r="83623" spans="21:21" x14ac:dyDescent="0.3">
      <c r="U83623" s="25"/>
    </row>
    <row r="83645" spans="21:21" x14ac:dyDescent="0.3">
      <c r="U83645" s="25"/>
    </row>
    <row r="83667" spans="21:21" x14ac:dyDescent="0.3">
      <c r="U83667" s="25"/>
    </row>
    <row r="83689" spans="21:21" x14ac:dyDescent="0.3">
      <c r="U83689" s="25"/>
    </row>
    <row r="83711" spans="21:21" x14ac:dyDescent="0.3">
      <c r="U83711" s="25"/>
    </row>
    <row r="83733" spans="21:21" x14ac:dyDescent="0.3">
      <c r="U83733" s="25"/>
    </row>
    <row r="83755" spans="21:21" x14ac:dyDescent="0.3">
      <c r="U83755" s="25"/>
    </row>
    <row r="83777" spans="21:21" x14ac:dyDescent="0.3">
      <c r="U83777" s="25"/>
    </row>
    <row r="83799" spans="21:21" x14ac:dyDescent="0.3">
      <c r="U83799" s="25"/>
    </row>
    <row r="83821" spans="21:21" x14ac:dyDescent="0.3">
      <c r="U83821" s="25"/>
    </row>
    <row r="83843" spans="21:21" x14ac:dyDescent="0.3">
      <c r="U83843" s="25"/>
    </row>
    <row r="83865" spans="21:21" x14ac:dyDescent="0.3">
      <c r="U83865" s="25"/>
    </row>
    <row r="83887" spans="21:21" x14ac:dyDescent="0.3">
      <c r="U83887" s="25"/>
    </row>
    <row r="83909" spans="21:21" x14ac:dyDescent="0.3">
      <c r="U83909" s="25"/>
    </row>
    <row r="83931" spans="21:21" x14ac:dyDescent="0.3">
      <c r="U83931" s="25"/>
    </row>
    <row r="83953" spans="21:21" x14ac:dyDescent="0.3">
      <c r="U83953" s="25"/>
    </row>
    <row r="83975" spans="21:21" x14ac:dyDescent="0.3">
      <c r="U83975" s="25"/>
    </row>
    <row r="83997" spans="21:21" x14ac:dyDescent="0.3">
      <c r="U83997" s="25"/>
    </row>
    <row r="84019" spans="21:21" x14ac:dyDescent="0.3">
      <c r="U84019" s="25"/>
    </row>
    <row r="84041" spans="21:21" x14ac:dyDescent="0.3">
      <c r="U84041" s="25"/>
    </row>
    <row r="84063" spans="21:21" x14ac:dyDescent="0.3">
      <c r="U84063" s="25"/>
    </row>
    <row r="84085" spans="21:21" x14ac:dyDescent="0.3">
      <c r="U84085" s="25"/>
    </row>
    <row r="84107" spans="21:21" x14ac:dyDescent="0.3">
      <c r="U84107" s="25"/>
    </row>
    <row r="84129" spans="21:21" x14ac:dyDescent="0.3">
      <c r="U84129" s="25"/>
    </row>
    <row r="84151" spans="21:21" x14ac:dyDescent="0.3">
      <c r="U84151" s="25"/>
    </row>
    <row r="84173" spans="21:21" x14ac:dyDescent="0.3">
      <c r="U84173" s="25"/>
    </row>
    <row r="84195" spans="21:21" x14ac:dyDescent="0.3">
      <c r="U84195" s="25"/>
    </row>
    <row r="84217" spans="21:21" x14ac:dyDescent="0.3">
      <c r="U84217" s="25"/>
    </row>
    <row r="84239" spans="21:21" x14ac:dyDescent="0.3">
      <c r="U84239" s="25"/>
    </row>
    <row r="84261" spans="21:21" x14ac:dyDescent="0.3">
      <c r="U84261" s="25"/>
    </row>
    <row r="84283" spans="21:21" x14ac:dyDescent="0.3">
      <c r="U84283" s="25"/>
    </row>
    <row r="84305" spans="21:21" x14ac:dyDescent="0.3">
      <c r="U84305" s="25"/>
    </row>
    <row r="84327" spans="21:21" x14ac:dyDescent="0.3">
      <c r="U84327" s="25"/>
    </row>
    <row r="84349" spans="21:21" x14ac:dyDescent="0.3">
      <c r="U84349" s="25"/>
    </row>
    <row r="84371" spans="21:21" x14ac:dyDescent="0.3">
      <c r="U84371" s="25"/>
    </row>
    <row r="84393" spans="21:21" x14ac:dyDescent="0.3">
      <c r="U84393" s="25"/>
    </row>
    <row r="84415" spans="21:21" x14ac:dyDescent="0.3">
      <c r="U84415" s="25"/>
    </row>
    <row r="84437" spans="21:21" x14ac:dyDescent="0.3">
      <c r="U84437" s="25"/>
    </row>
    <row r="84459" spans="21:21" x14ac:dyDescent="0.3">
      <c r="U84459" s="25"/>
    </row>
    <row r="84481" spans="21:21" x14ac:dyDescent="0.3">
      <c r="U84481" s="25"/>
    </row>
    <row r="84503" spans="21:21" x14ac:dyDescent="0.3">
      <c r="U84503" s="25"/>
    </row>
    <row r="84525" spans="21:21" x14ac:dyDescent="0.3">
      <c r="U84525" s="25"/>
    </row>
    <row r="84547" spans="21:21" x14ac:dyDescent="0.3">
      <c r="U84547" s="25"/>
    </row>
    <row r="84569" spans="21:21" x14ac:dyDescent="0.3">
      <c r="U84569" s="25"/>
    </row>
    <row r="84591" spans="21:21" x14ac:dyDescent="0.3">
      <c r="U84591" s="25"/>
    </row>
    <row r="84613" spans="21:21" x14ac:dyDescent="0.3">
      <c r="U84613" s="25"/>
    </row>
    <row r="84635" spans="21:21" x14ac:dyDescent="0.3">
      <c r="U84635" s="25"/>
    </row>
    <row r="84657" spans="21:21" x14ac:dyDescent="0.3">
      <c r="U84657" s="25"/>
    </row>
    <row r="84679" spans="21:21" x14ac:dyDescent="0.3">
      <c r="U84679" s="25"/>
    </row>
    <row r="84701" spans="21:21" x14ac:dyDescent="0.3">
      <c r="U84701" s="25"/>
    </row>
    <row r="84723" spans="21:21" x14ac:dyDescent="0.3">
      <c r="U84723" s="25"/>
    </row>
    <row r="84745" spans="21:21" x14ac:dyDescent="0.3">
      <c r="U84745" s="25"/>
    </row>
    <row r="84767" spans="21:21" x14ac:dyDescent="0.3">
      <c r="U84767" s="25"/>
    </row>
    <row r="84789" spans="21:21" x14ac:dyDescent="0.3">
      <c r="U84789" s="25"/>
    </row>
    <row r="84811" spans="21:21" x14ac:dyDescent="0.3">
      <c r="U84811" s="25"/>
    </row>
    <row r="84833" spans="21:21" x14ac:dyDescent="0.3">
      <c r="U84833" s="25"/>
    </row>
    <row r="84855" spans="21:21" x14ac:dyDescent="0.3">
      <c r="U84855" s="25"/>
    </row>
    <row r="84877" spans="21:21" x14ac:dyDescent="0.3">
      <c r="U84877" s="25"/>
    </row>
    <row r="84899" spans="21:21" x14ac:dyDescent="0.3">
      <c r="U84899" s="25"/>
    </row>
    <row r="84921" spans="21:21" x14ac:dyDescent="0.3">
      <c r="U84921" s="25"/>
    </row>
    <row r="84943" spans="21:21" x14ac:dyDescent="0.3">
      <c r="U84943" s="25"/>
    </row>
    <row r="84965" spans="21:21" x14ac:dyDescent="0.3">
      <c r="U84965" s="25"/>
    </row>
    <row r="84987" spans="21:21" x14ac:dyDescent="0.3">
      <c r="U84987" s="25"/>
    </row>
    <row r="85009" spans="21:21" x14ac:dyDescent="0.3">
      <c r="U85009" s="25"/>
    </row>
    <row r="85031" spans="21:21" x14ac:dyDescent="0.3">
      <c r="U85031" s="25"/>
    </row>
    <row r="85053" spans="21:21" x14ac:dyDescent="0.3">
      <c r="U85053" s="25"/>
    </row>
    <row r="85075" spans="21:21" x14ac:dyDescent="0.3">
      <c r="U85075" s="25"/>
    </row>
    <row r="85097" spans="21:21" x14ac:dyDescent="0.3">
      <c r="U85097" s="25"/>
    </row>
    <row r="85119" spans="21:21" x14ac:dyDescent="0.3">
      <c r="U85119" s="25"/>
    </row>
    <row r="85141" spans="21:21" x14ac:dyDescent="0.3">
      <c r="U85141" s="25"/>
    </row>
    <row r="85163" spans="21:21" x14ac:dyDescent="0.3">
      <c r="U85163" s="25"/>
    </row>
    <row r="85185" spans="21:21" x14ac:dyDescent="0.3">
      <c r="U85185" s="25"/>
    </row>
    <row r="85207" spans="21:21" x14ac:dyDescent="0.3">
      <c r="U85207" s="25"/>
    </row>
    <row r="85229" spans="21:21" x14ac:dyDescent="0.3">
      <c r="U85229" s="25"/>
    </row>
    <row r="85251" spans="21:21" x14ac:dyDescent="0.3">
      <c r="U85251" s="25"/>
    </row>
    <row r="85273" spans="21:21" x14ac:dyDescent="0.3">
      <c r="U85273" s="25"/>
    </row>
    <row r="85295" spans="21:21" x14ac:dyDescent="0.3">
      <c r="U85295" s="25"/>
    </row>
    <row r="85317" spans="21:21" x14ac:dyDescent="0.3">
      <c r="U85317" s="25"/>
    </row>
    <row r="85339" spans="21:21" x14ac:dyDescent="0.3">
      <c r="U85339" s="25"/>
    </row>
    <row r="85361" spans="21:21" x14ac:dyDescent="0.3">
      <c r="U85361" s="25"/>
    </row>
    <row r="85383" spans="21:21" x14ac:dyDescent="0.3">
      <c r="U85383" s="25"/>
    </row>
    <row r="85405" spans="21:21" x14ac:dyDescent="0.3">
      <c r="U85405" s="25"/>
    </row>
    <row r="85427" spans="21:21" x14ac:dyDescent="0.3">
      <c r="U85427" s="25"/>
    </row>
    <row r="85449" spans="21:21" x14ac:dyDescent="0.3">
      <c r="U85449" s="25"/>
    </row>
    <row r="85471" spans="21:21" x14ac:dyDescent="0.3">
      <c r="U85471" s="25"/>
    </row>
    <row r="85493" spans="21:21" x14ac:dyDescent="0.3">
      <c r="U85493" s="25"/>
    </row>
    <row r="85515" spans="21:21" x14ac:dyDescent="0.3">
      <c r="U85515" s="25"/>
    </row>
    <row r="85537" spans="21:21" x14ac:dyDescent="0.3">
      <c r="U85537" s="25"/>
    </row>
    <row r="85559" spans="21:21" x14ac:dyDescent="0.3">
      <c r="U85559" s="25"/>
    </row>
    <row r="85581" spans="21:21" x14ac:dyDescent="0.3">
      <c r="U85581" s="25"/>
    </row>
    <row r="85603" spans="21:21" x14ac:dyDescent="0.3">
      <c r="U85603" s="25"/>
    </row>
    <row r="85625" spans="21:21" x14ac:dyDescent="0.3">
      <c r="U85625" s="25"/>
    </row>
    <row r="85647" spans="21:21" x14ac:dyDescent="0.3">
      <c r="U85647" s="25"/>
    </row>
    <row r="85669" spans="21:21" x14ac:dyDescent="0.3">
      <c r="U85669" s="25"/>
    </row>
    <row r="85691" spans="21:21" x14ac:dyDescent="0.3">
      <c r="U85691" s="25"/>
    </row>
    <row r="85713" spans="21:21" x14ac:dyDescent="0.3">
      <c r="U85713" s="25"/>
    </row>
    <row r="85735" spans="21:21" x14ac:dyDescent="0.3">
      <c r="U85735" s="25"/>
    </row>
    <row r="85757" spans="21:21" x14ac:dyDescent="0.3">
      <c r="U85757" s="25"/>
    </row>
    <row r="85779" spans="21:21" x14ac:dyDescent="0.3">
      <c r="U85779" s="25"/>
    </row>
    <row r="85801" spans="21:21" x14ac:dyDescent="0.3">
      <c r="U85801" s="25"/>
    </row>
    <row r="85823" spans="21:21" x14ac:dyDescent="0.3">
      <c r="U85823" s="25"/>
    </row>
    <row r="85845" spans="21:21" x14ac:dyDescent="0.3">
      <c r="U85845" s="25"/>
    </row>
    <row r="85867" spans="21:21" x14ac:dyDescent="0.3">
      <c r="U85867" s="25"/>
    </row>
    <row r="85889" spans="21:21" x14ac:dyDescent="0.3">
      <c r="U85889" s="25"/>
    </row>
    <row r="85911" spans="21:21" x14ac:dyDescent="0.3">
      <c r="U85911" s="25"/>
    </row>
    <row r="85933" spans="21:21" x14ac:dyDescent="0.3">
      <c r="U85933" s="25"/>
    </row>
    <row r="85955" spans="21:21" x14ac:dyDescent="0.3">
      <c r="U85955" s="25"/>
    </row>
    <row r="85977" spans="21:21" x14ac:dyDescent="0.3">
      <c r="U85977" s="25"/>
    </row>
    <row r="85999" spans="21:21" x14ac:dyDescent="0.3">
      <c r="U85999" s="25"/>
    </row>
    <row r="86021" spans="21:21" x14ac:dyDescent="0.3">
      <c r="U86021" s="25"/>
    </row>
    <row r="86043" spans="21:21" x14ac:dyDescent="0.3">
      <c r="U86043" s="25"/>
    </row>
    <row r="86065" spans="21:21" x14ac:dyDescent="0.3">
      <c r="U86065" s="25"/>
    </row>
    <row r="86087" spans="21:21" x14ac:dyDescent="0.3">
      <c r="U86087" s="25"/>
    </row>
    <row r="86109" spans="21:21" x14ac:dyDescent="0.3">
      <c r="U86109" s="25"/>
    </row>
    <row r="86131" spans="21:21" x14ac:dyDescent="0.3">
      <c r="U86131" s="25"/>
    </row>
    <row r="86153" spans="21:21" x14ac:dyDescent="0.3">
      <c r="U86153" s="25"/>
    </row>
    <row r="86175" spans="21:21" x14ac:dyDescent="0.3">
      <c r="U86175" s="25"/>
    </row>
    <row r="86197" spans="21:21" x14ac:dyDescent="0.3">
      <c r="U86197" s="25"/>
    </row>
    <row r="86219" spans="21:21" x14ac:dyDescent="0.3">
      <c r="U86219" s="25"/>
    </row>
    <row r="86241" spans="21:21" x14ac:dyDescent="0.3">
      <c r="U86241" s="25"/>
    </row>
    <row r="86263" spans="21:21" x14ac:dyDescent="0.3">
      <c r="U86263" s="25"/>
    </row>
    <row r="86285" spans="21:21" x14ac:dyDescent="0.3">
      <c r="U86285" s="25"/>
    </row>
    <row r="86307" spans="21:21" x14ac:dyDescent="0.3">
      <c r="U86307" s="25"/>
    </row>
    <row r="86329" spans="21:21" x14ac:dyDescent="0.3">
      <c r="U86329" s="25"/>
    </row>
    <row r="86351" spans="21:21" x14ac:dyDescent="0.3">
      <c r="U86351" s="25"/>
    </row>
    <row r="86373" spans="21:21" x14ac:dyDescent="0.3">
      <c r="U86373" s="25"/>
    </row>
    <row r="86395" spans="21:21" x14ac:dyDescent="0.3">
      <c r="U86395" s="25"/>
    </row>
    <row r="86417" spans="21:21" x14ac:dyDescent="0.3">
      <c r="U86417" s="25"/>
    </row>
    <row r="86439" spans="21:21" x14ac:dyDescent="0.3">
      <c r="U86439" s="25"/>
    </row>
    <row r="86461" spans="21:21" x14ac:dyDescent="0.3">
      <c r="U86461" s="25"/>
    </row>
    <row r="86483" spans="21:21" x14ac:dyDescent="0.3">
      <c r="U86483" s="25"/>
    </row>
    <row r="86505" spans="21:21" x14ac:dyDescent="0.3">
      <c r="U86505" s="25"/>
    </row>
    <row r="86527" spans="21:21" x14ac:dyDescent="0.3">
      <c r="U86527" s="25"/>
    </row>
    <row r="86549" spans="21:21" x14ac:dyDescent="0.3">
      <c r="U86549" s="25"/>
    </row>
    <row r="86571" spans="21:21" x14ac:dyDescent="0.3">
      <c r="U86571" s="25"/>
    </row>
    <row r="86593" spans="21:21" x14ac:dyDescent="0.3">
      <c r="U86593" s="25"/>
    </row>
    <row r="86615" spans="21:21" x14ac:dyDescent="0.3">
      <c r="U86615" s="25"/>
    </row>
    <row r="86637" spans="21:21" x14ac:dyDescent="0.3">
      <c r="U86637" s="25"/>
    </row>
    <row r="86659" spans="21:21" x14ac:dyDescent="0.3">
      <c r="U86659" s="25"/>
    </row>
    <row r="86681" spans="21:21" x14ac:dyDescent="0.3">
      <c r="U86681" s="25"/>
    </row>
    <row r="86703" spans="21:21" x14ac:dyDescent="0.3">
      <c r="U86703" s="25"/>
    </row>
    <row r="86725" spans="21:21" x14ac:dyDescent="0.3">
      <c r="U86725" s="25"/>
    </row>
    <row r="86747" spans="21:21" x14ac:dyDescent="0.3">
      <c r="U86747" s="25"/>
    </row>
    <row r="86769" spans="21:21" x14ac:dyDescent="0.3">
      <c r="U86769" s="25"/>
    </row>
    <row r="86791" spans="21:21" x14ac:dyDescent="0.3">
      <c r="U86791" s="25"/>
    </row>
    <row r="86813" spans="21:21" x14ac:dyDescent="0.3">
      <c r="U86813" s="25"/>
    </row>
    <row r="86835" spans="21:21" x14ac:dyDescent="0.3">
      <c r="U86835" s="25"/>
    </row>
    <row r="86857" spans="21:21" x14ac:dyDescent="0.3">
      <c r="U86857" s="25"/>
    </row>
    <row r="86879" spans="21:21" x14ac:dyDescent="0.3">
      <c r="U86879" s="25"/>
    </row>
    <row r="86901" spans="21:21" x14ac:dyDescent="0.3">
      <c r="U86901" s="25"/>
    </row>
    <row r="86923" spans="21:21" x14ac:dyDescent="0.3">
      <c r="U86923" s="25"/>
    </row>
    <row r="86945" spans="21:21" x14ac:dyDescent="0.3">
      <c r="U86945" s="25"/>
    </row>
    <row r="86967" spans="21:21" x14ac:dyDescent="0.3">
      <c r="U86967" s="25"/>
    </row>
    <row r="86989" spans="21:21" x14ac:dyDescent="0.3">
      <c r="U86989" s="25"/>
    </row>
    <row r="87011" spans="21:21" x14ac:dyDescent="0.3">
      <c r="U87011" s="25"/>
    </row>
    <row r="87033" spans="21:21" x14ac:dyDescent="0.3">
      <c r="U87033" s="25"/>
    </row>
    <row r="87055" spans="21:21" x14ac:dyDescent="0.3">
      <c r="U87055" s="25"/>
    </row>
    <row r="87077" spans="21:21" x14ac:dyDescent="0.3">
      <c r="U87077" s="25"/>
    </row>
    <row r="87099" spans="21:21" x14ac:dyDescent="0.3">
      <c r="U87099" s="25"/>
    </row>
    <row r="87121" spans="21:21" x14ac:dyDescent="0.3">
      <c r="U87121" s="25"/>
    </row>
    <row r="87143" spans="21:21" x14ac:dyDescent="0.3">
      <c r="U87143" s="25"/>
    </row>
    <row r="87165" spans="21:21" x14ac:dyDescent="0.3">
      <c r="U87165" s="25"/>
    </row>
    <row r="87187" spans="21:21" x14ac:dyDescent="0.3">
      <c r="U87187" s="25"/>
    </row>
    <row r="87209" spans="21:21" x14ac:dyDescent="0.3">
      <c r="U87209" s="25"/>
    </row>
    <row r="87231" spans="21:21" x14ac:dyDescent="0.3">
      <c r="U87231" s="25"/>
    </row>
    <row r="87253" spans="21:21" x14ac:dyDescent="0.3">
      <c r="U87253" s="25"/>
    </row>
    <row r="87275" spans="21:21" x14ac:dyDescent="0.3">
      <c r="U87275" s="25"/>
    </row>
    <row r="87297" spans="21:21" x14ac:dyDescent="0.3">
      <c r="U87297" s="25"/>
    </row>
    <row r="87319" spans="21:21" x14ac:dyDescent="0.3">
      <c r="U87319" s="25"/>
    </row>
    <row r="87341" spans="21:21" x14ac:dyDescent="0.3">
      <c r="U87341" s="25"/>
    </row>
    <row r="87363" spans="21:21" x14ac:dyDescent="0.3">
      <c r="U87363" s="25"/>
    </row>
    <row r="87385" spans="21:21" x14ac:dyDescent="0.3">
      <c r="U87385" s="25"/>
    </row>
    <row r="87407" spans="21:21" x14ac:dyDescent="0.3">
      <c r="U87407" s="25"/>
    </row>
    <row r="87429" spans="21:21" x14ac:dyDescent="0.3">
      <c r="U87429" s="25"/>
    </row>
    <row r="87451" spans="21:21" x14ac:dyDescent="0.3">
      <c r="U87451" s="25"/>
    </row>
    <row r="87473" spans="21:21" x14ac:dyDescent="0.3">
      <c r="U87473" s="25"/>
    </row>
    <row r="87495" spans="21:21" x14ac:dyDescent="0.3">
      <c r="U87495" s="25"/>
    </row>
    <row r="87517" spans="21:21" x14ac:dyDescent="0.3">
      <c r="U87517" s="25"/>
    </row>
    <row r="87539" spans="21:21" x14ac:dyDescent="0.3">
      <c r="U87539" s="25"/>
    </row>
    <row r="87561" spans="21:21" x14ac:dyDescent="0.3">
      <c r="U87561" s="25"/>
    </row>
    <row r="87583" spans="21:21" x14ac:dyDescent="0.3">
      <c r="U87583" s="25"/>
    </row>
    <row r="87605" spans="21:21" x14ac:dyDescent="0.3">
      <c r="U87605" s="25"/>
    </row>
    <row r="87627" spans="21:21" x14ac:dyDescent="0.3">
      <c r="U87627" s="25"/>
    </row>
    <row r="87649" spans="21:21" x14ac:dyDescent="0.3">
      <c r="U87649" s="25"/>
    </row>
    <row r="87671" spans="21:21" x14ac:dyDescent="0.3">
      <c r="U87671" s="25"/>
    </row>
    <row r="87693" spans="21:21" x14ac:dyDescent="0.3">
      <c r="U87693" s="25"/>
    </row>
    <row r="87715" spans="21:21" x14ac:dyDescent="0.3">
      <c r="U87715" s="25"/>
    </row>
    <row r="87737" spans="21:21" x14ac:dyDescent="0.3">
      <c r="U87737" s="25"/>
    </row>
    <row r="87759" spans="21:21" x14ac:dyDescent="0.3">
      <c r="U87759" s="25"/>
    </row>
    <row r="87781" spans="21:21" x14ac:dyDescent="0.3">
      <c r="U87781" s="25"/>
    </row>
    <row r="87803" spans="21:21" x14ac:dyDescent="0.3">
      <c r="U87803" s="25"/>
    </row>
    <row r="87825" spans="21:21" x14ac:dyDescent="0.3">
      <c r="U87825" s="25"/>
    </row>
    <row r="87847" spans="21:21" x14ac:dyDescent="0.3">
      <c r="U87847" s="25"/>
    </row>
    <row r="87869" spans="21:21" x14ac:dyDescent="0.3">
      <c r="U87869" s="25"/>
    </row>
    <row r="87891" spans="21:21" x14ac:dyDescent="0.3">
      <c r="U87891" s="25"/>
    </row>
    <row r="87913" spans="21:21" x14ac:dyDescent="0.3">
      <c r="U87913" s="25"/>
    </row>
    <row r="87935" spans="21:21" x14ac:dyDescent="0.3">
      <c r="U87935" s="25"/>
    </row>
    <row r="87957" spans="21:21" x14ac:dyDescent="0.3">
      <c r="U87957" s="25"/>
    </row>
    <row r="87979" spans="21:21" x14ac:dyDescent="0.3">
      <c r="U87979" s="25"/>
    </row>
    <row r="88001" spans="21:21" x14ac:dyDescent="0.3">
      <c r="U88001" s="25"/>
    </row>
    <row r="88023" spans="21:21" x14ac:dyDescent="0.3">
      <c r="U88023" s="25"/>
    </row>
    <row r="88045" spans="21:21" x14ac:dyDescent="0.3">
      <c r="U88045" s="25"/>
    </row>
    <row r="88067" spans="21:21" x14ac:dyDescent="0.3">
      <c r="U88067" s="25"/>
    </row>
    <row r="88089" spans="21:21" x14ac:dyDescent="0.3">
      <c r="U88089" s="25"/>
    </row>
    <row r="88111" spans="21:21" x14ac:dyDescent="0.3">
      <c r="U88111" s="25"/>
    </row>
    <row r="88133" spans="21:21" x14ac:dyDescent="0.3">
      <c r="U88133" s="25"/>
    </row>
    <row r="88155" spans="21:21" x14ac:dyDescent="0.3">
      <c r="U88155" s="25"/>
    </row>
    <row r="88177" spans="21:21" x14ac:dyDescent="0.3">
      <c r="U88177" s="25"/>
    </row>
    <row r="88199" spans="21:21" x14ac:dyDescent="0.3">
      <c r="U88199" s="25"/>
    </row>
    <row r="88221" spans="21:21" x14ac:dyDescent="0.3">
      <c r="U88221" s="25"/>
    </row>
    <row r="88243" spans="21:21" x14ac:dyDescent="0.3">
      <c r="U88243" s="25"/>
    </row>
    <row r="88265" spans="21:21" x14ac:dyDescent="0.3">
      <c r="U88265" s="25"/>
    </row>
    <row r="88287" spans="21:21" x14ac:dyDescent="0.3">
      <c r="U88287" s="25"/>
    </row>
    <row r="88309" spans="21:21" x14ac:dyDescent="0.3">
      <c r="U88309" s="25"/>
    </row>
    <row r="88331" spans="21:21" x14ac:dyDescent="0.3">
      <c r="U88331" s="25"/>
    </row>
    <row r="88353" spans="21:21" x14ac:dyDescent="0.3">
      <c r="U88353" s="25"/>
    </row>
    <row r="88375" spans="21:21" x14ac:dyDescent="0.3">
      <c r="U88375" s="25"/>
    </row>
    <row r="88397" spans="21:21" x14ac:dyDescent="0.3">
      <c r="U88397" s="25"/>
    </row>
    <row r="88419" spans="21:21" x14ac:dyDescent="0.3">
      <c r="U88419" s="25"/>
    </row>
    <row r="88441" spans="21:21" x14ac:dyDescent="0.3">
      <c r="U88441" s="25"/>
    </row>
    <row r="88463" spans="21:21" x14ac:dyDescent="0.3">
      <c r="U88463" s="25"/>
    </row>
    <row r="88485" spans="21:21" x14ac:dyDescent="0.3">
      <c r="U88485" s="25"/>
    </row>
    <row r="88507" spans="21:21" x14ac:dyDescent="0.3">
      <c r="U88507" s="25"/>
    </row>
    <row r="88529" spans="21:21" x14ac:dyDescent="0.3">
      <c r="U88529" s="25"/>
    </row>
    <row r="88551" spans="21:21" x14ac:dyDescent="0.3">
      <c r="U88551" s="25"/>
    </row>
    <row r="88573" spans="21:21" x14ac:dyDescent="0.3">
      <c r="U88573" s="25"/>
    </row>
    <row r="88595" spans="21:21" x14ac:dyDescent="0.3">
      <c r="U88595" s="25"/>
    </row>
    <row r="88617" spans="21:21" x14ac:dyDescent="0.3">
      <c r="U88617" s="25"/>
    </row>
    <row r="88639" spans="21:21" x14ac:dyDescent="0.3">
      <c r="U88639" s="25"/>
    </row>
    <row r="88661" spans="21:21" x14ac:dyDescent="0.3">
      <c r="U88661" s="25"/>
    </row>
    <row r="88683" spans="21:21" x14ac:dyDescent="0.3">
      <c r="U88683" s="25"/>
    </row>
    <row r="88705" spans="21:21" x14ac:dyDescent="0.3">
      <c r="U88705" s="25"/>
    </row>
    <row r="88727" spans="21:21" x14ac:dyDescent="0.3">
      <c r="U88727" s="25"/>
    </row>
    <row r="88749" spans="21:21" x14ac:dyDescent="0.3">
      <c r="U88749" s="25"/>
    </row>
    <row r="88771" spans="21:21" x14ac:dyDescent="0.3">
      <c r="U88771" s="25"/>
    </row>
    <row r="88793" spans="21:21" x14ac:dyDescent="0.3">
      <c r="U88793" s="25"/>
    </row>
    <row r="88815" spans="21:21" x14ac:dyDescent="0.3">
      <c r="U88815" s="25"/>
    </row>
    <row r="88837" spans="21:21" x14ac:dyDescent="0.3">
      <c r="U88837" s="25"/>
    </row>
    <row r="88859" spans="21:21" x14ac:dyDescent="0.3">
      <c r="U88859" s="25"/>
    </row>
    <row r="88881" spans="21:21" x14ac:dyDescent="0.3">
      <c r="U88881" s="25"/>
    </row>
    <row r="88903" spans="21:21" x14ac:dyDescent="0.3">
      <c r="U88903" s="25"/>
    </row>
    <row r="88925" spans="21:21" x14ac:dyDescent="0.3">
      <c r="U88925" s="25"/>
    </row>
    <row r="88947" spans="21:21" x14ac:dyDescent="0.3">
      <c r="U88947" s="25"/>
    </row>
    <row r="88969" spans="21:21" x14ac:dyDescent="0.3">
      <c r="U88969" s="25"/>
    </row>
    <row r="88991" spans="21:21" x14ac:dyDescent="0.3">
      <c r="U88991" s="25"/>
    </row>
    <row r="89013" spans="21:21" x14ac:dyDescent="0.3">
      <c r="U89013" s="25"/>
    </row>
    <row r="89035" spans="21:21" x14ac:dyDescent="0.3">
      <c r="U89035" s="25"/>
    </row>
    <row r="89057" spans="21:21" x14ac:dyDescent="0.3">
      <c r="U89057" s="25"/>
    </row>
    <row r="89079" spans="21:21" x14ac:dyDescent="0.3">
      <c r="U89079" s="25"/>
    </row>
    <row r="89101" spans="21:21" x14ac:dyDescent="0.3">
      <c r="U89101" s="25"/>
    </row>
    <row r="89123" spans="21:21" x14ac:dyDescent="0.3">
      <c r="U89123" s="25"/>
    </row>
    <row r="89145" spans="21:21" x14ac:dyDescent="0.3">
      <c r="U89145" s="25"/>
    </row>
    <row r="89167" spans="21:21" x14ac:dyDescent="0.3">
      <c r="U89167" s="25"/>
    </row>
    <row r="89189" spans="21:21" x14ac:dyDescent="0.3">
      <c r="U89189" s="25"/>
    </row>
    <row r="89211" spans="21:21" x14ac:dyDescent="0.3">
      <c r="U89211" s="25"/>
    </row>
    <row r="89233" spans="21:21" x14ac:dyDescent="0.3">
      <c r="U89233" s="25"/>
    </row>
    <row r="89255" spans="21:21" x14ac:dyDescent="0.3">
      <c r="U89255" s="25"/>
    </row>
    <row r="89277" spans="21:21" x14ac:dyDescent="0.3">
      <c r="U89277" s="25"/>
    </row>
    <row r="89299" spans="21:21" x14ac:dyDescent="0.3">
      <c r="U89299" s="25"/>
    </row>
    <row r="89321" spans="21:21" x14ac:dyDescent="0.3">
      <c r="U89321" s="25"/>
    </row>
    <row r="89343" spans="21:21" x14ac:dyDescent="0.3">
      <c r="U89343" s="25"/>
    </row>
    <row r="89365" spans="21:21" x14ac:dyDescent="0.3">
      <c r="U89365" s="25"/>
    </row>
    <row r="89387" spans="21:21" x14ac:dyDescent="0.3">
      <c r="U89387" s="25"/>
    </row>
    <row r="89409" spans="21:21" x14ac:dyDescent="0.3">
      <c r="U89409" s="25"/>
    </row>
    <row r="89431" spans="21:21" x14ac:dyDescent="0.3">
      <c r="U89431" s="25"/>
    </row>
    <row r="89453" spans="21:21" x14ac:dyDescent="0.3">
      <c r="U89453" s="25"/>
    </row>
    <row r="89475" spans="21:21" x14ac:dyDescent="0.3">
      <c r="U89475" s="25"/>
    </row>
    <row r="89497" spans="21:21" x14ac:dyDescent="0.3">
      <c r="U89497" s="25"/>
    </row>
    <row r="89519" spans="21:21" x14ac:dyDescent="0.3">
      <c r="U89519" s="25"/>
    </row>
    <row r="89541" spans="21:21" x14ac:dyDescent="0.3">
      <c r="U89541" s="25"/>
    </row>
    <row r="89563" spans="21:21" x14ac:dyDescent="0.3">
      <c r="U89563" s="25"/>
    </row>
    <row r="89585" spans="21:21" x14ac:dyDescent="0.3">
      <c r="U89585" s="25"/>
    </row>
    <row r="89607" spans="21:21" x14ac:dyDescent="0.3">
      <c r="U89607" s="25"/>
    </row>
    <row r="89629" spans="21:21" x14ac:dyDescent="0.3">
      <c r="U89629" s="25"/>
    </row>
    <row r="89651" spans="21:21" x14ac:dyDescent="0.3">
      <c r="U89651" s="25"/>
    </row>
    <row r="89673" spans="21:21" x14ac:dyDescent="0.3">
      <c r="U89673" s="25"/>
    </row>
    <row r="89695" spans="21:21" x14ac:dyDescent="0.3">
      <c r="U89695" s="25"/>
    </row>
    <row r="89717" spans="21:21" x14ac:dyDescent="0.3">
      <c r="U89717" s="25"/>
    </row>
    <row r="89739" spans="21:21" x14ac:dyDescent="0.3">
      <c r="U89739" s="25"/>
    </row>
    <row r="89761" spans="21:21" x14ac:dyDescent="0.3">
      <c r="U89761" s="25"/>
    </row>
    <row r="89783" spans="21:21" x14ac:dyDescent="0.3">
      <c r="U89783" s="25"/>
    </row>
    <row r="89805" spans="21:21" x14ac:dyDescent="0.3">
      <c r="U89805" s="25"/>
    </row>
    <row r="89827" spans="21:21" x14ac:dyDescent="0.3">
      <c r="U89827" s="25"/>
    </row>
    <row r="89849" spans="21:21" x14ac:dyDescent="0.3">
      <c r="U89849" s="25"/>
    </row>
    <row r="89871" spans="21:21" x14ac:dyDescent="0.3">
      <c r="U89871" s="25"/>
    </row>
    <row r="89893" spans="21:21" x14ac:dyDescent="0.3">
      <c r="U89893" s="25"/>
    </row>
    <row r="89915" spans="21:21" x14ac:dyDescent="0.3">
      <c r="U89915" s="25"/>
    </row>
    <row r="89937" spans="21:21" x14ac:dyDescent="0.3">
      <c r="U89937" s="25"/>
    </row>
    <row r="89959" spans="21:21" x14ac:dyDescent="0.3">
      <c r="U89959" s="25"/>
    </row>
    <row r="89981" spans="21:21" x14ac:dyDescent="0.3">
      <c r="U89981" s="25"/>
    </row>
    <row r="90003" spans="21:21" x14ac:dyDescent="0.3">
      <c r="U90003" s="25"/>
    </row>
    <row r="90025" spans="21:21" x14ac:dyDescent="0.3">
      <c r="U90025" s="25"/>
    </row>
    <row r="90047" spans="21:21" x14ac:dyDescent="0.3">
      <c r="U90047" s="25"/>
    </row>
    <row r="90069" spans="21:21" x14ac:dyDescent="0.3">
      <c r="U90069" s="25"/>
    </row>
    <row r="90091" spans="21:21" x14ac:dyDescent="0.3">
      <c r="U90091" s="25"/>
    </row>
    <row r="90113" spans="21:21" x14ac:dyDescent="0.3">
      <c r="U90113" s="25"/>
    </row>
    <row r="90135" spans="21:21" x14ac:dyDescent="0.3">
      <c r="U90135" s="25"/>
    </row>
    <row r="90157" spans="21:21" x14ac:dyDescent="0.3">
      <c r="U90157" s="25"/>
    </row>
    <row r="90179" spans="21:21" x14ac:dyDescent="0.3">
      <c r="U90179" s="25"/>
    </row>
    <row r="90201" spans="21:21" x14ac:dyDescent="0.3">
      <c r="U90201" s="25"/>
    </row>
    <row r="90223" spans="21:21" x14ac:dyDescent="0.3">
      <c r="U90223" s="25"/>
    </row>
    <row r="90245" spans="21:21" x14ac:dyDescent="0.3">
      <c r="U90245" s="25"/>
    </row>
    <row r="90267" spans="21:21" x14ac:dyDescent="0.3">
      <c r="U90267" s="25"/>
    </row>
    <row r="90289" spans="21:21" x14ac:dyDescent="0.3">
      <c r="U90289" s="25"/>
    </row>
    <row r="90311" spans="21:21" x14ac:dyDescent="0.3">
      <c r="U90311" s="25"/>
    </row>
    <row r="90333" spans="21:21" x14ac:dyDescent="0.3">
      <c r="U90333" s="25"/>
    </row>
    <row r="90355" spans="21:21" x14ac:dyDescent="0.3">
      <c r="U90355" s="25"/>
    </row>
    <row r="90377" spans="21:21" x14ac:dyDescent="0.3">
      <c r="U90377" s="25"/>
    </row>
    <row r="90399" spans="21:21" x14ac:dyDescent="0.3">
      <c r="U90399" s="25"/>
    </row>
    <row r="90421" spans="21:21" x14ac:dyDescent="0.3">
      <c r="U90421" s="25"/>
    </row>
    <row r="90443" spans="21:21" x14ac:dyDescent="0.3">
      <c r="U90443" s="25"/>
    </row>
    <row r="90465" spans="21:21" x14ac:dyDescent="0.3">
      <c r="U90465" s="25"/>
    </row>
    <row r="90487" spans="21:21" x14ac:dyDescent="0.3">
      <c r="U90487" s="25"/>
    </row>
    <row r="90509" spans="21:21" x14ac:dyDescent="0.3">
      <c r="U90509" s="25"/>
    </row>
    <row r="90531" spans="21:21" x14ac:dyDescent="0.3">
      <c r="U90531" s="25"/>
    </row>
    <row r="90553" spans="21:21" x14ac:dyDescent="0.3">
      <c r="U90553" s="25"/>
    </row>
    <row r="90575" spans="21:21" x14ac:dyDescent="0.3">
      <c r="U90575" s="25"/>
    </row>
    <row r="90597" spans="21:21" x14ac:dyDescent="0.3">
      <c r="U90597" s="25"/>
    </row>
    <row r="90619" spans="21:21" x14ac:dyDescent="0.3">
      <c r="U90619" s="25"/>
    </row>
    <row r="90641" spans="21:21" x14ac:dyDescent="0.3">
      <c r="U90641" s="25"/>
    </row>
    <row r="90663" spans="21:21" x14ac:dyDescent="0.3">
      <c r="U90663" s="25"/>
    </row>
    <row r="90685" spans="21:21" x14ac:dyDescent="0.3">
      <c r="U90685" s="25"/>
    </row>
    <row r="90707" spans="21:21" x14ac:dyDescent="0.3">
      <c r="U90707" s="25"/>
    </row>
    <row r="90729" spans="21:21" x14ac:dyDescent="0.3">
      <c r="U90729" s="25"/>
    </row>
    <row r="90751" spans="21:21" x14ac:dyDescent="0.3">
      <c r="U90751" s="25"/>
    </row>
    <row r="90773" spans="21:21" x14ac:dyDescent="0.3">
      <c r="U90773" s="25"/>
    </row>
    <row r="90795" spans="21:21" x14ac:dyDescent="0.3">
      <c r="U90795" s="25"/>
    </row>
    <row r="90817" spans="21:21" x14ac:dyDescent="0.3">
      <c r="U90817" s="25"/>
    </row>
    <row r="90839" spans="21:21" x14ac:dyDescent="0.3">
      <c r="U90839" s="25"/>
    </row>
    <row r="90861" spans="21:21" x14ac:dyDescent="0.3">
      <c r="U90861" s="25"/>
    </row>
    <row r="90883" spans="21:21" x14ac:dyDescent="0.3">
      <c r="U90883" s="25"/>
    </row>
    <row r="90905" spans="21:21" x14ac:dyDescent="0.3">
      <c r="U90905" s="25"/>
    </row>
    <row r="90927" spans="21:21" x14ac:dyDescent="0.3">
      <c r="U90927" s="25"/>
    </row>
    <row r="90949" spans="21:21" x14ac:dyDescent="0.3">
      <c r="U90949" s="25"/>
    </row>
    <row r="90971" spans="21:21" x14ac:dyDescent="0.3">
      <c r="U90971" s="25"/>
    </row>
    <row r="90993" spans="21:21" x14ac:dyDescent="0.3">
      <c r="U90993" s="25"/>
    </row>
    <row r="91015" spans="21:21" x14ac:dyDescent="0.3">
      <c r="U91015" s="25"/>
    </row>
    <row r="91037" spans="21:21" x14ac:dyDescent="0.3">
      <c r="U91037" s="25"/>
    </row>
    <row r="91059" spans="21:21" x14ac:dyDescent="0.3">
      <c r="U91059" s="25"/>
    </row>
    <row r="91081" spans="21:21" x14ac:dyDescent="0.3">
      <c r="U91081" s="25"/>
    </row>
    <row r="91103" spans="21:21" x14ac:dyDescent="0.3">
      <c r="U91103" s="25"/>
    </row>
    <row r="91125" spans="21:21" x14ac:dyDescent="0.3">
      <c r="U91125" s="25"/>
    </row>
    <row r="91147" spans="21:21" x14ac:dyDescent="0.3">
      <c r="U91147" s="25"/>
    </row>
    <row r="91169" spans="21:21" x14ac:dyDescent="0.3">
      <c r="U91169" s="25"/>
    </row>
    <row r="91191" spans="21:21" x14ac:dyDescent="0.3">
      <c r="U91191" s="25"/>
    </row>
    <row r="91213" spans="21:21" x14ac:dyDescent="0.3">
      <c r="U91213" s="25"/>
    </row>
    <row r="91235" spans="21:21" x14ac:dyDescent="0.3">
      <c r="U91235" s="25"/>
    </row>
    <row r="91257" spans="21:21" x14ac:dyDescent="0.3">
      <c r="U91257" s="25"/>
    </row>
    <row r="91279" spans="21:21" x14ac:dyDescent="0.3">
      <c r="U91279" s="25"/>
    </row>
    <row r="91301" spans="21:21" x14ac:dyDescent="0.3">
      <c r="U91301" s="25"/>
    </row>
    <row r="91323" spans="21:21" x14ac:dyDescent="0.3">
      <c r="U91323" s="25"/>
    </row>
    <row r="91345" spans="21:21" x14ac:dyDescent="0.3">
      <c r="U91345" s="25"/>
    </row>
    <row r="91367" spans="21:21" x14ac:dyDescent="0.3">
      <c r="U91367" s="25"/>
    </row>
    <row r="91389" spans="21:21" x14ac:dyDescent="0.3">
      <c r="U91389" s="25"/>
    </row>
    <row r="91411" spans="21:21" x14ac:dyDescent="0.3">
      <c r="U91411" s="25"/>
    </row>
    <row r="91433" spans="21:21" x14ac:dyDescent="0.3">
      <c r="U91433" s="25"/>
    </row>
    <row r="91455" spans="21:21" x14ac:dyDescent="0.3">
      <c r="U91455" s="25"/>
    </row>
    <row r="91477" spans="21:21" x14ac:dyDescent="0.3">
      <c r="U91477" s="25"/>
    </row>
    <row r="91499" spans="21:21" x14ac:dyDescent="0.3">
      <c r="U91499" s="25"/>
    </row>
    <row r="91521" spans="21:21" x14ac:dyDescent="0.3">
      <c r="U91521" s="25"/>
    </row>
    <row r="91543" spans="21:21" x14ac:dyDescent="0.3">
      <c r="U91543" s="25"/>
    </row>
    <row r="91565" spans="21:21" x14ac:dyDescent="0.3">
      <c r="U91565" s="25"/>
    </row>
    <row r="91587" spans="21:21" x14ac:dyDescent="0.3">
      <c r="U91587" s="25"/>
    </row>
    <row r="91609" spans="21:21" x14ac:dyDescent="0.3">
      <c r="U91609" s="25"/>
    </row>
    <row r="91631" spans="21:21" x14ac:dyDescent="0.3">
      <c r="U91631" s="25"/>
    </row>
    <row r="91653" spans="21:21" x14ac:dyDescent="0.3">
      <c r="U91653" s="25"/>
    </row>
    <row r="91675" spans="21:21" x14ac:dyDescent="0.3">
      <c r="U91675" s="25"/>
    </row>
    <row r="91697" spans="21:21" x14ac:dyDescent="0.3">
      <c r="U91697" s="25"/>
    </row>
    <row r="91719" spans="21:21" x14ac:dyDescent="0.3">
      <c r="U91719" s="25"/>
    </row>
    <row r="91741" spans="21:21" x14ac:dyDescent="0.3">
      <c r="U91741" s="25"/>
    </row>
    <row r="91763" spans="21:21" x14ac:dyDescent="0.3">
      <c r="U91763" s="25"/>
    </row>
    <row r="91785" spans="21:21" x14ac:dyDescent="0.3">
      <c r="U91785" s="25"/>
    </row>
    <row r="91807" spans="21:21" x14ac:dyDescent="0.3">
      <c r="U91807" s="25"/>
    </row>
    <row r="91829" spans="21:21" x14ac:dyDescent="0.3">
      <c r="U91829" s="25"/>
    </row>
    <row r="91851" spans="21:21" x14ac:dyDescent="0.3">
      <c r="U91851" s="25"/>
    </row>
    <row r="91873" spans="21:21" x14ac:dyDescent="0.3">
      <c r="U91873" s="25"/>
    </row>
    <row r="91895" spans="21:21" x14ac:dyDescent="0.3">
      <c r="U91895" s="25"/>
    </row>
    <row r="91917" spans="21:21" x14ac:dyDescent="0.3">
      <c r="U91917" s="25"/>
    </row>
    <row r="91939" spans="21:21" x14ac:dyDescent="0.3">
      <c r="U91939" s="25"/>
    </row>
    <row r="91961" spans="21:21" x14ac:dyDescent="0.3">
      <c r="U91961" s="25"/>
    </row>
    <row r="91983" spans="21:21" x14ac:dyDescent="0.3">
      <c r="U91983" s="25"/>
    </row>
    <row r="92005" spans="21:21" x14ac:dyDescent="0.3">
      <c r="U92005" s="25"/>
    </row>
    <row r="92027" spans="21:21" x14ac:dyDescent="0.3">
      <c r="U92027" s="25"/>
    </row>
    <row r="92049" spans="21:21" x14ac:dyDescent="0.3">
      <c r="U92049" s="25"/>
    </row>
    <row r="92071" spans="21:21" x14ac:dyDescent="0.3">
      <c r="U92071" s="25"/>
    </row>
    <row r="92093" spans="21:21" x14ac:dyDescent="0.3">
      <c r="U92093" s="25"/>
    </row>
    <row r="92115" spans="21:21" x14ac:dyDescent="0.3">
      <c r="U92115" s="25"/>
    </row>
    <row r="92137" spans="21:21" x14ac:dyDescent="0.3">
      <c r="U92137" s="25"/>
    </row>
    <row r="92159" spans="21:21" x14ac:dyDescent="0.3">
      <c r="U92159" s="25"/>
    </row>
    <row r="92181" spans="21:21" x14ac:dyDescent="0.3">
      <c r="U92181" s="25"/>
    </row>
    <row r="92203" spans="21:21" x14ac:dyDescent="0.3">
      <c r="U92203" s="25"/>
    </row>
    <row r="92225" spans="21:21" x14ac:dyDescent="0.3">
      <c r="U92225" s="25"/>
    </row>
    <row r="92247" spans="21:21" x14ac:dyDescent="0.3">
      <c r="U92247" s="25"/>
    </row>
    <row r="92269" spans="21:21" x14ac:dyDescent="0.3">
      <c r="U92269" s="25"/>
    </row>
    <row r="92291" spans="21:21" x14ac:dyDescent="0.3">
      <c r="U92291" s="25"/>
    </row>
    <row r="92313" spans="21:21" x14ac:dyDescent="0.3">
      <c r="U92313" s="25"/>
    </row>
    <row r="92335" spans="21:21" x14ac:dyDescent="0.3">
      <c r="U92335" s="25"/>
    </row>
    <row r="92357" spans="21:21" x14ac:dyDescent="0.3">
      <c r="U92357" s="25"/>
    </row>
    <row r="92379" spans="21:21" x14ac:dyDescent="0.3">
      <c r="U92379" s="25"/>
    </row>
    <row r="92401" spans="21:21" x14ac:dyDescent="0.3">
      <c r="U92401" s="25"/>
    </row>
    <row r="92423" spans="21:21" x14ac:dyDescent="0.3">
      <c r="U92423" s="25"/>
    </row>
    <row r="92445" spans="21:21" x14ac:dyDescent="0.3">
      <c r="U92445" s="25"/>
    </row>
    <row r="92467" spans="21:21" x14ac:dyDescent="0.3">
      <c r="U92467" s="25"/>
    </row>
    <row r="92489" spans="21:21" x14ac:dyDescent="0.3">
      <c r="U92489" s="25"/>
    </row>
    <row r="92511" spans="21:21" x14ac:dyDescent="0.3">
      <c r="U92511" s="25"/>
    </row>
    <row r="92533" spans="21:21" x14ac:dyDescent="0.3">
      <c r="U92533" s="25"/>
    </row>
    <row r="92555" spans="21:21" x14ac:dyDescent="0.3">
      <c r="U92555" s="25"/>
    </row>
    <row r="92577" spans="21:21" x14ac:dyDescent="0.3">
      <c r="U92577" s="25"/>
    </row>
    <row r="92599" spans="21:21" x14ac:dyDescent="0.3">
      <c r="U92599" s="25"/>
    </row>
    <row r="92621" spans="21:21" x14ac:dyDescent="0.3">
      <c r="U92621" s="25"/>
    </row>
    <row r="92643" spans="21:21" x14ac:dyDescent="0.3">
      <c r="U92643" s="25"/>
    </row>
    <row r="92665" spans="21:21" x14ac:dyDescent="0.3">
      <c r="U92665" s="25"/>
    </row>
    <row r="92687" spans="21:21" x14ac:dyDescent="0.3">
      <c r="U92687" s="25"/>
    </row>
    <row r="92709" spans="21:21" x14ac:dyDescent="0.3">
      <c r="U92709" s="25"/>
    </row>
    <row r="92731" spans="21:21" x14ac:dyDescent="0.3">
      <c r="U92731" s="25"/>
    </row>
    <row r="92753" spans="21:21" x14ac:dyDescent="0.3">
      <c r="U92753" s="25"/>
    </row>
    <row r="92775" spans="21:21" x14ac:dyDescent="0.3">
      <c r="U92775" s="25"/>
    </row>
    <row r="92797" spans="21:21" x14ac:dyDescent="0.3">
      <c r="U92797" s="25"/>
    </row>
    <row r="92819" spans="21:21" x14ac:dyDescent="0.3">
      <c r="U92819" s="25"/>
    </row>
    <row r="92841" spans="21:21" x14ac:dyDescent="0.3">
      <c r="U92841" s="25"/>
    </row>
    <row r="92863" spans="21:21" x14ac:dyDescent="0.3">
      <c r="U92863" s="25"/>
    </row>
    <row r="92885" spans="21:21" x14ac:dyDescent="0.3">
      <c r="U92885" s="25"/>
    </row>
    <row r="92907" spans="21:21" x14ac:dyDescent="0.3">
      <c r="U92907" s="25"/>
    </row>
    <row r="92929" spans="21:21" x14ac:dyDescent="0.3">
      <c r="U92929" s="25"/>
    </row>
    <row r="92951" spans="21:21" x14ac:dyDescent="0.3">
      <c r="U92951" s="25"/>
    </row>
    <row r="92973" spans="21:21" x14ac:dyDescent="0.3">
      <c r="U92973" s="25"/>
    </row>
    <row r="92995" spans="21:21" x14ac:dyDescent="0.3">
      <c r="U92995" s="25"/>
    </row>
    <row r="93017" spans="21:21" x14ac:dyDescent="0.3">
      <c r="U93017" s="25"/>
    </row>
    <row r="93039" spans="21:21" x14ac:dyDescent="0.3">
      <c r="U93039" s="25"/>
    </row>
    <row r="93061" spans="21:21" x14ac:dyDescent="0.3">
      <c r="U93061" s="25"/>
    </row>
    <row r="93083" spans="21:21" x14ac:dyDescent="0.3">
      <c r="U93083" s="25"/>
    </row>
    <row r="93105" spans="21:21" x14ac:dyDescent="0.3">
      <c r="U93105" s="25"/>
    </row>
    <row r="93127" spans="21:21" x14ac:dyDescent="0.3">
      <c r="U93127" s="25"/>
    </row>
    <row r="93149" spans="21:21" x14ac:dyDescent="0.3">
      <c r="U93149" s="25"/>
    </row>
    <row r="93171" spans="21:21" x14ac:dyDescent="0.3">
      <c r="U93171" s="25"/>
    </row>
    <row r="93193" spans="21:21" x14ac:dyDescent="0.3">
      <c r="U93193" s="25"/>
    </row>
    <row r="93215" spans="21:21" x14ac:dyDescent="0.3">
      <c r="U93215" s="25"/>
    </row>
    <row r="93237" spans="21:21" x14ac:dyDescent="0.3">
      <c r="U93237" s="25"/>
    </row>
    <row r="93259" spans="21:21" x14ac:dyDescent="0.3">
      <c r="U93259" s="25"/>
    </row>
    <row r="93281" spans="21:21" x14ac:dyDescent="0.3">
      <c r="U93281" s="25"/>
    </row>
    <row r="93303" spans="21:21" x14ac:dyDescent="0.3">
      <c r="U93303" s="25"/>
    </row>
    <row r="93325" spans="21:21" x14ac:dyDescent="0.3">
      <c r="U93325" s="25"/>
    </row>
    <row r="93347" spans="21:21" x14ac:dyDescent="0.3">
      <c r="U93347" s="25"/>
    </row>
    <row r="93369" spans="21:21" x14ac:dyDescent="0.3">
      <c r="U93369" s="25"/>
    </row>
    <row r="93391" spans="21:21" x14ac:dyDescent="0.3">
      <c r="U93391" s="25"/>
    </row>
    <row r="93413" spans="21:21" x14ac:dyDescent="0.3">
      <c r="U93413" s="25"/>
    </row>
    <row r="93435" spans="21:21" x14ac:dyDescent="0.3">
      <c r="U93435" s="25"/>
    </row>
    <row r="93457" spans="21:21" x14ac:dyDescent="0.3">
      <c r="U93457" s="25"/>
    </row>
    <row r="93479" spans="21:21" x14ac:dyDescent="0.3">
      <c r="U93479" s="25"/>
    </row>
    <row r="93501" spans="21:21" x14ac:dyDescent="0.3">
      <c r="U93501" s="25"/>
    </row>
    <row r="93523" spans="21:21" x14ac:dyDescent="0.3">
      <c r="U93523" s="25"/>
    </row>
    <row r="93545" spans="21:21" x14ac:dyDescent="0.3">
      <c r="U93545" s="25"/>
    </row>
    <row r="93567" spans="21:21" x14ac:dyDescent="0.3">
      <c r="U93567" s="25"/>
    </row>
    <row r="93589" spans="21:21" x14ac:dyDescent="0.3">
      <c r="U93589" s="25"/>
    </row>
    <row r="93611" spans="21:21" x14ac:dyDescent="0.3">
      <c r="U93611" s="25"/>
    </row>
    <row r="93633" spans="21:21" x14ac:dyDescent="0.3">
      <c r="U93633" s="25"/>
    </row>
    <row r="93655" spans="21:21" x14ac:dyDescent="0.3">
      <c r="U93655" s="25"/>
    </row>
    <row r="93677" spans="21:21" x14ac:dyDescent="0.3">
      <c r="U93677" s="25"/>
    </row>
    <row r="93699" spans="21:21" x14ac:dyDescent="0.3">
      <c r="U93699" s="25"/>
    </row>
    <row r="93721" spans="21:21" x14ac:dyDescent="0.3">
      <c r="U93721" s="25"/>
    </row>
    <row r="93743" spans="21:21" x14ac:dyDescent="0.3">
      <c r="U93743" s="25"/>
    </row>
    <row r="93765" spans="21:21" x14ac:dyDescent="0.3">
      <c r="U93765" s="25"/>
    </row>
    <row r="93787" spans="21:21" x14ac:dyDescent="0.3">
      <c r="U93787" s="25"/>
    </row>
    <row r="93809" spans="21:21" x14ac:dyDescent="0.3">
      <c r="U93809" s="25"/>
    </row>
    <row r="93831" spans="21:21" x14ac:dyDescent="0.3">
      <c r="U93831" s="25"/>
    </row>
    <row r="93853" spans="21:21" x14ac:dyDescent="0.3">
      <c r="U93853" s="25"/>
    </row>
    <row r="93875" spans="21:21" x14ac:dyDescent="0.3">
      <c r="U93875" s="25"/>
    </row>
    <row r="93897" spans="21:21" x14ac:dyDescent="0.3">
      <c r="U93897" s="25"/>
    </row>
    <row r="93919" spans="21:21" x14ac:dyDescent="0.3">
      <c r="U93919" s="25"/>
    </row>
    <row r="93941" spans="21:21" x14ac:dyDescent="0.3">
      <c r="U93941" s="25"/>
    </row>
    <row r="93963" spans="21:21" x14ac:dyDescent="0.3">
      <c r="U93963" s="25"/>
    </row>
    <row r="93985" spans="21:21" x14ac:dyDescent="0.3">
      <c r="U93985" s="25"/>
    </row>
    <row r="94007" spans="21:21" x14ac:dyDescent="0.3">
      <c r="U94007" s="25"/>
    </row>
    <row r="94029" spans="21:21" x14ac:dyDescent="0.3">
      <c r="U94029" s="25"/>
    </row>
    <row r="94051" spans="21:21" x14ac:dyDescent="0.3">
      <c r="U94051" s="25"/>
    </row>
    <row r="94073" spans="21:21" x14ac:dyDescent="0.3">
      <c r="U94073" s="25"/>
    </row>
    <row r="94095" spans="21:21" x14ac:dyDescent="0.3">
      <c r="U94095" s="25"/>
    </row>
    <row r="94117" spans="21:21" x14ac:dyDescent="0.3">
      <c r="U94117" s="25"/>
    </row>
    <row r="94139" spans="21:21" x14ac:dyDescent="0.3">
      <c r="U94139" s="25"/>
    </row>
    <row r="94161" spans="21:21" x14ac:dyDescent="0.3">
      <c r="U94161" s="25"/>
    </row>
    <row r="94183" spans="21:21" x14ac:dyDescent="0.3">
      <c r="U94183" s="25"/>
    </row>
    <row r="94205" spans="21:21" x14ac:dyDescent="0.3">
      <c r="U94205" s="25"/>
    </row>
    <row r="94227" spans="21:21" x14ac:dyDescent="0.3">
      <c r="U94227" s="25"/>
    </row>
    <row r="94249" spans="21:21" x14ac:dyDescent="0.3">
      <c r="U94249" s="25"/>
    </row>
    <row r="94271" spans="21:21" x14ac:dyDescent="0.3">
      <c r="U94271" s="25"/>
    </row>
    <row r="94293" spans="21:21" x14ac:dyDescent="0.3">
      <c r="U94293" s="25"/>
    </row>
    <row r="94315" spans="21:21" x14ac:dyDescent="0.3">
      <c r="U94315" s="25"/>
    </row>
    <row r="94337" spans="21:21" x14ac:dyDescent="0.3">
      <c r="U94337" s="25"/>
    </row>
    <row r="94359" spans="21:21" x14ac:dyDescent="0.3">
      <c r="U94359" s="25"/>
    </row>
    <row r="94381" spans="21:21" x14ac:dyDescent="0.3">
      <c r="U94381" s="25"/>
    </row>
    <row r="94403" spans="21:21" x14ac:dyDescent="0.3">
      <c r="U94403" s="25"/>
    </row>
    <row r="94425" spans="21:21" x14ac:dyDescent="0.3">
      <c r="U94425" s="25"/>
    </row>
    <row r="94447" spans="21:21" x14ac:dyDescent="0.3">
      <c r="U94447" s="25"/>
    </row>
    <row r="94469" spans="21:21" x14ac:dyDescent="0.3">
      <c r="U94469" s="25"/>
    </row>
    <row r="94491" spans="21:21" x14ac:dyDescent="0.3">
      <c r="U94491" s="25"/>
    </row>
    <row r="94513" spans="21:21" x14ac:dyDescent="0.3">
      <c r="U94513" s="25"/>
    </row>
    <row r="94535" spans="21:21" x14ac:dyDescent="0.3">
      <c r="U94535" s="25"/>
    </row>
    <row r="94557" spans="21:21" x14ac:dyDescent="0.3">
      <c r="U94557" s="25"/>
    </row>
    <row r="94579" spans="21:21" x14ac:dyDescent="0.3">
      <c r="U94579" s="25"/>
    </row>
    <row r="94601" spans="21:21" x14ac:dyDescent="0.3">
      <c r="U94601" s="25"/>
    </row>
    <row r="94623" spans="21:21" x14ac:dyDescent="0.3">
      <c r="U94623" s="25"/>
    </row>
    <row r="94645" spans="21:21" x14ac:dyDescent="0.3">
      <c r="U94645" s="25"/>
    </row>
    <row r="94667" spans="21:21" x14ac:dyDescent="0.3">
      <c r="U94667" s="25"/>
    </row>
    <row r="94689" spans="21:21" x14ac:dyDescent="0.3">
      <c r="U94689" s="25"/>
    </row>
    <row r="94711" spans="21:21" x14ac:dyDescent="0.3">
      <c r="U94711" s="25"/>
    </row>
    <row r="94733" spans="21:21" x14ac:dyDescent="0.3">
      <c r="U94733" s="25"/>
    </row>
    <row r="94755" spans="21:21" x14ac:dyDescent="0.3">
      <c r="U94755" s="25"/>
    </row>
    <row r="94777" spans="21:21" x14ac:dyDescent="0.3">
      <c r="U94777" s="25"/>
    </row>
    <row r="94799" spans="21:21" x14ac:dyDescent="0.3">
      <c r="U94799" s="25"/>
    </row>
    <row r="94821" spans="21:21" x14ac:dyDescent="0.3">
      <c r="U94821" s="25"/>
    </row>
    <row r="94843" spans="21:21" x14ac:dyDescent="0.3">
      <c r="U94843" s="25"/>
    </row>
    <row r="94865" spans="21:21" x14ac:dyDescent="0.3">
      <c r="U94865" s="25"/>
    </row>
    <row r="94887" spans="21:21" x14ac:dyDescent="0.3">
      <c r="U94887" s="25"/>
    </row>
    <row r="94909" spans="21:21" x14ac:dyDescent="0.3">
      <c r="U94909" s="25"/>
    </row>
    <row r="94931" spans="21:21" x14ac:dyDescent="0.3">
      <c r="U94931" s="25"/>
    </row>
    <row r="94953" spans="21:21" x14ac:dyDescent="0.3">
      <c r="U94953" s="25"/>
    </row>
    <row r="94975" spans="21:21" x14ac:dyDescent="0.3">
      <c r="U94975" s="25"/>
    </row>
    <row r="94997" spans="21:21" x14ac:dyDescent="0.3">
      <c r="U94997" s="25"/>
    </row>
    <row r="95019" spans="21:21" x14ac:dyDescent="0.3">
      <c r="U95019" s="25"/>
    </row>
    <row r="95041" spans="21:21" x14ac:dyDescent="0.3">
      <c r="U95041" s="25"/>
    </row>
    <row r="95063" spans="21:21" x14ac:dyDescent="0.3">
      <c r="U95063" s="25"/>
    </row>
    <row r="95085" spans="21:21" x14ac:dyDescent="0.3">
      <c r="U95085" s="25"/>
    </row>
    <row r="95107" spans="21:21" x14ac:dyDescent="0.3">
      <c r="U95107" s="25"/>
    </row>
    <row r="95129" spans="21:21" x14ac:dyDescent="0.3">
      <c r="U95129" s="25"/>
    </row>
    <row r="95151" spans="21:21" x14ac:dyDescent="0.3">
      <c r="U95151" s="25"/>
    </row>
    <row r="95173" spans="21:21" x14ac:dyDescent="0.3">
      <c r="U95173" s="25"/>
    </row>
    <row r="95195" spans="21:21" x14ac:dyDescent="0.3">
      <c r="U95195" s="25"/>
    </row>
    <row r="95217" spans="21:21" x14ac:dyDescent="0.3">
      <c r="U95217" s="25"/>
    </row>
    <row r="95239" spans="21:21" x14ac:dyDescent="0.3">
      <c r="U95239" s="25"/>
    </row>
    <row r="95261" spans="21:21" x14ac:dyDescent="0.3">
      <c r="U95261" s="25"/>
    </row>
    <row r="95283" spans="21:21" x14ac:dyDescent="0.3">
      <c r="U95283" s="25"/>
    </row>
    <row r="95305" spans="21:21" x14ac:dyDescent="0.3">
      <c r="U95305" s="25"/>
    </row>
    <row r="95327" spans="21:21" x14ac:dyDescent="0.3">
      <c r="U95327" s="25"/>
    </row>
    <row r="95349" spans="21:21" x14ac:dyDescent="0.3">
      <c r="U95349" s="25"/>
    </row>
    <row r="95371" spans="21:21" x14ac:dyDescent="0.3">
      <c r="U95371" s="25"/>
    </row>
    <row r="95393" spans="21:21" x14ac:dyDescent="0.3">
      <c r="U95393" s="25"/>
    </row>
    <row r="95415" spans="21:21" x14ac:dyDescent="0.3">
      <c r="U95415" s="25"/>
    </row>
    <row r="95437" spans="21:21" x14ac:dyDescent="0.3">
      <c r="U95437" s="25"/>
    </row>
    <row r="95459" spans="21:21" x14ac:dyDescent="0.3">
      <c r="U95459" s="25"/>
    </row>
    <row r="95481" spans="21:21" x14ac:dyDescent="0.3">
      <c r="U95481" s="25"/>
    </row>
    <row r="95503" spans="21:21" x14ac:dyDescent="0.3">
      <c r="U95503" s="25"/>
    </row>
    <row r="95525" spans="21:21" x14ac:dyDescent="0.3">
      <c r="U95525" s="25"/>
    </row>
    <row r="95547" spans="21:21" x14ac:dyDescent="0.3">
      <c r="U95547" s="25"/>
    </row>
    <row r="95569" spans="21:21" x14ac:dyDescent="0.3">
      <c r="U95569" s="25"/>
    </row>
    <row r="95591" spans="21:21" x14ac:dyDescent="0.3">
      <c r="U95591" s="25"/>
    </row>
    <row r="95613" spans="21:21" x14ac:dyDescent="0.3">
      <c r="U95613" s="25"/>
    </row>
    <row r="95635" spans="21:21" x14ac:dyDescent="0.3">
      <c r="U95635" s="25"/>
    </row>
    <row r="95657" spans="21:21" x14ac:dyDescent="0.3">
      <c r="U95657" s="25"/>
    </row>
    <row r="95679" spans="21:21" x14ac:dyDescent="0.3">
      <c r="U95679" s="25"/>
    </row>
    <row r="95701" spans="21:21" x14ac:dyDescent="0.3">
      <c r="U95701" s="25"/>
    </row>
    <row r="95723" spans="21:21" x14ac:dyDescent="0.3">
      <c r="U95723" s="25"/>
    </row>
    <row r="95745" spans="21:21" x14ac:dyDescent="0.3">
      <c r="U95745" s="25"/>
    </row>
    <row r="95767" spans="21:21" x14ac:dyDescent="0.3">
      <c r="U95767" s="25"/>
    </row>
    <row r="95789" spans="21:21" x14ac:dyDescent="0.3">
      <c r="U95789" s="25"/>
    </row>
    <row r="95811" spans="21:21" x14ac:dyDescent="0.3">
      <c r="U95811" s="25"/>
    </row>
    <row r="95833" spans="21:21" x14ac:dyDescent="0.3">
      <c r="U95833" s="25"/>
    </row>
    <row r="95855" spans="21:21" x14ac:dyDescent="0.3">
      <c r="U95855" s="25"/>
    </row>
    <row r="95877" spans="21:21" x14ac:dyDescent="0.3">
      <c r="U95877" s="25"/>
    </row>
    <row r="95899" spans="21:21" x14ac:dyDescent="0.3">
      <c r="U95899" s="25"/>
    </row>
    <row r="95921" spans="21:21" x14ac:dyDescent="0.3">
      <c r="U95921" s="25"/>
    </row>
    <row r="95943" spans="21:21" x14ac:dyDescent="0.3">
      <c r="U95943" s="25"/>
    </row>
    <row r="95965" spans="21:21" x14ac:dyDescent="0.3">
      <c r="U95965" s="25"/>
    </row>
    <row r="95987" spans="21:21" x14ac:dyDescent="0.3">
      <c r="U95987" s="25"/>
    </row>
    <row r="96009" spans="21:21" x14ac:dyDescent="0.3">
      <c r="U96009" s="25"/>
    </row>
    <row r="96031" spans="21:21" x14ac:dyDescent="0.3">
      <c r="U96031" s="25"/>
    </row>
    <row r="96053" spans="21:21" x14ac:dyDescent="0.3">
      <c r="U96053" s="25"/>
    </row>
    <row r="96075" spans="21:21" x14ac:dyDescent="0.3">
      <c r="U96075" s="25"/>
    </row>
    <row r="96097" spans="21:21" x14ac:dyDescent="0.3">
      <c r="U96097" s="25"/>
    </row>
    <row r="96119" spans="21:21" x14ac:dyDescent="0.3">
      <c r="U96119" s="25"/>
    </row>
    <row r="96141" spans="21:21" x14ac:dyDescent="0.3">
      <c r="U96141" s="25"/>
    </row>
    <row r="96163" spans="21:21" x14ac:dyDescent="0.3">
      <c r="U96163" s="25"/>
    </row>
    <row r="96185" spans="21:21" x14ac:dyDescent="0.3">
      <c r="U96185" s="25"/>
    </row>
    <row r="96207" spans="21:21" x14ac:dyDescent="0.3">
      <c r="U96207" s="25"/>
    </row>
    <row r="96229" spans="21:21" x14ac:dyDescent="0.3">
      <c r="U96229" s="25"/>
    </row>
    <row r="96251" spans="21:21" x14ac:dyDescent="0.3">
      <c r="U96251" s="25"/>
    </row>
    <row r="96273" spans="21:21" x14ac:dyDescent="0.3">
      <c r="U96273" s="25"/>
    </row>
    <row r="96295" spans="21:21" x14ac:dyDescent="0.3">
      <c r="U96295" s="25"/>
    </row>
    <row r="96317" spans="21:21" x14ac:dyDescent="0.3">
      <c r="U96317" s="25"/>
    </row>
    <row r="96339" spans="21:21" x14ac:dyDescent="0.3">
      <c r="U96339" s="25"/>
    </row>
    <row r="96361" spans="21:21" x14ac:dyDescent="0.3">
      <c r="U96361" s="25"/>
    </row>
    <row r="96383" spans="21:21" x14ac:dyDescent="0.3">
      <c r="U96383" s="25"/>
    </row>
    <row r="96405" spans="21:21" x14ac:dyDescent="0.3">
      <c r="U96405" s="25"/>
    </row>
    <row r="96427" spans="21:21" x14ac:dyDescent="0.3">
      <c r="U96427" s="25"/>
    </row>
    <row r="96449" spans="21:21" x14ac:dyDescent="0.3">
      <c r="U96449" s="25"/>
    </row>
    <row r="96471" spans="21:21" x14ac:dyDescent="0.3">
      <c r="U96471" s="25"/>
    </row>
    <row r="96493" spans="21:21" x14ac:dyDescent="0.3">
      <c r="U96493" s="25"/>
    </row>
    <row r="96515" spans="21:21" x14ac:dyDescent="0.3">
      <c r="U96515" s="25"/>
    </row>
    <row r="96537" spans="21:21" x14ac:dyDescent="0.3">
      <c r="U96537" s="25"/>
    </row>
    <row r="96559" spans="21:21" x14ac:dyDescent="0.3">
      <c r="U96559" s="25"/>
    </row>
    <row r="96581" spans="21:21" x14ac:dyDescent="0.3">
      <c r="U96581" s="25"/>
    </row>
    <row r="96603" spans="21:21" x14ac:dyDescent="0.3">
      <c r="U96603" s="25"/>
    </row>
    <row r="96625" spans="21:21" x14ac:dyDescent="0.3">
      <c r="U96625" s="25"/>
    </row>
    <row r="96647" spans="21:21" x14ac:dyDescent="0.3">
      <c r="U96647" s="25"/>
    </row>
    <row r="96669" spans="21:21" x14ac:dyDescent="0.3">
      <c r="U96669" s="25"/>
    </row>
    <row r="96691" spans="21:21" x14ac:dyDescent="0.3">
      <c r="U96691" s="25"/>
    </row>
    <row r="96713" spans="21:21" x14ac:dyDescent="0.3">
      <c r="U96713" s="25"/>
    </row>
    <row r="96735" spans="21:21" x14ac:dyDescent="0.3">
      <c r="U96735" s="25"/>
    </row>
    <row r="96757" spans="21:21" x14ac:dyDescent="0.3">
      <c r="U96757" s="25"/>
    </row>
    <row r="96779" spans="21:21" x14ac:dyDescent="0.3">
      <c r="U96779" s="25"/>
    </row>
    <row r="96801" spans="21:21" x14ac:dyDescent="0.3">
      <c r="U96801" s="25"/>
    </row>
    <row r="96823" spans="21:21" x14ac:dyDescent="0.3">
      <c r="U96823" s="25"/>
    </row>
    <row r="96845" spans="21:21" x14ac:dyDescent="0.3">
      <c r="U96845" s="25"/>
    </row>
    <row r="96867" spans="21:21" x14ac:dyDescent="0.3">
      <c r="U96867" s="25"/>
    </row>
    <row r="96889" spans="21:21" x14ac:dyDescent="0.3">
      <c r="U96889" s="25"/>
    </row>
    <row r="96911" spans="21:21" x14ac:dyDescent="0.3">
      <c r="U96911" s="25"/>
    </row>
    <row r="96933" spans="21:21" x14ac:dyDescent="0.3">
      <c r="U96933" s="25"/>
    </row>
    <row r="96955" spans="21:21" x14ac:dyDescent="0.3">
      <c r="U96955" s="25"/>
    </row>
    <row r="96977" spans="21:21" x14ac:dyDescent="0.3">
      <c r="U96977" s="25"/>
    </row>
    <row r="96999" spans="21:21" x14ac:dyDescent="0.3">
      <c r="U96999" s="25"/>
    </row>
    <row r="97021" spans="21:21" x14ac:dyDescent="0.3">
      <c r="U97021" s="25"/>
    </row>
    <row r="97043" spans="21:21" x14ac:dyDescent="0.3">
      <c r="U97043" s="25"/>
    </row>
    <row r="97065" spans="21:21" x14ac:dyDescent="0.3">
      <c r="U97065" s="25"/>
    </row>
    <row r="97087" spans="21:21" x14ac:dyDescent="0.3">
      <c r="U97087" s="25"/>
    </row>
    <row r="97109" spans="21:21" x14ac:dyDescent="0.3">
      <c r="U97109" s="25"/>
    </row>
    <row r="97131" spans="21:21" x14ac:dyDescent="0.3">
      <c r="U97131" s="25"/>
    </row>
    <row r="97153" spans="21:21" x14ac:dyDescent="0.3">
      <c r="U97153" s="25"/>
    </row>
    <row r="97175" spans="21:21" x14ac:dyDescent="0.3">
      <c r="U97175" s="25"/>
    </row>
    <row r="97197" spans="21:21" x14ac:dyDescent="0.3">
      <c r="U97197" s="25"/>
    </row>
    <row r="97219" spans="21:21" x14ac:dyDescent="0.3">
      <c r="U97219" s="25"/>
    </row>
    <row r="97241" spans="21:21" x14ac:dyDescent="0.3">
      <c r="U97241" s="25"/>
    </row>
    <row r="97263" spans="21:21" x14ac:dyDescent="0.3">
      <c r="U97263" s="25"/>
    </row>
    <row r="97285" spans="21:21" x14ac:dyDescent="0.3">
      <c r="U97285" s="25"/>
    </row>
    <row r="97307" spans="21:21" x14ac:dyDescent="0.3">
      <c r="U97307" s="25"/>
    </row>
    <row r="97329" spans="21:21" x14ac:dyDescent="0.3">
      <c r="U97329" s="25"/>
    </row>
    <row r="97351" spans="21:21" x14ac:dyDescent="0.3">
      <c r="U97351" s="25"/>
    </row>
    <row r="97373" spans="21:21" x14ac:dyDescent="0.3">
      <c r="U97373" s="25"/>
    </row>
    <row r="97395" spans="21:21" x14ac:dyDescent="0.3">
      <c r="U97395" s="25"/>
    </row>
    <row r="97417" spans="21:21" x14ac:dyDescent="0.3">
      <c r="U97417" s="25"/>
    </row>
    <row r="97439" spans="21:21" x14ac:dyDescent="0.3">
      <c r="U97439" s="25"/>
    </row>
    <row r="97461" spans="21:21" x14ac:dyDescent="0.3">
      <c r="U97461" s="25"/>
    </row>
    <row r="97483" spans="21:21" x14ac:dyDescent="0.3">
      <c r="U97483" s="25"/>
    </row>
    <row r="97505" spans="21:21" x14ac:dyDescent="0.3">
      <c r="U97505" s="25"/>
    </row>
    <row r="97527" spans="21:21" x14ac:dyDescent="0.3">
      <c r="U97527" s="25"/>
    </row>
    <row r="97549" spans="21:21" x14ac:dyDescent="0.3">
      <c r="U97549" s="25"/>
    </row>
    <row r="97571" spans="21:21" x14ac:dyDescent="0.3">
      <c r="U97571" s="25"/>
    </row>
    <row r="97593" spans="21:21" x14ac:dyDescent="0.3">
      <c r="U97593" s="25"/>
    </row>
    <row r="97615" spans="21:21" x14ac:dyDescent="0.3">
      <c r="U97615" s="25"/>
    </row>
    <row r="97637" spans="21:21" x14ac:dyDescent="0.3">
      <c r="U97637" s="25"/>
    </row>
    <row r="97659" spans="21:21" x14ac:dyDescent="0.3">
      <c r="U97659" s="25"/>
    </row>
    <row r="97681" spans="21:21" x14ac:dyDescent="0.3">
      <c r="U97681" s="25"/>
    </row>
    <row r="97703" spans="21:21" x14ac:dyDescent="0.3">
      <c r="U97703" s="25"/>
    </row>
    <row r="97725" spans="21:21" x14ac:dyDescent="0.3">
      <c r="U97725" s="25"/>
    </row>
    <row r="97747" spans="21:21" x14ac:dyDescent="0.3">
      <c r="U97747" s="25"/>
    </row>
    <row r="97769" spans="21:21" x14ac:dyDescent="0.3">
      <c r="U97769" s="25"/>
    </row>
    <row r="97791" spans="21:21" x14ac:dyDescent="0.3">
      <c r="U97791" s="25"/>
    </row>
    <row r="97813" spans="21:21" x14ac:dyDescent="0.3">
      <c r="U97813" s="25"/>
    </row>
    <row r="97835" spans="21:21" x14ac:dyDescent="0.3">
      <c r="U97835" s="25"/>
    </row>
    <row r="97857" spans="21:21" x14ac:dyDescent="0.3">
      <c r="U97857" s="25"/>
    </row>
    <row r="97879" spans="21:21" x14ac:dyDescent="0.3">
      <c r="U97879" s="25"/>
    </row>
    <row r="97901" spans="21:21" x14ac:dyDescent="0.3">
      <c r="U97901" s="25"/>
    </row>
    <row r="97923" spans="21:21" x14ac:dyDescent="0.3">
      <c r="U97923" s="25"/>
    </row>
    <row r="97945" spans="21:21" x14ac:dyDescent="0.3">
      <c r="U97945" s="25"/>
    </row>
    <row r="97967" spans="21:21" x14ac:dyDescent="0.3">
      <c r="U97967" s="25"/>
    </row>
    <row r="97989" spans="21:21" x14ac:dyDescent="0.3">
      <c r="U97989" s="25"/>
    </row>
    <row r="98011" spans="21:21" x14ac:dyDescent="0.3">
      <c r="U98011" s="25"/>
    </row>
    <row r="98033" spans="21:21" x14ac:dyDescent="0.3">
      <c r="U98033" s="25"/>
    </row>
    <row r="98055" spans="21:21" x14ac:dyDescent="0.3">
      <c r="U98055" s="25"/>
    </row>
    <row r="98077" spans="21:21" x14ac:dyDescent="0.3">
      <c r="U98077" s="25"/>
    </row>
    <row r="98099" spans="21:21" x14ac:dyDescent="0.3">
      <c r="U98099" s="25"/>
    </row>
    <row r="98121" spans="21:21" x14ac:dyDescent="0.3">
      <c r="U98121" s="25"/>
    </row>
    <row r="98143" spans="21:21" x14ac:dyDescent="0.3">
      <c r="U98143" s="25"/>
    </row>
    <row r="98165" spans="21:21" x14ac:dyDescent="0.3">
      <c r="U98165" s="25"/>
    </row>
    <row r="98187" spans="21:21" x14ac:dyDescent="0.3">
      <c r="U98187" s="25"/>
    </row>
    <row r="98209" spans="21:21" x14ac:dyDescent="0.3">
      <c r="U98209" s="25"/>
    </row>
    <row r="98231" spans="21:21" x14ac:dyDescent="0.3">
      <c r="U98231" s="25"/>
    </row>
    <row r="98253" spans="21:21" x14ac:dyDescent="0.3">
      <c r="U98253" s="25"/>
    </row>
    <row r="98275" spans="21:21" x14ac:dyDescent="0.3">
      <c r="U98275" s="25"/>
    </row>
    <row r="98297" spans="21:21" x14ac:dyDescent="0.3">
      <c r="U98297" s="25"/>
    </row>
    <row r="98319" spans="21:21" x14ac:dyDescent="0.3">
      <c r="U98319" s="25"/>
    </row>
    <row r="98341" spans="21:21" x14ac:dyDescent="0.3">
      <c r="U98341" s="25"/>
    </row>
    <row r="98363" spans="21:21" x14ac:dyDescent="0.3">
      <c r="U98363" s="25"/>
    </row>
    <row r="98385" spans="21:21" x14ac:dyDescent="0.3">
      <c r="U98385" s="25"/>
    </row>
    <row r="98407" spans="21:21" x14ac:dyDescent="0.3">
      <c r="U98407" s="25"/>
    </row>
    <row r="98429" spans="21:21" x14ac:dyDescent="0.3">
      <c r="U98429" s="25"/>
    </row>
    <row r="98451" spans="21:21" x14ac:dyDescent="0.3">
      <c r="U98451" s="25"/>
    </row>
    <row r="98473" spans="21:21" x14ac:dyDescent="0.3">
      <c r="U98473" s="25"/>
    </row>
    <row r="98495" spans="21:21" x14ac:dyDescent="0.3">
      <c r="U98495" s="25"/>
    </row>
    <row r="98517" spans="21:21" x14ac:dyDescent="0.3">
      <c r="U98517" s="25"/>
    </row>
    <row r="98539" spans="21:21" x14ac:dyDescent="0.3">
      <c r="U98539" s="25"/>
    </row>
    <row r="98561" spans="21:21" x14ac:dyDescent="0.3">
      <c r="U98561" s="25"/>
    </row>
    <row r="98583" spans="21:21" x14ac:dyDescent="0.3">
      <c r="U98583" s="25"/>
    </row>
    <row r="98605" spans="21:21" x14ac:dyDescent="0.3">
      <c r="U98605" s="25"/>
    </row>
    <row r="98627" spans="21:21" x14ac:dyDescent="0.3">
      <c r="U98627" s="25"/>
    </row>
    <row r="98649" spans="21:21" x14ac:dyDescent="0.3">
      <c r="U98649" s="25"/>
    </row>
    <row r="98671" spans="21:21" x14ac:dyDescent="0.3">
      <c r="U98671" s="25"/>
    </row>
    <row r="98693" spans="21:21" x14ac:dyDescent="0.3">
      <c r="U98693" s="25"/>
    </row>
    <row r="98715" spans="21:21" x14ac:dyDescent="0.3">
      <c r="U98715" s="25"/>
    </row>
    <row r="98737" spans="21:21" x14ac:dyDescent="0.3">
      <c r="U98737" s="25"/>
    </row>
    <row r="98759" spans="21:21" x14ac:dyDescent="0.3">
      <c r="U98759" s="25"/>
    </row>
    <row r="98781" spans="21:21" x14ac:dyDescent="0.3">
      <c r="U98781" s="25"/>
    </row>
    <row r="98803" spans="21:21" x14ac:dyDescent="0.3">
      <c r="U98803" s="25"/>
    </row>
    <row r="98825" spans="21:21" x14ac:dyDescent="0.3">
      <c r="U98825" s="25"/>
    </row>
    <row r="98847" spans="21:21" x14ac:dyDescent="0.3">
      <c r="U98847" s="25"/>
    </row>
    <row r="98869" spans="21:21" x14ac:dyDescent="0.3">
      <c r="U98869" s="25"/>
    </row>
    <row r="98891" spans="21:21" x14ac:dyDescent="0.3">
      <c r="U98891" s="25"/>
    </row>
    <row r="98913" spans="21:21" x14ac:dyDescent="0.3">
      <c r="U98913" s="25"/>
    </row>
    <row r="98935" spans="21:21" x14ac:dyDescent="0.3">
      <c r="U98935" s="25"/>
    </row>
    <row r="98957" spans="21:21" x14ac:dyDescent="0.3">
      <c r="U98957" s="25"/>
    </row>
    <row r="98979" spans="21:21" x14ac:dyDescent="0.3">
      <c r="U98979" s="25"/>
    </row>
    <row r="99001" spans="21:21" x14ac:dyDescent="0.3">
      <c r="U99001" s="25"/>
    </row>
    <row r="99023" spans="21:21" x14ac:dyDescent="0.3">
      <c r="U99023" s="25"/>
    </row>
    <row r="99045" spans="21:21" x14ac:dyDescent="0.3">
      <c r="U99045" s="25"/>
    </row>
    <row r="99067" spans="21:21" x14ac:dyDescent="0.3">
      <c r="U99067" s="25"/>
    </row>
    <row r="99089" spans="21:21" x14ac:dyDescent="0.3">
      <c r="U99089" s="25"/>
    </row>
    <row r="99111" spans="21:21" x14ac:dyDescent="0.3">
      <c r="U99111" s="25"/>
    </row>
    <row r="99133" spans="21:21" x14ac:dyDescent="0.3">
      <c r="U99133" s="25"/>
    </row>
    <row r="99155" spans="21:21" x14ac:dyDescent="0.3">
      <c r="U99155" s="25"/>
    </row>
    <row r="99177" spans="21:21" x14ac:dyDescent="0.3">
      <c r="U99177" s="25"/>
    </row>
    <row r="99199" spans="21:21" x14ac:dyDescent="0.3">
      <c r="U99199" s="25"/>
    </row>
    <row r="99221" spans="21:21" x14ac:dyDescent="0.3">
      <c r="U99221" s="25"/>
    </row>
    <row r="99243" spans="21:21" x14ac:dyDescent="0.3">
      <c r="U99243" s="25"/>
    </row>
    <row r="99265" spans="21:21" x14ac:dyDescent="0.3">
      <c r="U99265" s="25"/>
    </row>
    <row r="99287" spans="21:21" x14ac:dyDescent="0.3">
      <c r="U99287" s="25"/>
    </row>
    <row r="99309" spans="21:21" x14ac:dyDescent="0.3">
      <c r="U99309" s="25"/>
    </row>
    <row r="99331" spans="21:21" x14ac:dyDescent="0.3">
      <c r="U99331" s="25"/>
    </row>
    <row r="99353" spans="21:21" x14ac:dyDescent="0.3">
      <c r="U99353" s="25"/>
    </row>
    <row r="99375" spans="21:21" x14ac:dyDescent="0.3">
      <c r="U99375" s="25"/>
    </row>
    <row r="99397" spans="21:21" x14ac:dyDescent="0.3">
      <c r="U99397" s="25"/>
    </row>
    <row r="99419" spans="21:21" x14ac:dyDescent="0.3">
      <c r="U99419" s="25"/>
    </row>
    <row r="99441" spans="21:21" x14ac:dyDescent="0.3">
      <c r="U99441" s="25"/>
    </row>
    <row r="99463" spans="21:21" x14ac:dyDescent="0.3">
      <c r="U99463" s="25"/>
    </row>
    <row r="99485" spans="21:21" x14ac:dyDescent="0.3">
      <c r="U99485" s="25"/>
    </row>
    <row r="99507" spans="21:21" x14ac:dyDescent="0.3">
      <c r="U99507" s="25"/>
    </row>
    <row r="99529" spans="21:21" x14ac:dyDescent="0.3">
      <c r="U99529" s="25"/>
    </row>
    <row r="99551" spans="21:21" x14ac:dyDescent="0.3">
      <c r="U99551" s="25"/>
    </row>
    <row r="99573" spans="21:21" x14ac:dyDescent="0.3">
      <c r="U99573" s="25"/>
    </row>
    <row r="99595" spans="21:21" x14ac:dyDescent="0.3">
      <c r="U99595" s="25"/>
    </row>
    <row r="99617" spans="21:21" x14ac:dyDescent="0.3">
      <c r="U99617" s="25"/>
    </row>
    <row r="99639" spans="21:21" x14ac:dyDescent="0.3">
      <c r="U99639" s="25"/>
    </row>
    <row r="99661" spans="21:21" x14ac:dyDescent="0.3">
      <c r="U99661" s="25"/>
    </row>
    <row r="99683" spans="21:21" x14ac:dyDescent="0.3">
      <c r="U99683" s="25"/>
    </row>
    <row r="99705" spans="21:21" x14ac:dyDescent="0.3">
      <c r="U99705" s="25"/>
    </row>
    <row r="99727" spans="21:21" x14ac:dyDescent="0.3">
      <c r="U99727" s="25"/>
    </row>
    <row r="99749" spans="21:21" x14ac:dyDescent="0.3">
      <c r="U99749" s="25"/>
    </row>
    <row r="99771" spans="21:21" x14ac:dyDescent="0.3">
      <c r="U99771" s="25"/>
    </row>
    <row r="99793" spans="21:21" x14ac:dyDescent="0.3">
      <c r="U99793" s="25"/>
    </row>
    <row r="99815" spans="21:21" x14ac:dyDescent="0.3">
      <c r="U99815" s="25"/>
    </row>
    <row r="99837" spans="21:21" x14ac:dyDescent="0.3">
      <c r="U99837" s="25"/>
    </row>
    <row r="99859" spans="21:21" x14ac:dyDescent="0.3">
      <c r="U99859" s="25"/>
    </row>
    <row r="99881" spans="21:21" x14ac:dyDescent="0.3">
      <c r="U99881" s="25"/>
    </row>
    <row r="99903" spans="21:21" x14ac:dyDescent="0.3">
      <c r="U99903" s="25"/>
    </row>
    <row r="99925" spans="21:21" x14ac:dyDescent="0.3">
      <c r="U99925" s="25"/>
    </row>
    <row r="99947" spans="21:21" x14ac:dyDescent="0.3">
      <c r="U99947" s="25"/>
    </row>
    <row r="99969" spans="21:21" x14ac:dyDescent="0.3">
      <c r="U99969" s="25"/>
    </row>
    <row r="99991" spans="21:21" x14ac:dyDescent="0.3">
      <c r="U99991" s="25"/>
    </row>
    <row r="100013" spans="21:21" x14ac:dyDescent="0.3">
      <c r="U100013" s="25"/>
    </row>
    <row r="100035" spans="21:21" x14ac:dyDescent="0.3">
      <c r="U100035" s="25"/>
    </row>
    <row r="100057" spans="21:21" x14ac:dyDescent="0.3">
      <c r="U100057" s="25"/>
    </row>
    <row r="100079" spans="21:21" x14ac:dyDescent="0.3">
      <c r="U100079" s="25"/>
    </row>
    <row r="100101" spans="21:21" x14ac:dyDescent="0.3">
      <c r="U100101" s="25"/>
    </row>
    <row r="100123" spans="21:21" x14ac:dyDescent="0.3">
      <c r="U100123" s="25"/>
    </row>
    <row r="100145" spans="21:21" x14ac:dyDescent="0.3">
      <c r="U100145" s="25"/>
    </row>
    <row r="100167" spans="21:21" x14ac:dyDescent="0.3">
      <c r="U100167" s="25"/>
    </row>
    <row r="100189" spans="21:21" x14ac:dyDescent="0.3">
      <c r="U100189" s="25"/>
    </row>
    <row r="100211" spans="21:21" x14ac:dyDescent="0.3">
      <c r="U100211" s="25"/>
    </row>
    <row r="100233" spans="21:21" x14ac:dyDescent="0.3">
      <c r="U100233" s="25"/>
    </row>
    <row r="100255" spans="21:21" x14ac:dyDescent="0.3">
      <c r="U100255" s="25"/>
    </row>
    <row r="100277" spans="21:21" x14ac:dyDescent="0.3">
      <c r="U100277" s="25"/>
    </row>
    <row r="100299" spans="21:21" x14ac:dyDescent="0.3">
      <c r="U100299" s="25"/>
    </row>
    <row r="100321" spans="21:21" x14ac:dyDescent="0.3">
      <c r="U100321" s="25"/>
    </row>
    <row r="100343" spans="21:21" x14ac:dyDescent="0.3">
      <c r="U100343" s="25"/>
    </row>
    <row r="100365" spans="21:21" x14ac:dyDescent="0.3">
      <c r="U100365" s="25"/>
    </row>
    <row r="100387" spans="21:21" x14ac:dyDescent="0.3">
      <c r="U100387" s="25"/>
    </row>
    <row r="100409" spans="21:21" x14ac:dyDescent="0.3">
      <c r="U100409" s="25"/>
    </row>
    <row r="100431" spans="21:21" x14ac:dyDescent="0.3">
      <c r="U100431" s="25"/>
    </row>
    <row r="100453" spans="21:21" x14ac:dyDescent="0.3">
      <c r="U100453" s="25"/>
    </row>
    <row r="100475" spans="21:21" x14ac:dyDescent="0.3">
      <c r="U100475" s="25"/>
    </row>
    <row r="100497" spans="21:21" x14ac:dyDescent="0.3">
      <c r="U100497" s="25"/>
    </row>
    <row r="100519" spans="21:21" x14ac:dyDescent="0.3">
      <c r="U100519" s="25"/>
    </row>
    <row r="100541" spans="21:21" x14ac:dyDescent="0.3">
      <c r="U100541" s="25"/>
    </row>
    <row r="100563" spans="21:21" x14ac:dyDescent="0.3">
      <c r="U100563" s="25"/>
    </row>
    <row r="100585" spans="21:21" x14ac:dyDescent="0.3">
      <c r="U100585" s="25"/>
    </row>
    <row r="100607" spans="21:21" x14ac:dyDescent="0.3">
      <c r="U100607" s="25"/>
    </row>
    <row r="100629" spans="21:21" x14ac:dyDescent="0.3">
      <c r="U100629" s="25"/>
    </row>
    <row r="100651" spans="21:21" x14ac:dyDescent="0.3">
      <c r="U100651" s="25"/>
    </row>
    <row r="100673" spans="21:21" x14ac:dyDescent="0.3">
      <c r="U100673" s="25"/>
    </row>
    <row r="100695" spans="21:21" x14ac:dyDescent="0.3">
      <c r="U100695" s="25"/>
    </row>
    <row r="100717" spans="21:21" x14ac:dyDescent="0.3">
      <c r="U100717" s="25"/>
    </row>
    <row r="100739" spans="21:21" x14ac:dyDescent="0.3">
      <c r="U100739" s="25"/>
    </row>
    <row r="100761" spans="21:21" x14ac:dyDescent="0.3">
      <c r="U100761" s="25"/>
    </row>
    <row r="100783" spans="21:21" x14ac:dyDescent="0.3">
      <c r="U100783" s="25"/>
    </row>
    <row r="100805" spans="21:21" x14ac:dyDescent="0.3">
      <c r="U100805" s="25"/>
    </row>
    <row r="100827" spans="21:21" x14ac:dyDescent="0.3">
      <c r="U100827" s="25"/>
    </row>
    <row r="100849" spans="21:21" x14ac:dyDescent="0.3">
      <c r="U100849" s="25"/>
    </row>
    <row r="100871" spans="21:21" x14ac:dyDescent="0.3">
      <c r="U100871" s="25"/>
    </row>
    <row r="100893" spans="21:21" x14ac:dyDescent="0.3">
      <c r="U100893" s="25"/>
    </row>
    <row r="100915" spans="21:21" x14ac:dyDescent="0.3">
      <c r="U100915" s="25"/>
    </row>
    <row r="100937" spans="21:21" x14ac:dyDescent="0.3">
      <c r="U100937" s="25"/>
    </row>
    <row r="100959" spans="21:21" x14ac:dyDescent="0.3">
      <c r="U100959" s="25"/>
    </row>
    <row r="100981" spans="21:21" x14ac:dyDescent="0.3">
      <c r="U100981" s="25"/>
    </row>
    <row r="101003" spans="21:21" x14ac:dyDescent="0.3">
      <c r="U101003" s="25"/>
    </row>
    <row r="101025" spans="21:21" x14ac:dyDescent="0.3">
      <c r="U101025" s="25"/>
    </row>
    <row r="101047" spans="21:21" x14ac:dyDescent="0.3">
      <c r="U101047" s="25"/>
    </row>
    <row r="101069" spans="21:21" x14ac:dyDescent="0.3">
      <c r="U101069" s="25"/>
    </row>
    <row r="101091" spans="21:21" x14ac:dyDescent="0.3">
      <c r="U101091" s="25"/>
    </row>
    <row r="101113" spans="21:21" x14ac:dyDescent="0.3">
      <c r="U101113" s="25"/>
    </row>
    <row r="101135" spans="21:21" x14ac:dyDescent="0.3">
      <c r="U101135" s="25"/>
    </row>
    <row r="101157" spans="21:21" x14ac:dyDescent="0.3">
      <c r="U101157" s="25"/>
    </row>
    <row r="101179" spans="21:21" x14ac:dyDescent="0.3">
      <c r="U101179" s="25"/>
    </row>
    <row r="101201" spans="21:21" x14ac:dyDescent="0.3">
      <c r="U101201" s="25"/>
    </row>
    <row r="101223" spans="21:21" x14ac:dyDescent="0.3">
      <c r="U101223" s="25"/>
    </row>
    <row r="101245" spans="21:21" x14ac:dyDescent="0.3">
      <c r="U101245" s="25"/>
    </row>
    <row r="101267" spans="21:21" x14ac:dyDescent="0.3">
      <c r="U101267" s="25"/>
    </row>
    <row r="101289" spans="21:21" x14ac:dyDescent="0.3">
      <c r="U101289" s="25"/>
    </row>
    <row r="101311" spans="21:21" x14ac:dyDescent="0.3">
      <c r="U101311" s="25"/>
    </row>
    <row r="101333" spans="21:21" x14ac:dyDescent="0.3">
      <c r="U101333" s="25"/>
    </row>
    <row r="101355" spans="21:21" x14ac:dyDescent="0.3">
      <c r="U101355" s="25"/>
    </row>
    <row r="101377" spans="21:21" x14ac:dyDescent="0.3">
      <c r="U101377" s="25"/>
    </row>
    <row r="101399" spans="21:21" x14ac:dyDescent="0.3">
      <c r="U101399" s="25"/>
    </row>
    <row r="101421" spans="21:21" x14ac:dyDescent="0.3">
      <c r="U101421" s="25"/>
    </row>
    <row r="101443" spans="21:21" x14ac:dyDescent="0.3">
      <c r="U101443" s="25"/>
    </row>
    <row r="101465" spans="21:21" x14ac:dyDescent="0.3">
      <c r="U101465" s="25"/>
    </row>
    <row r="101487" spans="21:21" x14ac:dyDescent="0.3">
      <c r="U101487" s="25"/>
    </row>
    <row r="101509" spans="21:21" x14ac:dyDescent="0.3">
      <c r="U101509" s="25"/>
    </row>
    <row r="101531" spans="21:21" x14ac:dyDescent="0.3">
      <c r="U101531" s="25"/>
    </row>
    <row r="101553" spans="21:21" x14ac:dyDescent="0.3">
      <c r="U101553" s="25"/>
    </row>
    <row r="101575" spans="21:21" x14ac:dyDescent="0.3">
      <c r="U101575" s="25"/>
    </row>
    <row r="101597" spans="21:21" x14ac:dyDescent="0.3">
      <c r="U101597" s="25"/>
    </row>
    <row r="101619" spans="21:21" x14ac:dyDescent="0.3">
      <c r="U101619" s="25"/>
    </row>
    <row r="101641" spans="21:21" x14ac:dyDescent="0.3">
      <c r="U101641" s="25"/>
    </row>
    <row r="101663" spans="21:21" x14ac:dyDescent="0.3">
      <c r="U101663" s="25"/>
    </row>
    <row r="101685" spans="21:21" x14ac:dyDescent="0.3">
      <c r="U101685" s="25"/>
    </row>
    <row r="101707" spans="21:21" x14ac:dyDescent="0.3">
      <c r="U101707" s="25"/>
    </row>
    <row r="101729" spans="21:21" x14ac:dyDescent="0.3">
      <c r="U101729" s="25"/>
    </row>
    <row r="101751" spans="21:21" x14ac:dyDescent="0.3">
      <c r="U101751" s="25"/>
    </row>
    <row r="101773" spans="21:21" x14ac:dyDescent="0.3">
      <c r="U101773" s="25"/>
    </row>
    <row r="101795" spans="21:21" x14ac:dyDescent="0.3">
      <c r="U101795" s="25"/>
    </row>
    <row r="101817" spans="21:21" x14ac:dyDescent="0.3">
      <c r="U101817" s="25"/>
    </row>
    <row r="101839" spans="21:21" x14ac:dyDescent="0.3">
      <c r="U101839" s="25"/>
    </row>
    <row r="101861" spans="21:21" x14ac:dyDescent="0.3">
      <c r="U101861" s="25"/>
    </row>
    <row r="101883" spans="21:21" x14ac:dyDescent="0.3">
      <c r="U101883" s="25"/>
    </row>
    <row r="101905" spans="21:21" x14ac:dyDescent="0.3">
      <c r="U101905" s="25"/>
    </row>
    <row r="101927" spans="21:21" x14ac:dyDescent="0.3">
      <c r="U101927" s="25"/>
    </row>
    <row r="101949" spans="21:21" x14ac:dyDescent="0.3">
      <c r="U101949" s="25"/>
    </row>
    <row r="101971" spans="21:21" x14ac:dyDescent="0.3">
      <c r="U101971" s="25"/>
    </row>
    <row r="101993" spans="21:21" x14ac:dyDescent="0.3">
      <c r="U101993" s="25"/>
    </row>
    <row r="102015" spans="21:21" x14ac:dyDescent="0.3">
      <c r="U102015" s="25"/>
    </row>
    <row r="102037" spans="21:21" x14ac:dyDescent="0.3">
      <c r="U102037" s="25"/>
    </row>
    <row r="102059" spans="21:21" x14ac:dyDescent="0.3">
      <c r="U102059" s="25"/>
    </row>
    <row r="102081" spans="21:21" x14ac:dyDescent="0.3">
      <c r="U102081" s="25"/>
    </row>
    <row r="102103" spans="21:21" x14ac:dyDescent="0.3">
      <c r="U102103" s="25"/>
    </row>
    <row r="102125" spans="21:21" x14ac:dyDescent="0.3">
      <c r="U102125" s="25"/>
    </row>
    <row r="102147" spans="21:21" x14ac:dyDescent="0.3">
      <c r="U102147" s="25"/>
    </row>
    <row r="102169" spans="21:21" x14ac:dyDescent="0.3">
      <c r="U102169" s="25"/>
    </row>
    <row r="102191" spans="21:21" x14ac:dyDescent="0.3">
      <c r="U102191" s="25"/>
    </row>
    <row r="102213" spans="21:21" x14ac:dyDescent="0.3">
      <c r="U102213" s="25"/>
    </row>
    <row r="102235" spans="21:21" x14ac:dyDescent="0.3">
      <c r="U102235" s="25"/>
    </row>
    <row r="102257" spans="21:21" x14ac:dyDescent="0.3">
      <c r="U102257" s="25"/>
    </row>
    <row r="102279" spans="21:21" x14ac:dyDescent="0.3">
      <c r="U102279" s="25"/>
    </row>
    <row r="102301" spans="21:21" x14ac:dyDescent="0.3">
      <c r="U102301" s="25"/>
    </row>
    <row r="102323" spans="21:21" x14ac:dyDescent="0.3">
      <c r="U102323" s="25"/>
    </row>
    <row r="102345" spans="21:21" x14ac:dyDescent="0.3">
      <c r="U102345" s="25"/>
    </row>
    <row r="102367" spans="21:21" x14ac:dyDescent="0.3">
      <c r="U102367" s="25"/>
    </row>
    <row r="102389" spans="21:21" x14ac:dyDescent="0.3">
      <c r="U102389" s="25"/>
    </row>
    <row r="102411" spans="21:21" x14ac:dyDescent="0.3">
      <c r="U102411" s="25"/>
    </row>
    <row r="102433" spans="21:21" x14ac:dyDescent="0.3">
      <c r="U102433" s="25"/>
    </row>
    <row r="102455" spans="21:21" x14ac:dyDescent="0.3">
      <c r="U102455" s="25"/>
    </row>
    <row r="102477" spans="21:21" x14ac:dyDescent="0.3">
      <c r="U102477" s="25"/>
    </row>
    <row r="102499" spans="21:21" x14ac:dyDescent="0.3">
      <c r="U102499" s="25"/>
    </row>
    <row r="102521" spans="21:21" x14ac:dyDescent="0.3">
      <c r="U102521" s="25"/>
    </row>
    <row r="102543" spans="21:21" x14ac:dyDescent="0.3">
      <c r="U102543" s="25"/>
    </row>
    <row r="102565" spans="21:21" x14ac:dyDescent="0.3">
      <c r="U102565" s="25"/>
    </row>
    <row r="102587" spans="21:21" x14ac:dyDescent="0.3">
      <c r="U102587" s="25"/>
    </row>
    <row r="102609" spans="21:21" x14ac:dyDescent="0.3">
      <c r="U102609" s="25"/>
    </row>
    <row r="102631" spans="21:21" x14ac:dyDescent="0.3">
      <c r="U102631" s="25"/>
    </row>
    <row r="102653" spans="21:21" x14ac:dyDescent="0.3">
      <c r="U102653" s="25"/>
    </row>
    <row r="102675" spans="21:21" x14ac:dyDescent="0.3">
      <c r="U102675" s="25"/>
    </row>
    <row r="102697" spans="21:21" x14ac:dyDescent="0.3">
      <c r="U102697" s="25"/>
    </row>
    <row r="102719" spans="21:21" x14ac:dyDescent="0.3">
      <c r="U102719" s="25"/>
    </row>
    <row r="102741" spans="21:21" x14ac:dyDescent="0.3">
      <c r="U102741" s="25"/>
    </row>
    <row r="102763" spans="21:21" x14ac:dyDescent="0.3">
      <c r="U102763" s="25"/>
    </row>
    <row r="102785" spans="21:21" x14ac:dyDescent="0.3">
      <c r="U102785" s="25"/>
    </row>
    <row r="102807" spans="21:21" x14ac:dyDescent="0.3">
      <c r="U102807" s="25"/>
    </row>
    <row r="102829" spans="21:21" x14ac:dyDescent="0.3">
      <c r="U102829" s="25"/>
    </row>
    <row r="102851" spans="21:21" x14ac:dyDescent="0.3">
      <c r="U102851" s="25"/>
    </row>
    <row r="102873" spans="21:21" x14ac:dyDescent="0.3">
      <c r="U102873" s="25"/>
    </row>
    <row r="102895" spans="21:21" x14ac:dyDescent="0.3">
      <c r="U102895" s="25"/>
    </row>
    <row r="102917" spans="21:21" x14ac:dyDescent="0.3">
      <c r="U102917" s="25"/>
    </row>
    <row r="102939" spans="21:21" x14ac:dyDescent="0.3">
      <c r="U102939" s="25"/>
    </row>
    <row r="102961" spans="21:21" x14ac:dyDescent="0.3">
      <c r="U102961" s="25"/>
    </row>
    <row r="102983" spans="21:21" x14ac:dyDescent="0.3">
      <c r="U102983" s="25"/>
    </row>
    <row r="103005" spans="21:21" x14ac:dyDescent="0.3">
      <c r="U103005" s="25"/>
    </row>
    <row r="103027" spans="21:21" x14ac:dyDescent="0.3">
      <c r="U103027" s="25"/>
    </row>
    <row r="103049" spans="21:21" x14ac:dyDescent="0.3">
      <c r="U103049" s="25"/>
    </row>
    <row r="103071" spans="21:21" x14ac:dyDescent="0.3">
      <c r="U103071" s="25"/>
    </row>
    <row r="103093" spans="21:21" x14ac:dyDescent="0.3">
      <c r="U103093" s="25"/>
    </row>
    <row r="103115" spans="21:21" x14ac:dyDescent="0.3">
      <c r="U103115" s="25"/>
    </row>
    <row r="103137" spans="21:21" x14ac:dyDescent="0.3">
      <c r="U103137" s="25"/>
    </row>
    <row r="103159" spans="21:21" x14ac:dyDescent="0.3">
      <c r="U103159" s="25"/>
    </row>
    <row r="103181" spans="21:21" x14ac:dyDescent="0.3">
      <c r="U103181" s="25"/>
    </row>
    <row r="103203" spans="21:21" x14ac:dyDescent="0.3">
      <c r="U103203" s="25"/>
    </row>
    <row r="103225" spans="21:21" x14ac:dyDescent="0.3">
      <c r="U103225" s="25"/>
    </row>
    <row r="103247" spans="21:21" x14ac:dyDescent="0.3">
      <c r="U103247" s="25"/>
    </row>
    <row r="103269" spans="21:21" x14ac:dyDescent="0.3">
      <c r="U103269" s="25"/>
    </row>
    <row r="103291" spans="21:21" x14ac:dyDescent="0.3">
      <c r="U103291" s="25"/>
    </row>
    <row r="103313" spans="21:21" x14ac:dyDescent="0.3">
      <c r="U103313" s="25"/>
    </row>
    <row r="103335" spans="21:21" x14ac:dyDescent="0.3">
      <c r="U103335" s="25"/>
    </row>
    <row r="103357" spans="21:21" x14ac:dyDescent="0.3">
      <c r="U103357" s="25"/>
    </row>
    <row r="103379" spans="21:21" x14ac:dyDescent="0.3">
      <c r="U103379" s="25"/>
    </row>
    <row r="103401" spans="21:21" x14ac:dyDescent="0.3">
      <c r="U103401" s="25"/>
    </row>
    <row r="103423" spans="21:21" x14ac:dyDescent="0.3">
      <c r="U103423" s="25"/>
    </row>
    <row r="103445" spans="21:21" x14ac:dyDescent="0.3">
      <c r="U103445" s="25"/>
    </row>
    <row r="103467" spans="21:21" x14ac:dyDescent="0.3">
      <c r="U103467" s="25"/>
    </row>
    <row r="103489" spans="21:21" x14ac:dyDescent="0.3">
      <c r="U103489" s="25"/>
    </row>
    <row r="103511" spans="21:21" x14ac:dyDescent="0.3">
      <c r="U103511" s="25"/>
    </row>
    <row r="103533" spans="21:21" x14ac:dyDescent="0.3">
      <c r="U103533" s="25"/>
    </row>
    <row r="103555" spans="21:21" x14ac:dyDescent="0.3">
      <c r="U103555" s="25"/>
    </row>
    <row r="103577" spans="21:21" x14ac:dyDescent="0.3">
      <c r="U103577" s="25"/>
    </row>
    <row r="103599" spans="21:21" x14ac:dyDescent="0.3">
      <c r="U103599" s="25"/>
    </row>
    <row r="103621" spans="21:21" x14ac:dyDescent="0.3">
      <c r="U103621" s="25"/>
    </row>
    <row r="103643" spans="21:21" x14ac:dyDescent="0.3">
      <c r="U103643" s="25"/>
    </row>
    <row r="103665" spans="21:21" x14ac:dyDescent="0.3">
      <c r="U103665" s="25"/>
    </row>
    <row r="103687" spans="21:21" x14ac:dyDescent="0.3">
      <c r="U103687" s="25"/>
    </row>
    <row r="103709" spans="21:21" x14ac:dyDescent="0.3">
      <c r="U103709" s="25"/>
    </row>
    <row r="103731" spans="21:21" x14ac:dyDescent="0.3">
      <c r="U103731" s="25"/>
    </row>
    <row r="103753" spans="21:21" x14ac:dyDescent="0.3">
      <c r="U103753" s="25"/>
    </row>
    <row r="103775" spans="21:21" x14ac:dyDescent="0.3">
      <c r="U103775" s="25"/>
    </row>
    <row r="103797" spans="21:21" x14ac:dyDescent="0.3">
      <c r="U103797" s="25"/>
    </row>
    <row r="103819" spans="21:21" x14ac:dyDescent="0.3">
      <c r="U103819" s="25"/>
    </row>
    <row r="103841" spans="21:21" x14ac:dyDescent="0.3">
      <c r="U103841" s="25"/>
    </row>
    <row r="103863" spans="21:21" x14ac:dyDescent="0.3">
      <c r="U103863" s="25"/>
    </row>
    <row r="103885" spans="21:21" x14ac:dyDescent="0.3">
      <c r="U103885" s="25"/>
    </row>
    <row r="103907" spans="21:21" x14ac:dyDescent="0.3">
      <c r="U103907" s="25"/>
    </row>
    <row r="103929" spans="21:21" x14ac:dyDescent="0.3">
      <c r="U103929" s="25"/>
    </row>
    <row r="103951" spans="21:21" x14ac:dyDescent="0.3">
      <c r="U103951" s="25"/>
    </row>
    <row r="103973" spans="21:21" x14ac:dyDescent="0.3">
      <c r="U103973" s="25"/>
    </row>
    <row r="103995" spans="21:21" x14ac:dyDescent="0.3">
      <c r="U103995" s="25"/>
    </row>
    <row r="104017" spans="21:21" x14ac:dyDescent="0.3">
      <c r="U104017" s="25"/>
    </row>
    <row r="104039" spans="21:21" x14ac:dyDescent="0.3">
      <c r="U104039" s="25"/>
    </row>
    <row r="104061" spans="21:21" x14ac:dyDescent="0.3">
      <c r="U104061" s="25"/>
    </row>
    <row r="104083" spans="21:21" x14ac:dyDescent="0.3">
      <c r="U104083" s="25"/>
    </row>
    <row r="104105" spans="21:21" x14ac:dyDescent="0.3">
      <c r="U104105" s="25"/>
    </row>
    <row r="104127" spans="21:21" x14ac:dyDescent="0.3">
      <c r="U104127" s="25"/>
    </row>
    <row r="104149" spans="21:21" x14ac:dyDescent="0.3">
      <c r="U104149" s="25"/>
    </row>
    <row r="104171" spans="21:21" x14ac:dyDescent="0.3">
      <c r="U104171" s="25"/>
    </row>
    <row r="104193" spans="21:21" x14ac:dyDescent="0.3">
      <c r="U104193" s="25"/>
    </row>
    <row r="104215" spans="21:21" x14ac:dyDescent="0.3">
      <c r="U104215" s="25"/>
    </row>
    <row r="104237" spans="21:21" x14ac:dyDescent="0.3">
      <c r="U104237" s="25"/>
    </row>
    <row r="104259" spans="21:21" x14ac:dyDescent="0.3">
      <c r="U104259" s="25"/>
    </row>
    <row r="104281" spans="21:21" x14ac:dyDescent="0.3">
      <c r="U104281" s="25"/>
    </row>
    <row r="104303" spans="21:21" x14ac:dyDescent="0.3">
      <c r="U104303" s="25"/>
    </row>
    <row r="104325" spans="21:21" x14ac:dyDescent="0.3">
      <c r="U104325" s="25"/>
    </row>
    <row r="104347" spans="21:21" x14ac:dyDescent="0.3">
      <c r="U104347" s="25"/>
    </row>
    <row r="104369" spans="21:21" x14ac:dyDescent="0.3">
      <c r="U104369" s="25"/>
    </row>
    <row r="104391" spans="21:21" x14ac:dyDescent="0.3">
      <c r="U104391" s="25"/>
    </row>
    <row r="104413" spans="21:21" x14ac:dyDescent="0.3">
      <c r="U104413" s="25"/>
    </row>
    <row r="104435" spans="21:21" x14ac:dyDescent="0.3">
      <c r="U104435" s="25"/>
    </row>
    <row r="104457" spans="21:21" x14ac:dyDescent="0.3">
      <c r="U104457" s="25"/>
    </row>
    <row r="104479" spans="21:21" x14ac:dyDescent="0.3">
      <c r="U104479" s="25"/>
    </row>
    <row r="104501" spans="21:21" x14ac:dyDescent="0.3">
      <c r="U104501" s="25"/>
    </row>
    <row r="104523" spans="21:21" x14ac:dyDescent="0.3">
      <c r="U104523" s="25"/>
    </row>
    <row r="104545" spans="21:21" x14ac:dyDescent="0.3">
      <c r="U104545" s="25"/>
    </row>
    <row r="104567" spans="21:21" x14ac:dyDescent="0.3">
      <c r="U104567" s="25"/>
    </row>
    <row r="104589" spans="21:21" x14ac:dyDescent="0.3">
      <c r="U104589" s="25"/>
    </row>
    <row r="104611" spans="21:21" x14ac:dyDescent="0.3">
      <c r="U104611" s="25"/>
    </row>
    <row r="104633" spans="21:21" x14ac:dyDescent="0.3">
      <c r="U104633" s="25"/>
    </row>
    <row r="104655" spans="21:21" x14ac:dyDescent="0.3">
      <c r="U104655" s="25"/>
    </row>
    <row r="104677" spans="21:21" x14ac:dyDescent="0.3">
      <c r="U104677" s="25"/>
    </row>
    <row r="104699" spans="21:21" x14ac:dyDescent="0.3">
      <c r="U104699" s="25"/>
    </row>
    <row r="104721" spans="21:21" x14ac:dyDescent="0.3">
      <c r="U104721" s="25"/>
    </row>
    <row r="104743" spans="21:21" x14ac:dyDescent="0.3">
      <c r="U104743" s="25"/>
    </row>
    <row r="104765" spans="21:21" x14ac:dyDescent="0.3">
      <c r="U104765" s="25"/>
    </row>
    <row r="104787" spans="21:21" x14ac:dyDescent="0.3">
      <c r="U104787" s="25"/>
    </row>
    <row r="104809" spans="21:21" x14ac:dyDescent="0.3">
      <c r="U104809" s="25"/>
    </row>
    <row r="104831" spans="21:21" x14ac:dyDescent="0.3">
      <c r="U104831" s="25"/>
    </row>
    <row r="104853" spans="21:21" x14ac:dyDescent="0.3">
      <c r="U104853" s="25"/>
    </row>
    <row r="104875" spans="21:21" x14ac:dyDescent="0.3">
      <c r="U104875" s="25"/>
    </row>
    <row r="104897" spans="21:21" x14ac:dyDescent="0.3">
      <c r="U104897" s="25"/>
    </row>
    <row r="104919" spans="21:21" x14ac:dyDescent="0.3">
      <c r="U104919" s="25"/>
    </row>
    <row r="104941" spans="21:21" x14ac:dyDescent="0.3">
      <c r="U104941" s="25"/>
    </row>
    <row r="104963" spans="21:21" x14ac:dyDescent="0.3">
      <c r="U104963" s="25"/>
    </row>
    <row r="104985" spans="21:21" x14ac:dyDescent="0.3">
      <c r="U104985" s="25"/>
    </row>
    <row r="105007" spans="21:21" x14ac:dyDescent="0.3">
      <c r="U105007" s="25"/>
    </row>
    <row r="105029" spans="21:21" x14ac:dyDescent="0.3">
      <c r="U105029" s="25"/>
    </row>
    <row r="105051" spans="21:21" x14ac:dyDescent="0.3">
      <c r="U105051" s="25"/>
    </row>
    <row r="105073" spans="21:21" x14ac:dyDescent="0.3">
      <c r="U105073" s="25"/>
    </row>
    <row r="105095" spans="21:21" x14ac:dyDescent="0.3">
      <c r="U105095" s="25"/>
    </row>
    <row r="105117" spans="21:21" x14ac:dyDescent="0.3">
      <c r="U105117" s="25"/>
    </row>
    <row r="105139" spans="21:21" x14ac:dyDescent="0.3">
      <c r="U105139" s="25"/>
    </row>
    <row r="105161" spans="21:21" x14ac:dyDescent="0.3">
      <c r="U105161" s="25"/>
    </row>
    <row r="105183" spans="21:21" x14ac:dyDescent="0.3">
      <c r="U105183" s="25"/>
    </row>
    <row r="105205" spans="21:21" x14ac:dyDescent="0.3">
      <c r="U105205" s="25"/>
    </row>
    <row r="105227" spans="21:21" x14ac:dyDescent="0.3">
      <c r="U105227" s="25"/>
    </row>
    <row r="105249" spans="21:21" x14ac:dyDescent="0.3">
      <c r="U105249" s="25"/>
    </row>
    <row r="105271" spans="21:21" x14ac:dyDescent="0.3">
      <c r="U105271" s="25"/>
    </row>
    <row r="105293" spans="21:21" x14ac:dyDescent="0.3">
      <c r="U105293" s="25"/>
    </row>
    <row r="105315" spans="21:21" x14ac:dyDescent="0.3">
      <c r="U105315" s="25"/>
    </row>
    <row r="105337" spans="21:21" x14ac:dyDescent="0.3">
      <c r="U105337" s="25"/>
    </row>
    <row r="105359" spans="21:21" x14ac:dyDescent="0.3">
      <c r="U105359" s="25"/>
    </row>
    <row r="105381" spans="21:21" x14ac:dyDescent="0.3">
      <c r="U105381" s="25"/>
    </row>
    <row r="105403" spans="21:21" x14ac:dyDescent="0.3">
      <c r="U105403" s="25"/>
    </row>
    <row r="105425" spans="21:21" x14ac:dyDescent="0.3">
      <c r="U105425" s="25"/>
    </row>
    <row r="105447" spans="21:21" x14ac:dyDescent="0.3">
      <c r="U105447" s="25"/>
    </row>
    <row r="105469" spans="21:21" x14ac:dyDescent="0.3">
      <c r="U105469" s="25"/>
    </row>
    <row r="105491" spans="21:21" x14ac:dyDescent="0.3">
      <c r="U105491" s="25"/>
    </row>
    <row r="105513" spans="21:21" x14ac:dyDescent="0.3">
      <c r="U105513" s="25"/>
    </row>
    <row r="105535" spans="21:21" x14ac:dyDescent="0.3">
      <c r="U105535" s="25"/>
    </row>
    <row r="105557" spans="21:21" x14ac:dyDescent="0.3">
      <c r="U105557" s="25"/>
    </row>
    <row r="105579" spans="21:21" x14ac:dyDescent="0.3">
      <c r="U105579" s="25"/>
    </row>
    <row r="105601" spans="21:21" x14ac:dyDescent="0.3">
      <c r="U105601" s="25"/>
    </row>
    <row r="105623" spans="21:21" x14ac:dyDescent="0.3">
      <c r="U105623" s="25"/>
    </row>
    <row r="105645" spans="21:21" x14ac:dyDescent="0.3">
      <c r="U105645" s="25"/>
    </row>
    <row r="105667" spans="21:21" x14ac:dyDescent="0.3">
      <c r="U105667" s="25"/>
    </row>
    <row r="105689" spans="21:21" x14ac:dyDescent="0.3">
      <c r="U105689" s="25"/>
    </row>
    <row r="105711" spans="21:21" x14ac:dyDescent="0.3">
      <c r="U105711" s="25"/>
    </row>
    <row r="105733" spans="21:21" x14ac:dyDescent="0.3">
      <c r="U105733" s="25"/>
    </row>
    <row r="105755" spans="21:21" x14ac:dyDescent="0.3">
      <c r="U105755" s="25"/>
    </row>
    <row r="105777" spans="21:21" x14ac:dyDescent="0.3">
      <c r="U105777" s="25"/>
    </row>
    <row r="105799" spans="21:21" x14ac:dyDescent="0.3">
      <c r="U105799" s="25"/>
    </row>
    <row r="105821" spans="21:21" x14ac:dyDescent="0.3">
      <c r="U105821" s="25"/>
    </row>
    <row r="105843" spans="21:21" x14ac:dyDescent="0.3">
      <c r="U105843" s="25"/>
    </row>
    <row r="105865" spans="21:21" x14ac:dyDescent="0.3">
      <c r="U105865" s="25"/>
    </row>
    <row r="105887" spans="21:21" x14ac:dyDescent="0.3">
      <c r="U105887" s="25"/>
    </row>
    <row r="105909" spans="21:21" x14ac:dyDescent="0.3">
      <c r="U105909" s="25"/>
    </row>
    <row r="105931" spans="21:21" x14ac:dyDescent="0.3">
      <c r="U105931" s="25"/>
    </row>
    <row r="105953" spans="21:21" x14ac:dyDescent="0.3">
      <c r="U105953" s="25"/>
    </row>
    <row r="105975" spans="21:21" x14ac:dyDescent="0.3">
      <c r="U105975" s="25"/>
    </row>
    <row r="105997" spans="21:21" x14ac:dyDescent="0.3">
      <c r="U105997" s="25"/>
    </row>
    <row r="106019" spans="21:21" x14ac:dyDescent="0.3">
      <c r="U106019" s="25"/>
    </row>
    <row r="106041" spans="21:21" x14ac:dyDescent="0.3">
      <c r="U106041" s="25"/>
    </row>
    <row r="106063" spans="21:21" x14ac:dyDescent="0.3">
      <c r="U106063" s="25"/>
    </row>
    <row r="106085" spans="21:21" x14ac:dyDescent="0.3">
      <c r="U106085" s="25"/>
    </row>
    <row r="106107" spans="21:21" x14ac:dyDescent="0.3">
      <c r="U106107" s="25"/>
    </row>
    <row r="106129" spans="21:21" x14ac:dyDescent="0.3">
      <c r="U106129" s="25"/>
    </row>
    <row r="106151" spans="21:21" x14ac:dyDescent="0.3">
      <c r="U106151" s="25"/>
    </row>
    <row r="106173" spans="21:21" x14ac:dyDescent="0.3">
      <c r="U106173" s="25"/>
    </row>
    <row r="106195" spans="21:21" x14ac:dyDescent="0.3">
      <c r="U106195" s="25"/>
    </row>
    <row r="106217" spans="21:21" x14ac:dyDescent="0.3">
      <c r="U106217" s="25"/>
    </row>
    <row r="106239" spans="21:21" x14ac:dyDescent="0.3">
      <c r="U106239" s="25"/>
    </row>
    <row r="106261" spans="21:21" x14ac:dyDescent="0.3">
      <c r="U106261" s="25"/>
    </row>
    <row r="106283" spans="21:21" x14ac:dyDescent="0.3">
      <c r="U106283" s="25"/>
    </row>
    <row r="106305" spans="21:21" x14ac:dyDescent="0.3">
      <c r="U106305" s="25"/>
    </row>
    <row r="106327" spans="21:21" x14ac:dyDescent="0.3">
      <c r="U106327" s="25"/>
    </row>
    <row r="106349" spans="21:21" x14ac:dyDescent="0.3">
      <c r="U106349" s="25"/>
    </row>
    <row r="106371" spans="21:21" x14ac:dyDescent="0.3">
      <c r="U106371" s="25"/>
    </row>
    <row r="106393" spans="21:21" x14ac:dyDescent="0.3">
      <c r="U106393" s="25"/>
    </row>
    <row r="106415" spans="21:21" x14ac:dyDescent="0.3">
      <c r="U106415" s="25"/>
    </row>
    <row r="106437" spans="21:21" x14ac:dyDescent="0.3">
      <c r="U106437" s="25"/>
    </row>
    <row r="106459" spans="21:21" x14ac:dyDescent="0.3">
      <c r="U106459" s="25"/>
    </row>
    <row r="106481" spans="21:21" x14ac:dyDescent="0.3">
      <c r="U106481" s="25"/>
    </row>
    <row r="106503" spans="21:21" x14ac:dyDescent="0.3">
      <c r="U106503" s="25"/>
    </row>
    <row r="106525" spans="21:21" x14ac:dyDescent="0.3">
      <c r="U106525" s="25"/>
    </row>
    <row r="106547" spans="21:21" x14ac:dyDescent="0.3">
      <c r="U106547" s="25"/>
    </row>
    <row r="106569" spans="21:21" x14ac:dyDescent="0.3">
      <c r="U106569" s="25"/>
    </row>
    <row r="106591" spans="21:21" x14ac:dyDescent="0.3">
      <c r="U106591" s="25"/>
    </row>
    <row r="106613" spans="21:21" x14ac:dyDescent="0.3">
      <c r="U106613" s="25"/>
    </row>
    <row r="106635" spans="21:21" x14ac:dyDescent="0.3">
      <c r="U106635" s="25"/>
    </row>
    <row r="106657" spans="21:21" x14ac:dyDescent="0.3">
      <c r="U106657" s="25"/>
    </row>
    <row r="106679" spans="21:21" x14ac:dyDescent="0.3">
      <c r="U106679" s="25"/>
    </row>
    <row r="106701" spans="21:21" x14ac:dyDescent="0.3">
      <c r="U106701" s="25"/>
    </row>
    <row r="106723" spans="21:21" x14ac:dyDescent="0.3">
      <c r="U106723" s="25"/>
    </row>
    <row r="106745" spans="21:21" x14ac:dyDescent="0.3">
      <c r="U106745" s="25"/>
    </row>
    <row r="106767" spans="21:21" x14ac:dyDescent="0.3">
      <c r="U106767" s="25"/>
    </row>
    <row r="106789" spans="21:21" x14ac:dyDescent="0.3">
      <c r="U106789" s="25"/>
    </row>
    <row r="106811" spans="21:21" x14ac:dyDescent="0.3">
      <c r="U106811" s="25"/>
    </row>
    <row r="106833" spans="21:21" x14ac:dyDescent="0.3">
      <c r="U106833" s="25"/>
    </row>
    <row r="106855" spans="21:21" x14ac:dyDescent="0.3">
      <c r="U106855" s="25"/>
    </row>
    <row r="106877" spans="21:21" x14ac:dyDescent="0.3">
      <c r="U106877" s="25"/>
    </row>
    <row r="106899" spans="21:21" x14ac:dyDescent="0.3">
      <c r="U106899" s="25"/>
    </row>
    <row r="106921" spans="21:21" x14ac:dyDescent="0.3">
      <c r="U106921" s="25"/>
    </row>
    <row r="106943" spans="21:21" x14ac:dyDescent="0.3">
      <c r="U106943" s="25"/>
    </row>
    <row r="106965" spans="21:21" x14ac:dyDescent="0.3">
      <c r="U106965" s="25"/>
    </row>
    <row r="106987" spans="21:21" x14ac:dyDescent="0.3">
      <c r="U106987" s="25"/>
    </row>
    <row r="107009" spans="21:21" x14ac:dyDescent="0.3">
      <c r="U107009" s="25"/>
    </row>
    <row r="107031" spans="21:21" x14ac:dyDescent="0.3">
      <c r="U107031" s="25"/>
    </row>
    <row r="107053" spans="21:21" x14ac:dyDescent="0.3">
      <c r="U107053" s="25"/>
    </row>
    <row r="107075" spans="21:21" x14ac:dyDescent="0.3">
      <c r="U107075" s="25"/>
    </row>
    <row r="107097" spans="21:21" x14ac:dyDescent="0.3">
      <c r="U107097" s="25"/>
    </row>
    <row r="107119" spans="21:21" x14ac:dyDescent="0.3">
      <c r="U107119" s="25"/>
    </row>
    <row r="107141" spans="21:21" x14ac:dyDescent="0.3">
      <c r="U107141" s="25"/>
    </row>
    <row r="107163" spans="21:21" x14ac:dyDescent="0.3">
      <c r="U107163" s="25"/>
    </row>
    <row r="107185" spans="21:21" x14ac:dyDescent="0.3">
      <c r="U107185" s="25"/>
    </row>
    <row r="107207" spans="21:21" x14ac:dyDescent="0.3">
      <c r="U107207" s="25"/>
    </row>
    <row r="107229" spans="21:21" x14ac:dyDescent="0.3">
      <c r="U107229" s="25"/>
    </row>
    <row r="107251" spans="21:21" x14ac:dyDescent="0.3">
      <c r="U107251" s="25"/>
    </row>
    <row r="107273" spans="21:21" x14ac:dyDescent="0.3">
      <c r="U107273" s="25"/>
    </row>
    <row r="107295" spans="21:21" x14ac:dyDescent="0.3">
      <c r="U107295" s="25"/>
    </row>
    <row r="107317" spans="21:21" x14ac:dyDescent="0.3">
      <c r="U107317" s="25"/>
    </row>
    <row r="107339" spans="21:21" x14ac:dyDescent="0.3">
      <c r="U107339" s="25"/>
    </row>
    <row r="107361" spans="21:21" x14ac:dyDescent="0.3">
      <c r="U107361" s="25"/>
    </row>
    <row r="107383" spans="21:21" x14ac:dyDescent="0.3">
      <c r="U107383" s="25"/>
    </row>
    <row r="107405" spans="21:21" x14ac:dyDescent="0.3">
      <c r="U107405" s="25"/>
    </row>
    <row r="107427" spans="21:21" x14ac:dyDescent="0.3">
      <c r="U107427" s="25"/>
    </row>
    <row r="107449" spans="21:21" x14ac:dyDescent="0.3">
      <c r="U107449" s="25"/>
    </row>
    <row r="107471" spans="21:21" x14ac:dyDescent="0.3">
      <c r="U107471" s="25"/>
    </row>
    <row r="107493" spans="21:21" x14ac:dyDescent="0.3">
      <c r="U107493" s="25"/>
    </row>
    <row r="107515" spans="21:21" x14ac:dyDescent="0.3">
      <c r="U107515" s="25"/>
    </row>
    <row r="107537" spans="21:21" x14ac:dyDescent="0.3">
      <c r="U107537" s="25"/>
    </row>
    <row r="107559" spans="21:21" x14ac:dyDescent="0.3">
      <c r="U107559" s="25"/>
    </row>
    <row r="107581" spans="21:21" x14ac:dyDescent="0.3">
      <c r="U107581" s="25"/>
    </row>
    <row r="107603" spans="21:21" x14ac:dyDescent="0.3">
      <c r="U107603" s="25"/>
    </row>
    <row r="107625" spans="21:21" x14ac:dyDescent="0.3">
      <c r="U107625" s="25"/>
    </row>
    <row r="107647" spans="21:21" x14ac:dyDescent="0.3">
      <c r="U107647" s="25"/>
    </row>
    <row r="107669" spans="21:21" x14ac:dyDescent="0.3">
      <c r="U107669" s="25"/>
    </row>
    <row r="107691" spans="21:21" x14ac:dyDescent="0.3">
      <c r="U107691" s="25"/>
    </row>
    <row r="107713" spans="21:21" x14ac:dyDescent="0.3">
      <c r="U107713" s="25"/>
    </row>
    <row r="107735" spans="21:21" x14ac:dyDescent="0.3">
      <c r="U107735" s="25"/>
    </row>
    <row r="107757" spans="21:21" x14ac:dyDescent="0.3">
      <c r="U107757" s="25"/>
    </row>
    <row r="107779" spans="21:21" x14ac:dyDescent="0.3">
      <c r="U107779" s="25"/>
    </row>
    <row r="107801" spans="21:21" x14ac:dyDescent="0.3">
      <c r="U107801" s="25"/>
    </row>
    <row r="107823" spans="21:21" x14ac:dyDescent="0.3">
      <c r="U107823" s="25"/>
    </row>
    <row r="107845" spans="21:21" x14ac:dyDescent="0.3">
      <c r="U107845" s="25"/>
    </row>
    <row r="107867" spans="21:21" x14ac:dyDescent="0.3">
      <c r="U107867" s="25"/>
    </row>
    <row r="107889" spans="21:21" x14ac:dyDescent="0.3">
      <c r="U107889" s="25"/>
    </row>
    <row r="107911" spans="21:21" x14ac:dyDescent="0.3">
      <c r="U107911" s="25"/>
    </row>
    <row r="107933" spans="21:21" x14ac:dyDescent="0.3">
      <c r="U107933" s="25"/>
    </row>
    <row r="107955" spans="21:21" x14ac:dyDescent="0.3">
      <c r="U107955" s="25"/>
    </row>
    <row r="107977" spans="21:21" x14ac:dyDescent="0.3">
      <c r="U107977" s="25"/>
    </row>
    <row r="107999" spans="21:21" x14ac:dyDescent="0.3">
      <c r="U107999" s="25"/>
    </row>
    <row r="108021" spans="21:21" x14ac:dyDescent="0.3">
      <c r="U108021" s="25"/>
    </row>
    <row r="108043" spans="21:21" x14ac:dyDescent="0.3">
      <c r="U108043" s="25"/>
    </row>
    <row r="108065" spans="21:21" x14ac:dyDescent="0.3">
      <c r="U108065" s="25"/>
    </row>
    <row r="108087" spans="21:21" x14ac:dyDescent="0.3">
      <c r="U108087" s="25"/>
    </row>
    <row r="108109" spans="21:21" x14ac:dyDescent="0.3">
      <c r="U108109" s="25"/>
    </row>
    <row r="108131" spans="21:21" x14ac:dyDescent="0.3">
      <c r="U108131" s="25"/>
    </row>
    <row r="108153" spans="21:21" x14ac:dyDescent="0.3">
      <c r="U108153" s="25"/>
    </row>
    <row r="108175" spans="21:21" x14ac:dyDescent="0.3">
      <c r="U108175" s="25"/>
    </row>
    <row r="108197" spans="21:21" x14ac:dyDescent="0.3">
      <c r="U108197" s="25"/>
    </row>
    <row r="108219" spans="21:21" x14ac:dyDescent="0.3">
      <c r="U108219" s="25"/>
    </row>
    <row r="108241" spans="21:21" x14ac:dyDescent="0.3">
      <c r="U108241" s="25"/>
    </row>
    <row r="108263" spans="21:21" x14ac:dyDescent="0.3">
      <c r="U108263" s="25"/>
    </row>
    <row r="108285" spans="21:21" x14ac:dyDescent="0.3">
      <c r="U108285" s="25"/>
    </row>
    <row r="108307" spans="21:21" x14ac:dyDescent="0.3">
      <c r="U108307" s="25"/>
    </row>
    <row r="108329" spans="21:21" x14ac:dyDescent="0.3">
      <c r="U108329" s="25"/>
    </row>
    <row r="108351" spans="21:21" x14ac:dyDescent="0.3">
      <c r="U108351" s="25"/>
    </row>
    <row r="108373" spans="21:21" x14ac:dyDescent="0.3">
      <c r="U108373" s="25"/>
    </row>
    <row r="108395" spans="21:21" x14ac:dyDescent="0.3">
      <c r="U108395" s="25"/>
    </row>
    <row r="108417" spans="21:21" x14ac:dyDescent="0.3">
      <c r="U108417" s="25"/>
    </row>
    <row r="108439" spans="21:21" x14ac:dyDescent="0.3">
      <c r="U108439" s="25"/>
    </row>
    <row r="108461" spans="21:21" x14ac:dyDescent="0.3">
      <c r="U108461" s="25"/>
    </row>
    <row r="108483" spans="21:21" x14ac:dyDescent="0.3">
      <c r="U108483" s="25"/>
    </row>
    <row r="108505" spans="21:21" x14ac:dyDescent="0.3">
      <c r="U108505" s="25"/>
    </row>
    <row r="108527" spans="21:21" x14ac:dyDescent="0.3">
      <c r="U108527" s="25"/>
    </row>
    <row r="108549" spans="21:21" x14ac:dyDescent="0.3">
      <c r="U108549" s="25"/>
    </row>
    <row r="108571" spans="21:21" x14ac:dyDescent="0.3">
      <c r="U108571" s="25"/>
    </row>
    <row r="108593" spans="21:21" x14ac:dyDescent="0.3">
      <c r="U108593" s="25"/>
    </row>
    <row r="108615" spans="21:21" x14ac:dyDescent="0.3">
      <c r="U108615" s="25"/>
    </row>
    <row r="108637" spans="21:21" x14ac:dyDescent="0.3">
      <c r="U108637" s="25"/>
    </row>
    <row r="108659" spans="21:21" x14ac:dyDescent="0.3">
      <c r="U108659" s="25"/>
    </row>
    <row r="108681" spans="21:21" x14ac:dyDescent="0.3">
      <c r="U108681" s="25"/>
    </row>
    <row r="108703" spans="21:21" x14ac:dyDescent="0.3">
      <c r="U108703" s="25"/>
    </row>
    <row r="108725" spans="21:21" x14ac:dyDescent="0.3">
      <c r="U108725" s="25"/>
    </row>
    <row r="108747" spans="21:21" x14ac:dyDescent="0.3">
      <c r="U108747" s="25"/>
    </row>
    <row r="108769" spans="21:21" x14ac:dyDescent="0.3">
      <c r="U108769" s="25"/>
    </row>
    <row r="108791" spans="21:21" x14ac:dyDescent="0.3">
      <c r="U108791" s="25"/>
    </row>
    <row r="108813" spans="21:21" x14ac:dyDescent="0.3">
      <c r="U108813" s="25"/>
    </row>
    <row r="108835" spans="21:21" x14ac:dyDescent="0.3">
      <c r="U108835" s="25"/>
    </row>
    <row r="108857" spans="21:21" x14ac:dyDescent="0.3">
      <c r="U108857" s="25"/>
    </row>
    <row r="108879" spans="21:21" x14ac:dyDescent="0.3">
      <c r="U108879" s="25"/>
    </row>
    <row r="108901" spans="21:21" x14ac:dyDescent="0.3">
      <c r="U108901" s="25"/>
    </row>
    <row r="108923" spans="21:21" x14ac:dyDescent="0.3">
      <c r="U108923" s="25"/>
    </row>
    <row r="108945" spans="21:21" x14ac:dyDescent="0.3">
      <c r="U108945" s="25"/>
    </row>
    <row r="108967" spans="21:21" x14ac:dyDescent="0.3">
      <c r="U108967" s="25"/>
    </row>
    <row r="108989" spans="21:21" x14ac:dyDescent="0.3">
      <c r="U108989" s="25"/>
    </row>
    <row r="109011" spans="21:21" x14ac:dyDescent="0.3">
      <c r="U109011" s="25"/>
    </row>
    <row r="109033" spans="21:21" x14ac:dyDescent="0.3">
      <c r="U109033" s="25"/>
    </row>
    <row r="109055" spans="21:21" x14ac:dyDescent="0.3">
      <c r="U109055" s="25"/>
    </row>
    <row r="109077" spans="21:21" x14ac:dyDescent="0.3">
      <c r="U109077" s="25"/>
    </row>
    <row r="109099" spans="21:21" x14ac:dyDescent="0.3">
      <c r="U109099" s="25"/>
    </row>
    <row r="109121" spans="21:21" x14ac:dyDescent="0.3">
      <c r="U109121" s="25"/>
    </row>
    <row r="109143" spans="21:21" x14ac:dyDescent="0.3">
      <c r="U109143" s="25"/>
    </row>
    <row r="109165" spans="21:21" x14ac:dyDescent="0.3">
      <c r="U109165" s="25"/>
    </row>
    <row r="109187" spans="21:21" x14ac:dyDescent="0.3">
      <c r="U109187" s="25"/>
    </row>
    <row r="109209" spans="21:21" x14ac:dyDescent="0.3">
      <c r="U109209" s="25"/>
    </row>
    <row r="109231" spans="21:21" x14ac:dyDescent="0.3">
      <c r="U109231" s="25"/>
    </row>
    <row r="109253" spans="21:21" x14ac:dyDescent="0.3">
      <c r="U109253" s="25"/>
    </row>
    <row r="109275" spans="21:21" x14ac:dyDescent="0.3">
      <c r="U109275" s="25"/>
    </row>
    <row r="109297" spans="21:21" x14ac:dyDescent="0.3">
      <c r="U109297" s="25"/>
    </row>
    <row r="109319" spans="21:21" x14ac:dyDescent="0.3">
      <c r="U109319" s="25"/>
    </row>
    <row r="109341" spans="21:21" x14ac:dyDescent="0.3">
      <c r="U109341" s="25"/>
    </row>
    <row r="109363" spans="21:21" x14ac:dyDescent="0.3">
      <c r="U109363" s="25"/>
    </row>
    <row r="109385" spans="21:21" x14ac:dyDescent="0.3">
      <c r="U109385" s="25"/>
    </row>
    <row r="109407" spans="21:21" x14ac:dyDescent="0.3">
      <c r="U109407" s="25"/>
    </row>
    <row r="109429" spans="21:21" x14ac:dyDescent="0.3">
      <c r="U109429" s="25"/>
    </row>
    <row r="109451" spans="21:21" x14ac:dyDescent="0.3">
      <c r="U109451" s="25"/>
    </row>
    <row r="109473" spans="21:21" x14ac:dyDescent="0.3">
      <c r="U109473" s="25"/>
    </row>
    <row r="109495" spans="21:21" x14ac:dyDescent="0.3">
      <c r="U109495" s="25"/>
    </row>
    <row r="109517" spans="21:21" x14ac:dyDescent="0.3">
      <c r="U109517" s="25"/>
    </row>
    <row r="109539" spans="21:21" x14ac:dyDescent="0.3">
      <c r="U109539" s="25"/>
    </row>
    <row r="109561" spans="21:21" x14ac:dyDescent="0.3">
      <c r="U109561" s="25"/>
    </row>
    <row r="109583" spans="21:21" x14ac:dyDescent="0.3">
      <c r="U109583" s="25"/>
    </row>
    <row r="109605" spans="21:21" x14ac:dyDescent="0.3">
      <c r="U109605" s="25"/>
    </row>
    <row r="109627" spans="21:21" x14ac:dyDescent="0.3">
      <c r="U109627" s="25"/>
    </row>
    <row r="109649" spans="21:21" x14ac:dyDescent="0.3">
      <c r="U109649" s="25"/>
    </row>
    <row r="109671" spans="21:21" x14ac:dyDescent="0.3">
      <c r="U109671" s="25"/>
    </row>
    <row r="109693" spans="21:21" x14ac:dyDescent="0.3">
      <c r="U109693" s="25"/>
    </row>
    <row r="109715" spans="21:21" x14ac:dyDescent="0.3">
      <c r="U109715" s="25"/>
    </row>
    <row r="109737" spans="21:21" x14ac:dyDescent="0.3">
      <c r="U109737" s="25"/>
    </row>
    <row r="109759" spans="21:21" x14ac:dyDescent="0.3">
      <c r="U109759" s="25"/>
    </row>
    <row r="109781" spans="21:21" x14ac:dyDescent="0.3">
      <c r="U109781" s="25"/>
    </row>
    <row r="109803" spans="21:21" x14ac:dyDescent="0.3">
      <c r="U109803" s="25"/>
    </row>
    <row r="109825" spans="21:21" x14ac:dyDescent="0.3">
      <c r="U109825" s="25"/>
    </row>
    <row r="109847" spans="21:21" x14ac:dyDescent="0.3">
      <c r="U109847" s="25"/>
    </row>
    <row r="109869" spans="21:21" x14ac:dyDescent="0.3">
      <c r="U109869" s="25"/>
    </row>
    <row r="109891" spans="21:21" x14ac:dyDescent="0.3">
      <c r="U109891" s="25"/>
    </row>
    <row r="109913" spans="21:21" x14ac:dyDescent="0.3">
      <c r="U109913" s="25"/>
    </row>
    <row r="109935" spans="21:21" x14ac:dyDescent="0.3">
      <c r="U109935" s="25"/>
    </row>
    <row r="109957" spans="21:21" x14ac:dyDescent="0.3">
      <c r="U109957" s="25"/>
    </row>
    <row r="109979" spans="21:21" x14ac:dyDescent="0.3">
      <c r="U109979" s="25"/>
    </row>
    <row r="110001" spans="21:21" x14ac:dyDescent="0.3">
      <c r="U110001" s="25"/>
    </row>
    <row r="110023" spans="21:21" x14ac:dyDescent="0.3">
      <c r="U110023" s="25"/>
    </row>
    <row r="110045" spans="21:21" x14ac:dyDescent="0.3">
      <c r="U110045" s="25"/>
    </row>
    <row r="110067" spans="21:21" x14ac:dyDescent="0.3">
      <c r="U110067" s="25"/>
    </row>
    <row r="110089" spans="21:21" x14ac:dyDescent="0.3">
      <c r="U110089" s="25"/>
    </row>
    <row r="110111" spans="21:21" x14ac:dyDescent="0.3">
      <c r="U110111" s="25"/>
    </row>
    <row r="110133" spans="21:21" x14ac:dyDescent="0.3">
      <c r="U110133" s="25"/>
    </row>
    <row r="110155" spans="21:21" x14ac:dyDescent="0.3">
      <c r="U110155" s="25"/>
    </row>
    <row r="110177" spans="21:21" x14ac:dyDescent="0.3">
      <c r="U110177" s="25"/>
    </row>
    <row r="110199" spans="21:21" x14ac:dyDescent="0.3">
      <c r="U110199" s="25"/>
    </row>
    <row r="110221" spans="21:21" x14ac:dyDescent="0.3">
      <c r="U110221" s="25"/>
    </row>
    <row r="110243" spans="21:21" x14ac:dyDescent="0.3">
      <c r="U110243" s="25"/>
    </row>
    <row r="110265" spans="21:21" x14ac:dyDescent="0.3">
      <c r="U110265" s="25"/>
    </row>
    <row r="110287" spans="21:21" x14ac:dyDescent="0.3">
      <c r="U110287" s="25"/>
    </row>
    <row r="110309" spans="21:21" x14ac:dyDescent="0.3">
      <c r="U110309" s="25"/>
    </row>
    <row r="110331" spans="21:21" x14ac:dyDescent="0.3">
      <c r="U110331" s="25"/>
    </row>
    <row r="110353" spans="21:21" x14ac:dyDescent="0.3">
      <c r="U110353" s="25"/>
    </row>
    <row r="110375" spans="21:21" x14ac:dyDescent="0.3">
      <c r="U110375" s="25"/>
    </row>
    <row r="110397" spans="21:21" x14ac:dyDescent="0.3">
      <c r="U110397" s="25"/>
    </row>
    <row r="110419" spans="21:21" x14ac:dyDescent="0.3">
      <c r="U110419" s="25"/>
    </row>
    <row r="110441" spans="21:21" x14ac:dyDescent="0.3">
      <c r="U110441" s="25"/>
    </row>
    <row r="110463" spans="21:21" x14ac:dyDescent="0.3">
      <c r="U110463" s="25"/>
    </row>
    <row r="110485" spans="21:21" x14ac:dyDescent="0.3">
      <c r="U110485" s="25"/>
    </row>
    <row r="110507" spans="21:21" x14ac:dyDescent="0.3">
      <c r="U110507" s="25"/>
    </row>
    <row r="110529" spans="21:21" x14ac:dyDescent="0.3">
      <c r="U110529" s="25"/>
    </row>
    <row r="110551" spans="21:21" x14ac:dyDescent="0.3">
      <c r="U110551" s="25"/>
    </row>
    <row r="110573" spans="21:21" x14ac:dyDescent="0.3">
      <c r="U110573" s="25"/>
    </row>
    <row r="110595" spans="21:21" x14ac:dyDescent="0.3">
      <c r="U110595" s="25"/>
    </row>
    <row r="110617" spans="21:21" x14ac:dyDescent="0.3">
      <c r="U110617" s="25"/>
    </row>
    <row r="110639" spans="21:21" x14ac:dyDescent="0.3">
      <c r="U110639" s="25"/>
    </row>
    <row r="110661" spans="21:21" x14ac:dyDescent="0.3">
      <c r="U110661" s="25"/>
    </row>
    <row r="110683" spans="21:21" x14ac:dyDescent="0.3">
      <c r="U110683" s="25"/>
    </row>
    <row r="110705" spans="21:21" x14ac:dyDescent="0.3">
      <c r="U110705" s="25"/>
    </row>
    <row r="110727" spans="21:21" x14ac:dyDescent="0.3">
      <c r="U110727" s="25"/>
    </row>
    <row r="110749" spans="21:21" x14ac:dyDescent="0.3">
      <c r="U110749" s="25"/>
    </row>
    <row r="110771" spans="21:21" x14ac:dyDescent="0.3">
      <c r="U110771" s="25"/>
    </row>
    <row r="110793" spans="21:21" x14ac:dyDescent="0.3">
      <c r="U110793" s="25"/>
    </row>
    <row r="110815" spans="21:21" x14ac:dyDescent="0.3">
      <c r="U110815" s="25"/>
    </row>
    <row r="110837" spans="21:21" x14ac:dyDescent="0.3">
      <c r="U110837" s="25"/>
    </row>
    <row r="110859" spans="21:21" x14ac:dyDescent="0.3">
      <c r="U110859" s="25"/>
    </row>
    <row r="110881" spans="21:21" x14ac:dyDescent="0.3">
      <c r="U110881" s="25"/>
    </row>
    <row r="110903" spans="21:21" x14ac:dyDescent="0.3">
      <c r="U110903" s="25"/>
    </row>
    <row r="110925" spans="21:21" x14ac:dyDescent="0.3">
      <c r="U110925" s="25"/>
    </row>
    <row r="110947" spans="21:21" x14ac:dyDescent="0.3">
      <c r="U110947" s="25"/>
    </row>
    <row r="110969" spans="21:21" x14ac:dyDescent="0.3">
      <c r="U110969" s="25"/>
    </row>
    <row r="110991" spans="21:21" x14ac:dyDescent="0.3">
      <c r="U110991" s="25"/>
    </row>
    <row r="111013" spans="21:21" x14ac:dyDescent="0.3">
      <c r="U111013" s="25"/>
    </row>
    <row r="111035" spans="21:21" x14ac:dyDescent="0.3">
      <c r="U111035" s="25"/>
    </row>
    <row r="111057" spans="21:21" x14ac:dyDescent="0.3">
      <c r="U111057" s="25"/>
    </row>
    <row r="111079" spans="21:21" x14ac:dyDescent="0.3">
      <c r="U111079" s="25"/>
    </row>
    <row r="111101" spans="21:21" x14ac:dyDescent="0.3">
      <c r="U111101" s="25"/>
    </row>
    <row r="111123" spans="21:21" x14ac:dyDescent="0.3">
      <c r="U111123" s="25"/>
    </row>
    <row r="111145" spans="21:21" x14ac:dyDescent="0.3">
      <c r="U111145" s="25"/>
    </row>
    <row r="111167" spans="21:21" x14ac:dyDescent="0.3">
      <c r="U111167" s="25"/>
    </row>
    <row r="111189" spans="21:21" x14ac:dyDescent="0.3">
      <c r="U111189" s="25"/>
    </row>
    <row r="111211" spans="21:21" x14ac:dyDescent="0.3">
      <c r="U111211" s="25"/>
    </row>
    <row r="111233" spans="21:21" x14ac:dyDescent="0.3">
      <c r="U111233" s="25"/>
    </row>
    <row r="111255" spans="21:21" x14ac:dyDescent="0.3">
      <c r="U111255" s="25"/>
    </row>
    <row r="111277" spans="21:21" x14ac:dyDescent="0.3">
      <c r="U111277" s="25"/>
    </row>
    <row r="111299" spans="21:21" x14ac:dyDescent="0.3">
      <c r="U111299" s="25"/>
    </row>
    <row r="111321" spans="21:21" x14ac:dyDescent="0.3">
      <c r="U111321" s="25"/>
    </row>
    <row r="111343" spans="21:21" x14ac:dyDescent="0.3">
      <c r="U111343" s="25"/>
    </row>
    <row r="111365" spans="21:21" x14ac:dyDescent="0.3">
      <c r="U111365" s="25"/>
    </row>
    <row r="111387" spans="21:21" x14ac:dyDescent="0.3">
      <c r="U111387" s="25"/>
    </row>
    <row r="111409" spans="21:21" x14ac:dyDescent="0.3">
      <c r="U111409" s="25"/>
    </row>
    <row r="111431" spans="21:21" x14ac:dyDescent="0.3">
      <c r="U111431" s="25"/>
    </row>
    <row r="111453" spans="21:21" x14ac:dyDescent="0.3">
      <c r="U111453" s="25"/>
    </row>
    <row r="111475" spans="21:21" x14ac:dyDescent="0.3">
      <c r="U111475" s="25"/>
    </row>
    <row r="111497" spans="21:21" x14ac:dyDescent="0.3">
      <c r="U111497" s="25"/>
    </row>
    <row r="111519" spans="21:21" x14ac:dyDescent="0.3">
      <c r="U111519" s="25"/>
    </row>
    <row r="111541" spans="21:21" x14ac:dyDescent="0.3">
      <c r="U111541" s="25"/>
    </row>
    <row r="111563" spans="21:21" x14ac:dyDescent="0.3">
      <c r="U111563" s="25"/>
    </row>
    <row r="111585" spans="21:21" x14ac:dyDescent="0.3">
      <c r="U111585" s="25"/>
    </row>
    <row r="111607" spans="21:21" x14ac:dyDescent="0.3">
      <c r="U111607" s="25"/>
    </row>
    <row r="111629" spans="21:21" x14ac:dyDescent="0.3">
      <c r="U111629" s="25"/>
    </row>
    <row r="111651" spans="21:21" x14ac:dyDescent="0.3">
      <c r="U111651" s="25"/>
    </row>
    <row r="111673" spans="21:21" x14ac:dyDescent="0.3">
      <c r="U111673" s="25"/>
    </row>
    <row r="111695" spans="21:21" x14ac:dyDescent="0.3">
      <c r="U111695" s="25"/>
    </row>
    <row r="111717" spans="21:21" x14ac:dyDescent="0.3">
      <c r="U111717" s="25"/>
    </row>
    <row r="111739" spans="21:21" x14ac:dyDescent="0.3">
      <c r="U111739" s="25"/>
    </row>
    <row r="111761" spans="21:21" x14ac:dyDescent="0.3">
      <c r="U111761" s="25"/>
    </row>
    <row r="111783" spans="21:21" x14ac:dyDescent="0.3">
      <c r="U111783" s="25"/>
    </row>
    <row r="111805" spans="21:21" x14ac:dyDescent="0.3">
      <c r="U111805" s="25"/>
    </row>
    <row r="111827" spans="21:21" x14ac:dyDescent="0.3">
      <c r="U111827" s="25"/>
    </row>
    <row r="111849" spans="21:21" x14ac:dyDescent="0.3">
      <c r="U111849" s="25"/>
    </row>
    <row r="111871" spans="21:21" x14ac:dyDescent="0.3">
      <c r="U111871" s="25"/>
    </row>
    <row r="111893" spans="21:21" x14ac:dyDescent="0.3">
      <c r="U111893" s="25"/>
    </row>
    <row r="111915" spans="21:21" x14ac:dyDescent="0.3">
      <c r="U111915" s="25"/>
    </row>
    <row r="111937" spans="21:21" x14ac:dyDescent="0.3">
      <c r="U111937" s="25"/>
    </row>
    <row r="111959" spans="21:21" x14ac:dyDescent="0.3">
      <c r="U111959" s="25"/>
    </row>
    <row r="111981" spans="21:21" x14ac:dyDescent="0.3">
      <c r="U111981" s="25"/>
    </row>
    <row r="112003" spans="21:21" x14ac:dyDescent="0.3">
      <c r="U112003" s="25"/>
    </row>
    <row r="112025" spans="21:21" x14ac:dyDescent="0.3">
      <c r="U112025" s="25"/>
    </row>
    <row r="112047" spans="21:21" x14ac:dyDescent="0.3">
      <c r="U112047" s="25"/>
    </row>
    <row r="112069" spans="21:21" x14ac:dyDescent="0.3">
      <c r="U112069" s="25"/>
    </row>
    <row r="112091" spans="21:21" x14ac:dyDescent="0.3">
      <c r="U112091" s="25"/>
    </row>
    <row r="112113" spans="21:21" x14ac:dyDescent="0.3">
      <c r="U112113" s="25"/>
    </row>
    <row r="112135" spans="21:21" x14ac:dyDescent="0.3">
      <c r="U112135" s="25"/>
    </row>
    <row r="112157" spans="21:21" x14ac:dyDescent="0.3">
      <c r="U112157" s="25"/>
    </row>
    <row r="112179" spans="21:21" x14ac:dyDescent="0.3">
      <c r="U112179" s="25"/>
    </row>
    <row r="112201" spans="21:21" x14ac:dyDescent="0.3">
      <c r="U112201" s="25"/>
    </row>
    <row r="112223" spans="21:21" x14ac:dyDescent="0.3">
      <c r="U112223" s="25"/>
    </row>
    <row r="112245" spans="21:21" x14ac:dyDescent="0.3">
      <c r="U112245" s="25"/>
    </row>
    <row r="112267" spans="21:21" x14ac:dyDescent="0.3">
      <c r="U112267" s="25"/>
    </row>
    <row r="112289" spans="21:21" x14ac:dyDescent="0.3">
      <c r="U112289" s="25"/>
    </row>
    <row r="112311" spans="21:21" x14ac:dyDescent="0.3">
      <c r="U112311" s="25"/>
    </row>
    <row r="112333" spans="21:21" x14ac:dyDescent="0.3">
      <c r="U112333" s="25"/>
    </row>
    <row r="112355" spans="21:21" x14ac:dyDescent="0.3">
      <c r="U112355" s="25"/>
    </row>
    <row r="112377" spans="21:21" x14ac:dyDescent="0.3">
      <c r="U112377" s="25"/>
    </row>
    <row r="112399" spans="21:21" x14ac:dyDescent="0.3">
      <c r="U112399" s="25"/>
    </row>
    <row r="112421" spans="21:21" x14ac:dyDescent="0.3">
      <c r="U112421" s="25"/>
    </row>
    <row r="112443" spans="21:21" x14ac:dyDescent="0.3">
      <c r="U112443" s="25"/>
    </row>
    <row r="112465" spans="21:21" x14ac:dyDescent="0.3">
      <c r="U112465" s="25"/>
    </row>
    <row r="112487" spans="21:21" x14ac:dyDescent="0.3">
      <c r="U112487" s="25"/>
    </row>
    <row r="112509" spans="21:21" x14ac:dyDescent="0.3">
      <c r="U112509" s="25"/>
    </row>
    <row r="112531" spans="21:21" x14ac:dyDescent="0.3">
      <c r="U112531" s="25"/>
    </row>
    <row r="112553" spans="21:21" x14ac:dyDescent="0.3">
      <c r="U112553" s="25"/>
    </row>
    <row r="112575" spans="21:21" x14ac:dyDescent="0.3">
      <c r="U112575" s="25"/>
    </row>
    <row r="112597" spans="21:21" x14ac:dyDescent="0.3">
      <c r="U112597" s="25"/>
    </row>
    <row r="112619" spans="21:21" x14ac:dyDescent="0.3">
      <c r="U112619" s="25"/>
    </row>
    <row r="112641" spans="21:21" x14ac:dyDescent="0.3">
      <c r="U112641" s="25"/>
    </row>
    <row r="112663" spans="21:21" x14ac:dyDescent="0.3">
      <c r="U112663" s="25"/>
    </row>
    <row r="112685" spans="21:21" x14ac:dyDescent="0.3">
      <c r="U112685" s="25"/>
    </row>
    <row r="112707" spans="21:21" x14ac:dyDescent="0.3">
      <c r="U112707" s="25"/>
    </row>
    <row r="112729" spans="21:21" x14ac:dyDescent="0.3">
      <c r="U112729" s="25"/>
    </row>
    <row r="112751" spans="21:21" x14ac:dyDescent="0.3">
      <c r="U112751" s="25"/>
    </row>
    <row r="112773" spans="21:21" x14ac:dyDescent="0.3">
      <c r="U112773" s="25"/>
    </row>
    <row r="112795" spans="21:21" x14ac:dyDescent="0.3">
      <c r="U112795" s="25"/>
    </row>
    <row r="112817" spans="21:21" x14ac:dyDescent="0.3">
      <c r="U112817" s="25"/>
    </row>
    <row r="112839" spans="21:21" x14ac:dyDescent="0.3">
      <c r="U112839" s="25"/>
    </row>
    <row r="112861" spans="21:21" x14ac:dyDescent="0.3">
      <c r="U112861" s="25"/>
    </row>
    <row r="112883" spans="21:21" x14ac:dyDescent="0.3">
      <c r="U112883" s="25"/>
    </row>
    <row r="112905" spans="21:21" x14ac:dyDescent="0.3">
      <c r="U112905" s="25"/>
    </row>
    <row r="112927" spans="21:21" x14ac:dyDescent="0.3">
      <c r="U112927" s="25"/>
    </row>
    <row r="112949" spans="21:21" x14ac:dyDescent="0.3">
      <c r="U112949" s="25"/>
    </row>
    <row r="112971" spans="21:21" x14ac:dyDescent="0.3">
      <c r="U112971" s="25"/>
    </row>
    <row r="112993" spans="21:21" x14ac:dyDescent="0.3">
      <c r="U112993" s="25"/>
    </row>
    <row r="113015" spans="21:21" x14ac:dyDescent="0.3">
      <c r="U113015" s="25"/>
    </row>
    <row r="113037" spans="21:21" x14ac:dyDescent="0.3">
      <c r="U113037" s="25"/>
    </row>
    <row r="113059" spans="21:21" x14ac:dyDescent="0.3">
      <c r="U113059" s="25"/>
    </row>
    <row r="113081" spans="21:21" x14ac:dyDescent="0.3">
      <c r="U113081" s="25"/>
    </row>
    <row r="113103" spans="21:21" x14ac:dyDescent="0.3">
      <c r="U113103" s="25"/>
    </row>
    <row r="113125" spans="21:21" x14ac:dyDescent="0.3">
      <c r="U113125" s="25"/>
    </row>
    <row r="113147" spans="21:21" x14ac:dyDescent="0.3">
      <c r="U113147" s="25"/>
    </row>
    <row r="113169" spans="21:21" x14ac:dyDescent="0.3">
      <c r="U113169" s="25"/>
    </row>
    <row r="113191" spans="21:21" x14ac:dyDescent="0.3">
      <c r="U113191" s="25"/>
    </row>
    <row r="113213" spans="21:21" x14ac:dyDescent="0.3">
      <c r="U113213" s="25"/>
    </row>
    <row r="113235" spans="21:21" x14ac:dyDescent="0.3">
      <c r="U113235" s="25"/>
    </row>
    <row r="113257" spans="21:21" x14ac:dyDescent="0.3">
      <c r="U113257" s="25"/>
    </row>
    <row r="113279" spans="21:21" x14ac:dyDescent="0.3">
      <c r="U113279" s="25"/>
    </row>
    <row r="113301" spans="21:21" x14ac:dyDescent="0.3">
      <c r="U113301" s="25"/>
    </row>
    <row r="113323" spans="21:21" x14ac:dyDescent="0.3">
      <c r="U113323" s="25"/>
    </row>
    <row r="113345" spans="21:21" x14ac:dyDescent="0.3">
      <c r="U113345" s="25"/>
    </row>
    <row r="113367" spans="21:21" x14ac:dyDescent="0.3">
      <c r="U113367" s="25"/>
    </row>
    <row r="113389" spans="21:21" x14ac:dyDescent="0.3">
      <c r="U113389" s="25"/>
    </row>
    <row r="113411" spans="21:21" x14ac:dyDescent="0.3">
      <c r="U113411" s="25"/>
    </row>
    <row r="113433" spans="21:21" x14ac:dyDescent="0.3">
      <c r="U113433" s="25"/>
    </row>
    <row r="113455" spans="21:21" x14ac:dyDescent="0.3">
      <c r="U113455" s="25"/>
    </row>
    <row r="113477" spans="21:21" x14ac:dyDescent="0.3">
      <c r="U113477" s="25"/>
    </row>
    <row r="113499" spans="21:21" x14ac:dyDescent="0.3">
      <c r="U113499" s="25"/>
    </row>
    <row r="113521" spans="21:21" x14ac:dyDescent="0.3">
      <c r="U113521" s="25"/>
    </row>
    <row r="113543" spans="21:21" x14ac:dyDescent="0.3">
      <c r="U113543" s="25"/>
    </row>
    <row r="113565" spans="21:21" x14ac:dyDescent="0.3">
      <c r="U113565" s="25"/>
    </row>
    <row r="113587" spans="21:21" x14ac:dyDescent="0.3">
      <c r="U113587" s="25"/>
    </row>
    <row r="113609" spans="21:21" x14ac:dyDescent="0.3">
      <c r="U113609" s="25"/>
    </row>
    <row r="113631" spans="21:21" x14ac:dyDescent="0.3">
      <c r="U113631" s="25"/>
    </row>
    <row r="113653" spans="21:21" x14ac:dyDescent="0.3">
      <c r="U113653" s="25"/>
    </row>
    <row r="113675" spans="21:21" x14ac:dyDescent="0.3">
      <c r="U113675" s="25"/>
    </row>
    <row r="113697" spans="21:21" x14ac:dyDescent="0.3">
      <c r="U113697" s="25"/>
    </row>
    <row r="113719" spans="21:21" x14ac:dyDescent="0.3">
      <c r="U113719" s="25"/>
    </row>
    <row r="113741" spans="21:21" x14ac:dyDescent="0.3">
      <c r="U113741" s="25"/>
    </row>
    <row r="113763" spans="21:21" x14ac:dyDescent="0.3">
      <c r="U113763" s="25"/>
    </row>
    <row r="113785" spans="21:21" x14ac:dyDescent="0.3">
      <c r="U113785" s="25"/>
    </row>
    <row r="113807" spans="21:21" x14ac:dyDescent="0.3">
      <c r="U113807" s="25"/>
    </row>
    <row r="113829" spans="21:21" x14ac:dyDescent="0.3">
      <c r="U113829" s="25"/>
    </row>
    <row r="113851" spans="21:21" x14ac:dyDescent="0.3">
      <c r="U113851" s="25"/>
    </row>
    <row r="113873" spans="21:21" x14ac:dyDescent="0.3">
      <c r="U113873" s="25"/>
    </row>
    <row r="113895" spans="21:21" x14ac:dyDescent="0.3">
      <c r="U113895" s="25"/>
    </row>
    <row r="113917" spans="21:21" x14ac:dyDescent="0.3">
      <c r="U113917" s="25"/>
    </row>
    <row r="113939" spans="21:21" x14ac:dyDescent="0.3">
      <c r="U113939" s="25"/>
    </row>
    <row r="113961" spans="21:21" x14ac:dyDescent="0.3">
      <c r="U113961" s="25"/>
    </row>
    <row r="113983" spans="21:21" x14ac:dyDescent="0.3">
      <c r="U113983" s="25"/>
    </row>
    <row r="114005" spans="21:21" x14ac:dyDescent="0.3">
      <c r="U114005" s="25"/>
    </row>
    <row r="114027" spans="21:21" x14ac:dyDescent="0.3">
      <c r="U114027" s="25"/>
    </row>
    <row r="114049" spans="21:21" x14ac:dyDescent="0.3">
      <c r="U114049" s="25"/>
    </row>
    <row r="114071" spans="21:21" x14ac:dyDescent="0.3">
      <c r="U114071" s="25"/>
    </row>
    <row r="114093" spans="21:21" x14ac:dyDescent="0.3">
      <c r="U114093" s="25"/>
    </row>
    <row r="114115" spans="21:21" x14ac:dyDescent="0.3">
      <c r="U114115" s="25"/>
    </row>
    <row r="114137" spans="21:21" x14ac:dyDescent="0.3">
      <c r="U114137" s="25"/>
    </row>
    <row r="114159" spans="21:21" x14ac:dyDescent="0.3">
      <c r="U114159" s="25"/>
    </row>
    <row r="114181" spans="21:21" x14ac:dyDescent="0.3">
      <c r="U114181" s="25"/>
    </row>
    <row r="114203" spans="21:21" x14ac:dyDescent="0.3">
      <c r="U114203" s="25"/>
    </row>
    <row r="114225" spans="21:21" x14ac:dyDescent="0.3">
      <c r="U114225" s="25"/>
    </row>
    <row r="114247" spans="21:21" x14ac:dyDescent="0.3">
      <c r="U114247" s="25"/>
    </row>
    <row r="114269" spans="21:21" x14ac:dyDescent="0.3">
      <c r="U114269" s="25"/>
    </row>
    <row r="114291" spans="21:21" x14ac:dyDescent="0.3">
      <c r="U114291" s="25"/>
    </row>
    <row r="114313" spans="21:21" x14ac:dyDescent="0.3">
      <c r="U114313" s="25"/>
    </row>
    <row r="114335" spans="21:21" x14ac:dyDescent="0.3">
      <c r="U114335" s="25"/>
    </row>
    <row r="114357" spans="21:21" x14ac:dyDescent="0.3">
      <c r="U114357" s="25"/>
    </row>
    <row r="114379" spans="21:21" x14ac:dyDescent="0.3">
      <c r="U114379" s="25"/>
    </row>
    <row r="114401" spans="21:21" x14ac:dyDescent="0.3">
      <c r="U114401" s="25"/>
    </row>
    <row r="114423" spans="21:21" x14ac:dyDescent="0.3">
      <c r="U114423" s="25"/>
    </row>
    <row r="114445" spans="21:21" x14ac:dyDescent="0.3">
      <c r="U114445" s="25"/>
    </row>
    <row r="114467" spans="21:21" x14ac:dyDescent="0.3">
      <c r="U114467" s="25"/>
    </row>
    <row r="114489" spans="21:21" x14ac:dyDescent="0.3">
      <c r="U114489" s="25"/>
    </row>
    <row r="114511" spans="21:21" x14ac:dyDescent="0.3">
      <c r="U114511" s="25"/>
    </row>
    <row r="114533" spans="21:21" x14ac:dyDescent="0.3">
      <c r="U114533" s="25"/>
    </row>
    <row r="114555" spans="21:21" x14ac:dyDescent="0.3">
      <c r="U114555" s="25"/>
    </row>
    <row r="114577" spans="21:21" x14ac:dyDescent="0.3">
      <c r="U114577" s="25"/>
    </row>
    <row r="114599" spans="21:21" x14ac:dyDescent="0.3">
      <c r="U114599" s="25"/>
    </row>
    <row r="114621" spans="21:21" x14ac:dyDescent="0.3">
      <c r="U114621" s="25"/>
    </row>
    <row r="114643" spans="21:21" x14ac:dyDescent="0.3">
      <c r="U114643" s="25"/>
    </row>
    <row r="114665" spans="21:21" x14ac:dyDescent="0.3">
      <c r="U114665" s="25"/>
    </row>
    <row r="114687" spans="21:21" x14ac:dyDescent="0.3">
      <c r="U114687" s="25"/>
    </row>
    <row r="114709" spans="21:21" x14ac:dyDescent="0.3">
      <c r="U114709" s="25"/>
    </row>
    <row r="114731" spans="21:21" x14ac:dyDescent="0.3">
      <c r="U114731" s="25"/>
    </row>
    <row r="114753" spans="21:21" x14ac:dyDescent="0.3">
      <c r="U114753" s="25"/>
    </row>
    <row r="114775" spans="21:21" x14ac:dyDescent="0.3">
      <c r="U114775" s="25"/>
    </row>
    <row r="114797" spans="21:21" x14ac:dyDescent="0.3">
      <c r="U114797" s="25"/>
    </row>
    <row r="114819" spans="21:21" x14ac:dyDescent="0.3">
      <c r="U114819" s="25"/>
    </row>
    <row r="114841" spans="21:21" x14ac:dyDescent="0.3">
      <c r="U114841" s="25"/>
    </row>
    <row r="114863" spans="21:21" x14ac:dyDescent="0.3">
      <c r="U114863" s="25"/>
    </row>
    <row r="114885" spans="21:21" x14ac:dyDescent="0.3">
      <c r="U114885" s="25"/>
    </row>
    <row r="114907" spans="21:21" x14ac:dyDescent="0.3">
      <c r="U114907" s="25"/>
    </row>
    <row r="114929" spans="21:21" x14ac:dyDescent="0.3">
      <c r="U114929" s="25"/>
    </row>
    <row r="114951" spans="21:21" x14ac:dyDescent="0.3">
      <c r="U114951" s="25"/>
    </row>
    <row r="114973" spans="21:21" x14ac:dyDescent="0.3">
      <c r="U114973" s="25"/>
    </row>
    <row r="114995" spans="21:21" x14ac:dyDescent="0.3">
      <c r="U114995" s="25"/>
    </row>
    <row r="115017" spans="21:21" x14ac:dyDescent="0.3">
      <c r="U115017" s="25"/>
    </row>
    <row r="115039" spans="21:21" x14ac:dyDescent="0.3">
      <c r="U115039" s="25"/>
    </row>
    <row r="115061" spans="21:21" x14ac:dyDescent="0.3">
      <c r="U115061" s="25"/>
    </row>
    <row r="115083" spans="21:21" x14ac:dyDescent="0.3">
      <c r="U115083" s="25"/>
    </row>
    <row r="115105" spans="21:21" x14ac:dyDescent="0.3">
      <c r="U115105" s="25"/>
    </row>
    <row r="115127" spans="21:21" x14ac:dyDescent="0.3">
      <c r="U115127" s="25"/>
    </row>
    <row r="115149" spans="21:21" x14ac:dyDescent="0.3">
      <c r="U115149" s="25"/>
    </row>
    <row r="115171" spans="21:21" x14ac:dyDescent="0.3">
      <c r="U115171" s="25"/>
    </row>
    <row r="115193" spans="21:21" x14ac:dyDescent="0.3">
      <c r="U115193" s="25"/>
    </row>
    <row r="115215" spans="21:21" x14ac:dyDescent="0.3">
      <c r="U115215" s="25"/>
    </row>
    <row r="115237" spans="21:21" x14ac:dyDescent="0.3">
      <c r="U115237" s="25"/>
    </row>
    <row r="115259" spans="21:21" x14ac:dyDescent="0.3">
      <c r="U115259" s="25"/>
    </row>
    <row r="115281" spans="21:21" x14ac:dyDescent="0.3">
      <c r="U115281" s="25"/>
    </row>
    <row r="115303" spans="21:21" x14ac:dyDescent="0.3">
      <c r="U115303" s="25"/>
    </row>
    <row r="115325" spans="21:21" x14ac:dyDescent="0.3">
      <c r="U115325" s="25"/>
    </row>
    <row r="115347" spans="21:21" x14ac:dyDescent="0.3">
      <c r="U115347" s="25"/>
    </row>
    <row r="115369" spans="21:21" x14ac:dyDescent="0.3">
      <c r="U115369" s="25"/>
    </row>
    <row r="115391" spans="21:21" x14ac:dyDescent="0.3">
      <c r="U115391" s="25"/>
    </row>
    <row r="115413" spans="21:21" x14ac:dyDescent="0.3">
      <c r="U115413" s="25"/>
    </row>
    <row r="115435" spans="21:21" x14ac:dyDescent="0.3">
      <c r="U115435" s="25"/>
    </row>
    <row r="115457" spans="21:21" x14ac:dyDescent="0.3">
      <c r="U115457" s="25"/>
    </row>
    <row r="115479" spans="21:21" x14ac:dyDescent="0.3">
      <c r="U115479" s="25"/>
    </row>
    <row r="115501" spans="21:21" x14ac:dyDescent="0.3">
      <c r="U115501" s="25"/>
    </row>
    <row r="115523" spans="21:21" x14ac:dyDescent="0.3">
      <c r="U115523" s="25"/>
    </row>
    <row r="115545" spans="21:21" x14ac:dyDescent="0.3">
      <c r="U115545" s="25"/>
    </row>
    <row r="115567" spans="21:21" x14ac:dyDescent="0.3">
      <c r="U115567" s="25"/>
    </row>
    <row r="115589" spans="21:21" x14ac:dyDescent="0.3">
      <c r="U115589" s="25"/>
    </row>
    <row r="115611" spans="21:21" x14ac:dyDescent="0.3">
      <c r="U115611" s="25"/>
    </row>
    <row r="115633" spans="21:21" x14ac:dyDescent="0.3">
      <c r="U115633" s="25"/>
    </row>
    <row r="115655" spans="21:21" x14ac:dyDescent="0.3">
      <c r="U115655" s="25"/>
    </row>
    <row r="115677" spans="21:21" x14ac:dyDescent="0.3">
      <c r="U115677" s="25"/>
    </row>
    <row r="115699" spans="21:21" x14ac:dyDescent="0.3">
      <c r="U115699" s="25"/>
    </row>
    <row r="115721" spans="21:21" x14ac:dyDescent="0.3">
      <c r="U115721" s="25"/>
    </row>
    <row r="115743" spans="21:21" x14ac:dyDescent="0.3">
      <c r="U115743" s="25"/>
    </row>
    <row r="115765" spans="21:21" x14ac:dyDescent="0.3">
      <c r="U115765" s="25"/>
    </row>
    <row r="115787" spans="21:21" x14ac:dyDescent="0.3">
      <c r="U115787" s="25"/>
    </row>
    <row r="115809" spans="21:21" x14ac:dyDescent="0.3">
      <c r="U115809" s="25"/>
    </row>
    <row r="115831" spans="21:21" x14ac:dyDescent="0.3">
      <c r="U115831" s="25"/>
    </row>
    <row r="115853" spans="21:21" x14ac:dyDescent="0.3">
      <c r="U115853" s="25"/>
    </row>
    <row r="115875" spans="21:21" x14ac:dyDescent="0.3">
      <c r="U115875" s="25"/>
    </row>
    <row r="115897" spans="21:21" x14ac:dyDescent="0.3">
      <c r="U115897" s="25"/>
    </row>
    <row r="115919" spans="21:21" x14ac:dyDescent="0.3">
      <c r="U115919" s="25"/>
    </row>
    <row r="115941" spans="21:21" x14ac:dyDescent="0.3">
      <c r="U115941" s="25"/>
    </row>
    <row r="115963" spans="21:21" x14ac:dyDescent="0.3">
      <c r="U115963" s="25"/>
    </row>
    <row r="115985" spans="21:21" x14ac:dyDescent="0.3">
      <c r="U115985" s="25"/>
    </row>
    <row r="116007" spans="21:21" x14ac:dyDescent="0.3">
      <c r="U116007" s="25"/>
    </row>
    <row r="116029" spans="21:21" x14ac:dyDescent="0.3">
      <c r="U116029" s="25"/>
    </row>
    <row r="116051" spans="21:21" x14ac:dyDescent="0.3">
      <c r="U116051" s="25"/>
    </row>
    <row r="116073" spans="21:21" x14ac:dyDescent="0.3">
      <c r="U116073" s="25"/>
    </row>
    <row r="116095" spans="21:21" x14ac:dyDescent="0.3">
      <c r="U116095" s="25"/>
    </row>
    <row r="116117" spans="21:21" x14ac:dyDescent="0.3">
      <c r="U116117" s="25"/>
    </row>
    <row r="116139" spans="21:21" x14ac:dyDescent="0.3">
      <c r="U116139" s="25"/>
    </row>
    <row r="116161" spans="21:21" x14ac:dyDescent="0.3">
      <c r="U116161" s="25"/>
    </row>
    <row r="116183" spans="21:21" x14ac:dyDescent="0.3">
      <c r="U116183" s="25"/>
    </row>
    <row r="116205" spans="21:21" x14ac:dyDescent="0.3">
      <c r="U116205" s="25"/>
    </row>
    <row r="116227" spans="21:21" x14ac:dyDescent="0.3">
      <c r="U116227" s="25"/>
    </row>
    <row r="116249" spans="21:21" x14ac:dyDescent="0.3">
      <c r="U116249" s="25"/>
    </row>
    <row r="116271" spans="21:21" x14ac:dyDescent="0.3">
      <c r="U116271" s="25"/>
    </row>
    <row r="116293" spans="21:21" x14ac:dyDescent="0.3">
      <c r="U116293" s="25"/>
    </row>
    <row r="116315" spans="21:21" x14ac:dyDescent="0.3">
      <c r="U116315" s="25"/>
    </row>
    <row r="116337" spans="21:21" x14ac:dyDescent="0.3">
      <c r="U116337" s="25"/>
    </row>
    <row r="116359" spans="21:21" x14ac:dyDescent="0.3">
      <c r="U116359" s="25"/>
    </row>
    <row r="116381" spans="21:21" x14ac:dyDescent="0.3">
      <c r="U116381" s="25"/>
    </row>
    <row r="116403" spans="21:21" x14ac:dyDescent="0.3">
      <c r="U116403" s="25"/>
    </row>
    <row r="116425" spans="21:21" x14ac:dyDescent="0.3">
      <c r="U116425" s="25"/>
    </row>
    <row r="116447" spans="21:21" x14ac:dyDescent="0.3">
      <c r="U116447" s="25"/>
    </row>
    <row r="116469" spans="21:21" x14ac:dyDescent="0.3">
      <c r="U116469" s="25"/>
    </row>
    <row r="116491" spans="21:21" x14ac:dyDescent="0.3">
      <c r="U116491" s="25"/>
    </row>
    <row r="116513" spans="21:21" x14ac:dyDescent="0.3">
      <c r="U116513" s="25"/>
    </row>
    <row r="116535" spans="21:21" x14ac:dyDescent="0.3">
      <c r="U116535" s="25"/>
    </row>
    <row r="116557" spans="21:21" x14ac:dyDescent="0.3">
      <c r="U116557" s="25"/>
    </row>
    <row r="116579" spans="21:21" x14ac:dyDescent="0.3">
      <c r="U116579" s="25"/>
    </row>
    <row r="116601" spans="21:21" x14ac:dyDescent="0.3">
      <c r="U116601" s="25"/>
    </row>
    <row r="116623" spans="21:21" x14ac:dyDescent="0.3">
      <c r="U116623" s="25"/>
    </row>
    <row r="116645" spans="21:21" x14ac:dyDescent="0.3">
      <c r="U116645" s="25"/>
    </row>
    <row r="116667" spans="21:21" x14ac:dyDescent="0.3">
      <c r="U116667" s="25"/>
    </row>
    <row r="116689" spans="21:21" x14ac:dyDescent="0.3">
      <c r="U116689" s="25"/>
    </row>
    <row r="116711" spans="21:21" x14ac:dyDescent="0.3">
      <c r="U116711" s="25"/>
    </row>
    <row r="116733" spans="21:21" x14ac:dyDescent="0.3">
      <c r="U116733" s="25"/>
    </row>
    <row r="116755" spans="21:21" x14ac:dyDescent="0.3">
      <c r="U116755" s="25"/>
    </row>
    <row r="116777" spans="21:21" x14ac:dyDescent="0.3">
      <c r="U116777" s="25"/>
    </row>
    <row r="116799" spans="21:21" x14ac:dyDescent="0.3">
      <c r="U116799" s="25"/>
    </row>
    <row r="116821" spans="21:21" x14ac:dyDescent="0.3">
      <c r="U116821" s="25"/>
    </row>
    <row r="116843" spans="21:21" x14ac:dyDescent="0.3">
      <c r="U116843" s="25"/>
    </row>
    <row r="116865" spans="21:21" x14ac:dyDescent="0.3">
      <c r="U116865" s="25"/>
    </row>
    <row r="116887" spans="21:21" x14ac:dyDescent="0.3">
      <c r="U116887" s="25"/>
    </row>
    <row r="116909" spans="21:21" x14ac:dyDescent="0.3">
      <c r="U116909" s="25"/>
    </row>
    <row r="116931" spans="21:21" x14ac:dyDescent="0.3">
      <c r="U116931" s="25"/>
    </row>
    <row r="116953" spans="21:21" x14ac:dyDescent="0.3">
      <c r="U116953" s="25"/>
    </row>
    <row r="116975" spans="21:21" x14ac:dyDescent="0.3">
      <c r="U116975" s="25"/>
    </row>
    <row r="116997" spans="21:21" x14ac:dyDescent="0.3">
      <c r="U116997" s="25"/>
    </row>
    <row r="117019" spans="21:21" x14ac:dyDescent="0.3">
      <c r="U117019" s="25"/>
    </row>
    <row r="117041" spans="21:21" x14ac:dyDescent="0.3">
      <c r="U117041" s="25"/>
    </row>
    <row r="117063" spans="21:21" x14ac:dyDescent="0.3">
      <c r="U117063" s="25"/>
    </row>
    <row r="117085" spans="21:21" x14ac:dyDescent="0.3">
      <c r="U117085" s="25"/>
    </row>
    <row r="117107" spans="21:21" x14ac:dyDescent="0.3">
      <c r="U117107" s="25"/>
    </row>
    <row r="117129" spans="21:21" x14ac:dyDescent="0.3">
      <c r="U117129" s="25"/>
    </row>
    <row r="117151" spans="21:21" x14ac:dyDescent="0.3">
      <c r="U117151" s="25"/>
    </row>
    <row r="117173" spans="21:21" x14ac:dyDescent="0.3">
      <c r="U117173" s="25"/>
    </row>
    <row r="117195" spans="21:21" x14ac:dyDescent="0.3">
      <c r="U117195" s="25"/>
    </row>
    <row r="117217" spans="21:21" x14ac:dyDescent="0.3">
      <c r="U117217" s="25"/>
    </row>
    <row r="117239" spans="21:21" x14ac:dyDescent="0.3">
      <c r="U117239" s="25"/>
    </row>
    <row r="117261" spans="21:21" x14ac:dyDescent="0.3">
      <c r="U117261" s="25"/>
    </row>
    <row r="117283" spans="21:21" x14ac:dyDescent="0.3">
      <c r="U117283" s="25"/>
    </row>
    <row r="117305" spans="21:21" x14ac:dyDescent="0.3">
      <c r="U117305" s="25"/>
    </row>
    <row r="117327" spans="21:21" x14ac:dyDescent="0.3">
      <c r="U117327" s="25"/>
    </row>
    <row r="117349" spans="21:21" x14ac:dyDescent="0.3">
      <c r="U117349" s="25"/>
    </row>
    <row r="117371" spans="21:21" x14ac:dyDescent="0.3">
      <c r="U117371" s="25"/>
    </row>
    <row r="117393" spans="21:21" x14ac:dyDescent="0.3">
      <c r="U117393" s="25"/>
    </row>
    <row r="117415" spans="21:21" x14ac:dyDescent="0.3">
      <c r="U117415" s="25"/>
    </row>
    <row r="117437" spans="21:21" x14ac:dyDescent="0.3">
      <c r="U117437" s="25"/>
    </row>
    <row r="117459" spans="21:21" x14ac:dyDescent="0.3">
      <c r="U117459" s="25"/>
    </row>
    <row r="117481" spans="21:21" x14ac:dyDescent="0.3">
      <c r="U117481" s="25"/>
    </row>
    <row r="117503" spans="21:21" x14ac:dyDescent="0.3">
      <c r="U117503" s="25"/>
    </row>
    <row r="117525" spans="21:21" x14ac:dyDescent="0.3">
      <c r="U117525" s="25"/>
    </row>
    <row r="117547" spans="21:21" x14ac:dyDescent="0.3">
      <c r="U117547" s="25"/>
    </row>
    <row r="117569" spans="21:21" x14ac:dyDescent="0.3">
      <c r="U117569" s="25"/>
    </row>
    <row r="117591" spans="21:21" x14ac:dyDescent="0.3">
      <c r="U117591" s="25"/>
    </row>
    <row r="117613" spans="21:21" x14ac:dyDescent="0.3">
      <c r="U117613" s="25"/>
    </row>
    <row r="117635" spans="21:21" x14ac:dyDescent="0.3">
      <c r="U117635" s="25"/>
    </row>
    <row r="117657" spans="21:21" x14ac:dyDescent="0.3">
      <c r="U117657" s="25"/>
    </row>
    <row r="117679" spans="21:21" x14ac:dyDescent="0.3">
      <c r="U117679" s="25"/>
    </row>
    <row r="117701" spans="21:21" x14ac:dyDescent="0.3">
      <c r="U117701" s="25"/>
    </row>
    <row r="117723" spans="21:21" x14ac:dyDescent="0.3">
      <c r="U117723" s="25"/>
    </row>
    <row r="117745" spans="21:21" x14ac:dyDescent="0.3">
      <c r="U117745" s="25"/>
    </row>
    <row r="117767" spans="21:21" x14ac:dyDescent="0.3">
      <c r="U117767" s="25"/>
    </row>
    <row r="117789" spans="21:21" x14ac:dyDescent="0.3">
      <c r="U117789" s="25"/>
    </row>
    <row r="117811" spans="21:21" x14ac:dyDescent="0.3">
      <c r="U117811" s="25"/>
    </row>
    <row r="117833" spans="21:21" x14ac:dyDescent="0.3">
      <c r="U117833" s="25"/>
    </row>
    <row r="117855" spans="21:21" x14ac:dyDescent="0.3">
      <c r="U117855" s="25"/>
    </row>
    <row r="117877" spans="21:21" x14ac:dyDescent="0.3">
      <c r="U117877" s="25"/>
    </row>
    <row r="117899" spans="21:21" x14ac:dyDescent="0.3">
      <c r="U117899" s="25"/>
    </row>
    <row r="117921" spans="21:21" x14ac:dyDescent="0.3">
      <c r="U117921" s="25"/>
    </row>
    <row r="117943" spans="21:21" x14ac:dyDescent="0.3">
      <c r="U117943" s="25"/>
    </row>
    <row r="117965" spans="21:21" x14ac:dyDescent="0.3">
      <c r="U117965" s="25"/>
    </row>
    <row r="117987" spans="21:21" x14ac:dyDescent="0.3">
      <c r="U117987" s="25"/>
    </row>
    <row r="118009" spans="21:21" x14ac:dyDescent="0.3">
      <c r="U118009" s="25"/>
    </row>
    <row r="118031" spans="21:21" x14ac:dyDescent="0.3">
      <c r="U118031" s="25"/>
    </row>
    <row r="118053" spans="21:21" x14ac:dyDescent="0.3">
      <c r="U118053" s="25"/>
    </row>
    <row r="118075" spans="21:21" x14ac:dyDescent="0.3">
      <c r="U118075" s="25"/>
    </row>
    <row r="118097" spans="21:21" x14ac:dyDescent="0.3">
      <c r="U118097" s="25"/>
    </row>
    <row r="118119" spans="21:21" x14ac:dyDescent="0.3">
      <c r="U118119" s="25"/>
    </row>
    <row r="118141" spans="21:21" x14ac:dyDescent="0.3">
      <c r="U118141" s="25"/>
    </row>
    <row r="118163" spans="21:21" x14ac:dyDescent="0.3">
      <c r="U118163" s="25"/>
    </row>
    <row r="118185" spans="21:21" x14ac:dyDescent="0.3">
      <c r="U118185" s="25"/>
    </row>
    <row r="118207" spans="21:21" x14ac:dyDescent="0.3">
      <c r="U118207" s="25"/>
    </row>
    <row r="118229" spans="21:21" x14ac:dyDescent="0.3">
      <c r="U118229" s="25"/>
    </row>
    <row r="118251" spans="21:21" x14ac:dyDescent="0.3">
      <c r="U118251" s="25"/>
    </row>
    <row r="118273" spans="21:21" x14ac:dyDescent="0.3">
      <c r="U118273" s="25"/>
    </row>
    <row r="118295" spans="21:21" x14ac:dyDescent="0.3">
      <c r="U118295" s="25"/>
    </row>
    <row r="118317" spans="21:21" x14ac:dyDescent="0.3">
      <c r="U118317" s="25"/>
    </row>
    <row r="118339" spans="21:21" x14ac:dyDescent="0.3">
      <c r="U118339" s="25"/>
    </row>
    <row r="118361" spans="21:21" x14ac:dyDescent="0.3">
      <c r="U118361" s="25"/>
    </row>
    <row r="118383" spans="21:21" x14ac:dyDescent="0.3">
      <c r="U118383" s="25"/>
    </row>
    <row r="118405" spans="21:21" x14ac:dyDescent="0.3">
      <c r="U118405" s="25"/>
    </row>
    <row r="118427" spans="21:21" x14ac:dyDescent="0.3">
      <c r="U118427" s="25"/>
    </row>
    <row r="118449" spans="21:21" x14ac:dyDescent="0.3">
      <c r="U118449" s="25"/>
    </row>
    <row r="118471" spans="21:21" x14ac:dyDescent="0.3">
      <c r="U118471" s="25"/>
    </row>
    <row r="118493" spans="21:21" x14ac:dyDescent="0.3">
      <c r="U118493" s="25"/>
    </row>
    <row r="118515" spans="21:21" x14ac:dyDescent="0.3">
      <c r="U118515" s="25"/>
    </row>
    <row r="118537" spans="21:21" x14ac:dyDescent="0.3">
      <c r="U118537" s="25"/>
    </row>
    <row r="118559" spans="21:21" x14ac:dyDescent="0.3">
      <c r="U118559" s="25"/>
    </row>
    <row r="118581" spans="21:21" x14ac:dyDescent="0.3">
      <c r="U118581" s="25"/>
    </row>
    <row r="118603" spans="21:21" x14ac:dyDescent="0.3">
      <c r="U118603" s="25"/>
    </row>
    <row r="118625" spans="21:21" x14ac:dyDescent="0.3">
      <c r="U118625" s="25"/>
    </row>
    <row r="118647" spans="21:21" x14ac:dyDescent="0.3">
      <c r="U118647" s="25"/>
    </row>
    <row r="118669" spans="21:21" x14ac:dyDescent="0.3">
      <c r="U118669" s="25"/>
    </row>
    <row r="118691" spans="21:21" x14ac:dyDescent="0.3">
      <c r="U118691" s="25"/>
    </row>
    <row r="118713" spans="21:21" x14ac:dyDescent="0.3">
      <c r="U118713" s="25"/>
    </row>
    <row r="118735" spans="21:21" x14ac:dyDescent="0.3">
      <c r="U118735" s="25"/>
    </row>
    <row r="118757" spans="21:21" x14ac:dyDescent="0.3">
      <c r="U118757" s="25"/>
    </row>
    <row r="118779" spans="21:21" x14ac:dyDescent="0.3">
      <c r="U118779" s="25"/>
    </row>
    <row r="118801" spans="21:21" x14ac:dyDescent="0.3">
      <c r="U118801" s="25"/>
    </row>
    <row r="118823" spans="21:21" x14ac:dyDescent="0.3">
      <c r="U118823" s="25"/>
    </row>
    <row r="118845" spans="21:21" x14ac:dyDescent="0.3">
      <c r="U118845" s="25"/>
    </row>
    <row r="118867" spans="21:21" x14ac:dyDescent="0.3">
      <c r="U118867" s="25"/>
    </row>
    <row r="118889" spans="21:21" x14ac:dyDescent="0.3">
      <c r="U118889" s="25"/>
    </row>
    <row r="118911" spans="21:21" x14ac:dyDescent="0.3">
      <c r="U118911" s="25"/>
    </row>
    <row r="118933" spans="21:21" x14ac:dyDescent="0.3">
      <c r="U118933" s="25"/>
    </row>
    <row r="118955" spans="21:21" x14ac:dyDescent="0.3">
      <c r="U118955" s="25"/>
    </row>
    <row r="118977" spans="21:21" x14ac:dyDescent="0.3">
      <c r="U118977" s="25"/>
    </row>
    <row r="118999" spans="21:21" x14ac:dyDescent="0.3">
      <c r="U118999" s="25"/>
    </row>
    <row r="119021" spans="21:21" x14ac:dyDescent="0.3">
      <c r="U119021" s="25"/>
    </row>
    <row r="119043" spans="21:21" x14ac:dyDescent="0.3">
      <c r="U119043" s="25"/>
    </row>
    <row r="119065" spans="21:21" x14ac:dyDescent="0.3">
      <c r="U119065" s="25"/>
    </row>
    <row r="119087" spans="21:21" x14ac:dyDescent="0.3">
      <c r="U119087" s="25"/>
    </row>
    <row r="119109" spans="21:21" x14ac:dyDescent="0.3">
      <c r="U119109" s="25"/>
    </row>
    <row r="119131" spans="21:21" x14ac:dyDescent="0.3">
      <c r="U119131" s="25"/>
    </row>
    <row r="119153" spans="21:21" x14ac:dyDescent="0.3">
      <c r="U119153" s="25"/>
    </row>
    <row r="119175" spans="21:21" x14ac:dyDescent="0.3">
      <c r="U119175" s="25"/>
    </row>
    <row r="119197" spans="21:21" x14ac:dyDescent="0.3">
      <c r="U119197" s="25"/>
    </row>
    <row r="119219" spans="21:21" x14ac:dyDescent="0.3">
      <c r="U119219" s="25"/>
    </row>
    <row r="119241" spans="21:21" x14ac:dyDescent="0.3">
      <c r="U119241" s="25"/>
    </row>
    <row r="119263" spans="21:21" x14ac:dyDescent="0.3">
      <c r="U119263" s="25"/>
    </row>
    <row r="119285" spans="21:21" x14ac:dyDescent="0.3">
      <c r="U119285" s="25"/>
    </row>
    <row r="119307" spans="21:21" x14ac:dyDescent="0.3">
      <c r="U119307" s="25"/>
    </row>
    <row r="119329" spans="21:21" x14ac:dyDescent="0.3">
      <c r="U119329" s="25"/>
    </row>
    <row r="119351" spans="21:21" x14ac:dyDescent="0.3">
      <c r="U119351" s="25"/>
    </row>
    <row r="119373" spans="21:21" x14ac:dyDescent="0.3">
      <c r="U119373" s="25"/>
    </row>
    <row r="119395" spans="21:21" x14ac:dyDescent="0.3">
      <c r="U119395" s="25"/>
    </row>
    <row r="119417" spans="21:21" x14ac:dyDescent="0.3">
      <c r="U119417" s="25"/>
    </row>
    <row r="119439" spans="21:21" x14ac:dyDescent="0.3">
      <c r="U119439" s="25"/>
    </row>
    <row r="119461" spans="21:21" x14ac:dyDescent="0.3">
      <c r="U119461" s="25"/>
    </row>
    <row r="119483" spans="21:21" x14ac:dyDescent="0.3">
      <c r="U119483" s="25"/>
    </row>
    <row r="119505" spans="21:21" x14ac:dyDescent="0.3">
      <c r="U119505" s="25"/>
    </row>
    <row r="119527" spans="21:21" x14ac:dyDescent="0.3">
      <c r="U119527" s="25"/>
    </row>
    <row r="119549" spans="21:21" x14ac:dyDescent="0.3">
      <c r="U119549" s="25"/>
    </row>
    <row r="119571" spans="21:21" x14ac:dyDescent="0.3">
      <c r="U119571" s="25"/>
    </row>
    <row r="119593" spans="21:21" x14ac:dyDescent="0.3">
      <c r="U119593" s="25"/>
    </row>
    <row r="119615" spans="21:21" x14ac:dyDescent="0.3">
      <c r="U119615" s="25"/>
    </row>
    <row r="119637" spans="21:21" x14ac:dyDescent="0.3">
      <c r="U119637" s="25"/>
    </row>
    <row r="119659" spans="21:21" x14ac:dyDescent="0.3">
      <c r="U119659" s="25"/>
    </row>
    <row r="119681" spans="21:21" x14ac:dyDescent="0.3">
      <c r="U119681" s="25"/>
    </row>
    <row r="119703" spans="21:21" x14ac:dyDescent="0.3">
      <c r="U119703" s="25"/>
    </row>
    <row r="119725" spans="21:21" x14ac:dyDescent="0.3">
      <c r="U119725" s="25"/>
    </row>
    <row r="119747" spans="21:21" x14ac:dyDescent="0.3">
      <c r="U119747" s="25"/>
    </row>
    <row r="119769" spans="21:21" x14ac:dyDescent="0.3">
      <c r="U119769" s="25"/>
    </row>
    <row r="119791" spans="21:21" x14ac:dyDescent="0.3">
      <c r="U119791" s="25"/>
    </row>
    <row r="119813" spans="21:21" x14ac:dyDescent="0.3">
      <c r="U119813" s="25"/>
    </row>
    <row r="119835" spans="21:21" x14ac:dyDescent="0.3">
      <c r="U119835" s="25"/>
    </row>
    <row r="119857" spans="21:21" x14ac:dyDescent="0.3">
      <c r="U119857" s="25"/>
    </row>
    <row r="119879" spans="21:21" x14ac:dyDescent="0.3">
      <c r="U119879" s="25"/>
    </row>
    <row r="119901" spans="21:21" x14ac:dyDescent="0.3">
      <c r="U119901" s="25"/>
    </row>
    <row r="119923" spans="21:21" x14ac:dyDescent="0.3">
      <c r="U119923" s="25"/>
    </row>
    <row r="119945" spans="21:21" x14ac:dyDescent="0.3">
      <c r="U119945" s="25"/>
    </row>
    <row r="119967" spans="21:21" x14ac:dyDescent="0.3">
      <c r="U119967" s="25"/>
    </row>
    <row r="119989" spans="21:21" x14ac:dyDescent="0.3">
      <c r="U119989" s="25"/>
    </row>
    <row r="120011" spans="21:21" x14ac:dyDescent="0.3">
      <c r="U120011" s="25"/>
    </row>
    <row r="120033" spans="21:21" x14ac:dyDescent="0.3">
      <c r="U120033" s="25"/>
    </row>
    <row r="120055" spans="21:21" x14ac:dyDescent="0.3">
      <c r="U120055" s="25"/>
    </row>
    <row r="120077" spans="21:21" x14ac:dyDescent="0.3">
      <c r="U120077" s="25"/>
    </row>
    <row r="120099" spans="21:21" x14ac:dyDescent="0.3">
      <c r="U120099" s="25"/>
    </row>
    <row r="120121" spans="21:21" x14ac:dyDescent="0.3">
      <c r="U120121" s="25"/>
    </row>
    <row r="120143" spans="21:21" x14ac:dyDescent="0.3">
      <c r="U120143" s="25"/>
    </row>
    <row r="120165" spans="21:21" x14ac:dyDescent="0.3">
      <c r="U120165" s="25"/>
    </row>
    <row r="120187" spans="21:21" x14ac:dyDescent="0.3">
      <c r="U120187" s="25"/>
    </row>
    <row r="120209" spans="21:21" x14ac:dyDescent="0.3">
      <c r="U120209" s="25"/>
    </row>
    <row r="120231" spans="21:21" x14ac:dyDescent="0.3">
      <c r="U120231" s="25"/>
    </row>
    <row r="120253" spans="21:21" x14ac:dyDescent="0.3">
      <c r="U120253" s="25"/>
    </row>
    <row r="120275" spans="21:21" x14ac:dyDescent="0.3">
      <c r="U120275" s="25"/>
    </row>
    <row r="120297" spans="21:21" x14ac:dyDescent="0.3">
      <c r="U120297" s="25"/>
    </row>
    <row r="120319" spans="21:21" x14ac:dyDescent="0.3">
      <c r="U120319" s="25"/>
    </row>
    <row r="120341" spans="21:21" x14ac:dyDescent="0.3">
      <c r="U120341" s="25"/>
    </row>
    <row r="120363" spans="21:21" x14ac:dyDescent="0.3">
      <c r="U120363" s="25"/>
    </row>
    <row r="120385" spans="21:21" x14ac:dyDescent="0.3">
      <c r="U120385" s="25"/>
    </row>
    <row r="120407" spans="21:21" x14ac:dyDescent="0.3">
      <c r="U120407" s="25"/>
    </row>
    <row r="120429" spans="21:21" x14ac:dyDescent="0.3">
      <c r="U120429" s="25"/>
    </row>
    <row r="120451" spans="21:21" x14ac:dyDescent="0.3">
      <c r="U120451" s="25"/>
    </row>
    <row r="120473" spans="21:21" x14ac:dyDescent="0.3">
      <c r="U120473" s="25"/>
    </row>
    <row r="120495" spans="21:21" x14ac:dyDescent="0.3">
      <c r="U120495" s="25"/>
    </row>
    <row r="120517" spans="21:21" x14ac:dyDescent="0.3">
      <c r="U120517" s="25"/>
    </row>
    <row r="120539" spans="21:21" x14ac:dyDescent="0.3">
      <c r="U120539" s="25"/>
    </row>
    <row r="120561" spans="21:21" x14ac:dyDescent="0.3">
      <c r="U120561" s="25"/>
    </row>
    <row r="120583" spans="21:21" x14ac:dyDescent="0.3">
      <c r="U120583" s="25"/>
    </row>
    <row r="120605" spans="21:21" x14ac:dyDescent="0.3">
      <c r="U120605" s="25"/>
    </row>
    <row r="120627" spans="21:21" x14ac:dyDescent="0.3">
      <c r="U120627" s="25"/>
    </row>
    <row r="120649" spans="21:21" x14ac:dyDescent="0.3">
      <c r="U120649" s="25"/>
    </row>
    <row r="120671" spans="21:21" x14ac:dyDescent="0.3">
      <c r="U120671" s="25"/>
    </row>
    <row r="120693" spans="21:21" x14ac:dyDescent="0.3">
      <c r="U120693" s="25"/>
    </row>
    <row r="120715" spans="21:21" x14ac:dyDescent="0.3">
      <c r="U120715" s="25"/>
    </row>
    <row r="120737" spans="21:21" x14ac:dyDescent="0.3">
      <c r="U120737" s="25"/>
    </row>
    <row r="120759" spans="21:21" x14ac:dyDescent="0.3">
      <c r="U120759" s="25"/>
    </row>
    <row r="120781" spans="21:21" x14ac:dyDescent="0.3">
      <c r="U120781" s="25"/>
    </row>
    <row r="120803" spans="21:21" x14ac:dyDescent="0.3">
      <c r="U120803" s="25"/>
    </row>
    <row r="120825" spans="21:21" x14ac:dyDescent="0.3">
      <c r="U120825" s="25"/>
    </row>
    <row r="120847" spans="21:21" x14ac:dyDescent="0.3">
      <c r="U120847" s="25"/>
    </row>
    <row r="120869" spans="21:21" x14ac:dyDescent="0.3">
      <c r="U120869" s="25"/>
    </row>
    <row r="120891" spans="21:21" x14ac:dyDescent="0.3">
      <c r="U120891" s="25"/>
    </row>
    <row r="120913" spans="21:21" x14ac:dyDescent="0.3">
      <c r="U120913" s="25"/>
    </row>
    <row r="120935" spans="21:21" x14ac:dyDescent="0.3">
      <c r="U120935" s="25"/>
    </row>
    <row r="120957" spans="21:21" x14ac:dyDescent="0.3">
      <c r="U120957" s="25"/>
    </row>
    <row r="120979" spans="21:21" x14ac:dyDescent="0.3">
      <c r="U120979" s="25"/>
    </row>
    <row r="121001" spans="21:21" x14ac:dyDescent="0.3">
      <c r="U121001" s="25"/>
    </row>
    <row r="121023" spans="21:21" x14ac:dyDescent="0.3">
      <c r="U121023" s="25"/>
    </row>
    <row r="121045" spans="21:21" x14ac:dyDescent="0.3">
      <c r="U121045" s="25"/>
    </row>
    <row r="121067" spans="21:21" x14ac:dyDescent="0.3">
      <c r="U121067" s="25"/>
    </row>
    <row r="121089" spans="21:21" x14ac:dyDescent="0.3">
      <c r="U121089" s="25"/>
    </row>
    <row r="121111" spans="21:21" x14ac:dyDescent="0.3">
      <c r="U121111" s="25"/>
    </row>
    <row r="121133" spans="21:21" x14ac:dyDescent="0.3">
      <c r="U121133" s="25"/>
    </row>
    <row r="121155" spans="21:21" x14ac:dyDescent="0.3">
      <c r="U121155" s="25"/>
    </row>
    <row r="121177" spans="21:21" x14ac:dyDescent="0.3">
      <c r="U121177" s="25"/>
    </row>
    <row r="121199" spans="21:21" x14ac:dyDescent="0.3">
      <c r="U121199" s="25"/>
    </row>
    <row r="121221" spans="21:21" x14ac:dyDescent="0.3">
      <c r="U121221" s="25"/>
    </row>
    <row r="121243" spans="21:21" x14ac:dyDescent="0.3">
      <c r="U121243" s="25"/>
    </row>
    <row r="121265" spans="21:21" x14ac:dyDescent="0.3">
      <c r="U121265" s="25"/>
    </row>
    <row r="121287" spans="21:21" x14ac:dyDescent="0.3">
      <c r="U121287" s="25"/>
    </row>
    <row r="121309" spans="21:21" x14ac:dyDescent="0.3">
      <c r="U121309" s="25"/>
    </row>
    <row r="121331" spans="21:21" x14ac:dyDescent="0.3">
      <c r="U121331" s="25"/>
    </row>
    <row r="121353" spans="21:21" x14ac:dyDescent="0.3">
      <c r="U121353" s="25"/>
    </row>
    <row r="121375" spans="21:21" x14ac:dyDescent="0.3">
      <c r="U121375" s="25"/>
    </row>
    <row r="121397" spans="21:21" x14ac:dyDescent="0.3">
      <c r="U121397" s="25"/>
    </row>
    <row r="121419" spans="21:21" x14ac:dyDescent="0.3">
      <c r="U121419" s="25"/>
    </row>
    <row r="121441" spans="21:21" x14ac:dyDescent="0.3">
      <c r="U121441" s="25"/>
    </row>
    <row r="121463" spans="21:21" x14ac:dyDescent="0.3">
      <c r="U121463" s="25"/>
    </row>
    <row r="121485" spans="21:21" x14ac:dyDescent="0.3">
      <c r="U121485" s="25"/>
    </row>
    <row r="121507" spans="21:21" x14ac:dyDescent="0.3">
      <c r="U121507" s="25"/>
    </row>
    <row r="121529" spans="21:21" x14ac:dyDescent="0.3">
      <c r="U121529" s="25"/>
    </row>
    <row r="121551" spans="21:21" x14ac:dyDescent="0.3">
      <c r="U121551" s="25"/>
    </row>
    <row r="121573" spans="21:21" x14ac:dyDescent="0.3">
      <c r="U121573" s="25"/>
    </row>
    <row r="121595" spans="21:21" x14ac:dyDescent="0.3">
      <c r="U121595" s="25"/>
    </row>
    <row r="121617" spans="21:21" x14ac:dyDescent="0.3">
      <c r="U121617" s="25"/>
    </row>
    <row r="121639" spans="21:21" x14ac:dyDescent="0.3">
      <c r="U121639" s="25"/>
    </row>
    <row r="121661" spans="21:21" x14ac:dyDescent="0.3">
      <c r="U121661" s="25"/>
    </row>
    <row r="121683" spans="21:21" x14ac:dyDescent="0.3">
      <c r="U121683" s="25"/>
    </row>
    <row r="121705" spans="21:21" x14ac:dyDescent="0.3">
      <c r="U121705" s="25"/>
    </row>
    <row r="121727" spans="21:21" x14ac:dyDescent="0.3">
      <c r="U121727" s="25"/>
    </row>
    <row r="121749" spans="21:21" x14ac:dyDescent="0.3">
      <c r="U121749" s="25"/>
    </row>
    <row r="121771" spans="21:21" x14ac:dyDescent="0.3">
      <c r="U121771" s="25"/>
    </row>
    <row r="121793" spans="21:21" x14ac:dyDescent="0.3">
      <c r="U121793" s="25"/>
    </row>
    <row r="121815" spans="21:21" x14ac:dyDescent="0.3">
      <c r="U121815" s="25"/>
    </row>
    <row r="121837" spans="21:21" x14ac:dyDescent="0.3">
      <c r="U121837" s="25"/>
    </row>
    <row r="121859" spans="21:21" x14ac:dyDescent="0.3">
      <c r="U121859" s="25"/>
    </row>
    <row r="121881" spans="21:21" x14ac:dyDescent="0.3">
      <c r="U121881" s="25"/>
    </row>
    <row r="121903" spans="21:21" x14ac:dyDescent="0.3">
      <c r="U121903" s="25"/>
    </row>
    <row r="121925" spans="21:21" x14ac:dyDescent="0.3">
      <c r="U121925" s="25"/>
    </row>
    <row r="121947" spans="21:21" x14ac:dyDescent="0.3">
      <c r="U121947" s="25"/>
    </row>
    <row r="121969" spans="21:21" x14ac:dyDescent="0.3">
      <c r="U121969" s="25"/>
    </row>
    <row r="121991" spans="21:21" x14ac:dyDescent="0.3">
      <c r="U121991" s="25"/>
    </row>
    <row r="122013" spans="21:21" x14ac:dyDescent="0.3">
      <c r="U122013" s="25"/>
    </row>
    <row r="122035" spans="21:21" x14ac:dyDescent="0.3">
      <c r="U122035" s="25"/>
    </row>
    <row r="122057" spans="21:21" x14ac:dyDescent="0.3">
      <c r="U122057" s="25"/>
    </row>
    <row r="122079" spans="21:21" x14ac:dyDescent="0.3">
      <c r="U122079" s="25"/>
    </row>
    <row r="122101" spans="21:21" x14ac:dyDescent="0.3">
      <c r="U122101" s="25"/>
    </row>
    <row r="122123" spans="21:21" x14ac:dyDescent="0.3">
      <c r="U122123" s="25"/>
    </row>
    <row r="122145" spans="21:21" x14ac:dyDescent="0.3">
      <c r="U122145" s="25"/>
    </row>
    <row r="122167" spans="21:21" x14ac:dyDescent="0.3">
      <c r="U122167" s="25"/>
    </row>
    <row r="122189" spans="21:21" x14ac:dyDescent="0.3">
      <c r="U122189" s="25"/>
    </row>
    <row r="122211" spans="21:21" x14ac:dyDescent="0.3">
      <c r="U122211" s="25"/>
    </row>
    <row r="122233" spans="21:21" x14ac:dyDescent="0.3">
      <c r="U122233" s="25"/>
    </row>
    <row r="122255" spans="21:21" x14ac:dyDescent="0.3">
      <c r="U122255" s="25"/>
    </row>
    <row r="122277" spans="21:21" x14ac:dyDescent="0.3">
      <c r="U122277" s="25"/>
    </row>
    <row r="122299" spans="21:21" x14ac:dyDescent="0.3">
      <c r="U122299" s="25"/>
    </row>
    <row r="122321" spans="21:21" x14ac:dyDescent="0.3">
      <c r="U122321" s="25"/>
    </row>
    <row r="122343" spans="21:21" x14ac:dyDescent="0.3">
      <c r="U122343" s="25"/>
    </row>
    <row r="122365" spans="21:21" x14ac:dyDescent="0.3">
      <c r="U122365" s="25"/>
    </row>
    <row r="122387" spans="21:21" x14ac:dyDescent="0.3">
      <c r="U122387" s="25"/>
    </row>
    <row r="122409" spans="21:21" x14ac:dyDescent="0.3">
      <c r="U122409" s="25"/>
    </row>
    <row r="122431" spans="21:21" x14ac:dyDescent="0.3">
      <c r="U122431" s="25"/>
    </row>
    <row r="122453" spans="21:21" x14ac:dyDescent="0.3">
      <c r="U122453" s="25"/>
    </row>
    <row r="122475" spans="21:21" x14ac:dyDescent="0.3">
      <c r="U122475" s="25"/>
    </row>
    <row r="122497" spans="21:21" x14ac:dyDescent="0.3">
      <c r="U122497" s="25"/>
    </row>
    <row r="122519" spans="21:21" x14ac:dyDescent="0.3">
      <c r="U122519" s="25"/>
    </row>
    <row r="122541" spans="21:21" x14ac:dyDescent="0.3">
      <c r="U122541" s="25"/>
    </row>
    <row r="122563" spans="21:21" x14ac:dyDescent="0.3">
      <c r="U122563" s="25"/>
    </row>
    <row r="122585" spans="21:21" x14ac:dyDescent="0.3">
      <c r="U122585" s="25"/>
    </row>
    <row r="122607" spans="21:21" x14ac:dyDescent="0.3">
      <c r="U122607" s="25"/>
    </row>
    <row r="122629" spans="21:21" x14ac:dyDescent="0.3">
      <c r="U122629" s="25"/>
    </row>
    <row r="122651" spans="21:21" x14ac:dyDescent="0.3">
      <c r="U122651" s="25"/>
    </row>
    <row r="122673" spans="21:21" x14ac:dyDescent="0.3">
      <c r="U122673" s="25"/>
    </row>
    <row r="122695" spans="21:21" x14ac:dyDescent="0.3">
      <c r="U122695" s="25"/>
    </row>
    <row r="122717" spans="21:21" x14ac:dyDescent="0.3">
      <c r="U122717" s="25"/>
    </row>
    <row r="122739" spans="21:21" x14ac:dyDescent="0.3">
      <c r="U122739" s="25"/>
    </row>
    <row r="122761" spans="21:21" x14ac:dyDescent="0.3">
      <c r="U122761" s="25"/>
    </row>
    <row r="122783" spans="21:21" x14ac:dyDescent="0.3">
      <c r="U122783" s="25"/>
    </row>
    <row r="122805" spans="21:21" x14ac:dyDescent="0.3">
      <c r="U122805" s="25"/>
    </row>
    <row r="122827" spans="21:21" x14ac:dyDescent="0.3">
      <c r="U122827" s="25"/>
    </row>
    <row r="122849" spans="21:21" x14ac:dyDescent="0.3">
      <c r="U122849" s="25"/>
    </row>
    <row r="122871" spans="21:21" x14ac:dyDescent="0.3">
      <c r="U122871" s="25"/>
    </row>
    <row r="122893" spans="21:21" x14ac:dyDescent="0.3">
      <c r="U122893" s="25"/>
    </row>
    <row r="122915" spans="21:21" x14ac:dyDescent="0.3">
      <c r="U122915" s="25"/>
    </row>
    <row r="122937" spans="21:21" x14ac:dyDescent="0.3">
      <c r="U122937" s="25"/>
    </row>
    <row r="122959" spans="21:21" x14ac:dyDescent="0.3">
      <c r="U122959" s="25"/>
    </row>
    <row r="122981" spans="21:21" x14ac:dyDescent="0.3">
      <c r="U122981" s="25"/>
    </row>
    <row r="123003" spans="21:21" x14ac:dyDescent="0.3">
      <c r="U123003" s="25"/>
    </row>
    <row r="123025" spans="21:21" x14ac:dyDescent="0.3">
      <c r="U123025" s="25"/>
    </row>
    <row r="123047" spans="21:21" x14ac:dyDescent="0.3">
      <c r="U123047" s="25"/>
    </row>
    <row r="123069" spans="21:21" x14ac:dyDescent="0.3">
      <c r="U123069" s="25"/>
    </row>
    <row r="123091" spans="21:21" x14ac:dyDescent="0.3">
      <c r="U123091" s="25"/>
    </row>
    <row r="123113" spans="21:21" x14ac:dyDescent="0.3">
      <c r="U123113" s="25"/>
    </row>
    <row r="123135" spans="21:21" x14ac:dyDescent="0.3">
      <c r="U123135" s="25"/>
    </row>
    <row r="123157" spans="21:21" x14ac:dyDescent="0.3">
      <c r="U123157" s="25"/>
    </row>
    <row r="123179" spans="21:21" x14ac:dyDescent="0.3">
      <c r="U123179" s="25"/>
    </row>
    <row r="123201" spans="21:21" x14ac:dyDescent="0.3">
      <c r="U123201" s="25"/>
    </row>
    <row r="123223" spans="21:21" x14ac:dyDescent="0.3">
      <c r="U123223" s="25"/>
    </row>
    <row r="123245" spans="21:21" x14ac:dyDescent="0.3">
      <c r="U123245" s="25"/>
    </row>
    <row r="123267" spans="21:21" x14ac:dyDescent="0.3">
      <c r="U123267" s="25"/>
    </row>
    <row r="123289" spans="21:21" x14ac:dyDescent="0.3">
      <c r="U123289" s="25"/>
    </row>
    <row r="123311" spans="21:21" x14ac:dyDescent="0.3">
      <c r="U123311" s="25"/>
    </row>
    <row r="123333" spans="21:21" x14ac:dyDescent="0.3">
      <c r="U123333" s="25"/>
    </row>
    <row r="123355" spans="21:21" x14ac:dyDescent="0.3">
      <c r="U123355" s="25"/>
    </row>
    <row r="123377" spans="21:21" x14ac:dyDescent="0.3">
      <c r="U123377" s="25"/>
    </row>
    <row r="123399" spans="21:21" x14ac:dyDescent="0.3">
      <c r="U123399" s="25"/>
    </row>
    <row r="123421" spans="21:21" x14ac:dyDescent="0.3">
      <c r="U123421" s="25"/>
    </row>
    <row r="123443" spans="21:21" x14ac:dyDescent="0.3">
      <c r="U123443" s="25"/>
    </row>
    <row r="123465" spans="21:21" x14ac:dyDescent="0.3">
      <c r="U123465" s="25"/>
    </row>
    <row r="123487" spans="21:21" x14ac:dyDescent="0.3">
      <c r="U123487" s="25"/>
    </row>
    <row r="123509" spans="21:21" x14ac:dyDescent="0.3">
      <c r="U123509" s="25"/>
    </row>
    <row r="123531" spans="21:21" x14ac:dyDescent="0.3">
      <c r="U123531" s="25"/>
    </row>
    <row r="123553" spans="21:21" x14ac:dyDescent="0.3">
      <c r="U123553" s="25"/>
    </row>
    <row r="123575" spans="21:21" x14ac:dyDescent="0.3">
      <c r="U123575" s="25"/>
    </row>
    <row r="123597" spans="21:21" x14ac:dyDescent="0.3">
      <c r="U123597" s="25"/>
    </row>
    <row r="123619" spans="21:21" x14ac:dyDescent="0.3">
      <c r="U123619" s="25"/>
    </row>
    <row r="123641" spans="21:21" x14ac:dyDescent="0.3">
      <c r="U123641" s="25"/>
    </row>
    <row r="123663" spans="21:21" x14ac:dyDescent="0.3">
      <c r="U123663" s="25"/>
    </row>
    <row r="123685" spans="21:21" x14ac:dyDescent="0.3">
      <c r="U123685" s="25"/>
    </row>
    <row r="123707" spans="21:21" x14ac:dyDescent="0.3">
      <c r="U123707" s="25"/>
    </row>
    <row r="123729" spans="21:21" x14ac:dyDescent="0.3">
      <c r="U123729" s="25"/>
    </row>
    <row r="123751" spans="21:21" x14ac:dyDescent="0.3">
      <c r="U123751" s="25"/>
    </row>
    <row r="123773" spans="21:21" x14ac:dyDescent="0.3">
      <c r="U123773" s="25"/>
    </row>
    <row r="123795" spans="21:21" x14ac:dyDescent="0.3">
      <c r="U123795" s="25"/>
    </row>
    <row r="123817" spans="21:21" x14ac:dyDescent="0.3">
      <c r="U123817" s="25"/>
    </row>
    <row r="123839" spans="21:21" x14ac:dyDescent="0.3">
      <c r="U123839" s="25"/>
    </row>
    <row r="123861" spans="21:21" x14ac:dyDescent="0.3">
      <c r="U123861" s="25"/>
    </row>
    <row r="123883" spans="21:21" x14ac:dyDescent="0.3">
      <c r="U123883" s="25"/>
    </row>
    <row r="123905" spans="21:21" x14ac:dyDescent="0.3">
      <c r="U123905" s="25"/>
    </row>
    <row r="123927" spans="21:21" x14ac:dyDescent="0.3">
      <c r="U123927" s="25"/>
    </row>
    <row r="123949" spans="21:21" x14ac:dyDescent="0.3">
      <c r="U123949" s="25"/>
    </row>
    <row r="123971" spans="21:21" x14ac:dyDescent="0.3">
      <c r="U123971" s="25"/>
    </row>
    <row r="123993" spans="21:21" x14ac:dyDescent="0.3">
      <c r="U123993" s="25"/>
    </row>
    <row r="124015" spans="21:21" x14ac:dyDescent="0.3">
      <c r="U124015" s="25"/>
    </row>
    <row r="124037" spans="21:21" x14ac:dyDescent="0.3">
      <c r="U124037" s="25"/>
    </row>
    <row r="124059" spans="21:21" x14ac:dyDescent="0.3">
      <c r="U124059" s="25"/>
    </row>
    <row r="124081" spans="21:21" x14ac:dyDescent="0.3">
      <c r="U124081" s="25"/>
    </row>
    <row r="124103" spans="21:21" x14ac:dyDescent="0.3">
      <c r="U124103" s="25"/>
    </row>
    <row r="124125" spans="21:21" x14ac:dyDescent="0.3">
      <c r="U124125" s="25"/>
    </row>
    <row r="124147" spans="21:21" x14ac:dyDescent="0.3">
      <c r="U124147" s="25"/>
    </row>
    <row r="124169" spans="21:21" x14ac:dyDescent="0.3">
      <c r="U124169" s="25"/>
    </row>
    <row r="124191" spans="21:21" x14ac:dyDescent="0.3">
      <c r="U124191" s="25"/>
    </row>
    <row r="124213" spans="21:21" x14ac:dyDescent="0.3">
      <c r="U124213" s="25"/>
    </row>
    <row r="124235" spans="21:21" x14ac:dyDescent="0.3">
      <c r="U124235" s="25"/>
    </row>
    <row r="124257" spans="21:21" x14ac:dyDescent="0.3">
      <c r="U124257" s="25"/>
    </row>
    <row r="124279" spans="21:21" x14ac:dyDescent="0.3">
      <c r="U124279" s="25"/>
    </row>
    <row r="124301" spans="21:21" x14ac:dyDescent="0.3">
      <c r="U124301" s="25"/>
    </row>
    <row r="124323" spans="21:21" x14ac:dyDescent="0.3">
      <c r="U124323" s="25"/>
    </row>
    <row r="124345" spans="21:21" x14ac:dyDescent="0.3">
      <c r="U124345" s="25"/>
    </row>
    <row r="124367" spans="21:21" x14ac:dyDescent="0.3">
      <c r="U124367" s="25"/>
    </row>
    <row r="124389" spans="21:21" x14ac:dyDescent="0.3">
      <c r="U124389" s="25"/>
    </row>
    <row r="124411" spans="21:21" x14ac:dyDescent="0.3">
      <c r="U124411" s="25"/>
    </row>
    <row r="124433" spans="21:21" x14ac:dyDescent="0.3">
      <c r="U124433" s="25"/>
    </row>
    <row r="124455" spans="21:21" x14ac:dyDescent="0.3">
      <c r="U124455" s="25"/>
    </row>
    <row r="124477" spans="21:21" x14ac:dyDescent="0.3">
      <c r="U124477" s="25"/>
    </row>
    <row r="124499" spans="21:21" x14ac:dyDescent="0.3">
      <c r="U124499" s="25"/>
    </row>
    <row r="124521" spans="21:21" x14ac:dyDescent="0.3">
      <c r="U124521" s="25"/>
    </row>
    <row r="124543" spans="21:21" x14ac:dyDescent="0.3">
      <c r="U124543" s="25"/>
    </row>
    <row r="124565" spans="21:21" x14ac:dyDescent="0.3">
      <c r="U124565" s="25"/>
    </row>
    <row r="124587" spans="21:21" x14ac:dyDescent="0.3">
      <c r="U124587" s="25"/>
    </row>
    <row r="124609" spans="21:21" x14ac:dyDescent="0.3">
      <c r="U124609" s="25"/>
    </row>
    <row r="124631" spans="21:21" x14ac:dyDescent="0.3">
      <c r="U124631" s="25"/>
    </row>
    <row r="124653" spans="21:21" x14ac:dyDescent="0.3">
      <c r="U124653" s="25"/>
    </row>
    <row r="124675" spans="21:21" x14ac:dyDescent="0.3">
      <c r="U124675" s="25"/>
    </row>
    <row r="124697" spans="21:21" x14ac:dyDescent="0.3">
      <c r="U124697" s="25"/>
    </row>
    <row r="124719" spans="21:21" x14ac:dyDescent="0.3">
      <c r="U124719" s="25"/>
    </row>
    <row r="124741" spans="21:21" x14ac:dyDescent="0.3">
      <c r="U124741" s="25"/>
    </row>
    <row r="124763" spans="21:21" x14ac:dyDescent="0.3">
      <c r="U124763" s="25"/>
    </row>
    <row r="124785" spans="21:21" x14ac:dyDescent="0.3">
      <c r="U124785" s="25"/>
    </row>
    <row r="124807" spans="21:21" x14ac:dyDescent="0.3">
      <c r="U124807" s="25"/>
    </row>
    <row r="124829" spans="21:21" x14ac:dyDescent="0.3">
      <c r="U124829" s="25"/>
    </row>
    <row r="124851" spans="21:21" x14ac:dyDescent="0.3">
      <c r="U124851" s="25"/>
    </row>
    <row r="124873" spans="21:21" x14ac:dyDescent="0.3">
      <c r="U124873" s="25"/>
    </row>
    <row r="124895" spans="21:21" x14ac:dyDescent="0.3">
      <c r="U124895" s="25"/>
    </row>
    <row r="124917" spans="21:21" x14ac:dyDescent="0.3">
      <c r="U124917" s="25"/>
    </row>
    <row r="124939" spans="21:21" x14ac:dyDescent="0.3">
      <c r="U124939" s="25"/>
    </row>
    <row r="124961" spans="21:21" x14ac:dyDescent="0.3">
      <c r="U124961" s="25"/>
    </row>
    <row r="124983" spans="21:21" x14ac:dyDescent="0.3">
      <c r="U124983" s="25"/>
    </row>
    <row r="125005" spans="21:21" x14ac:dyDescent="0.3">
      <c r="U125005" s="25"/>
    </row>
    <row r="125027" spans="21:21" x14ac:dyDescent="0.3">
      <c r="U125027" s="25"/>
    </row>
    <row r="125049" spans="21:21" x14ac:dyDescent="0.3">
      <c r="U125049" s="25"/>
    </row>
    <row r="125071" spans="21:21" x14ac:dyDescent="0.3">
      <c r="U125071" s="25"/>
    </row>
    <row r="125093" spans="21:21" x14ac:dyDescent="0.3">
      <c r="U125093" s="25"/>
    </row>
    <row r="125115" spans="21:21" x14ac:dyDescent="0.3">
      <c r="U125115" s="25"/>
    </row>
    <row r="125137" spans="21:21" x14ac:dyDescent="0.3">
      <c r="U125137" s="25"/>
    </row>
    <row r="125159" spans="21:21" x14ac:dyDescent="0.3">
      <c r="U125159" s="25"/>
    </row>
    <row r="125181" spans="21:21" x14ac:dyDescent="0.3">
      <c r="U125181" s="25"/>
    </row>
    <row r="125203" spans="21:21" x14ac:dyDescent="0.3">
      <c r="U125203" s="25"/>
    </row>
    <row r="125225" spans="21:21" x14ac:dyDescent="0.3">
      <c r="U125225" s="25"/>
    </row>
    <row r="125247" spans="21:21" x14ac:dyDescent="0.3">
      <c r="U125247" s="25"/>
    </row>
    <row r="125269" spans="21:21" x14ac:dyDescent="0.3">
      <c r="U125269" s="25"/>
    </row>
    <row r="125291" spans="21:21" x14ac:dyDescent="0.3">
      <c r="U125291" s="25"/>
    </row>
    <row r="125313" spans="21:21" x14ac:dyDescent="0.3">
      <c r="U125313" s="25"/>
    </row>
    <row r="125335" spans="21:21" x14ac:dyDescent="0.3">
      <c r="U125335" s="25"/>
    </row>
    <row r="125357" spans="21:21" x14ac:dyDescent="0.3">
      <c r="U125357" s="25"/>
    </row>
    <row r="125379" spans="21:21" x14ac:dyDescent="0.3">
      <c r="U125379" s="25"/>
    </row>
    <row r="125401" spans="21:21" x14ac:dyDescent="0.3">
      <c r="U125401" s="25"/>
    </row>
    <row r="125423" spans="21:21" x14ac:dyDescent="0.3">
      <c r="U125423" s="25"/>
    </row>
    <row r="125445" spans="21:21" x14ac:dyDescent="0.3">
      <c r="U125445" s="25"/>
    </row>
    <row r="125467" spans="21:21" x14ac:dyDescent="0.3">
      <c r="U125467" s="25"/>
    </row>
    <row r="125489" spans="21:21" x14ac:dyDescent="0.3">
      <c r="U125489" s="25"/>
    </row>
    <row r="125511" spans="21:21" x14ac:dyDescent="0.3">
      <c r="U125511" s="25"/>
    </row>
    <row r="125533" spans="21:21" x14ac:dyDescent="0.3">
      <c r="U125533" s="25"/>
    </row>
    <row r="125555" spans="21:21" x14ac:dyDescent="0.3">
      <c r="U125555" s="25"/>
    </row>
    <row r="125577" spans="21:21" x14ac:dyDescent="0.3">
      <c r="U125577" s="25"/>
    </row>
    <row r="125599" spans="21:21" x14ac:dyDescent="0.3">
      <c r="U125599" s="25"/>
    </row>
    <row r="125621" spans="21:21" x14ac:dyDescent="0.3">
      <c r="U125621" s="25"/>
    </row>
    <row r="125643" spans="21:21" x14ac:dyDescent="0.3">
      <c r="U125643" s="25"/>
    </row>
    <row r="125665" spans="21:21" x14ac:dyDescent="0.3">
      <c r="U125665" s="25"/>
    </row>
    <row r="125687" spans="21:21" x14ac:dyDescent="0.3">
      <c r="U125687" s="25"/>
    </row>
    <row r="125709" spans="21:21" x14ac:dyDescent="0.3">
      <c r="U125709" s="25"/>
    </row>
    <row r="125731" spans="21:21" x14ac:dyDescent="0.3">
      <c r="U125731" s="25"/>
    </row>
    <row r="125753" spans="21:21" x14ac:dyDescent="0.3">
      <c r="U125753" s="25"/>
    </row>
    <row r="125775" spans="21:21" x14ac:dyDescent="0.3">
      <c r="U125775" s="25"/>
    </row>
    <row r="125797" spans="21:21" x14ac:dyDescent="0.3">
      <c r="U125797" s="25"/>
    </row>
    <row r="125819" spans="21:21" x14ac:dyDescent="0.3">
      <c r="U125819" s="25"/>
    </row>
    <row r="125841" spans="21:21" x14ac:dyDescent="0.3">
      <c r="U125841" s="25"/>
    </row>
    <row r="125863" spans="21:21" x14ac:dyDescent="0.3">
      <c r="U125863" s="25"/>
    </row>
    <row r="125885" spans="21:21" x14ac:dyDescent="0.3">
      <c r="U125885" s="25"/>
    </row>
    <row r="125907" spans="21:21" x14ac:dyDescent="0.3">
      <c r="U125907" s="25"/>
    </row>
    <row r="125929" spans="21:21" x14ac:dyDescent="0.3">
      <c r="U125929" s="25"/>
    </row>
    <row r="125951" spans="21:21" x14ac:dyDescent="0.3">
      <c r="U125951" s="25"/>
    </row>
    <row r="125973" spans="21:21" x14ac:dyDescent="0.3">
      <c r="U125973" s="25"/>
    </row>
    <row r="125995" spans="21:21" x14ac:dyDescent="0.3">
      <c r="U125995" s="25"/>
    </row>
    <row r="126017" spans="21:21" x14ac:dyDescent="0.3">
      <c r="U126017" s="25"/>
    </row>
    <row r="126039" spans="21:21" x14ac:dyDescent="0.3">
      <c r="U126039" s="25"/>
    </row>
    <row r="126061" spans="21:21" x14ac:dyDescent="0.3">
      <c r="U126061" s="25"/>
    </row>
    <row r="126083" spans="21:21" x14ac:dyDescent="0.3">
      <c r="U126083" s="25"/>
    </row>
    <row r="126105" spans="21:21" x14ac:dyDescent="0.3">
      <c r="U126105" s="25"/>
    </row>
    <row r="126127" spans="21:21" x14ac:dyDescent="0.3">
      <c r="U126127" s="25"/>
    </row>
    <row r="126149" spans="21:21" x14ac:dyDescent="0.3">
      <c r="U126149" s="25"/>
    </row>
    <row r="126171" spans="21:21" x14ac:dyDescent="0.3">
      <c r="U126171" s="25"/>
    </row>
    <row r="126193" spans="21:21" x14ac:dyDescent="0.3">
      <c r="U126193" s="25"/>
    </row>
    <row r="126215" spans="21:21" x14ac:dyDescent="0.3">
      <c r="U126215" s="25"/>
    </row>
    <row r="126237" spans="21:21" x14ac:dyDescent="0.3">
      <c r="U126237" s="25"/>
    </row>
    <row r="126259" spans="21:21" x14ac:dyDescent="0.3">
      <c r="U126259" s="25"/>
    </row>
    <row r="126281" spans="21:21" x14ac:dyDescent="0.3">
      <c r="U126281" s="25"/>
    </row>
    <row r="126303" spans="21:21" x14ac:dyDescent="0.3">
      <c r="U126303" s="25"/>
    </row>
    <row r="126325" spans="21:21" x14ac:dyDescent="0.3">
      <c r="U126325" s="25"/>
    </row>
    <row r="126347" spans="21:21" x14ac:dyDescent="0.3">
      <c r="U126347" s="25"/>
    </row>
    <row r="126369" spans="21:21" x14ac:dyDescent="0.3">
      <c r="U126369" s="25"/>
    </row>
    <row r="126391" spans="21:21" x14ac:dyDescent="0.3">
      <c r="U126391" s="25"/>
    </row>
    <row r="126413" spans="21:21" x14ac:dyDescent="0.3">
      <c r="U126413" s="25"/>
    </row>
    <row r="126435" spans="21:21" x14ac:dyDescent="0.3">
      <c r="U126435" s="25"/>
    </row>
    <row r="126457" spans="21:21" x14ac:dyDescent="0.3">
      <c r="U126457" s="25"/>
    </row>
    <row r="126479" spans="21:21" x14ac:dyDescent="0.3">
      <c r="U126479" s="25"/>
    </row>
    <row r="126501" spans="21:21" x14ac:dyDescent="0.3">
      <c r="U126501" s="25"/>
    </row>
    <row r="126523" spans="21:21" x14ac:dyDescent="0.3">
      <c r="U126523" s="25"/>
    </row>
    <row r="126545" spans="21:21" x14ac:dyDescent="0.3">
      <c r="U126545" s="25"/>
    </row>
    <row r="126567" spans="21:21" x14ac:dyDescent="0.3">
      <c r="U126567" s="25"/>
    </row>
    <row r="126589" spans="21:21" x14ac:dyDescent="0.3">
      <c r="U126589" s="25"/>
    </row>
    <row r="126611" spans="21:21" x14ac:dyDescent="0.3">
      <c r="U126611" s="25"/>
    </row>
    <row r="126633" spans="21:21" x14ac:dyDescent="0.3">
      <c r="U126633" s="25"/>
    </row>
    <row r="126655" spans="21:21" x14ac:dyDescent="0.3">
      <c r="U126655" s="25"/>
    </row>
    <row r="126677" spans="21:21" x14ac:dyDescent="0.3">
      <c r="U126677" s="25"/>
    </row>
    <row r="126699" spans="21:21" x14ac:dyDescent="0.3">
      <c r="U126699" s="25"/>
    </row>
    <row r="126721" spans="21:21" x14ac:dyDescent="0.3">
      <c r="U126721" s="25"/>
    </row>
    <row r="126743" spans="21:21" x14ac:dyDescent="0.3">
      <c r="U126743" s="25"/>
    </row>
    <row r="126765" spans="21:21" x14ac:dyDescent="0.3">
      <c r="U126765" s="25"/>
    </row>
    <row r="126787" spans="21:21" x14ac:dyDescent="0.3">
      <c r="U126787" s="25"/>
    </row>
    <row r="126809" spans="21:21" x14ac:dyDescent="0.3">
      <c r="U126809" s="25"/>
    </row>
    <row r="126831" spans="21:21" x14ac:dyDescent="0.3">
      <c r="U126831" s="25"/>
    </row>
    <row r="126853" spans="21:21" x14ac:dyDescent="0.3">
      <c r="U126853" s="25"/>
    </row>
    <row r="126875" spans="21:21" x14ac:dyDescent="0.3">
      <c r="U126875" s="25"/>
    </row>
    <row r="126897" spans="21:21" x14ac:dyDescent="0.3">
      <c r="U126897" s="25"/>
    </row>
    <row r="126919" spans="21:21" x14ac:dyDescent="0.3">
      <c r="U126919" s="25"/>
    </row>
    <row r="126941" spans="21:21" x14ac:dyDescent="0.3">
      <c r="U126941" s="25"/>
    </row>
    <row r="126963" spans="21:21" x14ac:dyDescent="0.3">
      <c r="U126963" s="25"/>
    </row>
    <row r="126985" spans="21:21" x14ac:dyDescent="0.3">
      <c r="U126985" s="25"/>
    </row>
    <row r="127007" spans="21:21" x14ac:dyDescent="0.3">
      <c r="U127007" s="25"/>
    </row>
    <row r="127029" spans="21:21" x14ac:dyDescent="0.3">
      <c r="U127029" s="25"/>
    </row>
    <row r="127051" spans="21:21" x14ac:dyDescent="0.3">
      <c r="U127051" s="25"/>
    </row>
    <row r="127073" spans="21:21" x14ac:dyDescent="0.3">
      <c r="U127073" s="25"/>
    </row>
    <row r="127095" spans="21:21" x14ac:dyDescent="0.3">
      <c r="U127095" s="25"/>
    </row>
    <row r="127117" spans="21:21" x14ac:dyDescent="0.3">
      <c r="U127117" s="25"/>
    </row>
    <row r="127139" spans="21:21" x14ac:dyDescent="0.3">
      <c r="U127139" s="25"/>
    </row>
    <row r="127161" spans="21:21" x14ac:dyDescent="0.3">
      <c r="U127161" s="25"/>
    </row>
    <row r="127183" spans="21:21" x14ac:dyDescent="0.3">
      <c r="U127183" s="25"/>
    </row>
    <row r="127205" spans="21:21" x14ac:dyDescent="0.3">
      <c r="U127205" s="25"/>
    </row>
    <row r="127227" spans="21:21" x14ac:dyDescent="0.3">
      <c r="U127227" s="25"/>
    </row>
    <row r="127249" spans="21:21" x14ac:dyDescent="0.3">
      <c r="U127249" s="25"/>
    </row>
    <row r="127271" spans="21:21" x14ac:dyDescent="0.3">
      <c r="U127271" s="25"/>
    </row>
    <row r="127293" spans="21:21" x14ac:dyDescent="0.3">
      <c r="U127293" s="25"/>
    </row>
    <row r="127315" spans="21:21" x14ac:dyDescent="0.3">
      <c r="U127315" s="25"/>
    </row>
    <row r="127337" spans="21:21" x14ac:dyDescent="0.3">
      <c r="U127337" s="25"/>
    </row>
    <row r="127359" spans="21:21" x14ac:dyDescent="0.3">
      <c r="U127359" s="25"/>
    </row>
    <row r="127381" spans="21:21" x14ac:dyDescent="0.3">
      <c r="U127381" s="25"/>
    </row>
    <row r="127403" spans="21:21" x14ac:dyDescent="0.3">
      <c r="U127403" s="25"/>
    </row>
    <row r="127425" spans="21:21" x14ac:dyDescent="0.3">
      <c r="U127425" s="25"/>
    </row>
    <row r="127447" spans="21:21" x14ac:dyDescent="0.3">
      <c r="U127447" s="25"/>
    </row>
    <row r="127469" spans="21:21" x14ac:dyDescent="0.3">
      <c r="U127469" s="25"/>
    </row>
    <row r="127491" spans="21:21" x14ac:dyDescent="0.3">
      <c r="U127491" s="25"/>
    </row>
    <row r="127513" spans="21:21" x14ac:dyDescent="0.3">
      <c r="U127513" s="25"/>
    </row>
    <row r="127535" spans="21:21" x14ac:dyDescent="0.3">
      <c r="U127535" s="25"/>
    </row>
    <row r="127557" spans="21:21" x14ac:dyDescent="0.3">
      <c r="U127557" s="25"/>
    </row>
    <row r="127579" spans="21:21" x14ac:dyDescent="0.3">
      <c r="U127579" s="25"/>
    </row>
    <row r="127601" spans="21:21" x14ac:dyDescent="0.3">
      <c r="U127601" s="25"/>
    </row>
    <row r="127623" spans="21:21" x14ac:dyDescent="0.3">
      <c r="U127623" s="25"/>
    </row>
    <row r="127645" spans="21:21" x14ac:dyDescent="0.3">
      <c r="U127645" s="25"/>
    </row>
    <row r="127667" spans="21:21" x14ac:dyDescent="0.3">
      <c r="U127667" s="25"/>
    </row>
    <row r="127689" spans="21:21" x14ac:dyDescent="0.3">
      <c r="U127689" s="25"/>
    </row>
    <row r="127711" spans="21:21" x14ac:dyDescent="0.3">
      <c r="U127711" s="25"/>
    </row>
    <row r="127733" spans="21:21" x14ac:dyDescent="0.3">
      <c r="U127733" s="25"/>
    </row>
    <row r="127755" spans="21:21" x14ac:dyDescent="0.3">
      <c r="U127755" s="25"/>
    </row>
    <row r="127777" spans="21:21" x14ac:dyDescent="0.3">
      <c r="U127777" s="25"/>
    </row>
    <row r="127799" spans="21:21" x14ac:dyDescent="0.3">
      <c r="U127799" s="25"/>
    </row>
    <row r="127821" spans="21:21" x14ac:dyDescent="0.3">
      <c r="U127821" s="25"/>
    </row>
    <row r="127843" spans="21:21" x14ac:dyDescent="0.3">
      <c r="U127843" s="25"/>
    </row>
    <row r="127865" spans="21:21" x14ac:dyDescent="0.3">
      <c r="U127865" s="25"/>
    </row>
    <row r="127887" spans="21:21" x14ac:dyDescent="0.3">
      <c r="U127887" s="25"/>
    </row>
    <row r="127909" spans="21:21" x14ac:dyDescent="0.3">
      <c r="U127909" s="25"/>
    </row>
    <row r="127931" spans="21:21" x14ac:dyDescent="0.3">
      <c r="U127931" s="25"/>
    </row>
    <row r="127953" spans="21:21" x14ac:dyDescent="0.3">
      <c r="U127953" s="25"/>
    </row>
    <row r="127975" spans="21:21" x14ac:dyDescent="0.3">
      <c r="U127975" s="25"/>
    </row>
    <row r="127997" spans="21:21" x14ac:dyDescent="0.3">
      <c r="U127997" s="25"/>
    </row>
    <row r="128019" spans="21:21" x14ac:dyDescent="0.3">
      <c r="U128019" s="25"/>
    </row>
    <row r="128041" spans="21:21" x14ac:dyDescent="0.3">
      <c r="U128041" s="25"/>
    </row>
    <row r="128063" spans="21:21" x14ac:dyDescent="0.3">
      <c r="U128063" s="25"/>
    </row>
    <row r="128085" spans="21:21" x14ac:dyDescent="0.3">
      <c r="U128085" s="25"/>
    </row>
    <row r="128107" spans="21:21" x14ac:dyDescent="0.3">
      <c r="U128107" s="25"/>
    </row>
    <row r="128129" spans="21:21" x14ac:dyDescent="0.3">
      <c r="U128129" s="25"/>
    </row>
    <row r="128151" spans="21:21" x14ac:dyDescent="0.3">
      <c r="U128151" s="25"/>
    </row>
    <row r="128173" spans="21:21" x14ac:dyDescent="0.3">
      <c r="U128173" s="25"/>
    </row>
    <row r="128195" spans="21:21" x14ac:dyDescent="0.3">
      <c r="U128195" s="25"/>
    </row>
    <row r="128217" spans="21:21" x14ac:dyDescent="0.3">
      <c r="U128217" s="25"/>
    </row>
    <row r="128239" spans="21:21" x14ac:dyDescent="0.3">
      <c r="U128239" s="25"/>
    </row>
    <row r="128261" spans="21:21" x14ac:dyDescent="0.3">
      <c r="U128261" s="25"/>
    </row>
    <row r="128283" spans="21:21" x14ac:dyDescent="0.3">
      <c r="U128283" s="25"/>
    </row>
    <row r="128305" spans="21:21" x14ac:dyDescent="0.3">
      <c r="U128305" s="25"/>
    </row>
    <row r="128327" spans="21:21" x14ac:dyDescent="0.3">
      <c r="U128327" s="25"/>
    </row>
    <row r="128349" spans="21:21" x14ac:dyDescent="0.3">
      <c r="U128349" s="25"/>
    </row>
    <row r="128371" spans="21:21" x14ac:dyDescent="0.3">
      <c r="U128371" s="25"/>
    </row>
    <row r="128393" spans="21:21" x14ac:dyDescent="0.3">
      <c r="U128393" s="25"/>
    </row>
    <row r="128415" spans="21:21" x14ac:dyDescent="0.3">
      <c r="U128415" s="25"/>
    </row>
    <row r="128437" spans="21:21" x14ac:dyDescent="0.3">
      <c r="U128437" s="25"/>
    </row>
    <row r="128459" spans="21:21" x14ac:dyDescent="0.3">
      <c r="U128459" s="25"/>
    </row>
    <row r="128481" spans="21:21" x14ac:dyDescent="0.3">
      <c r="U128481" s="25"/>
    </row>
    <row r="128503" spans="21:21" x14ac:dyDescent="0.3">
      <c r="U128503" s="25"/>
    </row>
    <row r="128525" spans="21:21" x14ac:dyDescent="0.3">
      <c r="U128525" s="25"/>
    </row>
    <row r="128547" spans="21:21" x14ac:dyDescent="0.3">
      <c r="U128547" s="25"/>
    </row>
    <row r="128569" spans="21:21" x14ac:dyDescent="0.3">
      <c r="U128569" s="25"/>
    </row>
    <row r="128591" spans="21:21" x14ac:dyDescent="0.3">
      <c r="U128591" s="25"/>
    </row>
    <row r="128613" spans="21:21" x14ac:dyDescent="0.3">
      <c r="U128613" s="25"/>
    </row>
    <row r="128635" spans="21:21" x14ac:dyDescent="0.3">
      <c r="U128635" s="25"/>
    </row>
    <row r="128657" spans="21:21" x14ac:dyDescent="0.3">
      <c r="U128657" s="25"/>
    </row>
    <row r="128679" spans="21:21" x14ac:dyDescent="0.3">
      <c r="U128679" s="25"/>
    </row>
    <row r="128701" spans="21:21" x14ac:dyDescent="0.3">
      <c r="U128701" s="25"/>
    </row>
    <row r="128723" spans="21:21" x14ac:dyDescent="0.3">
      <c r="U128723" s="25"/>
    </row>
    <row r="128745" spans="21:21" x14ac:dyDescent="0.3">
      <c r="U128745" s="25"/>
    </row>
    <row r="128767" spans="21:21" x14ac:dyDescent="0.3">
      <c r="U128767" s="25"/>
    </row>
    <row r="128789" spans="21:21" x14ac:dyDescent="0.3">
      <c r="U128789" s="25"/>
    </row>
    <row r="128811" spans="21:21" x14ac:dyDescent="0.3">
      <c r="U128811" s="25"/>
    </row>
    <row r="128833" spans="21:21" x14ac:dyDescent="0.3">
      <c r="U128833" s="25"/>
    </row>
    <row r="128855" spans="21:21" x14ac:dyDescent="0.3">
      <c r="U128855" s="25"/>
    </row>
    <row r="128877" spans="21:21" x14ac:dyDescent="0.3">
      <c r="U128877" s="25"/>
    </row>
    <row r="128899" spans="21:21" x14ac:dyDescent="0.3">
      <c r="U128899" s="25"/>
    </row>
    <row r="128921" spans="21:21" x14ac:dyDescent="0.3">
      <c r="U128921" s="25"/>
    </row>
    <row r="128943" spans="21:21" x14ac:dyDescent="0.3">
      <c r="U128943" s="25"/>
    </row>
    <row r="128965" spans="21:21" x14ac:dyDescent="0.3">
      <c r="U128965" s="25"/>
    </row>
    <row r="128987" spans="21:21" x14ac:dyDescent="0.3">
      <c r="U128987" s="25"/>
    </row>
    <row r="129009" spans="21:21" x14ac:dyDescent="0.3">
      <c r="U129009" s="25"/>
    </row>
    <row r="129031" spans="21:21" x14ac:dyDescent="0.3">
      <c r="U129031" s="25"/>
    </row>
    <row r="129053" spans="21:21" x14ac:dyDescent="0.3">
      <c r="U129053" s="25"/>
    </row>
    <row r="129075" spans="21:21" x14ac:dyDescent="0.3">
      <c r="U129075" s="25"/>
    </row>
    <row r="129097" spans="21:21" x14ac:dyDescent="0.3">
      <c r="U129097" s="25"/>
    </row>
    <row r="129119" spans="21:21" x14ac:dyDescent="0.3">
      <c r="U129119" s="25"/>
    </row>
    <row r="129141" spans="21:21" x14ac:dyDescent="0.3">
      <c r="U129141" s="25"/>
    </row>
    <row r="129163" spans="21:21" x14ac:dyDescent="0.3">
      <c r="U129163" s="25"/>
    </row>
    <row r="129185" spans="21:21" x14ac:dyDescent="0.3">
      <c r="U129185" s="25"/>
    </row>
    <row r="129207" spans="21:21" x14ac:dyDescent="0.3">
      <c r="U129207" s="25"/>
    </row>
    <row r="129229" spans="21:21" x14ac:dyDescent="0.3">
      <c r="U129229" s="25"/>
    </row>
    <row r="129251" spans="21:21" x14ac:dyDescent="0.3">
      <c r="U129251" s="25"/>
    </row>
    <row r="129273" spans="21:21" x14ac:dyDescent="0.3">
      <c r="U129273" s="25"/>
    </row>
    <row r="129295" spans="21:21" x14ac:dyDescent="0.3">
      <c r="U129295" s="25"/>
    </row>
    <row r="129317" spans="21:21" x14ac:dyDescent="0.3">
      <c r="U129317" s="25"/>
    </row>
    <row r="129339" spans="21:21" x14ac:dyDescent="0.3">
      <c r="U129339" s="25"/>
    </row>
    <row r="129361" spans="21:21" x14ac:dyDescent="0.3">
      <c r="U129361" s="25"/>
    </row>
    <row r="129383" spans="21:21" x14ac:dyDescent="0.3">
      <c r="U129383" s="25"/>
    </row>
    <row r="129405" spans="21:21" x14ac:dyDescent="0.3">
      <c r="U129405" s="25"/>
    </row>
    <row r="129427" spans="21:21" x14ac:dyDescent="0.3">
      <c r="U129427" s="25"/>
    </row>
    <row r="129449" spans="21:21" x14ac:dyDescent="0.3">
      <c r="U129449" s="25"/>
    </row>
    <row r="129471" spans="21:21" x14ac:dyDescent="0.3">
      <c r="U129471" s="25"/>
    </row>
    <row r="129493" spans="21:21" x14ac:dyDescent="0.3">
      <c r="U129493" s="25"/>
    </row>
    <row r="129515" spans="21:21" x14ac:dyDescent="0.3">
      <c r="U129515" s="25"/>
    </row>
    <row r="129537" spans="21:21" x14ac:dyDescent="0.3">
      <c r="U129537" s="25"/>
    </row>
    <row r="129559" spans="21:21" x14ac:dyDescent="0.3">
      <c r="U129559" s="25"/>
    </row>
    <row r="129581" spans="21:21" x14ac:dyDescent="0.3">
      <c r="U129581" s="25"/>
    </row>
    <row r="129603" spans="21:21" x14ac:dyDescent="0.3">
      <c r="U129603" s="25"/>
    </row>
    <row r="129625" spans="21:21" x14ac:dyDescent="0.3">
      <c r="U129625" s="25"/>
    </row>
    <row r="129647" spans="21:21" x14ac:dyDescent="0.3">
      <c r="U129647" s="25"/>
    </row>
    <row r="129669" spans="21:21" x14ac:dyDescent="0.3">
      <c r="U129669" s="25"/>
    </row>
    <row r="129691" spans="21:21" x14ac:dyDescent="0.3">
      <c r="U129691" s="25"/>
    </row>
    <row r="129713" spans="21:21" x14ac:dyDescent="0.3">
      <c r="U129713" s="25"/>
    </row>
    <row r="129735" spans="21:21" x14ac:dyDescent="0.3">
      <c r="U129735" s="25"/>
    </row>
    <row r="129757" spans="21:21" x14ac:dyDescent="0.3">
      <c r="U129757" s="25"/>
    </row>
    <row r="129779" spans="21:21" x14ac:dyDescent="0.3">
      <c r="U129779" s="25"/>
    </row>
    <row r="129801" spans="21:21" x14ac:dyDescent="0.3">
      <c r="U129801" s="25"/>
    </row>
    <row r="129823" spans="21:21" x14ac:dyDescent="0.3">
      <c r="U129823" s="25"/>
    </row>
    <row r="129845" spans="21:21" x14ac:dyDescent="0.3">
      <c r="U129845" s="25"/>
    </row>
    <row r="129867" spans="21:21" x14ac:dyDescent="0.3">
      <c r="U129867" s="25"/>
    </row>
    <row r="129889" spans="21:21" x14ac:dyDescent="0.3">
      <c r="U129889" s="25"/>
    </row>
    <row r="129911" spans="21:21" x14ac:dyDescent="0.3">
      <c r="U129911" s="25"/>
    </row>
    <row r="129933" spans="21:21" x14ac:dyDescent="0.3">
      <c r="U129933" s="25"/>
    </row>
    <row r="129955" spans="21:21" x14ac:dyDescent="0.3">
      <c r="U129955" s="25"/>
    </row>
    <row r="129977" spans="21:21" x14ac:dyDescent="0.3">
      <c r="U129977" s="25"/>
    </row>
    <row r="129999" spans="21:21" x14ac:dyDescent="0.3">
      <c r="U129999" s="25"/>
    </row>
    <row r="130021" spans="21:21" x14ac:dyDescent="0.3">
      <c r="U130021" s="25"/>
    </row>
    <row r="130043" spans="21:21" x14ac:dyDescent="0.3">
      <c r="U130043" s="25"/>
    </row>
    <row r="130065" spans="21:21" x14ac:dyDescent="0.3">
      <c r="U130065" s="25"/>
    </row>
    <row r="130087" spans="21:21" x14ac:dyDescent="0.3">
      <c r="U130087" s="25"/>
    </row>
    <row r="130109" spans="21:21" x14ac:dyDescent="0.3">
      <c r="U130109" s="25"/>
    </row>
    <row r="130131" spans="21:21" x14ac:dyDescent="0.3">
      <c r="U130131" s="25"/>
    </row>
    <row r="130153" spans="21:21" x14ac:dyDescent="0.3">
      <c r="U130153" s="25"/>
    </row>
    <row r="130175" spans="21:21" x14ac:dyDescent="0.3">
      <c r="U130175" s="25"/>
    </row>
    <row r="130197" spans="21:21" x14ac:dyDescent="0.3">
      <c r="U130197" s="25"/>
    </row>
    <row r="130219" spans="21:21" x14ac:dyDescent="0.3">
      <c r="U130219" s="25"/>
    </row>
    <row r="130241" spans="21:21" x14ac:dyDescent="0.3">
      <c r="U130241" s="25"/>
    </row>
    <row r="130263" spans="21:21" x14ac:dyDescent="0.3">
      <c r="U130263" s="25"/>
    </row>
    <row r="130285" spans="21:21" x14ac:dyDescent="0.3">
      <c r="U130285" s="25"/>
    </row>
    <row r="130307" spans="21:21" x14ac:dyDescent="0.3">
      <c r="U130307" s="25"/>
    </row>
    <row r="130329" spans="21:21" x14ac:dyDescent="0.3">
      <c r="U130329" s="25"/>
    </row>
    <row r="130351" spans="21:21" x14ac:dyDescent="0.3">
      <c r="U130351" s="25"/>
    </row>
    <row r="130373" spans="21:21" x14ac:dyDescent="0.3">
      <c r="U130373" s="25"/>
    </row>
    <row r="130395" spans="21:21" x14ac:dyDescent="0.3">
      <c r="U130395" s="25"/>
    </row>
    <row r="130417" spans="21:21" x14ac:dyDescent="0.3">
      <c r="U130417" s="25"/>
    </row>
    <row r="130439" spans="21:21" x14ac:dyDescent="0.3">
      <c r="U130439" s="25"/>
    </row>
    <row r="130461" spans="21:21" x14ac:dyDescent="0.3">
      <c r="U130461" s="25"/>
    </row>
    <row r="130483" spans="21:21" x14ac:dyDescent="0.3">
      <c r="U130483" s="25"/>
    </row>
    <row r="130505" spans="21:21" x14ac:dyDescent="0.3">
      <c r="U130505" s="25"/>
    </row>
    <row r="130527" spans="21:21" x14ac:dyDescent="0.3">
      <c r="U130527" s="25"/>
    </row>
    <row r="130549" spans="21:21" x14ac:dyDescent="0.3">
      <c r="U130549" s="25"/>
    </row>
    <row r="130571" spans="21:21" x14ac:dyDescent="0.3">
      <c r="U130571" s="25"/>
    </row>
    <row r="130593" spans="21:21" x14ac:dyDescent="0.3">
      <c r="U130593" s="25"/>
    </row>
    <row r="130615" spans="21:21" x14ac:dyDescent="0.3">
      <c r="U130615" s="25"/>
    </row>
    <row r="130637" spans="21:21" x14ac:dyDescent="0.3">
      <c r="U130637" s="25"/>
    </row>
    <row r="130659" spans="21:21" x14ac:dyDescent="0.3">
      <c r="U130659" s="25"/>
    </row>
    <row r="130681" spans="21:21" x14ac:dyDescent="0.3">
      <c r="U130681" s="25"/>
    </row>
    <row r="130703" spans="21:21" x14ac:dyDescent="0.3">
      <c r="U130703" s="25"/>
    </row>
    <row r="130725" spans="21:21" x14ac:dyDescent="0.3">
      <c r="U130725" s="25"/>
    </row>
    <row r="130747" spans="21:21" x14ac:dyDescent="0.3">
      <c r="U130747" s="25"/>
    </row>
    <row r="130769" spans="21:21" x14ac:dyDescent="0.3">
      <c r="U130769" s="25"/>
    </row>
    <row r="130791" spans="21:21" x14ac:dyDescent="0.3">
      <c r="U130791" s="25"/>
    </row>
    <row r="130813" spans="21:21" x14ac:dyDescent="0.3">
      <c r="U130813" s="25"/>
    </row>
    <row r="130835" spans="21:21" x14ac:dyDescent="0.3">
      <c r="U130835" s="25"/>
    </row>
    <row r="130857" spans="21:21" x14ac:dyDescent="0.3">
      <c r="U130857" s="25"/>
    </row>
    <row r="130879" spans="21:21" x14ac:dyDescent="0.3">
      <c r="U130879" s="25"/>
    </row>
    <row r="130901" spans="21:21" x14ac:dyDescent="0.3">
      <c r="U130901" s="25"/>
    </row>
    <row r="130923" spans="21:21" x14ac:dyDescent="0.3">
      <c r="U130923" s="25"/>
    </row>
    <row r="130945" spans="21:21" x14ac:dyDescent="0.3">
      <c r="U130945" s="25"/>
    </row>
    <row r="130967" spans="21:21" x14ac:dyDescent="0.3">
      <c r="U130967" s="25"/>
    </row>
    <row r="130989" spans="21:21" x14ac:dyDescent="0.3">
      <c r="U130989" s="25"/>
    </row>
    <row r="131011" spans="21:21" x14ac:dyDescent="0.3">
      <c r="U131011" s="25"/>
    </row>
    <row r="131033" spans="21:21" x14ac:dyDescent="0.3">
      <c r="U131033" s="25"/>
    </row>
    <row r="131055" spans="21:21" x14ac:dyDescent="0.3">
      <c r="U131055" s="25"/>
    </row>
    <row r="131077" spans="21:21" x14ac:dyDescent="0.3">
      <c r="U131077" s="25"/>
    </row>
    <row r="131099" spans="21:21" x14ac:dyDescent="0.3">
      <c r="U131099" s="25"/>
    </row>
    <row r="131121" spans="21:21" x14ac:dyDescent="0.3">
      <c r="U131121" s="25"/>
    </row>
    <row r="131143" spans="21:21" x14ac:dyDescent="0.3">
      <c r="U131143" s="25"/>
    </row>
    <row r="131165" spans="21:21" x14ac:dyDescent="0.3">
      <c r="U131165" s="25"/>
    </row>
    <row r="131187" spans="21:21" x14ac:dyDescent="0.3">
      <c r="U131187" s="25"/>
    </row>
    <row r="131209" spans="21:21" x14ac:dyDescent="0.3">
      <c r="U131209" s="25"/>
    </row>
    <row r="131231" spans="21:21" x14ac:dyDescent="0.3">
      <c r="U131231" s="25"/>
    </row>
    <row r="131253" spans="21:21" x14ac:dyDescent="0.3">
      <c r="U131253" s="25"/>
    </row>
    <row r="131275" spans="21:21" x14ac:dyDescent="0.3">
      <c r="U131275" s="25"/>
    </row>
    <row r="131297" spans="21:21" x14ac:dyDescent="0.3">
      <c r="U131297" s="25"/>
    </row>
    <row r="131319" spans="21:21" x14ac:dyDescent="0.3">
      <c r="U131319" s="25"/>
    </row>
    <row r="131341" spans="21:21" x14ac:dyDescent="0.3">
      <c r="U131341" s="25"/>
    </row>
    <row r="131363" spans="21:21" x14ac:dyDescent="0.3">
      <c r="U131363" s="25"/>
    </row>
    <row r="131385" spans="21:21" x14ac:dyDescent="0.3">
      <c r="U131385" s="25"/>
    </row>
    <row r="131407" spans="21:21" x14ac:dyDescent="0.3">
      <c r="U131407" s="25"/>
    </row>
    <row r="131429" spans="21:21" x14ac:dyDescent="0.3">
      <c r="U131429" s="25"/>
    </row>
    <row r="131451" spans="21:21" x14ac:dyDescent="0.3">
      <c r="U131451" s="25"/>
    </row>
    <row r="131473" spans="21:21" x14ac:dyDescent="0.3">
      <c r="U131473" s="25"/>
    </row>
    <row r="131495" spans="21:21" x14ac:dyDescent="0.3">
      <c r="U131495" s="25"/>
    </row>
    <row r="131517" spans="21:21" x14ac:dyDescent="0.3">
      <c r="U131517" s="25"/>
    </row>
    <row r="131539" spans="21:21" x14ac:dyDescent="0.3">
      <c r="U131539" s="25"/>
    </row>
    <row r="131561" spans="21:21" x14ac:dyDescent="0.3">
      <c r="U131561" s="25"/>
    </row>
    <row r="131583" spans="21:21" x14ac:dyDescent="0.3">
      <c r="U131583" s="25"/>
    </row>
    <row r="131605" spans="21:21" x14ac:dyDescent="0.3">
      <c r="U131605" s="25"/>
    </row>
    <row r="131627" spans="21:21" x14ac:dyDescent="0.3">
      <c r="U131627" s="25"/>
    </row>
    <row r="131649" spans="21:21" x14ac:dyDescent="0.3">
      <c r="U131649" s="25"/>
    </row>
    <row r="131671" spans="21:21" x14ac:dyDescent="0.3">
      <c r="U131671" s="25"/>
    </row>
    <row r="131693" spans="21:21" x14ac:dyDescent="0.3">
      <c r="U131693" s="25"/>
    </row>
    <row r="131715" spans="21:21" x14ac:dyDescent="0.3">
      <c r="U131715" s="25"/>
    </row>
    <row r="131737" spans="21:21" x14ac:dyDescent="0.3">
      <c r="U131737" s="25"/>
    </row>
    <row r="131759" spans="21:21" x14ac:dyDescent="0.3">
      <c r="U131759" s="25"/>
    </row>
    <row r="131781" spans="21:21" x14ac:dyDescent="0.3">
      <c r="U131781" s="25"/>
    </row>
    <row r="131803" spans="21:21" x14ac:dyDescent="0.3">
      <c r="U131803" s="25"/>
    </row>
    <row r="131825" spans="21:21" x14ac:dyDescent="0.3">
      <c r="U131825" s="25"/>
    </row>
    <row r="131847" spans="21:21" x14ac:dyDescent="0.3">
      <c r="U131847" s="25"/>
    </row>
    <row r="131869" spans="21:21" x14ac:dyDescent="0.3">
      <c r="U131869" s="25"/>
    </row>
    <row r="131891" spans="21:21" x14ac:dyDescent="0.3">
      <c r="U131891" s="25"/>
    </row>
    <row r="131913" spans="21:21" x14ac:dyDescent="0.3">
      <c r="U131913" s="25"/>
    </row>
    <row r="131935" spans="21:21" x14ac:dyDescent="0.3">
      <c r="U131935" s="25"/>
    </row>
    <row r="131957" spans="21:21" x14ac:dyDescent="0.3">
      <c r="U131957" s="25"/>
    </row>
    <row r="131979" spans="21:21" x14ac:dyDescent="0.3">
      <c r="U131979" s="25"/>
    </row>
    <row r="132001" spans="21:21" x14ac:dyDescent="0.3">
      <c r="U132001" s="25"/>
    </row>
    <row r="132023" spans="21:21" x14ac:dyDescent="0.3">
      <c r="U132023" s="25"/>
    </row>
    <row r="132045" spans="21:21" x14ac:dyDescent="0.3">
      <c r="U132045" s="25"/>
    </row>
    <row r="132067" spans="21:21" x14ac:dyDescent="0.3">
      <c r="U132067" s="25"/>
    </row>
    <row r="132089" spans="21:21" x14ac:dyDescent="0.3">
      <c r="U132089" s="25"/>
    </row>
    <row r="132111" spans="21:21" x14ac:dyDescent="0.3">
      <c r="U132111" s="25"/>
    </row>
    <row r="132133" spans="21:21" x14ac:dyDescent="0.3">
      <c r="U132133" s="25"/>
    </row>
    <row r="132155" spans="21:21" x14ac:dyDescent="0.3">
      <c r="U132155" s="25"/>
    </row>
    <row r="132177" spans="21:21" x14ac:dyDescent="0.3">
      <c r="U132177" s="25"/>
    </row>
    <row r="132199" spans="21:21" x14ac:dyDescent="0.3">
      <c r="U132199" s="25"/>
    </row>
    <row r="132221" spans="21:21" x14ac:dyDescent="0.3">
      <c r="U132221" s="25"/>
    </row>
    <row r="132243" spans="21:21" x14ac:dyDescent="0.3">
      <c r="U132243" s="25"/>
    </row>
    <row r="132265" spans="21:21" x14ac:dyDescent="0.3">
      <c r="U132265" s="25"/>
    </row>
    <row r="132287" spans="21:21" x14ac:dyDescent="0.3">
      <c r="U132287" s="25"/>
    </row>
    <row r="132309" spans="21:21" x14ac:dyDescent="0.3">
      <c r="U132309" s="25"/>
    </row>
    <row r="132331" spans="21:21" x14ac:dyDescent="0.3">
      <c r="U132331" s="25"/>
    </row>
    <row r="132353" spans="21:21" x14ac:dyDescent="0.3">
      <c r="U132353" s="25"/>
    </row>
    <row r="132375" spans="21:21" x14ac:dyDescent="0.3">
      <c r="U132375" s="25"/>
    </row>
    <row r="132397" spans="21:21" x14ac:dyDescent="0.3">
      <c r="U132397" s="25"/>
    </row>
    <row r="132419" spans="21:21" x14ac:dyDescent="0.3">
      <c r="U132419" s="25"/>
    </row>
    <row r="132441" spans="21:21" x14ac:dyDescent="0.3">
      <c r="U132441" s="25"/>
    </row>
    <row r="132463" spans="21:21" x14ac:dyDescent="0.3">
      <c r="U132463" s="25"/>
    </row>
    <row r="132485" spans="21:21" x14ac:dyDescent="0.3">
      <c r="U132485" s="25"/>
    </row>
    <row r="132507" spans="21:21" x14ac:dyDescent="0.3">
      <c r="U132507" s="25"/>
    </row>
    <row r="132529" spans="21:21" x14ac:dyDescent="0.3">
      <c r="U132529" s="25"/>
    </row>
    <row r="132551" spans="21:21" x14ac:dyDescent="0.3">
      <c r="U132551" s="25"/>
    </row>
    <row r="132573" spans="21:21" x14ac:dyDescent="0.3">
      <c r="U132573" s="25"/>
    </row>
    <row r="132595" spans="21:21" x14ac:dyDescent="0.3">
      <c r="U132595" s="25"/>
    </row>
    <row r="132617" spans="21:21" x14ac:dyDescent="0.3">
      <c r="U132617" s="25"/>
    </row>
    <row r="132639" spans="21:21" x14ac:dyDescent="0.3">
      <c r="U132639" s="25"/>
    </row>
    <row r="132661" spans="21:21" x14ac:dyDescent="0.3">
      <c r="U132661" s="25"/>
    </row>
    <row r="132683" spans="21:21" x14ac:dyDescent="0.3">
      <c r="U132683" s="25"/>
    </row>
    <row r="132705" spans="21:21" x14ac:dyDescent="0.3">
      <c r="U132705" s="25"/>
    </row>
    <row r="132727" spans="21:21" x14ac:dyDescent="0.3">
      <c r="U132727" s="25"/>
    </row>
    <row r="132749" spans="21:21" x14ac:dyDescent="0.3">
      <c r="U132749" s="25"/>
    </row>
    <row r="132771" spans="21:21" x14ac:dyDescent="0.3">
      <c r="U132771" s="25"/>
    </row>
    <row r="132793" spans="21:21" x14ac:dyDescent="0.3">
      <c r="U132793" s="25"/>
    </row>
    <row r="132815" spans="21:21" x14ac:dyDescent="0.3">
      <c r="U132815" s="25"/>
    </row>
    <row r="132837" spans="21:21" x14ac:dyDescent="0.3">
      <c r="U132837" s="25"/>
    </row>
    <row r="132859" spans="21:21" x14ac:dyDescent="0.3">
      <c r="U132859" s="25"/>
    </row>
    <row r="132881" spans="21:21" x14ac:dyDescent="0.3">
      <c r="U132881" s="25"/>
    </row>
    <row r="132903" spans="21:21" x14ac:dyDescent="0.3">
      <c r="U132903" s="25"/>
    </row>
    <row r="132925" spans="21:21" x14ac:dyDescent="0.3">
      <c r="U132925" s="25"/>
    </row>
    <row r="132947" spans="21:21" x14ac:dyDescent="0.3">
      <c r="U132947" s="25"/>
    </row>
    <row r="132969" spans="21:21" x14ac:dyDescent="0.3">
      <c r="U132969" s="25"/>
    </row>
    <row r="132991" spans="21:21" x14ac:dyDescent="0.3">
      <c r="U132991" s="25"/>
    </row>
    <row r="133013" spans="21:21" x14ac:dyDescent="0.3">
      <c r="U133013" s="25"/>
    </row>
    <row r="133035" spans="21:21" x14ac:dyDescent="0.3">
      <c r="U133035" s="25"/>
    </row>
    <row r="133057" spans="21:21" x14ac:dyDescent="0.3">
      <c r="U133057" s="25"/>
    </row>
    <row r="133079" spans="21:21" x14ac:dyDescent="0.3">
      <c r="U133079" s="25"/>
    </row>
    <row r="133101" spans="21:21" x14ac:dyDescent="0.3">
      <c r="U133101" s="25"/>
    </row>
    <row r="133123" spans="21:21" x14ac:dyDescent="0.3">
      <c r="U133123" s="25"/>
    </row>
    <row r="133145" spans="21:21" x14ac:dyDescent="0.3">
      <c r="U133145" s="25"/>
    </row>
    <row r="133167" spans="21:21" x14ac:dyDescent="0.3">
      <c r="U133167" s="25"/>
    </row>
    <row r="133189" spans="21:21" x14ac:dyDescent="0.3">
      <c r="U133189" s="25"/>
    </row>
    <row r="133211" spans="21:21" x14ac:dyDescent="0.3">
      <c r="U133211" s="25"/>
    </row>
    <row r="133233" spans="21:21" x14ac:dyDescent="0.3">
      <c r="U133233" s="25"/>
    </row>
    <row r="133255" spans="21:21" x14ac:dyDescent="0.3">
      <c r="U133255" s="25"/>
    </row>
    <row r="133277" spans="21:21" x14ac:dyDescent="0.3">
      <c r="U133277" s="25"/>
    </row>
    <row r="133299" spans="21:21" x14ac:dyDescent="0.3">
      <c r="U133299" s="25"/>
    </row>
    <row r="133321" spans="21:21" x14ac:dyDescent="0.3">
      <c r="U133321" s="25"/>
    </row>
    <row r="133343" spans="21:21" x14ac:dyDescent="0.3">
      <c r="U133343" s="25"/>
    </row>
    <row r="133365" spans="21:21" x14ac:dyDescent="0.3">
      <c r="U133365" s="25"/>
    </row>
    <row r="133387" spans="21:21" x14ac:dyDescent="0.3">
      <c r="U133387" s="25"/>
    </row>
    <row r="133409" spans="21:21" x14ac:dyDescent="0.3">
      <c r="U133409" s="25"/>
    </row>
    <row r="133431" spans="21:21" x14ac:dyDescent="0.3">
      <c r="U133431" s="25"/>
    </row>
    <row r="133453" spans="21:21" x14ac:dyDescent="0.3">
      <c r="U133453" s="25"/>
    </row>
    <row r="133475" spans="21:21" x14ac:dyDescent="0.3">
      <c r="U133475" s="25"/>
    </row>
    <row r="133497" spans="21:21" x14ac:dyDescent="0.3">
      <c r="U133497" s="25"/>
    </row>
    <row r="133519" spans="21:21" x14ac:dyDescent="0.3">
      <c r="U133519" s="25"/>
    </row>
    <row r="133541" spans="21:21" x14ac:dyDescent="0.3">
      <c r="U133541" s="25"/>
    </row>
    <row r="133563" spans="21:21" x14ac:dyDescent="0.3">
      <c r="U133563" s="25"/>
    </row>
    <row r="133585" spans="21:21" x14ac:dyDescent="0.3">
      <c r="U133585" s="25"/>
    </row>
    <row r="133607" spans="21:21" x14ac:dyDescent="0.3">
      <c r="U133607" s="25"/>
    </row>
    <row r="133629" spans="21:21" x14ac:dyDescent="0.3">
      <c r="U133629" s="25"/>
    </row>
    <row r="133651" spans="21:21" x14ac:dyDescent="0.3">
      <c r="U133651" s="25"/>
    </row>
    <row r="133673" spans="21:21" x14ac:dyDescent="0.3">
      <c r="U133673" s="25"/>
    </row>
    <row r="133695" spans="21:21" x14ac:dyDescent="0.3">
      <c r="U133695" s="25"/>
    </row>
    <row r="133717" spans="21:21" x14ac:dyDescent="0.3">
      <c r="U133717" s="25"/>
    </row>
    <row r="133739" spans="21:21" x14ac:dyDescent="0.3">
      <c r="U133739" s="25"/>
    </row>
    <row r="133761" spans="21:21" x14ac:dyDescent="0.3">
      <c r="U133761" s="25"/>
    </row>
    <row r="133783" spans="21:21" x14ac:dyDescent="0.3">
      <c r="U133783" s="25"/>
    </row>
    <row r="133805" spans="21:21" x14ac:dyDescent="0.3">
      <c r="U133805" s="25"/>
    </row>
    <row r="133827" spans="21:21" x14ac:dyDescent="0.3">
      <c r="U133827" s="25"/>
    </row>
    <row r="133849" spans="21:21" x14ac:dyDescent="0.3">
      <c r="U133849" s="25"/>
    </row>
    <row r="133871" spans="21:21" x14ac:dyDescent="0.3">
      <c r="U133871" s="25"/>
    </row>
    <row r="133893" spans="21:21" x14ac:dyDescent="0.3">
      <c r="U133893" s="25"/>
    </row>
    <row r="133915" spans="21:21" x14ac:dyDescent="0.3">
      <c r="U133915" s="25"/>
    </row>
    <row r="133937" spans="21:21" x14ac:dyDescent="0.3">
      <c r="U133937" s="25"/>
    </row>
    <row r="133959" spans="21:21" x14ac:dyDescent="0.3">
      <c r="U133959" s="25"/>
    </row>
    <row r="133981" spans="21:21" x14ac:dyDescent="0.3">
      <c r="U133981" s="25"/>
    </row>
    <row r="134003" spans="21:21" x14ac:dyDescent="0.3">
      <c r="U134003" s="25"/>
    </row>
    <row r="134025" spans="21:21" x14ac:dyDescent="0.3">
      <c r="U134025" s="25"/>
    </row>
    <row r="134047" spans="21:21" x14ac:dyDescent="0.3">
      <c r="U134047" s="25"/>
    </row>
    <row r="134069" spans="21:21" x14ac:dyDescent="0.3">
      <c r="U134069" s="25"/>
    </row>
    <row r="134091" spans="21:21" x14ac:dyDescent="0.3">
      <c r="U134091" s="25"/>
    </row>
    <row r="134113" spans="21:21" x14ac:dyDescent="0.3">
      <c r="U134113" s="25"/>
    </row>
    <row r="134135" spans="21:21" x14ac:dyDescent="0.3">
      <c r="U134135" s="25"/>
    </row>
    <row r="134157" spans="21:21" x14ac:dyDescent="0.3">
      <c r="U134157" s="25"/>
    </row>
    <row r="134179" spans="21:21" x14ac:dyDescent="0.3">
      <c r="U134179" s="25"/>
    </row>
    <row r="134201" spans="21:21" x14ac:dyDescent="0.3">
      <c r="U134201" s="25"/>
    </row>
    <row r="134223" spans="21:21" x14ac:dyDescent="0.3">
      <c r="U134223" s="25"/>
    </row>
    <row r="134245" spans="21:21" x14ac:dyDescent="0.3">
      <c r="U134245" s="25"/>
    </row>
    <row r="134267" spans="21:21" x14ac:dyDescent="0.3">
      <c r="U134267" s="25"/>
    </row>
    <row r="134289" spans="21:21" x14ac:dyDescent="0.3">
      <c r="U134289" s="25"/>
    </row>
    <row r="134311" spans="21:21" x14ac:dyDescent="0.3">
      <c r="U134311" s="25"/>
    </row>
    <row r="134333" spans="21:21" x14ac:dyDescent="0.3">
      <c r="U134333" s="25"/>
    </row>
    <row r="134355" spans="21:21" x14ac:dyDescent="0.3">
      <c r="U134355" s="25"/>
    </row>
    <row r="134377" spans="21:21" x14ac:dyDescent="0.3">
      <c r="U134377" s="25"/>
    </row>
    <row r="134399" spans="21:21" x14ac:dyDescent="0.3">
      <c r="U134399" s="25"/>
    </row>
    <row r="134421" spans="21:21" x14ac:dyDescent="0.3">
      <c r="U134421" s="25"/>
    </row>
    <row r="134443" spans="21:21" x14ac:dyDescent="0.3">
      <c r="U134443" s="25"/>
    </row>
    <row r="134465" spans="21:21" x14ac:dyDescent="0.3">
      <c r="U134465" s="25"/>
    </row>
    <row r="134487" spans="21:21" x14ac:dyDescent="0.3">
      <c r="U134487" s="25"/>
    </row>
    <row r="134509" spans="21:21" x14ac:dyDescent="0.3">
      <c r="U134509" s="25"/>
    </row>
    <row r="134531" spans="21:21" x14ac:dyDescent="0.3">
      <c r="U134531" s="25"/>
    </row>
    <row r="134553" spans="21:21" x14ac:dyDescent="0.3">
      <c r="U134553" s="25"/>
    </row>
    <row r="134575" spans="21:21" x14ac:dyDescent="0.3">
      <c r="U134575" s="25"/>
    </row>
    <row r="134597" spans="21:21" x14ac:dyDescent="0.3">
      <c r="U134597" s="25"/>
    </row>
    <row r="134619" spans="21:21" x14ac:dyDescent="0.3">
      <c r="U134619" s="25"/>
    </row>
    <row r="134641" spans="21:21" x14ac:dyDescent="0.3">
      <c r="U134641" s="25"/>
    </row>
    <row r="134663" spans="21:21" x14ac:dyDescent="0.3">
      <c r="U134663" s="25"/>
    </row>
    <row r="134685" spans="21:21" x14ac:dyDescent="0.3">
      <c r="U134685" s="25"/>
    </row>
    <row r="134707" spans="21:21" x14ac:dyDescent="0.3">
      <c r="U134707" s="25"/>
    </row>
    <row r="134729" spans="21:21" x14ac:dyDescent="0.3">
      <c r="U134729" s="25"/>
    </row>
    <row r="134751" spans="21:21" x14ac:dyDescent="0.3">
      <c r="U134751" s="25"/>
    </row>
    <row r="134773" spans="21:21" x14ac:dyDescent="0.3">
      <c r="U134773" s="25"/>
    </row>
    <row r="134795" spans="21:21" x14ac:dyDescent="0.3">
      <c r="U134795" s="25"/>
    </row>
    <row r="134817" spans="21:21" x14ac:dyDescent="0.3">
      <c r="U134817" s="25"/>
    </row>
    <row r="134839" spans="21:21" x14ac:dyDescent="0.3">
      <c r="U134839" s="25"/>
    </row>
    <row r="134861" spans="21:21" x14ac:dyDescent="0.3">
      <c r="U134861" s="25"/>
    </row>
    <row r="134883" spans="21:21" x14ac:dyDescent="0.3">
      <c r="U134883" s="25"/>
    </row>
    <row r="134905" spans="21:21" x14ac:dyDescent="0.3">
      <c r="U134905" s="25"/>
    </row>
    <row r="134927" spans="21:21" x14ac:dyDescent="0.3">
      <c r="U134927" s="25"/>
    </row>
    <row r="134949" spans="21:21" x14ac:dyDescent="0.3">
      <c r="U134949" s="25"/>
    </row>
    <row r="134971" spans="21:21" x14ac:dyDescent="0.3">
      <c r="U134971" s="25"/>
    </row>
    <row r="134993" spans="21:21" x14ac:dyDescent="0.3">
      <c r="U134993" s="25"/>
    </row>
    <row r="135015" spans="21:21" x14ac:dyDescent="0.3">
      <c r="U135015" s="25"/>
    </row>
    <row r="135037" spans="21:21" x14ac:dyDescent="0.3">
      <c r="U135037" s="25"/>
    </row>
    <row r="135059" spans="21:21" x14ac:dyDescent="0.3">
      <c r="U135059" s="25"/>
    </row>
    <row r="135081" spans="21:21" x14ac:dyDescent="0.3">
      <c r="U135081" s="25"/>
    </row>
    <row r="135103" spans="21:21" x14ac:dyDescent="0.3">
      <c r="U135103" s="25"/>
    </row>
    <row r="135125" spans="21:21" x14ac:dyDescent="0.3">
      <c r="U135125" s="25"/>
    </row>
    <row r="135147" spans="21:21" x14ac:dyDescent="0.3">
      <c r="U135147" s="25"/>
    </row>
    <row r="135169" spans="21:21" x14ac:dyDescent="0.3">
      <c r="U135169" s="25"/>
    </row>
    <row r="135191" spans="21:21" x14ac:dyDescent="0.3">
      <c r="U135191" s="25"/>
    </row>
    <row r="135213" spans="21:21" x14ac:dyDescent="0.3">
      <c r="U135213" s="25"/>
    </row>
    <row r="135235" spans="21:21" x14ac:dyDescent="0.3">
      <c r="U135235" s="25"/>
    </row>
    <row r="135257" spans="21:21" x14ac:dyDescent="0.3">
      <c r="U135257" s="25"/>
    </row>
    <row r="135279" spans="21:21" x14ac:dyDescent="0.3">
      <c r="U135279" s="25"/>
    </row>
    <row r="135301" spans="21:21" x14ac:dyDescent="0.3">
      <c r="U135301" s="25"/>
    </row>
    <row r="135323" spans="21:21" x14ac:dyDescent="0.3">
      <c r="U135323" s="25"/>
    </row>
    <row r="135345" spans="21:21" x14ac:dyDescent="0.3">
      <c r="U135345" s="25"/>
    </row>
    <row r="135367" spans="21:21" x14ac:dyDescent="0.3">
      <c r="U135367" s="25"/>
    </row>
    <row r="135389" spans="21:21" x14ac:dyDescent="0.3">
      <c r="U135389" s="25"/>
    </row>
    <row r="135411" spans="21:21" x14ac:dyDescent="0.3">
      <c r="U135411" s="25"/>
    </row>
    <row r="135433" spans="21:21" x14ac:dyDescent="0.3">
      <c r="U135433" s="25"/>
    </row>
    <row r="135455" spans="21:21" x14ac:dyDescent="0.3">
      <c r="U135455" s="25"/>
    </row>
    <row r="135477" spans="21:21" x14ac:dyDescent="0.3">
      <c r="U135477" s="25"/>
    </row>
    <row r="135499" spans="21:21" x14ac:dyDescent="0.3">
      <c r="U135499" s="25"/>
    </row>
    <row r="135521" spans="21:21" x14ac:dyDescent="0.3">
      <c r="U135521" s="25"/>
    </row>
    <row r="135543" spans="21:21" x14ac:dyDescent="0.3">
      <c r="U135543" s="25"/>
    </row>
    <row r="135565" spans="21:21" x14ac:dyDescent="0.3">
      <c r="U135565" s="25"/>
    </row>
    <row r="135587" spans="21:21" x14ac:dyDescent="0.3">
      <c r="U135587" s="25"/>
    </row>
    <row r="135609" spans="21:21" x14ac:dyDescent="0.3">
      <c r="U135609" s="25"/>
    </row>
    <row r="135631" spans="21:21" x14ac:dyDescent="0.3">
      <c r="U135631" s="25"/>
    </row>
    <row r="135653" spans="21:21" x14ac:dyDescent="0.3">
      <c r="U135653" s="25"/>
    </row>
    <row r="135675" spans="21:21" x14ac:dyDescent="0.3">
      <c r="U135675" s="25"/>
    </row>
    <row r="135697" spans="21:21" x14ac:dyDescent="0.3">
      <c r="U135697" s="25"/>
    </row>
    <row r="135719" spans="21:21" x14ac:dyDescent="0.3">
      <c r="U135719" s="25"/>
    </row>
    <row r="135741" spans="21:21" x14ac:dyDescent="0.3">
      <c r="U135741" s="25"/>
    </row>
    <row r="135763" spans="21:21" x14ac:dyDescent="0.3">
      <c r="U135763" s="25"/>
    </row>
    <row r="135785" spans="21:21" x14ac:dyDescent="0.3">
      <c r="U135785" s="25"/>
    </row>
    <row r="135807" spans="21:21" x14ac:dyDescent="0.3">
      <c r="U135807" s="25"/>
    </row>
    <row r="135829" spans="21:21" x14ac:dyDescent="0.3">
      <c r="U135829" s="25"/>
    </row>
    <row r="135851" spans="21:21" x14ac:dyDescent="0.3">
      <c r="U135851" s="25"/>
    </row>
    <row r="135873" spans="21:21" x14ac:dyDescent="0.3">
      <c r="U135873" s="25"/>
    </row>
    <row r="135895" spans="21:21" x14ac:dyDescent="0.3">
      <c r="U135895" s="25"/>
    </row>
    <row r="135917" spans="21:21" x14ac:dyDescent="0.3">
      <c r="U135917" s="25"/>
    </row>
    <row r="135939" spans="21:21" x14ac:dyDescent="0.3">
      <c r="U135939" s="25"/>
    </row>
    <row r="135961" spans="21:21" x14ac:dyDescent="0.3">
      <c r="U135961" s="25"/>
    </row>
    <row r="135983" spans="21:21" x14ac:dyDescent="0.3">
      <c r="U135983" s="25"/>
    </row>
    <row r="136005" spans="21:21" x14ac:dyDescent="0.3">
      <c r="U136005" s="25"/>
    </row>
    <row r="136027" spans="21:21" x14ac:dyDescent="0.3">
      <c r="U136027" s="25"/>
    </row>
    <row r="136049" spans="21:21" x14ac:dyDescent="0.3">
      <c r="U136049" s="25"/>
    </row>
    <row r="136071" spans="21:21" x14ac:dyDescent="0.3">
      <c r="U136071" s="25"/>
    </row>
    <row r="136093" spans="21:21" x14ac:dyDescent="0.3">
      <c r="U136093" s="25"/>
    </row>
    <row r="136115" spans="21:21" x14ac:dyDescent="0.3">
      <c r="U136115" s="25"/>
    </row>
    <row r="136137" spans="21:21" x14ac:dyDescent="0.3">
      <c r="U136137" s="25"/>
    </row>
    <row r="136159" spans="21:21" x14ac:dyDescent="0.3">
      <c r="U136159" s="25"/>
    </row>
    <row r="136181" spans="21:21" x14ac:dyDescent="0.3">
      <c r="U136181" s="25"/>
    </row>
    <row r="136203" spans="21:21" x14ac:dyDescent="0.3">
      <c r="U136203" s="25"/>
    </row>
    <row r="136225" spans="21:21" x14ac:dyDescent="0.3">
      <c r="U136225" s="25"/>
    </row>
    <row r="136247" spans="21:21" x14ac:dyDescent="0.3">
      <c r="U136247" s="25"/>
    </row>
    <row r="136269" spans="21:21" x14ac:dyDescent="0.3">
      <c r="U136269" s="25"/>
    </row>
    <row r="136291" spans="21:21" x14ac:dyDescent="0.3">
      <c r="U136291" s="25"/>
    </row>
    <row r="136313" spans="21:21" x14ac:dyDescent="0.3">
      <c r="U136313" s="25"/>
    </row>
    <row r="136335" spans="21:21" x14ac:dyDescent="0.3">
      <c r="U136335" s="25"/>
    </row>
    <row r="136357" spans="21:21" x14ac:dyDescent="0.3">
      <c r="U136357" s="25"/>
    </row>
    <row r="136379" spans="21:21" x14ac:dyDescent="0.3">
      <c r="U136379" s="25"/>
    </row>
    <row r="136401" spans="21:21" x14ac:dyDescent="0.3">
      <c r="U136401" s="25"/>
    </row>
    <row r="136423" spans="21:21" x14ac:dyDescent="0.3">
      <c r="U136423" s="25"/>
    </row>
    <row r="136445" spans="21:21" x14ac:dyDescent="0.3">
      <c r="U136445" s="25"/>
    </row>
    <row r="136467" spans="21:21" x14ac:dyDescent="0.3">
      <c r="U136467" s="25"/>
    </row>
    <row r="136489" spans="21:21" x14ac:dyDescent="0.3">
      <c r="U136489" s="25"/>
    </row>
    <row r="136511" spans="21:21" x14ac:dyDescent="0.3">
      <c r="U136511" s="25"/>
    </row>
    <row r="136533" spans="21:21" x14ac:dyDescent="0.3">
      <c r="U136533" s="25"/>
    </row>
    <row r="136555" spans="21:21" x14ac:dyDescent="0.3">
      <c r="U136555" s="25"/>
    </row>
    <row r="136577" spans="21:21" x14ac:dyDescent="0.3">
      <c r="U136577" s="25"/>
    </row>
    <row r="136599" spans="21:21" x14ac:dyDescent="0.3">
      <c r="U136599" s="25"/>
    </row>
    <row r="136621" spans="21:21" x14ac:dyDescent="0.3">
      <c r="U136621" s="25"/>
    </row>
    <row r="136643" spans="21:21" x14ac:dyDescent="0.3">
      <c r="U136643" s="25"/>
    </row>
    <row r="136665" spans="21:21" x14ac:dyDescent="0.3">
      <c r="U136665" s="25"/>
    </row>
    <row r="136687" spans="21:21" x14ac:dyDescent="0.3">
      <c r="U136687" s="25"/>
    </row>
    <row r="136709" spans="21:21" x14ac:dyDescent="0.3">
      <c r="U136709" s="25"/>
    </row>
    <row r="136731" spans="21:21" x14ac:dyDescent="0.3">
      <c r="U136731" s="25"/>
    </row>
    <row r="136753" spans="21:21" x14ac:dyDescent="0.3">
      <c r="U136753" s="25"/>
    </row>
    <row r="136775" spans="21:21" x14ac:dyDescent="0.3">
      <c r="U136775" s="25"/>
    </row>
    <row r="136797" spans="21:21" x14ac:dyDescent="0.3">
      <c r="U136797" s="25"/>
    </row>
    <row r="136819" spans="21:21" x14ac:dyDescent="0.3">
      <c r="U136819" s="25"/>
    </row>
    <row r="136841" spans="21:21" x14ac:dyDescent="0.3">
      <c r="U136841" s="25"/>
    </row>
    <row r="136863" spans="21:21" x14ac:dyDescent="0.3">
      <c r="U136863" s="25"/>
    </row>
    <row r="136885" spans="21:21" x14ac:dyDescent="0.3">
      <c r="U136885" s="25"/>
    </row>
    <row r="136907" spans="21:21" x14ac:dyDescent="0.3">
      <c r="U136907" s="25"/>
    </row>
    <row r="136929" spans="21:21" x14ac:dyDescent="0.3">
      <c r="U136929" s="25"/>
    </row>
    <row r="136951" spans="21:21" x14ac:dyDescent="0.3">
      <c r="U136951" s="25"/>
    </row>
    <row r="136973" spans="21:21" x14ac:dyDescent="0.3">
      <c r="U136973" s="25"/>
    </row>
    <row r="136995" spans="21:21" x14ac:dyDescent="0.3">
      <c r="U136995" s="25"/>
    </row>
    <row r="137017" spans="21:21" x14ac:dyDescent="0.3">
      <c r="U137017" s="25"/>
    </row>
    <row r="137039" spans="21:21" x14ac:dyDescent="0.3">
      <c r="U137039" s="25"/>
    </row>
    <row r="137061" spans="21:21" x14ac:dyDescent="0.3">
      <c r="U137061" s="25"/>
    </row>
    <row r="137083" spans="21:21" x14ac:dyDescent="0.3">
      <c r="U137083" s="25"/>
    </row>
    <row r="137105" spans="21:21" x14ac:dyDescent="0.3">
      <c r="U137105" s="25"/>
    </row>
    <row r="137127" spans="21:21" x14ac:dyDescent="0.3">
      <c r="U137127" s="25"/>
    </row>
    <row r="137149" spans="21:21" x14ac:dyDescent="0.3">
      <c r="U137149" s="25"/>
    </row>
    <row r="137171" spans="21:21" x14ac:dyDescent="0.3">
      <c r="U137171" s="25"/>
    </row>
    <row r="137193" spans="21:21" x14ac:dyDescent="0.3">
      <c r="U137193" s="25"/>
    </row>
    <row r="137215" spans="21:21" x14ac:dyDescent="0.3">
      <c r="U137215" s="25"/>
    </row>
    <row r="137237" spans="21:21" x14ac:dyDescent="0.3">
      <c r="U137237" s="25"/>
    </row>
    <row r="137259" spans="21:21" x14ac:dyDescent="0.3">
      <c r="U137259" s="25"/>
    </row>
    <row r="137281" spans="21:21" x14ac:dyDescent="0.3">
      <c r="U137281" s="25"/>
    </row>
    <row r="137303" spans="21:21" x14ac:dyDescent="0.3">
      <c r="U137303" s="25"/>
    </row>
    <row r="137325" spans="21:21" x14ac:dyDescent="0.3">
      <c r="U137325" s="25"/>
    </row>
    <row r="137347" spans="21:21" x14ac:dyDescent="0.3">
      <c r="U137347" s="25"/>
    </row>
    <row r="137369" spans="21:21" x14ac:dyDescent="0.3">
      <c r="U137369" s="25"/>
    </row>
    <row r="137391" spans="21:21" x14ac:dyDescent="0.3">
      <c r="U137391" s="25"/>
    </row>
    <row r="137413" spans="21:21" x14ac:dyDescent="0.3">
      <c r="U137413" s="25"/>
    </row>
    <row r="137435" spans="21:21" x14ac:dyDescent="0.3">
      <c r="U137435" s="25"/>
    </row>
    <row r="137457" spans="21:21" x14ac:dyDescent="0.3">
      <c r="U137457" s="25"/>
    </row>
    <row r="137479" spans="21:21" x14ac:dyDescent="0.3">
      <c r="U137479" s="25"/>
    </row>
    <row r="137501" spans="21:21" x14ac:dyDescent="0.3">
      <c r="U137501" s="25"/>
    </row>
    <row r="137523" spans="21:21" x14ac:dyDescent="0.3">
      <c r="U137523" s="25"/>
    </row>
    <row r="137545" spans="21:21" x14ac:dyDescent="0.3">
      <c r="U137545" s="25"/>
    </row>
    <row r="137567" spans="21:21" x14ac:dyDescent="0.3">
      <c r="U137567" s="25"/>
    </row>
    <row r="137589" spans="21:21" x14ac:dyDescent="0.3">
      <c r="U137589" s="25"/>
    </row>
    <row r="137611" spans="21:21" x14ac:dyDescent="0.3">
      <c r="U137611" s="25"/>
    </row>
    <row r="137633" spans="21:21" x14ac:dyDescent="0.3">
      <c r="U137633" s="25"/>
    </row>
    <row r="137655" spans="21:21" x14ac:dyDescent="0.3">
      <c r="U137655" s="25"/>
    </row>
    <row r="137677" spans="21:21" x14ac:dyDescent="0.3">
      <c r="U137677" s="25"/>
    </row>
    <row r="137699" spans="21:21" x14ac:dyDescent="0.3">
      <c r="U137699" s="25"/>
    </row>
    <row r="137721" spans="21:21" x14ac:dyDescent="0.3">
      <c r="U137721" s="25"/>
    </row>
    <row r="137743" spans="21:21" x14ac:dyDescent="0.3">
      <c r="U137743" s="25"/>
    </row>
    <row r="137765" spans="21:21" x14ac:dyDescent="0.3">
      <c r="U137765" s="25"/>
    </row>
    <row r="137787" spans="21:21" x14ac:dyDescent="0.3">
      <c r="U137787" s="25"/>
    </row>
    <row r="137809" spans="21:21" x14ac:dyDescent="0.3">
      <c r="U137809" s="25"/>
    </row>
    <row r="137831" spans="21:21" x14ac:dyDescent="0.3">
      <c r="U137831" s="25"/>
    </row>
    <row r="137853" spans="21:21" x14ac:dyDescent="0.3">
      <c r="U137853" s="25"/>
    </row>
    <row r="137875" spans="21:21" x14ac:dyDescent="0.3">
      <c r="U137875" s="25"/>
    </row>
    <row r="137897" spans="21:21" x14ac:dyDescent="0.3">
      <c r="U137897" s="25"/>
    </row>
    <row r="137919" spans="21:21" x14ac:dyDescent="0.3">
      <c r="U137919" s="25"/>
    </row>
    <row r="137941" spans="21:21" x14ac:dyDescent="0.3">
      <c r="U137941" s="25"/>
    </row>
    <row r="137963" spans="21:21" x14ac:dyDescent="0.3">
      <c r="U137963" s="25"/>
    </row>
    <row r="137985" spans="21:21" x14ac:dyDescent="0.3">
      <c r="U137985" s="25"/>
    </row>
    <row r="138007" spans="21:21" x14ac:dyDescent="0.3">
      <c r="U138007" s="25"/>
    </row>
    <row r="138029" spans="21:21" x14ac:dyDescent="0.3">
      <c r="U138029" s="25"/>
    </row>
    <row r="138051" spans="21:21" x14ac:dyDescent="0.3">
      <c r="U138051" s="25"/>
    </row>
    <row r="138073" spans="21:21" x14ac:dyDescent="0.3">
      <c r="U138073" s="25"/>
    </row>
    <row r="138095" spans="21:21" x14ac:dyDescent="0.3">
      <c r="U138095" s="25"/>
    </row>
    <row r="138117" spans="21:21" x14ac:dyDescent="0.3">
      <c r="U138117" s="25"/>
    </row>
    <row r="138139" spans="21:21" x14ac:dyDescent="0.3">
      <c r="U138139" s="25"/>
    </row>
    <row r="138161" spans="21:21" x14ac:dyDescent="0.3">
      <c r="U138161" s="25"/>
    </row>
    <row r="138183" spans="21:21" x14ac:dyDescent="0.3">
      <c r="U138183" s="25"/>
    </row>
    <row r="138205" spans="21:21" x14ac:dyDescent="0.3">
      <c r="U138205" s="25"/>
    </row>
    <row r="138227" spans="21:21" x14ac:dyDescent="0.3">
      <c r="U138227" s="25"/>
    </row>
    <row r="138249" spans="21:21" x14ac:dyDescent="0.3">
      <c r="U138249" s="25"/>
    </row>
    <row r="138271" spans="21:21" x14ac:dyDescent="0.3">
      <c r="U138271" s="25"/>
    </row>
    <row r="138293" spans="21:21" x14ac:dyDescent="0.3">
      <c r="U138293" s="25"/>
    </row>
    <row r="138315" spans="21:21" x14ac:dyDescent="0.3">
      <c r="U138315" s="25"/>
    </row>
    <row r="138337" spans="21:21" x14ac:dyDescent="0.3">
      <c r="U138337" s="25"/>
    </row>
    <row r="138359" spans="21:21" x14ac:dyDescent="0.3">
      <c r="U138359" s="25"/>
    </row>
    <row r="138381" spans="21:21" x14ac:dyDescent="0.3">
      <c r="U138381" s="25"/>
    </row>
    <row r="138403" spans="21:21" x14ac:dyDescent="0.3">
      <c r="U138403" s="25"/>
    </row>
    <row r="138425" spans="21:21" x14ac:dyDescent="0.3">
      <c r="U138425" s="25"/>
    </row>
    <row r="138447" spans="21:21" x14ac:dyDescent="0.3">
      <c r="U138447" s="25"/>
    </row>
    <row r="138469" spans="21:21" x14ac:dyDescent="0.3">
      <c r="U138469" s="25"/>
    </row>
    <row r="138491" spans="21:21" x14ac:dyDescent="0.3">
      <c r="U138491" s="25"/>
    </row>
    <row r="138513" spans="21:21" x14ac:dyDescent="0.3">
      <c r="U138513" s="25"/>
    </row>
    <row r="138535" spans="21:21" x14ac:dyDescent="0.3">
      <c r="U138535" s="25"/>
    </row>
    <row r="138557" spans="21:21" x14ac:dyDescent="0.3">
      <c r="U138557" s="25"/>
    </row>
    <row r="138579" spans="21:21" x14ac:dyDescent="0.3">
      <c r="U138579" s="25"/>
    </row>
    <row r="138601" spans="21:21" x14ac:dyDescent="0.3">
      <c r="U138601" s="25"/>
    </row>
    <row r="138623" spans="21:21" x14ac:dyDescent="0.3">
      <c r="U138623" s="25"/>
    </row>
    <row r="138645" spans="21:21" x14ac:dyDescent="0.3">
      <c r="U138645" s="25"/>
    </row>
    <row r="138667" spans="21:21" x14ac:dyDescent="0.3">
      <c r="U138667" s="25"/>
    </row>
    <row r="138689" spans="21:21" x14ac:dyDescent="0.3">
      <c r="U138689" s="25"/>
    </row>
    <row r="138711" spans="21:21" x14ac:dyDescent="0.3">
      <c r="U138711" s="25"/>
    </row>
    <row r="138733" spans="21:21" x14ac:dyDescent="0.3">
      <c r="U138733" s="25"/>
    </row>
    <row r="138755" spans="21:21" x14ac:dyDescent="0.3">
      <c r="U138755" s="25"/>
    </row>
    <row r="138777" spans="21:21" x14ac:dyDescent="0.3">
      <c r="U138777" s="25"/>
    </row>
    <row r="138799" spans="21:21" x14ac:dyDescent="0.3">
      <c r="U138799" s="25"/>
    </row>
    <row r="138821" spans="21:21" x14ac:dyDescent="0.3">
      <c r="U138821" s="25"/>
    </row>
    <row r="138843" spans="21:21" x14ac:dyDescent="0.3">
      <c r="U138843" s="25"/>
    </row>
    <row r="138865" spans="21:21" x14ac:dyDescent="0.3">
      <c r="U138865" s="25"/>
    </row>
    <row r="138887" spans="21:21" x14ac:dyDescent="0.3">
      <c r="U138887" s="25"/>
    </row>
    <row r="138909" spans="21:21" x14ac:dyDescent="0.3">
      <c r="U138909" s="25"/>
    </row>
    <row r="138931" spans="21:21" x14ac:dyDescent="0.3">
      <c r="U138931" s="25"/>
    </row>
    <row r="138953" spans="21:21" x14ac:dyDescent="0.3">
      <c r="U138953" s="25"/>
    </row>
    <row r="138975" spans="21:21" x14ac:dyDescent="0.3">
      <c r="U138975" s="25"/>
    </row>
    <row r="138997" spans="21:21" x14ac:dyDescent="0.3">
      <c r="U138997" s="25"/>
    </row>
    <row r="139019" spans="21:21" x14ac:dyDescent="0.3">
      <c r="U139019" s="25"/>
    </row>
    <row r="139041" spans="21:21" x14ac:dyDescent="0.3">
      <c r="U139041" s="25"/>
    </row>
    <row r="139063" spans="21:21" x14ac:dyDescent="0.3">
      <c r="U139063" s="25"/>
    </row>
    <row r="139085" spans="21:21" x14ac:dyDescent="0.3">
      <c r="U139085" s="25"/>
    </row>
    <row r="139107" spans="21:21" x14ac:dyDescent="0.3">
      <c r="U139107" s="25"/>
    </row>
    <row r="139129" spans="21:21" x14ac:dyDescent="0.3">
      <c r="U139129" s="25"/>
    </row>
    <row r="139151" spans="21:21" x14ac:dyDescent="0.3">
      <c r="U139151" s="25"/>
    </row>
    <row r="139173" spans="21:21" x14ac:dyDescent="0.3">
      <c r="U139173" s="25"/>
    </row>
    <row r="139195" spans="21:21" x14ac:dyDescent="0.3">
      <c r="U139195" s="25"/>
    </row>
    <row r="139217" spans="21:21" x14ac:dyDescent="0.3">
      <c r="U139217" s="25"/>
    </row>
    <row r="139239" spans="21:21" x14ac:dyDescent="0.3">
      <c r="U139239" s="25"/>
    </row>
    <row r="139261" spans="21:21" x14ac:dyDescent="0.3">
      <c r="U139261" s="25"/>
    </row>
    <row r="139283" spans="21:21" x14ac:dyDescent="0.3">
      <c r="U139283" s="25"/>
    </row>
    <row r="139305" spans="21:21" x14ac:dyDescent="0.3">
      <c r="U139305" s="25"/>
    </row>
    <row r="139327" spans="21:21" x14ac:dyDescent="0.3">
      <c r="U139327" s="25"/>
    </row>
    <row r="139349" spans="21:21" x14ac:dyDescent="0.3">
      <c r="U139349" s="25"/>
    </row>
    <row r="139371" spans="21:21" x14ac:dyDescent="0.3">
      <c r="U139371" s="25"/>
    </row>
    <row r="139393" spans="21:21" x14ac:dyDescent="0.3">
      <c r="U139393" s="25"/>
    </row>
    <row r="139415" spans="21:21" x14ac:dyDescent="0.3">
      <c r="U139415" s="25"/>
    </row>
    <row r="139437" spans="21:21" x14ac:dyDescent="0.3">
      <c r="U139437" s="25"/>
    </row>
    <row r="139459" spans="21:21" x14ac:dyDescent="0.3">
      <c r="U139459" s="25"/>
    </row>
    <row r="139481" spans="21:21" x14ac:dyDescent="0.3">
      <c r="U139481" s="25"/>
    </row>
    <row r="139503" spans="21:21" x14ac:dyDescent="0.3">
      <c r="U139503" s="25"/>
    </row>
    <row r="139525" spans="21:21" x14ac:dyDescent="0.3">
      <c r="U139525" s="25"/>
    </row>
    <row r="139547" spans="21:21" x14ac:dyDescent="0.3">
      <c r="U139547" s="25"/>
    </row>
    <row r="139569" spans="21:21" x14ac:dyDescent="0.3">
      <c r="U139569" s="25"/>
    </row>
    <row r="139591" spans="21:21" x14ac:dyDescent="0.3">
      <c r="U139591" s="25"/>
    </row>
    <row r="139613" spans="21:21" x14ac:dyDescent="0.3">
      <c r="U139613" s="25"/>
    </row>
    <row r="139635" spans="21:21" x14ac:dyDescent="0.3">
      <c r="U139635" s="25"/>
    </row>
    <row r="139657" spans="21:21" x14ac:dyDescent="0.3">
      <c r="U139657" s="25"/>
    </row>
    <row r="139679" spans="21:21" x14ac:dyDescent="0.3">
      <c r="U139679" s="25"/>
    </row>
    <row r="139701" spans="21:21" x14ac:dyDescent="0.3">
      <c r="U139701" s="25"/>
    </row>
    <row r="139723" spans="21:21" x14ac:dyDescent="0.3">
      <c r="U139723" s="25"/>
    </row>
    <row r="139745" spans="21:21" x14ac:dyDescent="0.3">
      <c r="U139745" s="25"/>
    </row>
    <row r="139767" spans="21:21" x14ac:dyDescent="0.3">
      <c r="U139767" s="25"/>
    </row>
    <row r="139789" spans="21:21" x14ac:dyDescent="0.3">
      <c r="U139789" s="25"/>
    </row>
    <row r="139811" spans="21:21" x14ac:dyDescent="0.3">
      <c r="U139811" s="25"/>
    </row>
    <row r="139833" spans="21:21" x14ac:dyDescent="0.3">
      <c r="U139833" s="25"/>
    </row>
    <row r="139855" spans="21:21" x14ac:dyDescent="0.3">
      <c r="U139855" s="25"/>
    </row>
    <row r="139877" spans="21:21" x14ac:dyDescent="0.3">
      <c r="U139877" s="25"/>
    </row>
    <row r="139899" spans="21:21" x14ac:dyDescent="0.3">
      <c r="U139899" s="25"/>
    </row>
    <row r="139921" spans="21:21" x14ac:dyDescent="0.3">
      <c r="U139921" s="25"/>
    </row>
    <row r="139943" spans="21:21" x14ac:dyDescent="0.3">
      <c r="U139943" s="25"/>
    </row>
    <row r="139965" spans="21:21" x14ac:dyDescent="0.3">
      <c r="U139965" s="25"/>
    </row>
    <row r="139987" spans="21:21" x14ac:dyDescent="0.3">
      <c r="U139987" s="25"/>
    </row>
    <row r="140009" spans="21:21" x14ac:dyDescent="0.3">
      <c r="U140009" s="25"/>
    </row>
    <row r="140031" spans="21:21" x14ac:dyDescent="0.3">
      <c r="U140031" s="25"/>
    </row>
    <row r="140053" spans="21:21" x14ac:dyDescent="0.3">
      <c r="U140053" s="25"/>
    </row>
    <row r="140075" spans="21:21" x14ac:dyDescent="0.3">
      <c r="U140075" s="25"/>
    </row>
    <row r="140097" spans="21:21" x14ac:dyDescent="0.3">
      <c r="U140097" s="25"/>
    </row>
    <row r="140119" spans="21:21" x14ac:dyDescent="0.3">
      <c r="U140119" s="25"/>
    </row>
    <row r="140141" spans="21:21" x14ac:dyDescent="0.3">
      <c r="U140141" s="25"/>
    </row>
    <row r="140163" spans="21:21" x14ac:dyDescent="0.3">
      <c r="U140163" s="25"/>
    </row>
    <row r="140185" spans="21:21" x14ac:dyDescent="0.3">
      <c r="U140185" s="25"/>
    </row>
    <row r="140207" spans="21:21" x14ac:dyDescent="0.3">
      <c r="U140207" s="25"/>
    </row>
    <row r="140229" spans="21:21" x14ac:dyDescent="0.3">
      <c r="U140229" s="25"/>
    </row>
    <row r="140251" spans="21:21" x14ac:dyDescent="0.3">
      <c r="U140251" s="25"/>
    </row>
    <row r="140273" spans="21:21" x14ac:dyDescent="0.3">
      <c r="U140273" s="25"/>
    </row>
    <row r="140295" spans="21:21" x14ac:dyDescent="0.3">
      <c r="U140295" s="25"/>
    </row>
    <row r="140317" spans="21:21" x14ac:dyDescent="0.3">
      <c r="U140317" s="25"/>
    </row>
    <row r="140339" spans="21:21" x14ac:dyDescent="0.3">
      <c r="U140339" s="25"/>
    </row>
    <row r="140361" spans="21:21" x14ac:dyDescent="0.3">
      <c r="U140361" s="25"/>
    </row>
    <row r="140383" spans="21:21" x14ac:dyDescent="0.3">
      <c r="U140383" s="25"/>
    </row>
    <row r="140405" spans="21:21" x14ac:dyDescent="0.3">
      <c r="U140405" s="25"/>
    </row>
    <row r="140427" spans="21:21" x14ac:dyDescent="0.3">
      <c r="U140427" s="25"/>
    </row>
    <row r="140449" spans="21:21" x14ac:dyDescent="0.3">
      <c r="U140449" s="25"/>
    </row>
    <row r="140471" spans="21:21" x14ac:dyDescent="0.3">
      <c r="U140471" s="25"/>
    </row>
    <row r="140493" spans="21:21" x14ac:dyDescent="0.3">
      <c r="U140493" s="25"/>
    </row>
    <row r="140515" spans="21:21" x14ac:dyDescent="0.3">
      <c r="U140515" s="25"/>
    </row>
    <row r="140537" spans="21:21" x14ac:dyDescent="0.3">
      <c r="U140537" s="25"/>
    </row>
    <row r="140559" spans="21:21" x14ac:dyDescent="0.3">
      <c r="U140559" s="25"/>
    </row>
    <row r="140581" spans="21:21" x14ac:dyDescent="0.3">
      <c r="U140581" s="25"/>
    </row>
    <row r="140603" spans="21:21" x14ac:dyDescent="0.3">
      <c r="U140603" s="25"/>
    </row>
    <row r="140625" spans="21:21" x14ac:dyDescent="0.3">
      <c r="U140625" s="25"/>
    </row>
    <row r="140647" spans="21:21" x14ac:dyDescent="0.3">
      <c r="U140647" s="25"/>
    </row>
    <row r="140669" spans="21:21" x14ac:dyDescent="0.3">
      <c r="U140669" s="25"/>
    </row>
    <row r="140691" spans="21:21" x14ac:dyDescent="0.3">
      <c r="U140691" s="25"/>
    </row>
    <row r="140713" spans="21:21" x14ac:dyDescent="0.3">
      <c r="U140713" s="25"/>
    </row>
    <row r="140735" spans="21:21" x14ac:dyDescent="0.3">
      <c r="U140735" s="25"/>
    </row>
    <row r="140757" spans="21:21" x14ac:dyDescent="0.3">
      <c r="U140757" s="25"/>
    </row>
    <row r="140779" spans="21:21" x14ac:dyDescent="0.3">
      <c r="U140779" s="25"/>
    </row>
    <row r="140801" spans="21:21" x14ac:dyDescent="0.3">
      <c r="U140801" s="25"/>
    </row>
    <row r="140823" spans="21:21" x14ac:dyDescent="0.3">
      <c r="U140823" s="25"/>
    </row>
    <row r="140845" spans="21:21" x14ac:dyDescent="0.3">
      <c r="U140845" s="25"/>
    </row>
    <row r="140867" spans="21:21" x14ac:dyDescent="0.3">
      <c r="U140867" s="25"/>
    </row>
    <row r="140889" spans="21:21" x14ac:dyDescent="0.3">
      <c r="U140889" s="25"/>
    </row>
    <row r="140911" spans="21:21" x14ac:dyDescent="0.3">
      <c r="U140911" s="25"/>
    </row>
    <row r="140933" spans="21:21" x14ac:dyDescent="0.3">
      <c r="U140933" s="25"/>
    </row>
    <row r="140955" spans="21:21" x14ac:dyDescent="0.3">
      <c r="U140955" s="25"/>
    </row>
    <row r="140977" spans="21:21" x14ac:dyDescent="0.3">
      <c r="U140977" s="25"/>
    </row>
    <row r="140999" spans="21:21" x14ac:dyDescent="0.3">
      <c r="U140999" s="25"/>
    </row>
    <row r="141021" spans="21:21" x14ac:dyDescent="0.3">
      <c r="U141021" s="25"/>
    </row>
    <row r="141043" spans="21:21" x14ac:dyDescent="0.3">
      <c r="U141043" s="25"/>
    </row>
    <row r="141065" spans="21:21" x14ac:dyDescent="0.3">
      <c r="U141065" s="25"/>
    </row>
    <row r="141087" spans="21:21" x14ac:dyDescent="0.3">
      <c r="U141087" s="25"/>
    </row>
    <row r="141109" spans="21:21" x14ac:dyDescent="0.3">
      <c r="U141109" s="25"/>
    </row>
    <row r="141131" spans="21:21" x14ac:dyDescent="0.3">
      <c r="U141131" s="25"/>
    </row>
    <row r="141153" spans="21:21" x14ac:dyDescent="0.3">
      <c r="U141153" s="25"/>
    </row>
    <row r="141175" spans="21:21" x14ac:dyDescent="0.3">
      <c r="U141175" s="25"/>
    </row>
    <row r="141197" spans="21:21" x14ac:dyDescent="0.3">
      <c r="U141197" s="25"/>
    </row>
    <row r="141219" spans="21:21" x14ac:dyDescent="0.3">
      <c r="U141219" s="25"/>
    </row>
    <row r="141241" spans="21:21" x14ac:dyDescent="0.3">
      <c r="U141241" s="25"/>
    </row>
    <row r="141263" spans="21:21" x14ac:dyDescent="0.3">
      <c r="U141263" s="25"/>
    </row>
    <row r="141285" spans="21:21" x14ac:dyDescent="0.3">
      <c r="U141285" s="25"/>
    </row>
    <row r="141307" spans="21:21" x14ac:dyDescent="0.3">
      <c r="U141307" s="25"/>
    </row>
    <row r="141329" spans="21:21" x14ac:dyDescent="0.3">
      <c r="U141329" s="25"/>
    </row>
    <row r="141351" spans="21:21" x14ac:dyDescent="0.3">
      <c r="U141351" s="25"/>
    </row>
    <row r="141373" spans="21:21" x14ac:dyDescent="0.3">
      <c r="U141373" s="25"/>
    </row>
    <row r="141395" spans="21:21" x14ac:dyDescent="0.3">
      <c r="U141395" s="25"/>
    </row>
    <row r="141417" spans="21:21" x14ac:dyDescent="0.3">
      <c r="U141417" s="25"/>
    </row>
    <row r="141439" spans="21:21" x14ac:dyDescent="0.3">
      <c r="U141439" s="25"/>
    </row>
    <row r="141461" spans="21:21" x14ac:dyDescent="0.3">
      <c r="U141461" s="25"/>
    </row>
    <row r="141483" spans="21:21" x14ac:dyDescent="0.3">
      <c r="U141483" s="25"/>
    </row>
    <row r="141505" spans="21:21" x14ac:dyDescent="0.3">
      <c r="U141505" s="25"/>
    </row>
    <row r="141527" spans="21:21" x14ac:dyDescent="0.3">
      <c r="U141527" s="25"/>
    </row>
    <row r="141549" spans="21:21" x14ac:dyDescent="0.3">
      <c r="U141549" s="25"/>
    </row>
    <row r="141571" spans="21:21" x14ac:dyDescent="0.3">
      <c r="U141571" s="25"/>
    </row>
    <row r="141593" spans="21:21" x14ac:dyDescent="0.3">
      <c r="U141593" s="25"/>
    </row>
    <row r="141615" spans="21:21" x14ac:dyDescent="0.3">
      <c r="U141615" s="25"/>
    </row>
    <row r="141637" spans="21:21" x14ac:dyDescent="0.3">
      <c r="U141637" s="25"/>
    </row>
    <row r="141659" spans="21:21" x14ac:dyDescent="0.3">
      <c r="U141659" s="25"/>
    </row>
    <row r="141681" spans="21:21" x14ac:dyDescent="0.3">
      <c r="U141681" s="25"/>
    </row>
    <row r="141703" spans="21:21" x14ac:dyDescent="0.3">
      <c r="U141703" s="25"/>
    </row>
    <row r="141725" spans="21:21" x14ac:dyDescent="0.3">
      <c r="U141725" s="25"/>
    </row>
    <row r="141747" spans="21:21" x14ac:dyDescent="0.3">
      <c r="U141747" s="25"/>
    </row>
    <row r="141769" spans="21:21" x14ac:dyDescent="0.3">
      <c r="U141769" s="25"/>
    </row>
    <row r="141791" spans="21:21" x14ac:dyDescent="0.3">
      <c r="U141791" s="25"/>
    </row>
    <row r="141813" spans="21:21" x14ac:dyDescent="0.3">
      <c r="U141813" s="25"/>
    </row>
    <row r="141835" spans="21:21" x14ac:dyDescent="0.3">
      <c r="U141835" s="25"/>
    </row>
    <row r="141857" spans="21:21" x14ac:dyDescent="0.3">
      <c r="U141857" s="25"/>
    </row>
    <row r="141879" spans="21:21" x14ac:dyDescent="0.3">
      <c r="U141879" s="25"/>
    </row>
    <row r="141901" spans="21:21" x14ac:dyDescent="0.3">
      <c r="U141901" s="25"/>
    </row>
    <row r="141923" spans="21:21" x14ac:dyDescent="0.3">
      <c r="U141923" s="25"/>
    </row>
    <row r="141945" spans="21:21" x14ac:dyDescent="0.3">
      <c r="U141945" s="25"/>
    </row>
    <row r="141967" spans="21:21" x14ac:dyDescent="0.3">
      <c r="U141967" s="25"/>
    </row>
    <row r="141989" spans="21:21" x14ac:dyDescent="0.3">
      <c r="U141989" s="25"/>
    </row>
    <row r="142011" spans="21:21" x14ac:dyDescent="0.3">
      <c r="U142011" s="25"/>
    </row>
    <row r="142033" spans="21:21" x14ac:dyDescent="0.3">
      <c r="U142033" s="25"/>
    </row>
    <row r="142055" spans="21:21" x14ac:dyDescent="0.3">
      <c r="U142055" s="25"/>
    </row>
    <row r="142077" spans="21:21" x14ac:dyDescent="0.3">
      <c r="U142077" s="25"/>
    </row>
    <row r="142099" spans="21:21" x14ac:dyDescent="0.3">
      <c r="U142099" s="25"/>
    </row>
    <row r="142121" spans="21:21" x14ac:dyDescent="0.3">
      <c r="U142121" s="25"/>
    </row>
    <row r="142143" spans="21:21" x14ac:dyDescent="0.3">
      <c r="U142143" s="25"/>
    </row>
    <row r="142165" spans="21:21" x14ac:dyDescent="0.3">
      <c r="U142165" s="25"/>
    </row>
    <row r="142187" spans="21:21" x14ac:dyDescent="0.3">
      <c r="U142187" s="25"/>
    </row>
    <row r="142209" spans="21:21" x14ac:dyDescent="0.3">
      <c r="U142209" s="25"/>
    </row>
    <row r="142231" spans="21:21" x14ac:dyDescent="0.3">
      <c r="U142231" s="25"/>
    </row>
    <row r="142253" spans="21:21" x14ac:dyDescent="0.3">
      <c r="U142253" s="25"/>
    </row>
    <row r="142275" spans="21:21" x14ac:dyDescent="0.3">
      <c r="U142275" s="25"/>
    </row>
    <row r="142297" spans="21:21" x14ac:dyDescent="0.3">
      <c r="U142297" s="25"/>
    </row>
    <row r="142319" spans="21:21" x14ac:dyDescent="0.3">
      <c r="U142319" s="25"/>
    </row>
    <row r="142341" spans="21:21" x14ac:dyDescent="0.3">
      <c r="U142341" s="25"/>
    </row>
    <row r="142363" spans="21:21" x14ac:dyDescent="0.3">
      <c r="U142363" s="25"/>
    </row>
    <row r="142385" spans="21:21" x14ac:dyDescent="0.3">
      <c r="U142385" s="25"/>
    </row>
    <row r="142407" spans="21:21" x14ac:dyDescent="0.3">
      <c r="U142407" s="25"/>
    </row>
    <row r="142429" spans="21:21" x14ac:dyDescent="0.3">
      <c r="U142429" s="25"/>
    </row>
    <row r="142451" spans="21:21" x14ac:dyDescent="0.3">
      <c r="U142451" s="25"/>
    </row>
    <row r="142473" spans="21:21" x14ac:dyDescent="0.3">
      <c r="U142473" s="25"/>
    </row>
    <row r="142495" spans="21:21" x14ac:dyDescent="0.3">
      <c r="U142495" s="25"/>
    </row>
    <row r="142517" spans="21:21" x14ac:dyDescent="0.3">
      <c r="U142517" s="25"/>
    </row>
    <row r="142539" spans="21:21" x14ac:dyDescent="0.3">
      <c r="U142539" s="25"/>
    </row>
    <row r="142561" spans="21:21" x14ac:dyDescent="0.3">
      <c r="U142561" s="25"/>
    </row>
    <row r="142583" spans="21:21" x14ac:dyDescent="0.3">
      <c r="U142583" s="25"/>
    </row>
    <row r="142605" spans="21:21" x14ac:dyDescent="0.3">
      <c r="U142605" s="25"/>
    </row>
    <row r="142627" spans="21:21" x14ac:dyDescent="0.3">
      <c r="U142627" s="25"/>
    </row>
    <row r="142649" spans="21:21" x14ac:dyDescent="0.3">
      <c r="U142649" s="25"/>
    </row>
    <row r="142671" spans="21:21" x14ac:dyDescent="0.3">
      <c r="U142671" s="25"/>
    </row>
    <row r="142693" spans="21:21" x14ac:dyDescent="0.3">
      <c r="U142693" s="25"/>
    </row>
    <row r="142715" spans="21:21" x14ac:dyDescent="0.3">
      <c r="U142715" s="25"/>
    </row>
    <row r="142737" spans="21:21" x14ac:dyDescent="0.3">
      <c r="U142737" s="25"/>
    </row>
    <row r="142759" spans="21:21" x14ac:dyDescent="0.3">
      <c r="U142759" s="25"/>
    </row>
    <row r="142781" spans="21:21" x14ac:dyDescent="0.3">
      <c r="U142781" s="25"/>
    </row>
    <row r="142803" spans="21:21" x14ac:dyDescent="0.3">
      <c r="U142803" s="25"/>
    </row>
    <row r="142825" spans="21:21" x14ac:dyDescent="0.3">
      <c r="U142825" s="25"/>
    </row>
    <row r="142847" spans="21:21" x14ac:dyDescent="0.3">
      <c r="U142847" s="25"/>
    </row>
    <row r="142869" spans="21:21" x14ac:dyDescent="0.3">
      <c r="U142869" s="25"/>
    </row>
    <row r="142891" spans="21:21" x14ac:dyDescent="0.3">
      <c r="U142891" s="25"/>
    </row>
    <row r="142913" spans="21:21" x14ac:dyDescent="0.3">
      <c r="U142913" s="25"/>
    </row>
    <row r="142935" spans="21:21" x14ac:dyDescent="0.3">
      <c r="U142935" s="25"/>
    </row>
    <row r="142957" spans="21:21" x14ac:dyDescent="0.3">
      <c r="U142957" s="25"/>
    </row>
    <row r="142979" spans="21:21" x14ac:dyDescent="0.3">
      <c r="U142979" s="25"/>
    </row>
    <row r="143001" spans="21:21" x14ac:dyDescent="0.3">
      <c r="U143001" s="25"/>
    </row>
    <row r="143023" spans="21:21" x14ac:dyDescent="0.3">
      <c r="U143023" s="25"/>
    </row>
    <row r="143045" spans="21:21" x14ac:dyDescent="0.3">
      <c r="U143045" s="25"/>
    </row>
    <row r="143067" spans="21:21" x14ac:dyDescent="0.3">
      <c r="U143067" s="25"/>
    </row>
    <row r="143089" spans="21:21" x14ac:dyDescent="0.3">
      <c r="U143089" s="25"/>
    </row>
    <row r="143111" spans="21:21" x14ac:dyDescent="0.3">
      <c r="U143111" s="25"/>
    </row>
    <row r="143133" spans="21:21" x14ac:dyDescent="0.3">
      <c r="U143133" s="25"/>
    </row>
    <row r="143155" spans="21:21" x14ac:dyDescent="0.3">
      <c r="U143155" s="25"/>
    </row>
    <row r="143177" spans="21:21" x14ac:dyDescent="0.3">
      <c r="U143177" s="25"/>
    </row>
    <row r="143199" spans="21:21" x14ac:dyDescent="0.3">
      <c r="U143199" s="25"/>
    </row>
    <row r="143221" spans="21:21" x14ac:dyDescent="0.3">
      <c r="U143221" s="25"/>
    </row>
    <row r="143243" spans="21:21" x14ac:dyDescent="0.3">
      <c r="U143243" s="25"/>
    </row>
    <row r="143265" spans="21:21" x14ac:dyDescent="0.3">
      <c r="U143265" s="25"/>
    </row>
    <row r="143287" spans="21:21" x14ac:dyDescent="0.3">
      <c r="U143287" s="25"/>
    </row>
    <row r="143309" spans="21:21" x14ac:dyDescent="0.3">
      <c r="U143309" s="25"/>
    </row>
    <row r="143331" spans="21:21" x14ac:dyDescent="0.3">
      <c r="U143331" s="25"/>
    </row>
    <row r="143353" spans="21:21" x14ac:dyDescent="0.3">
      <c r="U143353" s="25"/>
    </row>
    <row r="143375" spans="21:21" x14ac:dyDescent="0.3">
      <c r="U143375" s="25"/>
    </row>
    <row r="143397" spans="21:21" x14ac:dyDescent="0.3">
      <c r="U143397" s="25"/>
    </row>
    <row r="143419" spans="21:21" x14ac:dyDescent="0.3">
      <c r="U143419" s="25"/>
    </row>
    <row r="143441" spans="21:21" x14ac:dyDescent="0.3">
      <c r="U143441" s="25"/>
    </row>
    <row r="143463" spans="21:21" x14ac:dyDescent="0.3">
      <c r="U143463" s="25"/>
    </row>
    <row r="143485" spans="21:21" x14ac:dyDescent="0.3">
      <c r="U143485" s="25"/>
    </row>
    <row r="143507" spans="21:21" x14ac:dyDescent="0.3">
      <c r="U143507" s="25"/>
    </row>
    <row r="143529" spans="21:21" x14ac:dyDescent="0.3">
      <c r="U143529" s="25"/>
    </row>
    <row r="143551" spans="21:21" x14ac:dyDescent="0.3">
      <c r="U143551" s="25"/>
    </row>
    <row r="143573" spans="21:21" x14ac:dyDescent="0.3">
      <c r="U143573" s="25"/>
    </row>
    <row r="143595" spans="21:21" x14ac:dyDescent="0.3">
      <c r="U143595" s="25"/>
    </row>
    <row r="143617" spans="21:21" x14ac:dyDescent="0.3">
      <c r="U143617" s="25"/>
    </row>
    <row r="143639" spans="21:21" x14ac:dyDescent="0.3">
      <c r="U143639" s="25"/>
    </row>
    <row r="143661" spans="21:21" x14ac:dyDescent="0.3">
      <c r="U143661" s="25"/>
    </row>
    <row r="143683" spans="21:21" x14ac:dyDescent="0.3">
      <c r="U143683" s="25"/>
    </row>
    <row r="143705" spans="21:21" x14ac:dyDescent="0.3">
      <c r="U143705" s="25"/>
    </row>
    <row r="143727" spans="21:21" x14ac:dyDescent="0.3">
      <c r="U143727" s="25"/>
    </row>
    <row r="143749" spans="21:21" x14ac:dyDescent="0.3">
      <c r="U143749" s="25"/>
    </row>
    <row r="143771" spans="21:21" x14ac:dyDescent="0.3">
      <c r="U143771" s="25"/>
    </row>
    <row r="143793" spans="21:21" x14ac:dyDescent="0.3">
      <c r="U143793" s="25"/>
    </row>
    <row r="143815" spans="21:21" x14ac:dyDescent="0.3">
      <c r="U143815" s="25"/>
    </row>
    <row r="143837" spans="21:21" x14ac:dyDescent="0.3">
      <c r="U143837" s="25"/>
    </row>
    <row r="143859" spans="21:21" x14ac:dyDescent="0.3">
      <c r="U143859" s="25"/>
    </row>
    <row r="143881" spans="21:21" x14ac:dyDescent="0.3">
      <c r="U143881" s="25"/>
    </row>
    <row r="143903" spans="21:21" x14ac:dyDescent="0.3">
      <c r="U143903" s="25"/>
    </row>
    <row r="143925" spans="21:21" x14ac:dyDescent="0.3">
      <c r="U143925" s="25"/>
    </row>
    <row r="143947" spans="21:21" x14ac:dyDescent="0.3">
      <c r="U143947" s="25"/>
    </row>
    <row r="143969" spans="21:21" x14ac:dyDescent="0.3">
      <c r="U143969" s="25"/>
    </row>
    <row r="143991" spans="21:21" x14ac:dyDescent="0.3">
      <c r="U143991" s="25"/>
    </row>
    <row r="144013" spans="21:21" x14ac:dyDescent="0.3">
      <c r="U144013" s="25"/>
    </row>
    <row r="144035" spans="21:21" x14ac:dyDescent="0.3">
      <c r="U144035" s="25"/>
    </row>
    <row r="144057" spans="21:21" x14ac:dyDescent="0.3">
      <c r="U144057" s="25"/>
    </row>
    <row r="144079" spans="21:21" x14ac:dyDescent="0.3">
      <c r="U144079" s="25"/>
    </row>
    <row r="144101" spans="21:21" x14ac:dyDescent="0.3">
      <c r="U144101" s="25"/>
    </row>
    <row r="144123" spans="21:21" x14ac:dyDescent="0.3">
      <c r="U144123" s="25"/>
    </row>
    <row r="144145" spans="21:21" x14ac:dyDescent="0.3">
      <c r="U144145" s="25"/>
    </row>
    <row r="144167" spans="21:21" x14ac:dyDescent="0.3">
      <c r="U144167" s="25"/>
    </row>
    <row r="144189" spans="21:21" x14ac:dyDescent="0.3">
      <c r="U144189" s="25"/>
    </row>
    <row r="144211" spans="21:21" x14ac:dyDescent="0.3">
      <c r="U144211" s="25"/>
    </row>
    <row r="144233" spans="21:21" x14ac:dyDescent="0.3">
      <c r="U144233" s="25"/>
    </row>
    <row r="144255" spans="21:21" x14ac:dyDescent="0.3">
      <c r="U144255" s="25"/>
    </row>
    <row r="144277" spans="21:21" x14ac:dyDescent="0.3">
      <c r="U144277" s="25"/>
    </row>
    <row r="144299" spans="21:21" x14ac:dyDescent="0.3">
      <c r="U144299" s="25"/>
    </row>
    <row r="144321" spans="21:21" x14ac:dyDescent="0.3">
      <c r="U144321" s="25"/>
    </row>
    <row r="144343" spans="21:21" x14ac:dyDescent="0.3">
      <c r="U144343" s="25"/>
    </row>
    <row r="144365" spans="21:21" x14ac:dyDescent="0.3">
      <c r="U144365" s="25"/>
    </row>
    <row r="144387" spans="21:21" x14ac:dyDescent="0.3">
      <c r="U144387" s="25"/>
    </row>
    <row r="144409" spans="21:21" x14ac:dyDescent="0.3">
      <c r="U144409" s="25"/>
    </row>
    <row r="144431" spans="21:21" x14ac:dyDescent="0.3">
      <c r="U144431" s="25"/>
    </row>
    <row r="144453" spans="21:21" x14ac:dyDescent="0.3">
      <c r="U144453" s="25"/>
    </row>
    <row r="144475" spans="21:21" x14ac:dyDescent="0.3">
      <c r="U144475" s="25"/>
    </row>
    <row r="144497" spans="21:21" x14ac:dyDescent="0.3">
      <c r="U144497" s="25"/>
    </row>
    <row r="144519" spans="21:21" x14ac:dyDescent="0.3">
      <c r="U144519" s="25"/>
    </row>
    <row r="144541" spans="21:21" x14ac:dyDescent="0.3">
      <c r="U144541" s="25"/>
    </row>
    <row r="144563" spans="21:21" x14ac:dyDescent="0.3">
      <c r="U144563" s="25"/>
    </row>
    <row r="144585" spans="21:21" x14ac:dyDescent="0.3">
      <c r="U144585" s="25"/>
    </row>
    <row r="144607" spans="21:21" x14ac:dyDescent="0.3">
      <c r="U144607" s="25"/>
    </row>
    <row r="144629" spans="21:21" x14ac:dyDescent="0.3">
      <c r="U144629" s="25"/>
    </row>
    <row r="144651" spans="21:21" x14ac:dyDescent="0.3">
      <c r="U144651" s="25"/>
    </row>
    <row r="144673" spans="21:21" x14ac:dyDescent="0.3">
      <c r="U144673" s="25"/>
    </row>
    <row r="144695" spans="21:21" x14ac:dyDescent="0.3">
      <c r="U144695" s="25"/>
    </row>
    <row r="144717" spans="21:21" x14ac:dyDescent="0.3">
      <c r="U144717" s="25"/>
    </row>
    <row r="144739" spans="21:21" x14ac:dyDescent="0.3">
      <c r="U144739" s="25"/>
    </row>
    <row r="144761" spans="21:21" x14ac:dyDescent="0.3">
      <c r="U144761" s="25"/>
    </row>
    <row r="144783" spans="21:21" x14ac:dyDescent="0.3">
      <c r="U144783" s="25"/>
    </row>
    <row r="144805" spans="21:21" x14ac:dyDescent="0.3">
      <c r="U144805" s="25"/>
    </row>
    <row r="144827" spans="21:21" x14ac:dyDescent="0.3">
      <c r="U144827" s="25"/>
    </row>
    <row r="144849" spans="21:21" x14ac:dyDescent="0.3">
      <c r="U144849" s="25"/>
    </row>
    <row r="144871" spans="21:21" x14ac:dyDescent="0.3">
      <c r="U144871" s="25"/>
    </row>
    <row r="144893" spans="21:21" x14ac:dyDescent="0.3">
      <c r="U144893" s="25"/>
    </row>
    <row r="144915" spans="21:21" x14ac:dyDescent="0.3">
      <c r="U144915" s="25"/>
    </row>
    <row r="144937" spans="21:21" x14ac:dyDescent="0.3">
      <c r="U144937" s="25"/>
    </row>
    <row r="144959" spans="21:21" x14ac:dyDescent="0.3">
      <c r="U144959" s="25"/>
    </row>
    <row r="144981" spans="21:21" x14ac:dyDescent="0.3">
      <c r="U144981" s="25"/>
    </row>
    <row r="145003" spans="21:21" x14ac:dyDescent="0.3">
      <c r="U145003" s="25"/>
    </row>
    <row r="145025" spans="21:21" x14ac:dyDescent="0.3">
      <c r="U145025" s="25"/>
    </row>
    <row r="145047" spans="21:21" x14ac:dyDescent="0.3">
      <c r="U145047" s="25"/>
    </row>
    <row r="145069" spans="21:21" x14ac:dyDescent="0.3">
      <c r="U145069" s="25"/>
    </row>
    <row r="145091" spans="21:21" x14ac:dyDescent="0.3">
      <c r="U145091" s="25"/>
    </row>
    <row r="145113" spans="21:21" x14ac:dyDescent="0.3">
      <c r="U145113" s="25"/>
    </row>
    <row r="145135" spans="21:21" x14ac:dyDescent="0.3">
      <c r="U145135" s="25"/>
    </row>
    <row r="145157" spans="21:21" x14ac:dyDescent="0.3">
      <c r="U145157" s="25"/>
    </row>
    <row r="145179" spans="21:21" x14ac:dyDescent="0.3">
      <c r="U145179" s="25"/>
    </row>
    <row r="145201" spans="21:21" x14ac:dyDescent="0.3">
      <c r="U145201" s="25"/>
    </row>
    <row r="145223" spans="21:21" x14ac:dyDescent="0.3">
      <c r="U145223" s="25"/>
    </row>
    <row r="145245" spans="21:21" x14ac:dyDescent="0.3">
      <c r="U145245" s="25"/>
    </row>
    <row r="145267" spans="21:21" x14ac:dyDescent="0.3">
      <c r="U145267" s="25"/>
    </row>
    <row r="145289" spans="21:21" x14ac:dyDescent="0.3">
      <c r="U145289" s="25"/>
    </row>
    <row r="145311" spans="21:21" x14ac:dyDescent="0.3">
      <c r="U145311" s="25"/>
    </row>
    <row r="145333" spans="21:21" x14ac:dyDescent="0.3">
      <c r="U145333" s="25"/>
    </row>
    <row r="145355" spans="21:21" x14ac:dyDescent="0.3">
      <c r="U145355" s="25"/>
    </row>
    <row r="145377" spans="21:21" x14ac:dyDescent="0.3">
      <c r="U145377" s="25"/>
    </row>
    <row r="145399" spans="21:21" x14ac:dyDescent="0.3">
      <c r="U145399" s="25"/>
    </row>
    <row r="145421" spans="21:21" x14ac:dyDescent="0.3">
      <c r="U145421" s="25"/>
    </row>
    <row r="145443" spans="21:21" x14ac:dyDescent="0.3">
      <c r="U145443" s="25"/>
    </row>
    <row r="145465" spans="21:21" x14ac:dyDescent="0.3">
      <c r="U145465" s="25"/>
    </row>
    <row r="145487" spans="21:21" x14ac:dyDescent="0.3">
      <c r="U145487" s="25"/>
    </row>
    <row r="145509" spans="21:21" x14ac:dyDescent="0.3">
      <c r="U145509" s="25"/>
    </row>
    <row r="145531" spans="21:21" x14ac:dyDescent="0.3">
      <c r="U145531" s="25"/>
    </row>
    <row r="145553" spans="21:21" x14ac:dyDescent="0.3">
      <c r="U145553" s="25"/>
    </row>
    <row r="145575" spans="21:21" x14ac:dyDescent="0.3">
      <c r="U145575" s="25"/>
    </row>
    <row r="145597" spans="21:21" x14ac:dyDescent="0.3">
      <c r="U145597" s="25"/>
    </row>
    <row r="145619" spans="21:21" x14ac:dyDescent="0.3">
      <c r="U145619" s="25"/>
    </row>
    <row r="145641" spans="21:21" x14ac:dyDescent="0.3">
      <c r="U145641" s="25"/>
    </row>
    <row r="145663" spans="21:21" x14ac:dyDescent="0.3">
      <c r="U145663" s="25"/>
    </row>
    <row r="145685" spans="21:21" x14ac:dyDescent="0.3">
      <c r="U145685" s="25"/>
    </row>
    <row r="145707" spans="21:21" x14ac:dyDescent="0.3">
      <c r="U145707" s="25"/>
    </row>
    <row r="145729" spans="21:21" x14ac:dyDescent="0.3">
      <c r="U145729" s="25"/>
    </row>
    <row r="145751" spans="21:21" x14ac:dyDescent="0.3">
      <c r="U145751" s="25"/>
    </row>
    <row r="145773" spans="21:21" x14ac:dyDescent="0.3">
      <c r="U145773" s="25"/>
    </row>
    <row r="145795" spans="21:21" x14ac:dyDescent="0.3">
      <c r="U145795" s="25"/>
    </row>
    <row r="145817" spans="21:21" x14ac:dyDescent="0.3">
      <c r="U145817" s="25"/>
    </row>
    <row r="145839" spans="21:21" x14ac:dyDescent="0.3">
      <c r="U145839" s="25"/>
    </row>
    <row r="145861" spans="21:21" x14ac:dyDescent="0.3">
      <c r="U145861" s="25"/>
    </row>
    <row r="145883" spans="21:21" x14ac:dyDescent="0.3">
      <c r="U145883" s="25"/>
    </row>
    <row r="145905" spans="21:21" x14ac:dyDescent="0.3">
      <c r="U145905" s="25"/>
    </row>
    <row r="145927" spans="21:21" x14ac:dyDescent="0.3">
      <c r="U145927" s="25"/>
    </row>
    <row r="145949" spans="21:21" x14ac:dyDescent="0.3">
      <c r="U145949" s="25"/>
    </row>
    <row r="145971" spans="21:21" x14ac:dyDescent="0.3">
      <c r="U145971" s="25"/>
    </row>
    <row r="145993" spans="21:21" x14ac:dyDescent="0.3">
      <c r="U145993" s="25"/>
    </row>
    <row r="146015" spans="21:21" x14ac:dyDescent="0.3">
      <c r="U146015" s="25"/>
    </row>
    <row r="146037" spans="21:21" x14ac:dyDescent="0.3">
      <c r="U146037" s="25"/>
    </row>
    <row r="146059" spans="21:21" x14ac:dyDescent="0.3">
      <c r="U146059" s="25"/>
    </row>
    <row r="146081" spans="21:21" x14ac:dyDescent="0.3">
      <c r="U146081" s="25"/>
    </row>
    <row r="146103" spans="21:21" x14ac:dyDescent="0.3">
      <c r="U146103" s="25"/>
    </row>
    <row r="146125" spans="21:21" x14ac:dyDescent="0.3">
      <c r="U146125" s="25"/>
    </row>
    <row r="146147" spans="21:21" x14ac:dyDescent="0.3">
      <c r="U146147" s="25"/>
    </row>
    <row r="146169" spans="21:21" x14ac:dyDescent="0.3">
      <c r="U146169" s="25"/>
    </row>
    <row r="146191" spans="21:21" x14ac:dyDescent="0.3">
      <c r="U146191" s="25"/>
    </row>
    <row r="146213" spans="21:21" x14ac:dyDescent="0.3">
      <c r="U146213" s="25"/>
    </row>
    <row r="146235" spans="21:21" x14ac:dyDescent="0.3">
      <c r="U146235" s="25"/>
    </row>
    <row r="146257" spans="21:21" x14ac:dyDescent="0.3">
      <c r="U146257" s="25"/>
    </row>
    <row r="146279" spans="21:21" x14ac:dyDescent="0.3">
      <c r="U146279" s="25"/>
    </row>
    <row r="146301" spans="21:21" x14ac:dyDescent="0.3">
      <c r="U146301" s="25"/>
    </row>
    <row r="146323" spans="21:21" x14ac:dyDescent="0.3">
      <c r="U146323" s="25"/>
    </row>
    <row r="146345" spans="21:21" x14ac:dyDescent="0.3">
      <c r="U146345" s="25"/>
    </row>
    <row r="146367" spans="21:21" x14ac:dyDescent="0.3">
      <c r="U146367" s="25"/>
    </row>
    <row r="146389" spans="21:21" x14ac:dyDescent="0.3">
      <c r="U146389" s="25"/>
    </row>
    <row r="146411" spans="21:21" x14ac:dyDescent="0.3">
      <c r="U146411" s="25"/>
    </row>
    <row r="146433" spans="21:21" x14ac:dyDescent="0.3">
      <c r="U146433" s="25"/>
    </row>
    <row r="146455" spans="21:21" x14ac:dyDescent="0.3">
      <c r="U146455" s="25"/>
    </row>
    <row r="146477" spans="21:21" x14ac:dyDescent="0.3">
      <c r="U146477" s="25"/>
    </row>
    <row r="146499" spans="21:21" x14ac:dyDescent="0.3">
      <c r="U146499" s="25"/>
    </row>
    <row r="146521" spans="21:21" x14ac:dyDescent="0.3">
      <c r="U146521" s="25"/>
    </row>
    <row r="146543" spans="21:21" x14ac:dyDescent="0.3">
      <c r="U146543" s="25"/>
    </row>
    <row r="146565" spans="21:21" x14ac:dyDescent="0.3">
      <c r="U146565" s="25"/>
    </row>
    <row r="146587" spans="21:21" x14ac:dyDescent="0.3">
      <c r="U146587" s="25"/>
    </row>
    <row r="146609" spans="21:21" x14ac:dyDescent="0.3">
      <c r="U146609" s="25"/>
    </row>
    <row r="146631" spans="21:21" x14ac:dyDescent="0.3">
      <c r="U146631" s="25"/>
    </row>
    <row r="146653" spans="21:21" x14ac:dyDescent="0.3">
      <c r="U146653" s="25"/>
    </row>
    <row r="146675" spans="21:21" x14ac:dyDescent="0.3">
      <c r="U146675" s="25"/>
    </row>
    <row r="146697" spans="21:21" x14ac:dyDescent="0.3">
      <c r="U146697" s="25"/>
    </row>
    <row r="146719" spans="21:21" x14ac:dyDescent="0.3">
      <c r="U146719" s="25"/>
    </row>
    <row r="146741" spans="21:21" x14ac:dyDescent="0.3">
      <c r="U146741" s="25"/>
    </row>
    <row r="146763" spans="21:21" x14ac:dyDescent="0.3">
      <c r="U146763" s="25"/>
    </row>
    <row r="146785" spans="21:21" x14ac:dyDescent="0.3">
      <c r="U146785" s="25"/>
    </row>
    <row r="146807" spans="21:21" x14ac:dyDescent="0.3">
      <c r="U146807" s="25"/>
    </row>
    <row r="146829" spans="21:21" x14ac:dyDescent="0.3">
      <c r="U146829" s="25"/>
    </row>
    <row r="146851" spans="21:21" x14ac:dyDescent="0.3">
      <c r="U146851" s="25"/>
    </row>
    <row r="146873" spans="21:21" x14ac:dyDescent="0.3">
      <c r="U146873" s="25"/>
    </row>
    <row r="146895" spans="21:21" x14ac:dyDescent="0.3">
      <c r="U146895" s="25"/>
    </row>
    <row r="146917" spans="21:21" x14ac:dyDescent="0.3">
      <c r="U146917" s="25"/>
    </row>
    <row r="146939" spans="21:21" x14ac:dyDescent="0.3">
      <c r="U146939" s="25"/>
    </row>
    <row r="146961" spans="21:21" x14ac:dyDescent="0.3">
      <c r="U146961" s="25"/>
    </row>
    <row r="146983" spans="21:21" x14ac:dyDescent="0.3">
      <c r="U146983" s="25"/>
    </row>
    <row r="147005" spans="21:21" x14ac:dyDescent="0.3">
      <c r="U147005" s="25"/>
    </row>
    <row r="147027" spans="21:21" x14ac:dyDescent="0.3">
      <c r="U147027" s="25"/>
    </row>
    <row r="147049" spans="21:21" x14ac:dyDescent="0.3">
      <c r="U147049" s="25"/>
    </row>
    <row r="147071" spans="21:21" x14ac:dyDescent="0.3">
      <c r="U147071" s="25"/>
    </row>
    <row r="147093" spans="21:21" x14ac:dyDescent="0.3">
      <c r="U147093" s="25"/>
    </row>
    <row r="147115" spans="21:21" x14ac:dyDescent="0.3">
      <c r="U147115" s="25"/>
    </row>
    <row r="147137" spans="21:21" x14ac:dyDescent="0.3">
      <c r="U147137" s="25"/>
    </row>
    <row r="147159" spans="21:21" x14ac:dyDescent="0.3">
      <c r="U147159" s="25"/>
    </row>
    <row r="147181" spans="21:21" x14ac:dyDescent="0.3">
      <c r="U147181" s="25"/>
    </row>
    <row r="147203" spans="21:21" x14ac:dyDescent="0.3">
      <c r="U147203" s="25"/>
    </row>
    <row r="147225" spans="21:21" x14ac:dyDescent="0.3">
      <c r="U147225" s="25"/>
    </row>
    <row r="147247" spans="21:21" x14ac:dyDescent="0.3">
      <c r="U147247" s="25"/>
    </row>
    <row r="147269" spans="21:21" x14ac:dyDescent="0.3">
      <c r="U147269" s="25"/>
    </row>
    <row r="147291" spans="21:21" x14ac:dyDescent="0.3">
      <c r="U147291" s="25"/>
    </row>
    <row r="147313" spans="21:21" x14ac:dyDescent="0.3">
      <c r="U147313" s="25"/>
    </row>
    <row r="147335" spans="21:21" x14ac:dyDescent="0.3">
      <c r="U147335" s="25"/>
    </row>
    <row r="147357" spans="21:21" x14ac:dyDescent="0.3">
      <c r="U147357" s="25"/>
    </row>
    <row r="147379" spans="21:21" x14ac:dyDescent="0.3">
      <c r="U147379" s="25"/>
    </row>
    <row r="147401" spans="21:21" x14ac:dyDescent="0.3">
      <c r="U147401" s="25"/>
    </row>
    <row r="147423" spans="21:21" x14ac:dyDescent="0.3">
      <c r="U147423" s="25"/>
    </row>
    <row r="147445" spans="21:21" x14ac:dyDescent="0.3">
      <c r="U147445" s="25"/>
    </row>
    <row r="147467" spans="21:21" x14ac:dyDescent="0.3">
      <c r="U147467" s="25"/>
    </row>
    <row r="147489" spans="21:21" x14ac:dyDescent="0.3">
      <c r="U147489" s="25"/>
    </row>
    <row r="147511" spans="21:21" x14ac:dyDescent="0.3">
      <c r="U147511" s="25"/>
    </row>
    <row r="147533" spans="21:21" x14ac:dyDescent="0.3">
      <c r="U147533" s="25"/>
    </row>
    <row r="147555" spans="21:21" x14ac:dyDescent="0.3">
      <c r="U147555" s="25"/>
    </row>
    <row r="147577" spans="21:21" x14ac:dyDescent="0.3">
      <c r="U147577" s="25"/>
    </row>
    <row r="147599" spans="21:21" x14ac:dyDescent="0.3">
      <c r="U147599" s="25"/>
    </row>
    <row r="147621" spans="21:21" x14ac:dyDescent="0.3">
      <c r="U147621" s="25"/>
    </row>
    <row r="147643" spans="21:21" x14ac:dyDescent="0.3">
      <c r="U147643" s="25"/>
    </row>
    <row r="147665" spans="21:21" x14ac:dyDescent="0.3">
      <c r="U147665" s="25"/>
    </row>
    <row r="147687" spans="21:21" x14ac:dyDescent="0.3">
      <c r="U147687" s="25"/>
    </row>
    <row r="147709" spans="21:21" x14ac:dyDescent="0.3">
      <c r="U147709" s="25"/>
    </row>
    <row r="147731" spans="21:21" x14ac:dyDescent="0.3">
      <c r="U147731" s="25"/>
    </row>
    <row r="147753" spans="21:21" x14ac:dyDescent="0.3">
      <c r="U147753" s="25"/>
    </row>
    <row r="147775" spans="21:21" x14ac:dyDescent="0.3">
      <c r="U147775" s="25"/>
    </row>
    <row r="147797" spans="21:21" x14ac:dyDescent="0.3">
      <c r="U147797" s="25"/>
    </row>
    <row r="147819" spans="21:21" x14ac:dyDescent="0.3">
      <c r="U147819" s="25"/>
    </row>
    <row r="147841" spans="21:21" x14ac:dyDescent="0.3">
      <c r="U147841" s="25"/>
    </row>
    <row r="147863" spans="21:21" x14ac:dyDescent="0.3">
      <c r="U147863" s="25"/>
    </row>
    <row r="147885" spans="21:21" x14ac:dyDescent="0.3">
      <c r="U147885" s="25"/>
    </row>
    <row r="147907" spans="21:21" x14ac:dyDescent="0.3">
      <c r="U147907" s="25"/>
    </row>
    <row r="147929" spans="21:21" x14ac:dyDescent="0.3">
      <c r="U147929" s="25"/>
    </row>
    <row r="147951" spans="21:21" x14ac:dyDescent="0.3">
      <c r="U147951" s="25"/>
    </row>
    <row r="147973" spans="21:21" x14ac:dyDescent="0.3">
      <c r="U147973" s="25"/>
    </row>
    <row r="147995" spans="21:21" x14ac:dyDescent="0.3">
      <c r="U147995" s="25"/>
    </row>
    <row r="148017" spans="21:21" x14ac:dyDescent="0.3">
      <c r="U148017" s="25"/>
    </row>
    <row r="148039" spans="21:21" x14ac:dyDescent="0.3">
      <c r="U148039" s="25"/>
    </row>
    <row r="148061" spans="21:21" x14ac:dyDescent="0.3">
      <c r="U148061" s="25"/>
    </row>
    <row r="148083" spans="21:21" x14ac:dyDescent="0.3">
      <c r="U148083" s="25"/>
    </row>
    <row r="148105" spans="21:21" x14ac:dyDescent="0.3">
      <c r="U148105" s="25"/>
    </row>
    <row r="148127" spans="21:21" x14ac:dyDescent="0.3">
      <c r="U148127" s="25"/>
    </row>
    <row r="148149" spans="21:21" x14ac:dyDescent="0.3">
      <c r="U148149" s="25"/>
    </row>
    <row r="148171" spans="21:21" x14ac:dyDescent="0.3">
      <c r="U148171" s="25"/>
    </row>
    <row r="148193" spans="21:21" x14ac:dyDescent="0.3">
      <c r="U148193" s="25"/>
    </row>
    <row r="148215" spans="21:21" x14ac:dyDescent="0.3">
      <c r="U148215" s="25"/>
    </row>
    <row r="148237" spans="21:21" x14ac:dyDescent="0.3">
      <c r="U148237" s="25"/>
    </row>
    <row r="148259" spans="21:21" x14ac:dyDescent="0.3">
      <c r="U148259" s="25"/>
    </row>
    <row r="148281" spans="21:21" x14ac:dyDescent="0.3">
      <c r="U148281" s="25"/>
    </row>
    <row r="148303" spans="21:21" x14ac:dyDescent="0.3">
      <c r="U148303" s="25"/>
    </row>
    <row r="148325" spans="21:21" x14ac:dyDescent="0.3">
      <c r="U148325" s="25"/>
    </row>
    <row r="148347" spans="21:21" x14ac:dyDescent="0.3">
      <c r="U148347" s="25"/>
    </row>
    <row r="148369" spans="21:21" x14ac:dyDescent="0.3">
      <c r="U148369" s="25"/>
    </row>
    <row r="148391" spans="21:21" x14ac:dyDescent="0.3">
      <c r="U148391" s="25"/>
    </row>
    <row r="148413" spans="21:21" x14ac:dyDescent="0.3">
      <c r="U148413" s="25"/>
    </row>
    <row r="148435" spans="21:21" x14ac:dyDescent="0.3">
      <c r="U148435" s="25"/>
    </row>
    <row r="148457" spans="21:21" x14ac:dyDescent="0.3">
      <c r="U148457" s="25"/>
    </row>
    <row r="148479" spans="21:21" x14ac:dyDescent="0.3">
      <c r="U148479" s="25"/>
    </row>
    <row r="148501" spans="21:21" x14ac:dyDescent="0.3">
      <c r="U148501" s="25"/>
    </row>
    <row r="148523" spans="21:21" x14ac:dyDescent="0.3">
      <c r="U148523" s="25"/>
    </row>
    <row r="148545" spans="21:21" x14ac:dyDescent="0.3">
      <c r="U148545" s="25"/>
    </row>
    <row r="148567" spans="21:21" x14ac:dyDescent="0.3">
      <c r="U148567" s="25"/>
    </row>
    <row r="148589" spans="21:21" x14ac:dyDescent="0.3">
      <c r="U148589" s="25"/>
    </row>
    <row r="148611" spans="21:21" x14ac:dyDescent="0.3">
      <c r="U148611" s="25"/>
    </row>
    <row r="148633" spans="21:21" x14ac:dyDescent="0.3">
      <c r="U148633" s="25"/>
    </row>
    <row r="148655" spans="21:21" x14ac:dyDescent="0.3">
      <c r="U148655" s="25"/>
    </row>
    <row r="148677" spans="21:21" x14ac:dyDescent="0.3">
      <c r="U148677" s="25"/>
    </row>
    <row r="148699" spans="21:21" x14ac:dyDescent="0.3">
      <c r="U148699" s="25"/>
    </row>
    <row r="148721" spans="21:21" x14ac:dyDescent="0.3">
      <c r="U148721" s="25"/>
    </row>
    <row r="148743" spans="21:21" x14ac:dyDescent="0.3">
      <c r="U148743" s="25"/>
    </row>
    <row r="148765" spans="21:21" x14ac:dyDescent="0.3">
      <c r="U148765" s="25"/>
    </row>
    <row r="148787" spans="21:21" x14ac:dyDescent="0.3">
      <c r="U148787" s="25"/>
    </row>
    <row r="148809" spans="21:21" x14ac:dyDescent="0.3">
      <c r="U148809" s="25"/>
    </row>
    <row r="148831" spans="21:21" x14ac:dyDescent="0.3">
      <c r="U148831" s="25"/>
    </row>
    <row r="148853" spans="21:21" x14ac:dyDescent="0.3">
      <c r="U148853" s="25"/>
    </row>
    <row r="148875" spans="21:21" x14ac:dyDescent="0.3">
      <c r="U148875" s="25"/>
    </row>
    <row r="148897" spans="21:21" x14ac:dyDescent="0.3">
      <c r="U148897" s="25"/>
    </row>
    <row r="148919" spans="21:21" x14ac:dyDescent="0.3">
      <c r="U148919" s="25"/>
    </row>
    <row r="148941" spans="21:21" x14ac:dyDescent="0.3">
      <c r="U148941" s="25"/>
    </row>
    <row r="148963" spans="21:21" x14ac:dyDescent="0.3">
      <c r="U148963" s="25"/>
    </row>
    <row r="148985" spans="21:21" x14ac:dyDescent="0.3">
      <c r="U148985" s="25"/>
    </row>
    <row r="149007" spans="21:21" x14ac:dyDescent="0.3">
      <c r="U149007" s="25"/>
    </row>
    <row r="149029" spans="21:21" x14ac:dyDescent="0.3">
      <c r="U149029" s="25"/>
    </row>
    <row r="149051" spans="21:21" x14ac:dyDescent="0.3">
      <c r="U149051" s="25"/>
    </row>
    <row r="149073" spans="21:21" x14ac:dyDescent="0.3">
      <c r="U149073" s="25"/>
    </row>
    <row r="149095" spans="21:21" x14ac:dyDescent="0.3">
      <c r="U149095" s="25"/>
    </row>
    <row r="149117" spans="21:21" x14ac:dyDescent="0.3">
      <c r="U149117" s="25"/>
    </row>
    <row r="149139" spans="21:21" x14ac:dyDescent="0.3">
      <c r="U149139" s="25"/>
    </row>
    <row r="149161" spans="21:21" x14ac:dyDescent="0.3">
      <c r="U149161" s="25"/>
    </row>
    <row r="149183" spans="21:21" x14ac:dyDescent="0.3">
      <c r="U149183" s="25"/>
    </row>
    <row r="149205" spans="21:21" x14ac:dyDescent="0.3">
      <c r="U149205" s="25"/>
    </row>
    <row r="149227" spans="21:21" x14ac:dyDescent="0.3">
      <c r="U149227" s="25"/>
    </row>
    <row r="149249" spans="21:21" x14ac:dyDescent="0.3">
      <c r="U149249" s="25"/>
    </row>
    <row r="149271" spans="21:21" x14ac:dyDescent="0.3">
      <c r="U149271" s="25"/>
    </row>
    <row r="149293" spans="21:21" x14ac:dyDescent="0.3">
      <c r="U149293" s="25"/>
    </row>
    <row r="149315" spans="21:21" x14ac:dyDescent="0.3">
      <c r="U149315" s="25"/>
    </row>
    <row r="149337" spans="21:21" x14ac:dyDescent="0.3">
      <c r="U149337" s="25"/>
    </row>
    <row r="149359" spans="21:21" x14ac:dyDescent="0.3">
      <c r="U149359" s="25"/>
    </row>
    <row r="149381" spans="21:21" x14ac:dyDescent="0.3">
      <c r="U149381" s="25"/>
    </row>
    <row r="149403" spans="21:21" x14ac:dyDescent="0.3">
      <c r="U149403" s="25"/>
    </row>
    <row r="149425" spans="21:21" x14ac:dyDescent="0.3">
      <c r="U149425" s="25"/>
    </row>
    <row r="149447" spans="21:21" x14ac:dyDescent="0.3">
      <c r="U149447" s="25"/>
    </row>
    <row r="149469" spans="21:21" x14ac:dyDescent="0.3">
      <c r="U149469" s="25"/>
    </row>
    <row r="149491" spans="21:21" x14ac:dyDescent="0.3">
      <c r="U149491" s="25"/>
    </row>
    <row r="149513" spans="21:21" x14ac:dyDescent="0.3">
      <c r="U149513" s="25"/>
    </row>
    <row r="149535" spans="21:21" x14ac:dyDescent="0.3">
      <c r="U149535" s="25"/>
    </row>
    <row r="149557" spans="21:21" x14ac:dyDescent="0.3">
      <c r="U149557" s="25"/>
    </row>
    <row r="149579" spans="21:21" x14ac:dyDescent="0.3">
      <c r="U149579" s="25"/>
    </row>
    <row r="149601" spans="21:21" x14ac:dyDescent="0.3">
      <c r="U149601" s="25"/>
    </row>
    <row r="149623" spans="21:21" x14ac:dyDescent="0.3">
      <c r="U149623" s="25"/>
    </row>
    <row r="149645" spans="21:21" x14ac:dyDescent="0.3">
      <c r="U149645" s="25"/>
    </row>
    <row r="149667" spans="21:21" x14ac:dyDescent="0.3">
      <c r="U149667" s="25"/>
    </row>
    <row r="149689" spans="21:21" x14ac:dyDescent="0.3">
      <c r="U149689" s="25"/>
    </row>
    <row r="149711" spans="21:21" x14ac:dyDescent="0.3">
      <c r="U149711" s="25"/>
    </row>
    <row r="149733" spans="21:21" x14ac:dyDescent="0.3">
      <c r="U149733" s="25"/>
    </row>
    <row r="149755" spans="21:21" x14ac:dyDescent="0.3">
      <c r="U149755" s="25"/>
    </row>
    <row r="149777" spans="21:21" x14ac:dyDescent="0.3">
      <c r="U149777" s="25"/>
    </row>
    <row r="149799" spans="21:21" x14ac:dyDescent="0.3">
      <c r="U149799" s="25"/>
    </row>
    <row r="149821" spans="21:21" x14ac:dyDescent="0.3">
      <c r="U149821" s="25"/>
    </row>
    <row r="149843" spans="21:21" x14ac:dyDescent="0.3">
      <c r="U149843" s="25"/>
    </row>
    <row r="149865" spans="21:21" x14ac:dyDescent="0.3">
      <c r="U149865" s="25"/>
    </row>
    <row r="149887" spans="21:21" x14ac:dyDescent="0.3">
      <c r="U149887" s="25"/>
    </row>
    <row r="149909" spans="21:21" x14ac:dyDescent="0.3">
      <c r="U149909" s="25"/>
    </row>
    <row r="149931" spans="21:21" x14ac:dyDescent="0.3">
      <c r="U149931" s="25"/>
    </row>
    <row r="149953" spans="21:21" x14ac:dyDescent="0.3">
      <c r="U149953" s="25"/>
    </row>
    <row r="149975" spans="21:21" x14ac:dyDescent="0.3">
      <c r="U149975" s="25"/>
    </row>
    <row r="149997" spans="21:21" x14ac:dyDescent="0.3">
      <c r="U149997" s="25"/>
    </row>
    <row r="150019" spans="21:21" x14ac:dyDescent="0.3">
      <c r="U150019" s="25"/>
    </row>
    <row r="150041" spans="21:21" x14ac:dyDescent="0.3">
      <c r="U150041" s="25"/>
    </row>
    <row r="150063" spans="21:21" x14ac:dyDescent="0.3">
      <c r="U150063" s="25"/>
    </row>
    <row r="150085" spans="21:21" x14ac:dyDescent="0.3">
      <c r="U150085" s="25"/>
    </row>
    <row r="150107" spans="21:21" x14ac:dyDescent="0.3">
      <c r="U150107" s="25"/>
    </row>
    <row r="150129" spans="21:21" x14ac:dyDescent="0.3">
      <c r="U150129" s="25"/>
    </row>
    <row r="150151" spans="21:21" x14ac:dyDescent="0.3">
      <c r="U150151" s="25"/>
    </row>
    <row r="150173" spans="21:21" x14ac:dyDescent="0.3">
      <c r="U150173" s="25"/>
    </row>
    <row r="150195" spans="21:21" x14ac:dyDescent="0.3">
      <c r="U150195" s="25"/>
    </row>
    <row r="150217" spans="21:21" x14ac:dyDescent="0.3">
      <c r="U150217" s="25"/>
    </row>
    <row r="150239" spans="21:21" x14ac:dyDescent="0.3">
      <c r="U150239" s="25"/>
    </row>
    <row r="150261" spans="21:21" x14ac:dyDescent="0.3">
      <c r="U150261" s="25"/>
    </row>
    <row r="150283" spans="21:21" x14ac:dyDescent="0.3">
      <c r="U150283" s="25"/>
    </row>
    <row r="150305" spans="21:21" x14ac:dyDescent="0.3">
      <c r="U150305" s="25"/>
    </row>
    <row r="150327" spans="21:21" x14ac:dyDescent="0.3">
      <c r="U150327" s="25"/>
    </row>
    <row r="150349" spans="21:21" x14ac:dyDescent="0.3">
      <c r="U150349" s="25"/>
    </row>
    <row r="150371" spans="21:21" x14ac:dyDescent="0.3">
      <c r="U150371" s="25"/>
    </row>
    <row r="150393" spans="21:21" x14ac:dyDescent="0.3">
      <c r="U150393" s="25"/>
    </row>
    <row r="150415" spans="21:21" x14ac:dyDescent="0.3">
      <c r="U150415" s="25"/>
    </row>
    <row r="150437" spans="21:21" x14ac:dyDescent="0.3">
      <c r="U150437" s="25"/>
    </row>
    <row r="150459" spans="21:21" x14ac:dyDescent="0.3">
      <c r="U150459" s="25"/>
    </row>
    <row r="150481" spans="21:21" x14ac:dyDescent="0.3">
      <c r="U150481" s="25"/>
    </row>
    <row r="150503" spans="21:21" x14ac:dyDescent="0.3">
      <c r="U150503" s="25"/>
    </row>
    <row r="150525" spans="21:21" x14ac:dyDescent="0.3">
      <c r="U150525" s="25"/>
    </row>
    <row r="150547" spans="21:21" x14ac:dyDescent="0.3">
      <c r="U150547" s="25"/>
    </row>
    <row r="150569" spans="21:21" x14ac:dyDescent="0.3">
      <c r="U150569" s="25"/>
    </row>
    <row r="150591" spans="21:21" x14ac:dyDescent="0.3">
      <c r="U150591" s="25"/>
    </row>
    <row r="150613" spans="21:21" x14ac:dyDescent="0.3">
      <c r="U150613" s="25"/>
    </row>
    <row r="150635" spans="21:21" x14ac:dyDescent="0.3">
      <c r="U150635" s="25"/>
    </row>
    <row r="150657" spans="21:21" x14ac:dyDescent="0.3">
      <c r="U150657" s="25"/>
    </row>
    <row r="150679" spans="21:21" x14ac:dyDescent="0.3">
      <c r="U150679" s="25"/>
    </row>
    <row r="150701" spans="21:21" x14ac:dyDescent="0.3">
      <c r="U150701" s="25"/>
    </row>
    <row r="150723" spans="21:21" x14ac:dyDescent="0.3">
      <c r="U150723" s="25"/>
    </row>
    <row r="150745" spans="21:21" x14ac:dyDescent="0.3">
      <c r="U150745" s="25"/>
    </row>
    <row r="150767" spans="21:21" x14ac:dyDescent="0.3">
      <c r="U150767" s="25"/>
    </row>
    <row r="150789" spans="21:21" x14ac:dyDescent="0.3">
      <c r="U150789" s="25"/>
    </row>
    <row r="150811" spans="21:21" x14ac:dyDescent="0.3">
      <c r="U150811" s="25"/>
    </row>
    <row r="150833" spans="21:21" x14ac:dyDescent="0.3">
      <c r="U150833" s="25"/>
    </row>
    <row r="150855" spans="21:21" x14ac:dyDescent="0.3">
      <c r="U150855" s="25"/>
    </row>
    <row r="150877" spans="21:21" x14ac:dyDescent="0.3">
      <c r="U150877" s="25"/>
    </row>
    <row r="150899" spans="21:21" x14ac:dyDescent="0.3">
      <c r="U150899" s="25"/>
    </row>
    <row r="150921" spans="21:21" x14ac:dyDescent="0.3">
      <c r="U150921" s="25"/>
    </row>
    <row r="150943" spans="21:21" x14ac:dyDescent="0.3">
      <c r="U150943" s="25"/>
    </row>
    <row r="150965" spans="21:21" x14ac:dyDescent="0.3">
      <c r="U150965" s="25"/>
    </row>
    <row r="150987" spans="21:21" x14ac:dyDescent="0.3">
      <c r="U150987" s="25"/>
    </row>
    <row r="151009" spans="21:21" x14ac:dyDescent="0.3">
      <c r="U151009" s="25"/>
    </row>
    <row r="151031" spans="21:21" x14ac:dyDescent="0.3">
      <c r="U151031" s="25"/>
    </row>
    <row r="151053" spans="21:21" x14ac:dyDescent="0.3">
      <c r="U151053" s="25"/>
    </row>
    <row r="151075" spans="21:21" x14ac:dyDescent="0.3">
      <c r="U151075" s="25"/>
    </row>
    <row r="151097" spans="21:21" x14ac:dyDescent="0.3">
      <c r="U151097" s="25"/>
    </row>
    <row r="151119" spans="21:21" x14ac:dyDescent="0.3">
      <c r="U151119" s="25"/>
    </row>
    <row r="151141" spans="21:21" x14ac:dyDescent="0.3">
      <c r="U151141" s="25"/>
    </row>
    <row r="151163" spans="21:21" x14ac:dyDescent="0.3">
      <c r="U151163" s="25"/>
    </row>
    <row r="151185" spans="21:21" x14ac:dyDescent="0.3">
      <c r="U151185" s="25"/>
    </row>
    <row r="151207" spans="21:21" x14ac:dyDescent="0.3">
      <c r="U151207" s="25"/>
    </row>
    <row r="151229" spans="21:21" x14ac:dyDescent="0.3">
      <c r="U151229" s="25"/>
    </row>
    <row r="151251" spans="21:21" x14ac:dyDescent="0.3">
      <c r="U151251" s="25"/>
    </row>
    <row r="151273" spans="21:21" x14ac:dyDescent="0.3">
      <c r="U151273" s="25"/>
    </row>
    <row r="151295" spans="21:21" x14ac:dyDescent="0.3">
      <c r="U151295" s="25"/>
    </row>
    <row r="151317" spans="21:21" x14ac:dyDescent="0.3">
      <c r="U151317" s="25"/>
    </row>
    <row r="151339" spans="21:21" x14ac:dyDescent="0.3">
      <c r="U151339" s="25"/>
    </row>
    <row r="151361" spans="21:21" x14ac:dyDescent="0.3">
      <c r="U151361" s="25"/>
    </row>
    <row r="151383" spans="21:21" x14ac:dyDescent="0.3">
      <c r="U151383" s="25"/>
    </row>
    <row r="151405" spans="21:21" x14ac:dyDescent="0.3">
      <c r="U151405" s="25"/>
    </row>
    <row r="151427" spans="21:21" x14ac:dyDescent="0.3">
      <c r="U151427" s="25"/>
    </row>
    <row r="151449" spans="21:21" x14ac:dyDescent="0.3">
      <c r="U151449" s="25"/>
    </row>
    <row r="151471" spans="21:21" x14ac:dyDescent="0.3">
      <c r="U151471" s="25"/>
    </row>
    <row r="151493" spans="21:21" x14ac:dyDescent="0.3">
      <c r="U151493" s="25"/>
    </row>
    <row r="151515" spans="21:21" x14ac:dyDescent="0.3">
      <c r="U151515" s="25"/>
    </row>
    <row r="151537" spans="21:21" x14ac:dyDescent="0.3">
      <c r="U151537" s="25"/>
    </row>
    <row r="151559" spans="21:21" x14ac:dyDescent="0.3">
      <c r="U151559" s="25"/>
    </row>
    <row r="151581" spans="21:21" x14ac:dyDescent="0.3">
      <c r="U151581" s="25"/>
    </row>
    <row r="151603" spans="21:21" x14ac:dyDescent="0.3">
      <c r="U151603" s="25"/>
    </row>
    <row r="151625" spans="21:21" x14ac:dyDescent="0.3">
      <c r="U151625" s="25"/>
    </row>
    <row r="151647" spans="21:21" x14ac:dyDescent="0.3">
      <c r="U151647" s="25"/>
    </row>
    <row r="151669" spans="21:21" x14ac:dyDescent="0.3">
      <c r="U151669" s="25"/>
    </row>
    <row r="151691" spans="21:21" x14ac:dyDescent="0.3">
      <c r="U151691" s="25"/>
    </row>
    <row r="151713" spans="21:21" x14ac:dyDescent="0.3">
      <c r="U151713" s="25"/>
    </row>
    <row r="151735" spans="21:21" x14ac:dyDescent="0.3">
      <c r="U151735" s="25"/>
    </row>
    <row r="151757" spans="21:21" x14ac:dyDescent="0.3">
      <c r="U151757" s="25"/>
    </row>
    <row r="151779" spans="21:21" x14ac:dyDescent="0.3">
      <c r="U151779" s="25"/>
    </row>
    <row r="151801" spans="21:21" x14ac:dyDescent="0.3">
      <c r="U151801" s="25"/>
    </row>
    <row r="151823" spans="21:21" x14ac:dyDescent="0.3">
      <c r="U151823" s="25"/>
    </row>
    <row r="151845" spans="21:21" x14ac:dyDescent="0.3">
      <c r="U151845" s="25"/>
    </row>
    <row r="151867" spans="21:21" x14ac:dyDescent="0.3">
      <c r="U151867" s="25"/>
    </row>
    <row r="151889" spans="21:21" x14ac:dyDescent="0.3">
      <c r="U151889" s="25"/>
    </row>
    <row r="151911" spans="21:21" x14ac:dyDescent="0.3">
      <c r="U151911" s="25"/>
    </row>
    <row r="151933" spans="21:21" x14ac:dyDescent="0.3">
      <c r="U151933" s="25"/>
    </row>
    <row r="151955" spans="21:21" x14ac:dyDescent="0.3">
      <c r="U151955" s="25"/>
    </row>
    <row r="151977" spans="21:21" x14ac:dyDescent="0.3">
      <c r="U151977" s="25"/>
    </row>
    <row r="151999" spans="21:21" x14ac:dyDescent="0.3">
      <c r="U151999" s="25"/>
    </row>
    <row r="152021" spans="21:21" x14ac:dyDescent="0.3">
      <c r="U152021" s="25"/>
    </row>
    <row r="152043" spans="21:21" x14ac:dyDescent="0.3">
      <c r="U152043" s="25"/>
    </row>
    <row r="152065" spans="21:21" x14ac:dyDescent="0.3">
      <c r="U152065" s="25"/>
    </row>
    <row r="152087" spans="21:21" x14ac:dyDescent="0.3">
      <c r="U152087" s="25"/>
    </row>
    <row r="152109" spans="21:21" x14ac:dyDescent="0.3">
      <c r="U152109" s="25"/>
    </row>
    <row r="152131" spans="21:21" x14ac:dyDescent="0.3">
      <c r="U152131" s="25"/>
    </row>
    <row r="152153" spans="21:21" x14ac:dyDescent="0.3">
      <c r="U152153" s="25"/>
    </row>
    <row r="152175" spans="21:21" x14ac:dyDescent="0.3">
      <c r="U152175" s="25"/>
    </row>
    <row r="152197" spans="21:21" x14ac:dyDescent="0.3">
      <c r="U152197" s="25"/>
    </row>
    <row r="152219" spans="21:21" x14ac:dyDescent="0.3">
      <c r="U152219" s="25"/>
    </row>
    <row r="152241" spans="21:21" x14ac:dyDescent="0.3">
      <c r="U152241" s="25"/>
    </row>
    <row r="152263" spans="21:21" x14ac:dyDescent="0.3">
      <c r="U152263" s="25"/>
    </row>
    <row r="152285" spans="21:21" x14ac:dyDescent="0.3">
      <c r="U152285" s="25"/>
    </row>
    <row r="152307" spans="21:21" x14ac:dyDescent="0.3">
      <c r="U152307" s="25"/>
    </row>
    <row r="152329" spans="21:21" x14ac:dyDescent="0.3">
      <c r="U152329" s="25"/>
    </row>
    <row r="152351" spans="21:21" x14ac:dyDescent="0.3">
      <c r="U152351" s="25"/>
    </row>
    <row r="152373" spans="21:21" x14ac:dyDescent="0.3">
      <c r="U152373" s="25"/>
    </row>
    <row r="152395" spans="21:21" x14ac:dyDescent="0.3">
      <c r="U152395" s="25"/>
    </row>
    <row r="152417" spans="21:21" x14ac:dyDescent="0.3">
      <c r="U152417" s="25"/>
    </row>
    <row r="152439" spans="21:21" x14ac:dyDescent="0.3">
      <c r="U152439" s="25"/>
    </row>
    <row r="152461" spans="21:21" x14ac:dyDescent="0.3">
      <c r="U152461" s="25"/>
    </row>
    <row r="152483" spans="21:21" x14ac:dyDescent="0.3">
      <c r="U152483" s="25"/>
    </row>
    <row r="152505" spans="21:21" x14ac:dyDescent="0.3">
      <c r="U152505" s="25"/>
    </row>
    <row r="152527" spans="21:21" x14ac:dyDescent="0.3">
      <c r="U152527" s="25"/>
    </row>
    <row r="152549" spans="21:21" x14ac:dyDescent="0.3">
      <c r="U152549" s="25"/>
    </row>
    <row r="152571" spans="21:21" x14ac:dyDescent="0.3">
      <c r="U152571" s="25"/>
    </row>
    <row r="152593" spans="21:21" x14ac:dyDescent="0.3">
      <c r="U152593" s="25"/>
    </row>
    <row r="152615" spans="21:21" x14ac:dyDescent="0.3">
      <c r="U152615" s="25"/>
    </row>
    <row r="152637" spans="21:21" x14ac:dyDescent="0.3">
      <c r="U152637" s="25"/>
    </row>
    <row r="152659" spans="21:21" x14ac:dyDescent="0.3">
      <c r="U152659" s="25"/>
    </row>
    <row r="152681" spans="21:21" x14ac:dyDescent="0.3">
      <c r="U152681" s="25"/>
    </row>
    <row r="152703" spans="21:21" x14ac:dyDescent="0.3">
      <c r="U152703" s="25"/>
    </row>
    <row r="152725" spans="21:21" x14ac:dyDescent="0.3">
      <c r="U152725" s="25"/>
    </row>
    <row r="152747" spans="21:21" x14ac:dyDescent="0.3">
      <c r="U152747" s="25"/>
    </row>
    <row r="152769" spans="21:21" x14ac:dyDescent="0.3">
      <c r="U152769" s="25"/>
    </row>
    <row r="152791" spans="21:21" x14ac:dyDescent="0.3">
      <c r="U152791" s="25"/>
    </row>
    <row r="152813" spans="21:21" x14ac:dyDescent="0.3">
      <c r="U152813" s="25"/>
    </row>
    <row r="152835" spans="21:21" x14ac:dyDescent="0.3">
      <c r="U152835" s="25"/>
    </row>
    <row r="152857" spans="21:21" x14ac:dyDescent="0.3">
      <c r="U152857" s="25"/>
    </row>
    <row r="152879" spans="21:21" x14ac:dyDescent="0.3">
      <c r="U152879" s="25"/>
    </row>
    <row r="152901" spans="21:21" x14ac:dyDescent="0.3">
      <c r="U152901" s="25"/>
    </row>
    <row r="152923" spans="21:21" x14ac:dyDescent="0.3">
      <c r="U152923" s="25"/>
    </row>
    <row r="152945" spans="21:21" x14ac:dyDescent="0.3">
      <c r="U152945" s="25"/>
    </row>
    <row r="152967" spans="21:21" x14ac:dyDescent="0.3">
      <c r="U152967" s="25"/>
    </row>
    <row r="152989" spans="21:21" x14ac:dyDescent="0.3">
      <c r="U152989" s="25"/>
    </row>
    <row r="153011" spans="21:21" x14ac:dyDescent="0.3">
      <c r="U153011" s="25"/>
    </row>
    <row r="153033" spans="21:21" x14ac:dyDescent="0.3">
      <c r="U153033" s="25"/>
    </row>
    <row r="153055" spans="21:21" x14ac:dyDescent="0.3">
      <c r="U153055" s="25"/>
    </row>
    <row r="153077" spans="21:21" x14ac:dyDescent="0.3">
      <c r="U153077" s="25"/>
    </row>
    <row r="153099" spans="21:21" x14ac:dyDescent="0.3">
      <c r="U153099" s="25"/>
    </row>
    <row r="153121" spans="21:21" x14ac:dyDescent="0.3">
      <c r="U153121" s="25"/>
    </row>
    <row r="153143" spans="21:21" x14ac:dyDescent="0.3">
      <c r="U153143" s="25"/>
    </row>
    <row r="153165" spans="21:21" x14ac:dyDescent="0.3">
      <c r="U153165" s="25"/>
    </row>
    <row r="153187" spans="21:21" x14ac:dyDescent="0.3">
      <c r="U153187" s="25"/>
    </row>
    <row r="153209" spans="21:21" x14ac:dyDescent="0.3">
      <c r="U153209" s="25"/>
    </row>
    <row r="153231" spans="21:21" x14ac:dyDescent="0.3">
      <c r="U153231" s="25"/>
    </row>
    <row r="153253" spans="21:21" x14ac:dyDescent="0.3">
      <c r="U153253" s="25"/>
    </row>
    <row r="153275" spans="21:21" x14ac:dyDescent="0.3">
      <c r="U153275" s="25"/>
    </row>
    <row r="153297" spans="21:21" x14ac:dyDescent="0.3">
      <c r="U153297" s="25"/>
    </row>
    <row r="153319" spans="21:21" x14ac:dyDescent="0.3">
      <c r="U153319" s="25"/>
    </row>
    <row r="153341" spans="21:21" x14ac:dyDescent="0.3">
      <c r="U153341" s="25"/>
    </row>
    <row r="153363" spans="21:21" x14ac:dyDescent="0.3">
      <c r="U153363" s="25"/>
    </row>
    <row r="153385" spans="21:21" x14ac:dyDescent="0.3">
      <c r="U153385" s="25"/>
    </row>
    <row r="153407" spans="21:21" x14ac:dyDescent="0.3">
      <c r="U153407" s="25"/>
    </row>
    <row r="153429" spans="21:21" x14ac:dyDescent="0.3">
      <c r="U153429" s="25"/>
    </row>
    <row r="153451" spans="21:21" x14ac:dyDescent="0.3">
      <c r="U153451" s="25"/>
    </row>
    <row r="153473" spans="21:21" x14ac:dyDescent="0.3">
      <c r="U153473" s="25"/>
    </row>
    <row r="153495" spans="21:21" x14ac:dyDescent="0.3">
      <c r="U153495" s="25"/>
    </row>
    <row r="153517" spans="21:21" x14ac:dyDescent="0.3">
      <c r="U153517" s="25"/>
    </row>
    <row r="153539" spans="21:21" x14ac:dyDescent="0.3">
      <c r="U153539" s="25"/>
    </row>
    <row r="153561" spans="21:21" x14ac:dyDescent="0.3">
      <c r="U153561" s="25"/>
    </row>
    <row r="153583" spans="21:21" x14ac:dyDescent="0.3">
      <c r="U153583" s="25"/>
    </row>
    <row r="153605" spans="21:21" x14ac:dyDescent="0.3">
      <c r="U153605" s="25"/>
    </row>
    <row r="153627" spans="21:21" x14ac:dyDescent="0.3">
      <c r="U153627" s="25"/>
    </row>
    <row r="153649" spans="21:21" x14ac:dyDescent="0.3">
      <c r="U153649" s="25"/>
    </row>
    <row r="153671" spans="21:21" x14ac:dyDescent="0.3">
      <c r="U153671" s="25"/>
    </row>
    <row r="153693" spans="21:21" x14ac:dyDescent="0.3">
      <c r="U153693" s="25"/>
    </row>
    <row r="153715" spans="21:21" x14ac:dyDescent="0.3">
      <c r="U153715" s="25"/>
    </row>
    <row r="153737" spans="21:21" x14ac:dyDescent="0.3">
      <c r="U153737" s="25"/>
    </row>
    <row r="153759" spans="21:21" x14ac:dyDescent="0.3">
      <c r="U153759" s="25"/>
    </row>
    <row r="153781" spans="21:21" x14ac:dyDescent="0.3">
      <c r="U153781" s="25"/>
    </row>
    <row r="153803" spans="21:21" x14ac:dyDescent="0.3">
      <c r="U153803" s="25"/>
    </row>
    <row r="153825" spans="21:21" x14ac:dyDescent="0.3">
      <c r="U153825" s="25"/>
    </row>
    <row r="153847" spans="21:21" x14ac:dyDescent="0.3">
      <c r="U153847" s="25"/>
    </row>
    <row r="153869" spans="21:21" x14ac:dyDescent="0.3">
      <c r="U153869" s="25"/>
    </row>
    <row r="153891" spans="21:21" x14ac:dyDescent="0.3">
      <c r="U153891" s="25"/>
    </row>
    <row r="153913" spans="21:21" x14ac:dyDescent="0.3">
      <c r="U153913" s="25"/>
    </row>
    <row r="153935" spans="21:21" x14ac:dyDescent="0.3">
      <c r="U153935" s="25"/>
    </row>
    <row r="153957" spans="21:21" x14ac:dyDescent="0.3">
      <c r="U153957" s="25"/>
    </row>
    <row r="153979" spans="21:21" x14ac:dyDescent="0.3">
      <c r="U153979" s="25"/>
    </row>
    <row r="154001" spans="21:21" x14ac:dyDescent="0.3">
      <c r="U154001" s="25"/>
    </row>
    <row r="154023" spans="21:21" x14ac:dyDescent="0.3">
      <c r="U154023" s="25"/>
    </row>
    <row r="154045" spans="21:21" x14ac:dyDescent="0.3">
      <c r="U154045" s="25"/>
    </row>
    <row r="154067" spans="21:21" x14ac:dyDescent="0.3">
      <c r="U154067" s="25"/>
    </row>
    <row r="154089" spans="21:21" x14ac:dyDescent="0.3">
      <c r="U154089" s="25"/>
    </row>
    <row r="154111" spans="21:21" x14ac:dyDescent="0.3">
      <c r="U154111" s="25"/>
    </row>
    <row r="154133" spans="21:21" x14ac:dyDescent="0.3">
      <c r="U154133" s="25"/>
    </row>
    <row r="154155" spans="21:21" x14ac:dyDescent="0.3">
      <c r="U154155" s="25"/>
    </row>
    <row r="154177" spans="21:21" x14ac:dyDescent="0.3">
      <c r="U154177" s="25"/>
    </row>
    <row r="154199" spans="21:21" x14ac:dyDescent="0.3">
      <c r="U154199" s="25"/>
    </row>
    <row r="154221" spans="21:21" x14ac:dyDescent="0.3">
      <c r="U154221" s="25"/>
    </row>
    <row r="154243" spans="21:21" x14ac:dyDescent="0.3">
      <c r="U154243" s="25"/>
    </row>
    <row r="154265" spans="21:21" x14ac:dyDescent="0.3">
      <c r="U154265" s="25"/>
    </row>
    <row r="154287" spans="21:21" x14ac:dyDescent="0.3">
      <c r="U154287" s="25"/>
    </row>
    <row r="154309" spans="21:21" x14ac:dyDescent="0.3">
      <c r="U154309" s="25"/>
    </row>
    <row r="154331" spans="21:21" x14ac:dyDescent="0.3">
      <c r="U154331" s="25"/>
    </row>
    <row r="154353" spans="21:21" x14ac:dyDescent="0.3">
      <c r="U154353" s="25"/>
    </row>
    <row r="154375" spans="21:21" x14ac:dyDescent="0.3">
      <c r="U154375" s="25"/>
    </row>
    <row r="154397" spans="21:21" x14ac:dyDescent="0.3">
      <c r="U154397" s="25"/>
    </row>
    <row r="154419" spans="21:21" x14ac:dyDescent="0.3">
      <c r="U154419" s="25"/>
    </row>
    <row r="154441" spans="21:21" x14ac:dyDescent="0.3">
      <c r="U154441" s="25"/>
    </row>
    <row r="154463" spans="21:21" x14ac:dyDescent="0.3">
      <c r="U154463" s="25"/>
    </row>
    <row r="154485" spans="21:21" x14ac:dyDescent="0.3">
      <c r="U154485" s="25"/>
    </row>
    <row r="154507" spans="21:21" x14ac:dyDescent="0.3">
      <c r="U154507" s="25"/>
    </row>
    <row r="154529" spans="21:21" x14ac:dyDescent="0.3">
      <c r="U154529" s="25"/>
    </row>
    <row r="154551" spans="21:21" x14ac:dyDescent="0.3">
      <c r="U154551" s="25"/>
    </row>
    <row r="154573" spans="21:21" x14ac:dyDescent="0.3">
      <c r="U154573" s="25"/>
    </row>
    <row r="154595" spans="21:21" x14ac:dyDescent="0.3">
      <c r="U154595" s="25"/>
    </row>
    <row r="154617" spans="21:21" x14ac:dyDescent="0.3">
      <c r="U154617" s="25"/>
    </row>
    <row r="154639" spans="21:21" x14ac:dyDescent="0.3">
      <c r="U154639" s="25"/>
    </row>
    <row r="154661" spans="21:21" x14ac:dyDescent="0.3">
      <c r="U154661" s="25"/>
    </row>
    <row r="154683" spans="21:21" x14ac:dyDescent="0.3">
      <c r="U154683" s="25"/>
    </row>
    <row r="154705" spans="21:21" x14ac:dyDescent="0.3">
      <c r="U154705" s="25"/>
    </row>
    <row r="154727" spans="21:21" x14ac:dyDescent="0.3">
      <c r="U154727" s="25"/>
    </row>
    <row r="154749" spans="21:21" x14ac:dyDescent="0.3">
      <c r="U154749" s="25"/>
    </row>
    <row r="154771" spans="21:21" x14ac:dyDescent="0.3">
      <c r="U154771" s="25"/>
    </row>
    <row r="154793" spans="21:21" x14ac:dyDescent="0.3">
      <c r="U154793" s="25"/>
    </row>
    <row r="154815" spans="21:21" x14ac:dyDescent="0.3">
      <c r="U154815" s="25"/>
    </row>
    <row r="154837" spans="21:21" x14ac:dyDescent="0.3">
      <c r="U154837" s="25"/>
    </row>
    <row r="154859" spans="21:21" x14ac:dyDescent="0.3">
      <c r="U154859" s="25"/>
    </row>
    <row r="154881" spans="21:21" x14ac:dyDescent="0.3">
      <c r="U154881" s="25"/>
    </row>
    <row r="154903" spans="21:21" x14ac:dyDescent="0.3">
      <c r="U154903" s="25"/>
    </row>
    <row r="154925" spans="21:21" x14ac:dyDescent="0.3">
      <c r="U154925" s="25"/>
    </row>
    <row r="154947" spans="21:21" x14ac:dyDescent="0.3">
      <c r="U154947" s="25"/>
    </row>
    <row r="154969" spans="21:21" x14ac:dyDescent="0.3">
      <c r="U154969" s="25"/>
    </row>
    <row r="154991" spans="21:21" x14ac:dyDescent="0.3">
      <c r="U154991" s="25"/>
    </row>
    <row r="155013" spans="21:21" x14ac:dyDescent="0.3">
      <c r="U155013" s="25"/>
    </row>
    <row r="155035" spans="21:21" x14ac:dyDescent="0.3">
      <c r="U155035" s="25"/>
    </row>
    <row r="155057" spans="21:21" x14ac:dyDescent="0.3">
      <c r="U155057" s="25"/>
    </row>
    <row r="155079" spans="21:21" x14ac:dyDescent="0.3">
      <c r="U155079" s="25"/>
    </row>
    <row r="155101" spans="21:21" x14ac:dyDescent="0.3">
      <c r="U155101" s="25"/>
    </row>
    <row r="155123" spans="21:21" x14ac:dyDescent="0.3">
      <c r="U155123" s="25"/>
    </row>
    <row r="155145" spans="21:21" x14ac:dyDescent="0.3">
      <c r="U155145" s="25"/>
    </row>
    <row r="155167" spans="21:21" x14ac:dyDescent="0.3">
      <c r="U155167" s="25"/>
    </row>
    <row r="155189" spans="21:21" x14ac:dyDescent="0.3">
      <c r="U155189" s="25"/>
    </row>
    <row r="155211" spans="21:21" x14ac:dyDescent="0.3">
      <c r="U155211" s="25"/>
    </row>
    <row r="155233" spans="21:21" x14ac:dyDescent="0.3">
      <c r="U155233" s="25"/>
    </row>
    <row r="155255" spans="21:21" x14ac:dyDescent="0.3">
      <c r="U155255" s="25"/>
    </row>
    <row r="155277" spans="21:21" x14ac:dyDescent="0.3">
      <c r="U155277" s="25"/>
    </row>
    <row r="155299" spans="21:21" x14ac:dyDescent="0.3">
      <c r="U155299" s="25"/>
    </row>
    <row r="155321" spans="21:21" x14ac:dyDescent="0.3">
      <c r="U155321" s="25"/>
    </row>
    <row r="155343" spans="21:21" x14ac:dyDescent="0.3">
      <c r="U155343" s="25"/>
    </row>
    <row r="155365" spans="21:21" x14ac:dyDescent="0.3">
      <c r="U155365" s="25"/>
    </row>
    <row r="155387" spans="21:21" x14ac:dyDescent="0.3">
      <c r="U155387" s="25"/>
    </row>
    <row r="155409" spans="21:21" x14ac:dyDescent="0.3">
      <c r="U155409" s="25"/>
    </row>
    <row r="155431" spans="21:21" x14ac:dyDescent="0.3">
      <c r="U155431" s="25"/>
    </row>
    <row r="155453" spans="21:21" x14ac:dyDescent="0.3">
      <c r="U155453" s="25"/>
    </row>
    <row r="155475" spans="21:21" x14ac:dyDescent="0.3">
      <c r="U155475" s="25"/>
    </row>
    <row r="155497" spans="21:21" x14ac:dyDescent="0.3">
      <c r="U155497" s="25"/>
    </row>
    <row r="155519" spans="21:21" x14ac:dyDescent="0.3">
      <c r="U155519" s="25"/>
    </row>
    <row r="155541" spans="21:21" x14ac:dyDescent="0.3">
      <c r="U155541" s="25"/>
    </row>
    <row r="155563" spans="21:21" x14ac:dyDescent="0.3">
      <c r="U155563" s="25"/>
    </row>
    <row r="155585" spans="21:21" x14ac:dyDescent="0.3">
      <c r="U155585" s="25"/>
    </row>
    <row r="155607" spans="21:21" x14ac:dyDescent="0.3">
      <c r="U155607" s="25"/>
    </row>
    <row r="155629" spans="21:21" x14ac:dyDescent="0.3">
      <c r="U155629" s="25"/>
    </row>
    <row r="155651" spans="21:21" x14ac:dyDescent="0.3">
      <c r="U155651" s="25"/>
    </row>
    <row r="155673" spans="21:21" x14ac:dyDescent="0.3">
      <c r="U155673" s="25"/>
    </row>
    <row r="155695" spans="21:21" x14ac:dyDescent="0.3">
      <c r="U155695" s="25"/>
    </row>
    <row r="155717" spans="21:21" x14ac:dyDescent="0.3">
      <c r="U155717" s="25"/>
    </row>
    <row r="155739" spans="21:21" x14ac:dyDescent="0.3">
      <c r="U155739" s="25"/>
    </row>
    <row r="155761" spans="21:21" x14ac:dyDescent="0.3">
      <c r="U155761" s="25"/>
    </row>
    <row r="155783" spans="21:21" x14ac:dyDescent="0.3">
      <c r="U155783" s="25"/>
    </row>
    <row r="155805" spans="21:21" x14ac:dyDescent="0.3">
      <c r="U155805" s="25"/>
    </row>
    <row r="155827" spans="21:21" x14ac:dyDescent="0.3">
      <c r="U155827" s="25"/>
    </row>
    <row r="155849" spans="21:21" x14ac:dyDescent="0.3">
      <c r="U155849" s="25"/>
    </row>
    <row r="155871" spans="21:21" x14ac:dyDescent="0.3">
      <c r="U155871" s="25"/>
    </row>
    <row r="155893" spans="21:21" x14ac:dyDescent="0.3">
      <c r="U155893" s="25"/>
    </row>
    <row r="155915" spans="21:21" x14ac:dyDescent="0.3">
      <c r="U155915" s="25"/>
    </row>
    <row r="155937" spans="21:21" x14ac:dyDescent="0.3">
      <c r="U155937" s="25"/>
    </row>
    <row r="155959" spans="21:21" x14ac:dyDescent="0.3">
      <c r="U155959" s="25"/>
    </row>
    <row r="155981" spans="21:21" x14ac:dyDescent="0.3">
      <c r="U155981" s="25"/>
    </row>
    <row r="156003" spans="21:21" x14ac:dyDescent="0.3">
      <c r="U156003" s="25"/>
    </row>
    <row r="156025" spans="21:21" x14ac:dyDescent="0.3">
      <c r="U156025" s="25"/>
    </row>
    <row r="156047" spans="21:21" x14ac:dyDescent="0.3">
      <c r="U156047" s="25"/>
    </row>
    <row r="156069" spans="21:21" x14ac:dyDescent="0.3">
      <c r="U156069" s="25"/>
    </row>
    <row r="156091" spans="21:21" x14ac:dyDescent="0.3">
      <c r="U156091" s="25"/>
    </row>
    <row r="156113" spans="21:21" x14ac:dyDescent="0.3">
      <c r="U156113" s="25"/>
    </row>
    <row r="156135" spans="21:21" x14ac:dyDescent="0.3">
      <c r="U156135" s="25"/>
    </row>
    <row r="156157" spans="21:21" x14ac:dyDescent="0.3">
      <c r="U156157" s="25"/>
    </row>
    <row r="156179" spans="21:21" x14ac:dyDescent="0.3">
      <c r="U156179" s="25"/>
    </row>
    <row r="156201" spans="21:21" x14ac:dyDescent="0.3">
      <c r="U156201" s="25"/>
    </row>
    <row r="156223" spans="21:21" x14ac:dyDescent="0.3">
      <c r="U156223" s="25"/>
    </row>
    <row r="156245" spans="21:21" x14ac:dyDescent="0.3">
      <c r="U156245" s="25"/>
    </row>
    <row r="156267" spans="21:21" x14ac:dyDescent="0.3">
      <c r="U156267" s="25"/>
    </row>
    <row r="156289" spans="21:21" x14ac:dyDescent="0.3">
      <c r="U156289" s="25"/>
    </row>
    <row r="156311" spans="21:21" x14ac:dyDescent="0.3">
      <c r="U156311" s="25"/>
    </row>
    <row r="156333" spans="21:21" x14ac:dyDescent="0.3">
      <c r="U156333" s="25"/>
    </row>
    <row r="156355" spans="21:21" x14ac:dyDescent="0.3">
      <c r="U156355" s="25"/>
    </row>
    <row r="156377" spans="21:21" x14ac:dyDescent="0.3">
      <c r="U156377" s="25"/>
    </row>
    <row r="156399" spans="21:21" x14ac:dyDescent="0.3">
      <c r="U156399" s="25"/>
    </row>
    <row r="156421" spans="21:21" x14ac:dyDescent="0.3">
      <c r="U156421" s="25"/>
    </row>
    <row r="156443" spans="21:21" x14ac:dyDescent="0.3">
      <c r="U156443" s="25"/>
    </row>
    <row r="156465" spans="21:21" x14ac:dyDescent="0.3">
      <c r="U156465" s="25"/>
    </row>
    <row r="156487" spans="21:21" x14ac:dyDescent="0.3">
      <c r="U156487" s="25"/>
    </row>
    <row r="156509" spans="21:21" x14ac:dyDescent="0.3">
      <c r="U156509" s="25"/>
    </row>
    <row r="156531" spans="21:21" x14ac:dyDescent="0.3">
      <c r="U156531" s="25"/>
    </row>
    <row r="156553" spans="21:21" x14ac:dyDescent="0.3">
      <c r="U156553" s="25"/>
    </row>
    <row r="156575" spans="21:21" x14ac:dyDescent="0.3">
      <c r="U156575" s="25"/>
    </row>
    <row r="156597" spans="21:21" x14ac:dyDescent="0.3">
      <c r="U156597" s="25"/>
    </row>
    <row r="156619" spans="21:21" x14ac:dyDescent="0.3">
      <c r="U156619" s="25"/>
    </row>
    <row r="156641" spans="21:21" x14ac:dyDescent="0.3">
      <c r="U156641" s="25"/>
    </row>
    <row r="156663" spans="21:21" x14ac:dyDescent="0.3">
      <c r="U156663" s="25"/>
    </row>
    <row r="156685" spans="21:21" x14ac:dyDescent="0.3">
      <c r="U156685" s="25"/>
    </row>
    <row r="156707" spans="21:21" x14ac:dyDescent="0.3">
      <c r="U156707" s="25"/>
    </row>
    <row r="156729" spans="21:21" x14ac:dyDescent="0.3">
      <c r="U156729" s="25"/>
    </row>
    <row r="156751" spans="21:21" x14ac:dyDescent="0.3">
      <c r="U156751" s="25"/>
    </row>
    <row r="156773" spans="21:21" x14ac:dyDescent="0.3">
      <c r="U156773" s="25"/>
    </row>
    <row r="156795" spans="21:21" x14ac:dyDescent="0.3">
      <c r="U156795" s="25"/>
    </row>
    <row r="156817" spans="21:21" x14ac:dyDescent="0.3">
      <c r="U156817" s="25"/>
    </row>
    <row r="156839" spans="21:21" x14ac:dyDescent="0.3">
      <c r="U156839" s="25"/>
    </row>
    <row r="156861" spans="21:21" x14ac:dyDescent="0.3">
      <c r="U156861" s="25"/>
    </row>
    <row r="156883" spans="21:21" x14ac:dyDescent="0.3">
      <c r="U156883" s="25"/>
    </row>
    <row r="156905" spans="21:21" x14ac:dyDescent="0.3">
      <c r="U156905" s="25"/>
    </row>
    <row r="156927" spans="21:21" x14ac:dyDescent="0.3">
      <c r="U156927" s="25"/>
    </row>
    <row r="156949" spans="21:21" x14ac:dyDescent="0.3">
      <c r="U156949" s="25"/>
    </row>
    <row r="156971" spans="21:21" x14ac:dyDescent="0.3">
      <c r="U156971" s="25"/>
    </row>
    <row r="156993" spans="21:21" x14ac:dyDescent="0.3">
      <c r="U156993" s="25"/>
    </row>
    <row r="157015" spans="21:21" x14ac:dyDescent="0.3">
      <c r="U157015" s="25"/>
    </row>
    <row r="157037" spans="21:21" x14ac:dyDescent="0.3">
      <c r="U157037" s="25"/>
    </row>
    <row r="157059" spans="21:21" x14ac:dyDescent="0.3">
      <c r="U157059" s="25"/>
    </row>
    <row r="157081" spans="21:21" x14ac:dyDescent="0.3">
      <c r="U157081" s="25"/>
    </row>
    <row r="157103" spans="21:21" x14ac:dyDescent="0.3">
      <c r="U157103" s="25"/>
    </row>
    <row r="157125" spans="21:21" x14ac:dyDescent="0.3">
      <c r="U157125" s="25"/>
    </row>
    <row r="157147" spans="21:21" x14ac:dyDescent="0.3">
      <c r="U157147" s="25"/>
    </row>
    <row r="157169" spans="21:21" x14ac:dyDescent="0.3">
      <c r="U157169" s="25"/>
    </row>
    <row r="157191" spans="21:21" x14ac:dyDescent="0.3">
      <c r="U157191" s="25"/>
    </row>
    <row r="157213" spans="21:21" x14ac:dyDescent="0.3">
      <c r="U157213" s="25"/>
    </row>
    <row r="157235" spans="21:21" x14ac:dyDescent="0.3">
      <c r="U157235" s="25"/>
    </row>
    <row r="157257" spans="21:21" x14ac:dyDescent="0.3">
      <c r="U157257" s="25"/>
    </row>
    <row r="157279" spans="21:21" x14ac:dyDescent="0.3">
      <c r="U157279" s="25"/>
    </row>
    <row r="157301" spans="21:21" x14ac:dyDescent="0.3">
      <c r="U157301" s="25"/>
    </row>
    <row r="157323" spans="21:21" x14ac:dyDescent="0.3">
      <c r="U157323" s="25"/>
    </row>
    <row r="157345" spans="21:21" x14ac:dyDescent="0.3">
      <c r="U157345" s="25"/>
    </row>
    <row r="157367" spans="21:21" x14ac:dyDescent="0.3">
      <c r="U157367" s="25"/>
    </row>
    <row r="157389" spans="21:21" x14ac:dyDescent="0.3">
      <c r="U157389" s="25"/>
    </row>
    <row r="157411" spans="21:21" x14ac:dyDescent="0.3">
      <c r="U157411" s="25"/>
    </row>
    <row r="157433" spans="21:21" x14ac:dyDescent="0.3">
      <c r="U157433" s="25"/>
    </row>
    <row r="157455" spans="21:21" x14ac:dyDescent="0.3">
      <c r="U157455" s="25"/>
    </row>
    <row r="157477" spans="21:21" x14ac:dyDescent="0.3">
      <c r="U157477" s="25"/>
    </row>
    <row r="157499" spans="21:21" x14ac:dyDescent="0.3">
      <c r="U157499" s="25"/>
    </row>
    <row r="157521" spans="21:21" x14ac:dyDescent="0.3">
      <c r="U157521" s="25"/>
    </row>
    <row r="157543" spans="21:21" x14ac:dyDescent="0.3">
      <c r="U157543" s="25"/>
    </row>
    <row r="157565" spans="21:21" x14ac:dyDescent="0.3">
      <c r="U157565" s="25"/>
    </row>
    <row r="157587" spans="21:21" x14ac:dyDescent="0.3">
      <c r="U157587" s="25"/>
    </row>
    <row r="157609" spans="21:21" x14ac:dyDescent="0.3">
      <c r="U157609" s="25"/>
    </row>
    <row r="157631" spans="21:21" x14ac:dyDescent="0.3">
      <c r="U157631" s="25"/>
    </row>
    <row r="157653" spans="21:21" x14ac:dyDescent="0.3">
      <c r="U157653" s="25"/>
    </row>
    <row r="157675" spans="21:21" x14ac:dyDescent="0.3">
      <c r="U157675" s="25"/>
    </row>
    <row r="157697" spans="21:21" x14ac:dyDescent="0.3">
      <c r="U157697" s="25"/>
    </row>
    <row r="157719" spans="21:21" x14ac:dyDescent="0.3">
      <c r="U157719" s="25"/>
    </row>
    <row r="157741" spans="21:21" x14ac:dyDescent="0.3">
      <c r="U157741" s="25"/>
    </row>
    <row r="157763" spans="21:21" x14ac:dyDescent="0.3">
      <c r="U157763" s="25"/>
    </row>
    <row r="157785" spans="21:21" x14ac:dyDescent="0.3">
      <c r="U157785" s="25"/>
    </row>
    <row r="157807" spans="21:21" x14ac:dyDescent="0.3">
      <c r="U157807" s="25"/>
    </row>
    <row r="157829" spans="21:21" x14ac:dyDescent="0.3">
      <c r="U157829" s="25"/>
    </row>
    <row r="157851" spans="21:21" x14ac:dyDescent="0.3">
      <c r="U157851" s="25"/>
    </row>
    <row r="157873" spans="21:21" x14ac:dyDescent="0.3">
      <c r="U157873" s="25"/>
    </row>
    <row r="157895" spans="21:21" x14ac:dyDescent="0.3">
      <c r="U157895" s="25"/>
    </row>
    <row r="157917" spans="21:21" x14ac:dyDescent="0.3">
      <c r="U157917" s="25"/>
    </row>
    <row r="157939" spans="21:21" x14ac:dyDescent="0.3">
      <c r="U157939" s="25"/>
    </row>
    <row r="157961" spans="21:21" x14ac:dyDescent="0.3">
      <c r="U157961" s="25"/>
    </row>
    <row r="157983" spans="21:21" x14ac:dyDescent="0.3">
      <c r="U157983" s="25"/>
    </row>
    <row r="158005" spans="21:21" x14ac:dyDescent="0.3">
      <c r="U158005" s="25"/>
    </row>
    <row r="158027" spans="21:21" x14ac:dyDescent="0.3">
      <c r="U158027" s="25"/>
    </row>
    <row r="158049" spans="21:21" x14ac:dyDescent="0.3">
      <c r="U158049" s="25"/>
    </row>
    <row r="158071" spans="21:21" x14ac:dyDescent="0.3">
      <c r="U158071" s="25"/>
    </row>
    <row r="158093" spans="21:21" x14ac:dyDescent="0.3">
      <c r="U158093" s="25"/>
    </row>
    <row r="158115" spans="21:21" x14ac:dyDescent="0.3">
      <c r="U158115" s="25"/>
    </row>
    <row r="158137" spans="21:21" x14ac:dyDescent="0.3">
      <c r="U158137" s="25"/>
    </row>
    <row r="158159" spans="21:21" x14ac:dyDescent="0.3">
      <c r="U158159" s="25"/>
    </row>
    <row r="158181" spans="21:21" x14ac:dyDescent="0.3">
      <c r="U158181" s="25"/>
    </row>
    <row r="158203" spans="21:21" x14ac:dyDescent="0.3">
      <c r="U158203" s="25"/>
    </row>
    <row r="158225" spans="21:21" x14ac:dyDescent="0.3">
      <c r="U158225" s="25"/>
    </row>
    <row r="158247" spans="21:21" x14ac:dyDescent="0.3">
      <c r="U158247" s="25"/>
    </row>
    <row r="158269" spans="21:21" x14ac:dyDescent="0.3">
      <c r="U158269" s="25"/>
    </row>
    <row r="158291" spans="21:21" x14ac:dyDescent="0.3">
      <c r="U158291" s="25"/>
    </row>
    <row r="158313" spans="21:21" x14ac:dyDescent="0.3">
      <c r="U158313" s="25"/>
    </row>
    <row r="158335" spans="21:21" x14ac:dyDescent="0.3">
      <c r="U158335" s="25"/>
    </row>
    <row r="158357" spans="21:21" x14ac:dyDescent="0.3">
      <c r="U158357" s="25"/>
    </row>
    <row r="158379" spans="21:21" x14ac:dyDescent="0.3">
      <c r="U158379" s="25"/>
    </row>
    <row r="158401" spans="21:21" x14ac:dyDescent="0.3">
      <c r="U158401" s="25"/>
    </row>
    <row r="158423" spans="21:21" x14ac:dyDescent="0.3">
      <c r="U158423" s="25"/>
    </row>
    <row r="158445" spans="21:21" x14ac:dyDescent="0.3">
      <c r="U158445" s="25"/>
    </row>
    <row r="158467" spans="21:21" x14ac:dyDescent="0.3">
      <c r="U158467" s="25"/>
    </row>
    <row r="158489" spans="21:21" x14ac:dyDescent="0.3">
      <c r="U158489" s="25"/>
    </row>
    <row r="158511" spans="21:21" x14ac:dyDescent="0.3">
      <c r="U158511" s="25"/>
    </row>
    <row r="158533" spans="21:21" x14ac:dyDescent="0.3">
      <c r="U158533" s="25"/>
    </row>
    <row r="158555" spans="21:21" x14ac:dyDescent="0.3">
      <c r="U158555" s="25"/>
    </row>
    <row r="158577" spans="21:21" x14ac:dyDescent="0.3">
      <c r="U158577" s="25"/>
    </row>
    <row r="158599" spans="21:21" x14ac:dyDescent="0.3">
      <c r="U158599" s="25"/>
    </row>
    <row r="158621" spans="21:21" x14ac:dyDescent="0.3">
      <c r="U158621" s="25"/>
    </row>
    <row r="158643" spans="21:21" x14ac:dyDescent="0.3">
      <c r="U158643" s="25"/>
    </row>
    <row r="158665" spans="21:21" x14ac:dyDescent="0.3">
      <c r="U158665" s="25"/>
    </row>
    <row r="158687" spans="21:21" x14ac:dyDescent="0.3">
      <c r="U158687" s="25"/>
    </row>
    <row r="158709" spans="21:21" x14ac:dyDescent="0.3">
      <c r="U158709" s="25"/>
    </row>
    <row r="158731" spans="21:21" x14ac:dyDescent="0.3">
      <c r="U158731" s="25"/>
    </row>
    <row r="158753" spans="21:21" x14ac:dyDescent="0.3">
      <c r="U158753" s="25"/>
    </row>
    <row r="158775" spans="21:21" x14ac:dyDescent="0.3">
      <c r="U158775" s="25"/>
    </row>
    <row r="158797" spans="21:21" x14ac:dyDescent="0.3">
      <c r="U158797" s="25"/>
    </row>
    <row r="158819" spans="21:21" x14ac:dyDescent="0.3">
      <c r="U158819" s="25"/>
    </row>
    <row r="158841" spans="21:21" x14ac:dyDescent="0.3">
      <c r="U158841" s="25"/>
    </row>
    <row r="158863" spans="21:21" x14ac:dyDescent="0.3">
      <c r="U158863" s="25"/>
    </row>
    <row r="158885" spans="21:21" x14ac:dyDescent="0.3">
      <c r="U158885" s="25"/>
    </row>
    <row r="158907" spans="21:21" x14ac:dyDescent="0.3">
      <c r="U158907" s="25"/>
    </row>
    <row r="158929" spans="21:21" x14ac:dyDescent="0.3">
      <c r="U158929" s="25"/>
    </row>
    <row r="158951" spans="21:21" x14ac:dyDescent="0.3">
      <c r="U158951" s="25"/>
    </row>
    <row r="158973" spans="21:21" x14ac:dyDescent="0.3">
      <c r="U158973" s="25"/>
    </row>
    <row r="158995" spans="21:21" x14ac:dyDescent="0.3">
      <c r="U158995" s="25"/>
    </row>
    <row r="159017" spans="21:21" x14ac:dyDescent="0.3">
      <c r="U159017" s="25"/>
    </row>
    <row r="159039" spans="21:21" x14ac:dyDescent="0.3">
      <c r="U159039" s="25"/>
    </row>
    <row r="159061" spans="21:21" x14ac:dyDescent="0.3">
      <c r="U159061" s="25"/>
    </row>
    <row r="159083" spans="21:21" x14ac:dyDescent="0.3">
      <c r="U159083" s="25"/>
    </row>
    <row r="159105" spans="21:21" x14ac:dyDescent="0.3">
      <c r="U159105" s="25"/>
    </row>
    <row r="159127" spans="21:21" x14ac:dyDescent="0.3">
      <c r="U159127" s="25"/>
    </row>
    <row r="159149" spans="21:21" x14ac:dyDescent="0.3">
      <c r="U159149" s="25"/>
    </row>
    <row r="159171" spans="21:21" x14ac:dyDescent="0.3">
      <c r="U159171" s="25"/>
    </row>
    <row r="159193" spans="21:21" x14ac:dyDescent="0.3">
      <c r="U159193" s="25"/>
    </row>
    <row r="159215" spans="21:21" x14ac:dyDescent="0.3">
      <c r="U159215" s="25"/>
    </row>
    <row r="159237" spans="21:21" x14ac:dyDescent="0.3">
      <c r="U159237" s="25"/>
    </row>
    <row r="159259" spans="21:21" x14ac:dyDescent="0.3">
      <c r="U159259" s="25"/>
    </row>
    <row r="159281" spans="21:21" x14ac:dyDescent="0.3">
      <c r="U159281" s="25"/>
    </row>
    <row r="159303" spans="21:21" x14ac:dyDescent="0.3">
      <c r="U159303" s="25"/>
    </row>
    <row r="159325" spans="21:21" x14ac:dyDescent="0.3">
      <c r="U159325" s="25"/>
    </row>
    <row r="159347" spans="21:21" x14ac:dyDescent="0.3">
      <c r="U159347" s="25"/>
    </row>
    <row r="159369" spans="21:21" x14ac:dyDescent="0.3">
      <c r="U159369" s="25"/>
    </row>
    <row r="159391" spans="21:21" x14ac:dyDescent="0.3">
      <c r="U159391" s="25"/>
    </row>
    <row r="159413" spans="21:21" x14ac:dyDescent="0.3">
      <c r="U159413" s="25"/>
    </row>
    <row r="159435" spans="21:21" x14ac:dyDescent="0.3">
      <c r="U159435" s="25"/>
    </row>
    <row r="159457" spans="21:21" x14ac:dyDescent="0.3">
      <c r="U159457" s="25"/>
    </row>
    <row r="159479" spans="21:21" x14ac:dyDescent="0.3">
      <c r="U159479" s="25"/>
    </row>
    <row r="159501" spans="21:21" x14ac:dyDescent="0.3">
      <c r="U159501" s="25"/>
    </row>
    <row r="159523" spans="21:21" x14ac:dyDescent="0.3">
      <c r="U159523" s="25"/>
    </row>
    <row r="159545" spans="21:21" x14ac:dyDescent="0.3">
      <c r="U159545" s="25"/>
    </row>
    <row r="159567" spans="21:21" x14ac:dyDescent="0.3">
      <c r="U159567" s="25"/>
    </row>
    <row r="159589" spans="21:21" x14ac:dyDescent="0.3">
      <c r="U159589" s="25"/>
    </row>
    <row r="159611" spans="21:21" x14ac:dyDescent="0.3">
      <c r="U159611" s="25"/>
    </row>
    <row r="159633" spans="21:21" x14ac:dyDescent="0.3">
      <c r="U159633" s="25"/>
    </row>
    <row r="159655" spans="21:21" x14ac:dyDescent="0.3">
      <c r="U159655" s="25"/>
    </row>
    <row r="159677" spans="21:21" x14ac:dyDescent="0.3">
      <c r="U159677" s="25"/>
    </row>
    <row r="159699" spans="21:21" x14ac:dyDescent="0.3">
      <c r="U159699" s="25"/>
    </row>
    <row r="159721" spans="21:21" x14ac:dyDescent="0.3">
      <c r="U159721" s="25"/>
    </row>
    <row r="159743" spans="21:21" x14ac:dyDescent="0.3">
      <c r="U159743" s="25"/>
    </row>
    <row r="159765" spans="21:21" x14ac:dyDescent="0.3">
      <c r="U159765" s="25"/>
    </row>
    <row r="159787" spans="21:21" x14ac:dyDescent="0.3">
      <c r="U159787" s="25"/>
    </row>
    <row r="159809" spans="21:21" x14ac:dyDescent="0.3">
      <c r="U159809" s="25"/>
    </row>
    <row r="159831" spans="21:21" x14ac:dyDescent="0.3">
      <c r="U159831" s="25"/>
    </row>
    <row r="159853" spans="21:21" x14ac:dyDescent="0.3">
      <c r="U159853" s="25"/>
    </row>
    <row r="159875" spans="21:21" x14ac:dyDescent="0.3">
      <c r="U159875" s="25"/>
    </row>
    <row r="159897" spans="21:21" x14ac:dyDescent="0.3">
      <c r="U159897" s="25"/>
    </row>
    <row r="159919" spans="21:21" x14ac:dyDescent="0.3">
      <c r="U159919" s="25"/>
    </row>
    <row r="159941" spans="21:21" x14ac:dyDescent="0.3">
      <c r="U159941" s="25"/>
    </row>
    <row r="159963" spans="21:21" x14ac:dyDescent="0.3">
      <c r="U159963" s="25"/>
    </row>
    <row r="159985" spans="21:21" x14ac:dyDescent="0.3">
      <c r="U159985" s="25"/>
    </row>
    <row r="160007" spans="21:21" x14ac:dyDescent="0.3">
      <c r="U160007" s="25"/>
    </row>
    <row r="160029" spans="21:21" x14ac:dyDescent="0.3">
      <c r="U160029" s="25"/>
    </row>
    <row r="160051" spans="21:21" x14ac:dyDescent="0.3">
      <c r="U160051" s="25"/>
    </row>
    <row r="160073" spans="21:21" x14ac:dyDescent="0.3">
      <c r="U160073" s="25"/>
    </row>
    <row r="160095" spans="21:21" x14ac:dyDescent="0.3">
      <c r="U160095" s="25"/>
    </row>
    <row r="160117" spans="21:21" x14ac:dyDescent="0.3">
      <c r="U160117" s="25"/>
    </row>
    <row r="160139" spans="21:21" x14ac:dyDescent="0.3">
      <c r="U160139" s="25"/>
    </row>
    <row r="160161" spans="21:21" x14ac:dyDescent="0.3">
      <c r="U160161" s="25"/>
    </row>
    <row r="160183" spans="21:21" x14ac:dyDescent="0.3">
      <c r="U160183" s="25"/>
    </row>
    <row r="160205" spans="21:21" x14ac:dyDescent="0.3">
      <c r="U160205" s="25"/>
    </row>
    <row r="160227" spans="21:21" x14ac:dyDescent="0.3">
      <c r="U160227" s="25"/>
    </row>
    <row r="160249" spans="21:21" x14ac:dyDescent="0.3">
      <c r="U160249" s="25"/>
    </row>
    <row r="160271" spans="21:21" x14ac:dyDescent="0.3">
      <c r="U160271" s="25"/>
    </row>
    <row r="160293" spans="21:21" x14ac:dyDescent="0.3">
      <c r="U160293" s="25"/>
    </row>
    <row r="160315" spans="21:21" x14ac:dyDescent="0.3">
      <c r="U160315" s="25"/>
    </row>
    <row r="160337" spans="21:21" x14ac:dyDescent="0.3">
      <c r="U160337" s="25"/>
    </row>
    <row r="160359" spans="21:21" x14ac:dyDescent="0.3">
      <c r="U160359" s="25"/>
    </row>
    <row r="160381" spans="21:21" x14ac:dyDescent="0.3">
      <c r="U160381" s="25"/>
    </row>
    <row r="160403" spans="21:21" x14ac:dyDescent="0.3">
      <c r="U160403" s="25"/>
    </row>
    <row r="160425" spans="21:21" x14ac:dyDescent="0.3">
      <c r="U160425" s="25"/>
    </row>
    <row r="160447" spans="21:21" x14ac:dyDescent="0.3">
      <c r="U160447" s="25"/>
    </row>
    <row r="160469" spans="21:21" x14ac:dyDescent="0.3">
      <c r="U160469" s="25"/>
    </row>
    <row r="160491" spans="21:21" x14ac:dyDescent="0.3">
      <c r="U160491" s="25"/>
    </row>
    <row r="160513" spans="21:21" x14ac:dyDescent="0.3">
      <c r="U160513" s="25"/>
    </row>
    <row r="160535" spans="21:21" x14ac:dyDescent="0.3">
      <c r="U160535" s="25"/>
    </row>
    <row r="160557" spans="21:21" x14ac:dyDescent="0.3">
      <c r="U160557" s="25"/>
    </row>
    <row r="160579" spans="21:21" x14ac:dyDescent="0.3">
      <c r="U160579" s="25"/>
    </row>
    <row r="160601" spans="21:21" x14ac:dyDescent="0.3">
      <c r="U160601" s="25"/>
    </row>
    <row r="160623" spans="21:21" x14ac:dyDescent="0.3">
      <c r="U160623" s="25"/>
    </row>
    <row r="160645" spans="21:21" x14ac:dyDescent="0.3">
      <c r="U160645" s="25"/>
    </row>
    <row r="160667" spans="21:21" x14ac:dyDescent="0.3">
      <c r="U160667" s="25"/>
    </row>
    <row r="160689" spans="21:21" x14ac:dyDescent="0.3">
      <c r="U160689" s="25"/>
    </row>
    <row r="160711" spans="21:21" x14ac:dyDescent="0.3">
      <c r="U160711" s="25"/>
    </row>
    <row r="160733" spans="21:21" x14ac:dyDescent="0.3">
      <c r="U160733" s="25"/>
    </row>
    <row r="160755" spans="21:21" x14ac:dyDescent="0.3">
      <c r="U160755" s="25"/>
    </row>
    <row r="160777" spans="21:21" x14ac:dyDescent="0.3">
      <c r="U160777" s="25"/>
    </row>
    <row r="160799" spans="21:21" x14ac:dyDescent="0.3">
      <c r="U160799" s="25"/>
    </row>
    <row r="160821" spans="21:21" x14ac:dyDescent="0.3">
      <c r="U160821" s="25"/>
    </row>
    <row r="160843" spans="21:21" x14ac:dyDescent="0.3">
      <c r="U160843" s="25"/>
    </row>
    <row r="160865" spans="21:21" x14ac:dyDescent="0.3">
      <c r="U160865" s="25"/>
    </row>
    <row r="160887" spans="21:21" x14ac:dyDescent="0.3">
      <c r="U160887" s="25"/>
    </row>
    <row r="160909" spans="21:21" x14ac:dyDescent="0.3">
      <c r="U160909" s="25"/>
    </row>
    <row r="160931" spans="21:21" x14ac:dyDescent="0.3">
      <c r="U160931" s="25"/>
    </row>
    <row r="160953" spans="21:21" x14ac:dyDescent="0.3">
      <c r="U160953" s="25"/>
    </row>
    <row r="160975" spans="21:21" x14ac:dyDescent="0.3">
      <c r="U160975" s="25"/>
    </row>
    <row r="160997" spans="21:21" x14ac:dyDescent="0.3">
      <c r="U160997" s="25"/>
    </row>
    <row r="161019" spans="21:21" x14ac:dyDescent="0.3">
      <c r="U161019" s="25"/>
    </row>
    <row r="161041" spans="21:21" x14ac:dyDescent="0.3">
      <c r="U161041" s="25"/>
    </row>
    <row r="161063" spans="21:21" x14ac:dyDescent="0.3">
      <c r="U161063" s="25"/>
    </row>
    <row r="161085" spans="21:21" x14ac:dyDescent="0.3">
      <c r="U161085" s="25"/>
    </row>
    <row r="161107" spans="21:21" x14ac:dyDescent="0.3">
      <c r="U161107" s="25"/>
    </row>
    <row r="161129" spans="21:21" x14ac:dyDescent="0.3">
      <c r="U161129" s="25"/>
    </row>
    <row r="161151" spans="21:21" x14ac:dyDescent="0.3">
      <c r="U161151" s="25"/>
    </row>
    <row r="161173" spans="21:21" x14ac:dyDescent="0.3">
      <c r="U161173" s="25"/>
    </row>
    <row r="161195" spans="21:21" x14ac:dyDescent="0.3">
      <c r="U161195" s="25"/>
    </row>
    <row r="161217" spans="21:21" x14ac:dyDescent="0.3">
      <c r="U161217" s="25"/>
    </row>
    <row r="161239" spans="21:21" x14ac:dyDescent="0.3">
      <c r="U161239" s="25"/>
    </row>
    <row r="161261" spans="21:21" x14ac:dyDescent="0.3">
      <c r="U161261" s="25"/>
    </row>
    <row r="161283" spans="21:21" x14ac:dyDescent="0.3">
      <c r="U161283" s="25"/>
    </row>
    <row r="161305" spans="21:21" x14ac:dyDescent="0.3">
      <c r="U161305" s="25"/>
    </row>
    <row r="161327" spans="21:21" x14ac:dyDescent="0.3">
      <c r="U161327" s="25"/>
    </row>
    <row r="161349" spans="21:21" x14ac:dyDescent="0.3">
      <c r="U161349" s="25"/>
    </row>
    <row r="161371" spans="21:21" x14ac:dyDescent="0.3">
      <c r="U161371" s="25"/>
    </row>
    <row r="161393" spans="21:21" x14ac:dyDescent="0.3">
      <c r="U161393" s="25"/>
    </row>
    <row r="161415" spans="21:21" x14ac:dyDescent="0.3">
      <c r="U161415" s="25"/>
    </row>
    <row r="161437" spans="21:21" x14ac:dyDescent="0.3">
      <c r="U161437" s="25"/>
    </row>
    <row r="161459" spans="21:21" x14ac:dyDescent="0.3">
      <c r="U161459" s="25"/>
    </row>
    <row r="161481" spans="21:21" x14ac:dyDescent="0.3">
      <c r="U161481" s="25"/>
    </row>
    <row r="161503" spans="21:21" x14ac:dyDescent="0.3">
      <c r="U161503" s="25"/>
    </row>
    <row r="161525" spans="21:21" x14ac:dyDescent="0.3">
      <c r="U161525" s="25"/>
    </row>
    <row r="161547" spans="21:21" x14ac:dyDescent="0.3">
      <c r="U161547" s="25"/>
    </row>
    <row r="161569" spans="21:21" x14ac:dyDescent="0.3">
      <c r="U161569" s="25"/>
    </row>
    <row r="161591" spans="21:21" x14ac:dyDescent="0.3">
      <c r="U161591" s="25"/>
    </row>
    <row r="161613" spans="21:21" x14ac:dyDescent="0.3">
      <c r="U161613" s="25"/>
    </row>
    <row r="161635" spans="21:21" x14ac:dyDescent="0.3">
      <c r="U161635" s="25"/>
    </row>
    <row r="161657" spans="21:21" x14ac:dyDescent="0.3">
      <c r="U161657" s="25"/>
    </row>
    <row r="161679" spans="21:21" x14ac:dyDescent="0.3">
      <c r="U161679" s="25"/>
    </row>
    <row r="161701" spans="21:21" x14ac:dyDescent="0.3">
      <c r="U161701" s="25"/>
    </row>
    <row r="161723" spans="21:21" x14ac:dyDescent="0.3">
      <c r="U161723" s="25"/>
    </row>
    <row r="161745" spans="21:21" x14ac:dyDescent="0.3">
      <c r="U161745" s="25"/>
    </row>
    <row r="161767" spans="21:21" x14ac:dyDescent="0.3">
      <c r="U161767" s="25"/>
    </row>
    <row r="161789" spans="21:21" x14ac:dyDescent="0.3">
      <c r="U161789" s="25"/>
    </row>
    <row r="161811" spans="21:21" x14ac:dyDescent="0.3">
      <c r="U161811" s="25"/>
    </row>
    <row r="161833" spans="21:21" x14ac:dyDescent="0.3">
      <c r="U161833" s="25"/>
    </row>
    <row r="161855" spans="21:21" x14ac:dyDescent="0.3">
      <c r="U161855" s="25"/>
    </row>
    <row r="161877" spans="21:21" x14ac:dyDescent="0.3">
      <c r="U161877" s="25"/>
    </row>
    <row r="161899" spans="21:21" x14ac:dyDescent="0.3">
      <c r="U161899" s="25"/>
    </row>
    <row r="161921" spans="21:21" x14ac:dyDescent="0.3">
      <c r="U161921" s="25"/>
    </row>
    <row r="161943" spans="21:21" x14ac:dyDescent="0.3">
      <c r="U161943" s="25"/>
    </row>
    <row r="161965" spans="21:21" x14ac:dyDescent="0.3">
      <c r="U161965" s="25"/>
    </row>
    <row r="161987" spans="21:21" x14ac:dyDescent="0.3">
      <c r="U161987" s="25"/>
    </row>
    <row r="162009" spans="21:21" x14ac:dyDescent="0.3">
      <c r="U162009" s="25"/>
    </row>
    <row r="162031" spans="21:21" x14ac:dyDescent="0.3">
      <c r="U162031" s="25"/>
    </row>
    <row r="162053" spans="21:21" x14ac:dyDescent="0.3">
      <c r="U162053" s="25"/>
    </row>
    <row r="162075" spans="21:21" x14ac:dyDescent="0.3">
      <c r="U162075" s="25"/>
    </row>
    <row r="162097" spans="21:21" x14ac:dyDescent="0.3">
      <c r="U162097" s="25"/>
    </row>
    <row r="162119" spans="21:21" x14ac:dyDescent="0.3">
      <c r="U162119" s="25"/>
    </row>
    <row r="162141" spans="21:21" x14ac:dyDescent="0.3">
      <c r="U162141" s="25"/>
    </row>
    <row r="162163" spans="21:21" x14ac:dyDescent="0.3">
      <c r="U162163" s="25"/>
    </row>
    <row r="162185" spans="21:21" x14ac:dyDescent="0.3">
      <c r="U162185" s="25"/>
    </row>
    <row r="162207" spans="21:21" x14ac:dyDescent="0.3">
      <c r="U162207" s="25"/>
    </row>
    <row r="162229" spans="21:21" x14ac:dyDescent="0.3">
      <c r="U162229" s="25"/>
    </row>
    <row r="162251" spans="21:21" x14ac:dyDescent="0.3">
      <c r="U162251" s="25"/>
    </row>
    <row r="162273" spans="21:21" x14ac:dyDescent="0.3">
      <c r="U162273" s="25"/>
    </row>
    <row r="162295" spans="21:21" x14ac:dyDescent="0.3">
      <c r="U162295" s="25"/>
    </row>
    <row r="162317" spans="21:21" x14ac:dyDescent="0.3">
      <c r="U162317" s="25"/>
    </row>
    <row r="162339" spans="21:21" x14ac:dyDescent="0.3">
      <c r="U162339" s="25"/>
    </row>
    <row r="162361" spans="21:21" x14ac:dyDescent="0.3">
      <c r="U162361" s="25"/>
    </row>
    <row r="162383" spans="21:21" x14ac:dyDescent="0.3">
      <c r="U162383" s="25"/>
    </row>
    <row r="162405" spans="21:21" x14ac:dyDescent="0.3">
      <c r="U162405" s="25"/>
    </row>
    <row r="162427" spans="21:21" x14ac:dyDescent="0.3">
      <c r="U162427" s="25"/>
    </row>
    <row r="162449" spans="21:21" x14ac:dyDescent="0.3">
      <c r="U162449" s="25"/>
    </row>
    <row r="162471" spans="21:21" x14ac:dyDescent="0.3">
      <c r="U162471" s="25"/>
    </row>
    <row r="162493" spans="21:21" x14ac:dyDescent="0.3">
      <c r="U162493" s="25"/>
    </row>
    <row r="162515" spans="21:21" x14ac:dyDescent="0.3">
      <c r="U162515" s="25"/>
    </row>
    <row r="162537" spans="21:21" x14ac:dyDescent="0.3">
      <c r="U162537" s="25"/>
    </row>
    <row r="162559" spans="21:21" x14ac:dyDescent="0.3">
      <c r="U162559" s="25"/>
    </row>
    <row r="162581" spans="21:21" x14ac:dyDescent="0.3">
      <c r="U162581" s="25"/>
    </row>
    <row r="162603" spans="21:21" x14ac:dyDescent="0.3">
      <c r="U162603" s="25"/>
    </row>
    <row r="162625" spans="21:21" x14ac:dyDescent="0.3">
      <c r="U162625" s="25"/>
    </row>
    <row r="162647" spans="21:21" x14ac:dyDescent="0.3">
      <c r="U162647" s="25"/>
    </row>
    <row r="162669" spans="21:21" x14ac:dyDescent="0.3">
      <c r="U162669" s="25"/>
    </row>
    <row r="162691" spans="21:21" x14ac:dyDescent="0.3">
      <c r="U162691" s="25"/>
    </row>
    <row r="162713" spans="21:21" x14ac:dyDescent="0.3">
      <c r="U162713" s="25"/>
    </row>
    <row r="162735" spans="21:21" x14ac:dyDescent="0.3">
      <c r="U162735" s="25"/>
    </row>
    <row r="162757" spans="21:21" x14ac:dyDescent="0.3">
      <c r="U162757" s="25"/>
    </row>
    <row r="162779" spans="21:21" x14ac:dyDescent="0.3">
      <c r="U162779" s="25"/>
    </row>
    <row r="162801" spans="21:21" x14ac:dyDescent="0.3">
      <c r="U162801" s="25"/>
    </row>
    <row r="162823" spans="21:21" x14ac:dyDescent="0.3">
      <c r="U162823" s="25"/>
    </row>
    <row r="162845" spans="21:21" x14ac:dyDescent="0.3">
      <c r="U162845" s="25"/>
    </row>
    <row r="162867" spans="21:21" x14ac:dyDescent="0.3">
      <c r="U162867" s="25"/>
    </row>
    <row r="162889" spans="21:21" x14ac:dyDescent="0.3">
      <c r="U162889" s="25"/>
    </row>
    <row r="162911" spans="21:21" x14ac:dyDescent="0.3">
      <c r="U162911" s="25"/>
    </row>
    <row r="162933" spans="21:21" x14ac:dyDescent="0.3">
      <c r="U162933" s="25"/>
    </row>
    <row r="162955" spans="21:21" x14ac:dyDescent="0.3">
      <c r="U162955" s="25"/>
    </row>
    <row r="162977" spans="21:21" x14ac:dyDescent="0.3">
      <c r="U162977" s="25"/>
    </row>
    <row r="162999" spans="21:21" x14ac:dyDescent="0.3">
      <c r="U162999" s="25"/>
    </row>
    <row r="163021" spans="21:21" x14ac:dyDescent="0.3">
      <c r="U163021" s="25"/>
    </row>
    <row r="163043" spans="21:21" x14ac:dyDescent="0.3">
      <c r="U163043" s="25"/>
    </row>
    <row r="163065" spans="21:21" x14ac:dyDescent="0.3">
      <c r="U163065" s="25"/>
    </row>
    <row r="163087" spans="21:21" x14ac:dyDescent="0.3">
      <c r="U163087" s="25"/>
    </row>
    <row r="163109" spans="21:21" x14ac:dyDescent="0.3">
      <c r="U163109" s="25"/>
    </row>
    <row r="163131" spans="21:21" x14ac:dyDescent="0.3">
      <c r="U163131" s="25"/>
    </row>
    <row r="163153" spans="21:21" x14ac:dyDescent="0.3">
      <c r="U163153" s="25"/>
    </row>
    <row r="163175" spans="21:21" x14ac:dyDescent="0.3">
      <c r="U163175" s="25"/>
    </row>
    <row r="163197" spans="21:21" x14ac:dyDescent="0.3">
      <c r="U163197" s="25"/>
    </row>
    <row r="163219" spans="21:21" x14ac:dyDescent="0.3">
      <c r="U163219" s="25"/>
    </row>
    <row r="163241" spans="21:21" x14ac:dyDescent="0.3">
      <c r="U163241" s="25"/>
    </row>
    <row r="163263" spans="21:21" x14ac:dyDescent="0.3">
      <c r="U163263" s="25"/>
    </row>
    <row r="163285" spans="21:21" x14ac:dyDescent="0.3">
      <c r="U163285" s="25"/>
    </row>
    <row r="163307" spans="21:21" x14ac:dyDescent="0.3">
      <c r="U163307" s="25"/>
    </row>
    <row r="163329" spans="21:21" x14ac:dyDescent="0.3">
      <c r="U163329" s="25"/>
    </row>
    <row r="163351" spans="21:21" x14ac:dyDescent="0.3">
      <c r="U163351" s="25"/>
    </row>
    <row r="163373" spans="21:21" x14ac:dyDescent="0.3">
      <c r="U163373" s="25"/>
    </row>
    <row r="163395" spans="21:21" x14ac:dyDescent="0.3">
      <c r="U163395" s="25"/>
    </row>
    <row r="163417" spans="21:21" x14ac:dyDescent="0.3">
      <c r="U163417" s="25"/>
    </row>
    <row r="163439" spans="21:21" x14ac:dyDescent="0.3">
      <c r="U163439" s="25"/>
    </row>
    <row r="163461" spans="21:21" x14ac:dyDescent="0.3">
      <c r="U163461" s="25"/>
    </row>
    <row r="163483" spans="21:21" x14ac:dyDescent="0.3">
      <c r="U163483" s="25"/>
    </row>
    <row r="163505" spans="21:21" x14ac:dyDescent="0.3">
      <c r="U163505" s="25"/>
    </row>
    <row r="163527" spans="21:21" x14ac:dyDescent="0.3">
      <c r="U163527" s="25"/>
    </row>
    <row r="163549" spans="21:21" x14ac:dyDescent="0.3">
      <c r="U163549" s="25"/>
    </row>
    <row r="163571" spans="21:21" x14ac:dyDescent="0.3">
      <c r="U163571" s="25"/>
    </row>
    <row r="163593" spans="21:21" x14ac:dyDescent="0.3">
      <c r="U163593" s="25"/>
    </row>
    <row r="163615" spans="21:21" x14ac:dyDescent="0.3">
      <c r="U163615" s="25"/>
    </row>
    <row r="163637" spans="21:21" x14ac:dyDescent="0.3">
      <c r="U163637" s="25"/>
    </row>
    <row r="163659" spans="21:21" x14ac:dyDescent="0.3">
      <c r="U163659" s="25"/>
    </row>
    <row r="163681" spans="21:21" x14ac:dyDescent="0.3">
      <c r="U163681" s="25"/>
    </row>
    <row r="163703" spans="21:21" x14ac:dyDescent="0.3">
      <c r="U163703" s="25"/>
    </row>
    <row r="163725" spans="21:21" x14ac:dyDescent="0.3">
      <c r="U163725" s="25"/>
    </row>
    <row r="163747" spans="21:21" x14ac:dyDescent="0.3">
      <c r="U163747" s="25"/>
    </row>
    <row r="163769" spans="21:21" x14ac:dyDescent="0.3">
      <c r="U163769" s="25"/>
    </row>
    <row r="163791" spans="21:21" x14ac:dyDescent="0.3">
      <c r="U163791" s="25"/>
    </row>
    <row r="163813" spans="21:21" x14ac:dyDescent="0.3">
      <c r="U163813" s="25"/>
    </row>
    <row r="163835" spans="21:21" x14ac:dyDescent="0.3">
      <c r="U163835" s="25"/>
    </row>
    <row r="163857" spans="21:21" x14ac:dyDescent="0.3">
      <c r="U163857" s="25"/>
    </row>
    <row r="163879" spans="21:21" x14ac:dyDescent="0.3">
      <c r="U163879" s="25"/>
    </row>
    <row r="163901" spans="21:21" x14ac:dyDescent="0.3">
      <c r="U163901" s="25"/>
    </row>
    <row r="163923" spans="21:21" x14ac:dyDescent="0.3">
      <c r="U163923" s="25"/>
    </row>
    <row r="163945" spans="21:21" x14ac:dyDescent="0.3">
      <c r="U163945" s="25"/>
    </row>
    <row r="163967" spans="21:21" x14ac:dyDescent="0.3">
      <c r="U163967" s="25"/>
    </row>
    <row r="163989" spans="21:21" x14ac:dyDescent="0.3">
      <c r="U163989" s="25"/>
    </row>
    <row r="164011" spans="21:21" x14ac:dyDescent="0.3">
      <c r="U164011" s="25"/>
    </row>
    <row r="164033" spans="21:21" x14ac:dyDescent="0.3">
      <c r="U164033" s="25"/>
    </row>
    <row r="164055" spans="21:21" x14ac:dyDescent="0.3">
      <c r="U164055" s="25"/>
    </row>
    <row r="164077" spans="21:21" x14ac:dyDescent="0.3">
      <c r="U164077" s="25"/>
    </row>
    <row r="164099" spans="21:21" x14ac:dyDescent="0.3">
      <c r="U164099" s="25"/>
    </row>
    <row r="164121" spans="21:21" x14ac:dyDescent="0.3">
      <c r="U164121" s="25"/>
    </row>
    <row r="164143" spans="21:21" x14ac:dyDescent="0.3">
      <c r="U164143" s="25"/>
    </row>
    <row r="164165" spans="21:21" x14ac:dyDescent="0.3">
      <c r="U164165" s="25"/>
    </row>
    <row r="164187" spans="21:21" x14ac:dyDescent="0.3">
      <c r="U164187" s="25"/>
    </row>
    <row r="164209" spans="21:21" x14ac:dyDescent="0.3">
      <c r="U164209" s="25"/>
    </row>
    <row r="164231" spans="21:21" x14ac:dyDescent="0.3">
      <c r="U164231" s="25"/>
    </row>
    <row r="164253" spans="21:21" x14ac:dyDescent="0.3">
      <c r="U164253" s="25"/>
    </row>
    <row r="164275" spans="21:21" x14ac:dyDescent="0.3">
      <c r="U164275" s="25"/>
    </row>
    <row r="164297" spans="21:21" x14ac:dyDescent="0.3">
      <c r="U164297" s="25"/>
    </row>
    <row r="164319" spans="21:21" x14ac:dyDescent="0.3">
      <c r="U164319" s="25"/>
    </row>
    <row r="164341" spans="21:21" x14ac:dyDescent="0.3">
      <c r="U164341" s="25"/>
    </row>
    <row r="164363" spans="21:21" x14ac:dyDescent="0.3">
      <c r="U164363" s="25"/>
    </row>
    <row r="164385" spans="21:21" x14ac:dyDescent="0.3">
      <c r="U164385" s="25"/>
    </row>
    <row r="164407" spans="21:21" x14ac:dyDescent="0.3">
      <c r="U164407" s="25"/>
    </row>
    <row r="164429" spans="21:21" x14ac:dyDescent="0.3">
      <c r="U164429" s="25"/>
    </row>
    <row r="164451" spans="21:21" x14ac:dyDescent="0.3">
      <c r="U164451" s="25"/>
    </row>
    <row r="164473" spans="21:21" x14ac:dyDescent="0.3">
      <c r="U164473" s="25"/>
    </row>
    <row r="164495" spans="21:21" x14ac:dyDescent="0.3">
      <c r="U164495" s="25"/>
    </row>
    <row r="164517" spans="21:21" x14ac:dyDescent="0.3">
      <c r="U164517" s="25"/>
    </row>
    <row r="164539" spans="21:21" x14ac:dyDescent="0.3">
      <c r="U164539" s="25"/>
    </row>
    <row r="164561" spans="21:21" x14ac:dyDescent="0.3">
      <c r="U164561" s="25"/>
    </row>
    <row r="164583" spans="21:21" x14ac:dyDescent="0.3">
      <c r="U164583" s="25"/>
    </row>
    <row r="164605" spans="21:21" x14ac:dyDescent="0.3">
      <c r="U164605" s="25"/>
    </row>
    <row r="164627" spans="21:21" x14ac:dyDescent="0.3">
      <c r="U164627" s="25"/>
    </row>
    <row r="164649" spans="21:21" x14ac:dyDescent="0.3">
      <c r="U164649" s="25"/>
    </row>
    <row r="164671" spans="21:21" x14ac:dyDescent="0.3">
      <c r="U164671" s="25"/>
    </row>
    <row r="164693" spans="21:21" x14ac:dyDescent="0.3">
      <c r="U164693" s="25"/>
    </row>
    <row r="164715" spans="21:21" x14ac:dyDescent="0.3">
      <c r="U164715" s="25"/>
    </row>
    <row r="164737" spans="21:21" x14ac:dyDescent="0.3">
      <c r="U164737" s="25"/>
    </row>
    <row r="164759" spans="21:21" x14ac:dyDescent="0.3">
      <c r="U164759" s="25"/>
    </row>
    <row r="164781" spans="21:21" x14ac:dyDescent="0.3">
      <c r="U164781" s="25"/>
    </row>
    <row r="164803" spans="21:21" x14ac:dyDescent="0.3">
      <c r="U164803" s="25"/>
    </row>
    <row r="164825" spans="21:21" x14ac:dyDescent="0.3">
      <c r="U164825" s="25"/>
    </row>
    <row r="164847" spans="21:21" x14ac:dyDescent="0.3">
      <c r="U164847" s="25"/>
    </row>
    <row r="164869" spans="21:21" x14ac:dyDescent="0.3">
      <c r="U164869" s="25"/>
    </row>
    <row r="164891" spans="21:21" x14ac:dyDescent="0.3">
      <c r="U164891" s="25"/>
    </row>
    <row r="164913" spans="21:21" x14ac:dyDescent="0.3">
      <c r="U164913" s="25"/>
    </row>
    <row r="164935" spans="21:21" x14ac:dyDescent="0.3">
      <c r="U164935" s="25"/>
    </row>
    <row r="164957" spans="21:21" x14ac:dyDescent="0.3">
      <c r="U164957" s="25"/>
    </row>
    <row r="164979" spans="21:21" x14ac:dyDescent="0.3">
      <c r="U164979" s="25"/>
    </row>
    <row r="165001" spans="21:21" x14ac:dyDescent="0.3">
      <c r="U165001" s="25"/>
    </row>
    <row r="165023" spans="21:21" x14ac:dyDescent="0.3">
      <c r="U165023" s="25"/>
    </row>
    <row r="165045" spans="21:21" x14ac:dyDescent="0.3">
      <c r="U165045" s="25"/>
    </row>
    <row r="165067" spans="21:21" x14ac:dyDescent="0.3">
      <c r="U165067" s="25"/>
    </row>
    <row r="165089" spans="21:21" x14ac:dyDescent="0.3">
      <c r="U165089" s="25"/>
    </row>
    <row r="165111" spans="21:21" x14ac:dyDescent="0.3">
      <c r="U165111" s="25"/>
    </row>
    <row r="165133" spans="21:21" x14ac:dyDescent="0.3">
      <c r="U165133" s="25"/>
    </row>
    <row r="165155" spans="21:21" x14ac:dyDescent="0.3">
      <c r="U165155" s="25"/>
    </row>
    <row r="165177" spans="21:21" x14ac:dyDescent="0.3">
      <c r="U165177" s="25"/>
    </row>
    <row r="165199" spans="21:21" x14ac:dyDescent="0.3">
      <c r="U165199" s="25"/>
    </row>
    <row r="165221" spans="21:21" x14ac:dyDescent="0.3">
      <c r="U165221" s="25"/>
    </row>
    <row r="165243" spans="21:21" x14ac:dyDescent="0.3">
      <c r="U165243" s="25"/>
    </row>
    <row r="165265" spans="21:21" x14ac:dyDescent="0.3">
      <c r="U165265" s="25"/>
    </row>
    <row r="165287" spans="21:21" x14ac:dyDescent="0.3">
      <c r="U165287" s="25"/>
    </row>
    <row r="165309" spans="21:21" x14ac:dyDescent="0.3">
      <c r="U165309" s="25"/>
    </row>
    <row r="165331" spans="21:21" x14ac:dyDescent="0.3">
      <c r="U165331" s="25"/>
    </row>
    <row r="165353" spans="21:21" x14ac:dyDescent="0.3">
      <c r="U165353" s="25"/>
    </row>
    <row r="165375" spans="21:21" x14ac:dyDescent="0.3">
      <c r="U165375" s="25"/>
    </row>
    <row r="165397" spans="21:21" x14ac:dyDescent="0.3">
      <c r="U165397" s="25"/>
    </row>
    <row r="165419" spans="21:21" x14ac:dyDescent="0.3">
      <c r="U165419" s="25"/>
    </row>
    <row r="165441" spans="21:21" x14ac:dyDescent="0.3">
      <c r="U165441" s="25"/>
    </row>
    <row r="165463" spans="21:21" x14ac:dyDescent="0.3">
      <c r="U165463" s="25"/>
    </row>
    <row r="165485" spans="21:21" x14ac:dyDescent="0.3">
      <c r="U165485" s="25"/>
    </row>
    <row r="165507" spans="21:21" x14ac:dyDescent="0.3">
      <c r="U165507" s="25"/>
    </row>
    <row r="165529" spans="21:21" x14ac:dyDescent="0.3">
      <c r="U165529" s="25"/>
    </row>
    <row r="165551" spans="21:21" x14ac:dyDescent="0.3">
      <c r="U165551" s="25"/>
    </row>
    <row r="165573" spans="21:21" x14ac:dyDescent="0.3">
      <c r="U165573" s="25"/>
    </row>
    <row r="165595" spans="21:21" x14ac:dyDescent="0.3">
      <c r="U165595" s="25"/>
    </row>
    <row r="165617" spans="21:21" x14ac:dyDescent="0.3">
      <c r="U165617" s="25"/>
    </row>
    <row r="165639" spans="21:21" x14ac:dyDescent="0.3">
      <c r="U165639" s="25"/>
    </row>
    <row r="165661" spans="21:21" x14ac:dyDescent="0.3">
      <c r="U165661" s="25"/>
    </row>
    <row r="165683" spans="21:21" x14ac:dyDescent="0.3">
      <c r="U165683" s="25"/>
    </row>
    <row r="165705" spans="21:21" x14ac:dyDescent="0.3">
      <c r="U165705" s="25"/>
    </row>
    <row r="165727" spans="21:21" x14ac:dyDescent="0.3">
      <c r="U165727" s="25"/>
    </row>
    <row r="165749" spans="21:21" x14ac:dyDescent="0.3">
      <c r="U165749" s="25"/>
    </row>
    <row r="165771" spans="21:21" x14ac:dyDescent="0.3">
      <c r="U165771" s="25"/>
    </row>
    <row r="165793" spans="21:21" x14ac:dyDescent="0.3">
      <c r="U165793" s="25"/>
    </row>
    <row r="165815" spans="21:21" x14ac:dyDescent="0.3">
      <c r="U165815" s="25"/>
    </row>
    <row r="165837" spans="21:21" x14ac:dyDescent="0.3">
      <c r="U165837" s="25"/>
    </row>
    <row r="165859" spans="21:21" x14ac:dyDescent="0.3">
      <c r="U165859" s="25"/>
    </row>
    <row r="165881" spans="21:21" x14ac:dyDescent="0.3">
      <c r="U165881" s="25"/>
    </row>
    <row r="165903" spans="21:21" x14ac:dyDescent="0.3">
      <c r="U165903" s="25"/>
    </row>
    <row r="165925" spans="21:21" x14ac:dyDescent="0.3">
      <c r="U165925" s="25"/>
    </row>
    <row r="165947" spans="21:21" x14ac:dyDescent="0.3">
      <c r="U165947" s="25"/>
    </row>
    <row r="165969" spans="21:21" x14ac:dyDescent="0.3">
      <c r="U165969" s="25"/>
    </row>
    <row r="165991" spans="21:21" x14ac:dyDescent="0.3">
      <c r="U165991" s="25"/>
    </row>
    <row r="166013" spans="21:21" x14ac:dyDescent="0.3">
      <c r="U166013" s="25"/>
    </row>
    <row r="166035" spans="21:21" x14ac:dyDescent="0.3">
      <c r="U166035" s="25"/>
    </row>
    <row r="166057" spans="21:21" x14ac:dyDescent="0.3">
      <c r="U166057" s="25"/>
    </row>
    <row r="166079" spans="21:21" x14ac:dyDescent="0.3">
      <c r="U166079" s="25"/>
    </row>
    <row r="166101" spans="21:21" x14ac:dyDescent="0.3">
      <c r="U166101" s="25"/>
    </row>
    <row r="166123" spans="21:21" x14ac:dyDescent="0.3">
      <c r="U166123" s="25"/>
    </row>
    <row r="166145" spans="21:21" x14ac:dyDescent="0.3">
      <c r="U166145" s="25"/>
    </row>
    <row r="166167" spans="21:21" x14ac:dyDescent="0.3">
      <c r="U166167" s="25"/>
    </row>
    <row r="166189" spans="21:21" x14ac:dyDescent="0.3">
      <c r="U166189" s="25"/>
    </row>
    <row r="166211" spans="21:21" x14ac:dyDescent="0.3">
      <c r="U166211" s="25"/>
    </row>
    <row r="166233" spans="21:21" x14ac:dyDescent="0.3">
      <c r="U166233" s="25"/>
    </row>
    <row r="166255" spans="21:21" x14ac:dyDescent="0.3">
      <c r="U166255" s="25"/>
    </row>
    <row r="166277" spans="21:21" x14ac:dyDescent="0.3">
      <c r="U166277" s="25"/>
    </row>
    <row r="166299" spans="21:21" x14ac:dyDescent="0.3">
      <c r="U166299" s="25"/>
    </row>
    <row r="166321" spans="21:21" x14ac:dyDescent="0.3">
      <c r="U166321" s="25"/>
    </row>
    <row r="166343" spans="21:21" x14ac:dyDescent="0.3">
      <c r="U166343" s="25"/>
    </row>
    <row r="166365" spans="21:21" x14ac:dyDescent="0.3">
      <c r="U166365" s="25"/>
    </row>
    <row r="166387" spans="21:21" x14ac:dyDescent="0.3">
      <c r="U166387" s="25"/>
    </row>
    <row r="166409" spans="21:21" x14ac:dyDescent="0.3">
      <c r="U166409" s="25"/>
    </row>
    <row r="166431" spans="21:21" x14ac:dyDescent="0.3">
      <c r="U166431" s="25"/>
    </row>
    <row r="166453" spans="21:21" x14ac:dyDescent="0.3">
      <c r="U166453" s="25"/>
    </row>
    <row r="166475" spans="21:21" x14ac:dyDescent="0.3">
      <c r="U166475" s="25"/>
    </row>
    <row r="166497" spans="21:21" x14ac:dyDescent="0.3">
      <c r="U166497" s="25"/>
    </row>
    <row r="166519" spans="21:21" x14ac:dyDescent="0.3">
      <c r="U166519" s="25"/>
    </row>
    <row r="166541" spans="21:21" x14ac:dyDescent="0.3">
      <c r="U166541" s="25"/>
    </row>
    <row r="166563" spans="21:21" x14ac:dyDescent="0.3">
      <c r="U166563" s="25"/>
    </row>
    <row r="166585" spans="21:21" x14ac:dyDescent="0.3">
      <c r="U166585" s="25"/>
    </row>
    <row r="166607" spans="21:21" x14ac:dyDescent="0.3">
      <c r="U166607" s="25"/>
    </row>
    <row r="166629" spans="21:21" x14ac:dyDescent="0.3">
      <c r="U166629" s="25"/>
    </row>
    <row r="166651" spans="21:21" x14ac:dyDescent="0.3">
      <c r="U166651" s="25"/>
    </row>
    <row r="166673" spans="21:21" x14ac:dyDescent="0.3">
      <c r="U166673" s="25"/>
    </row>
    <row r="166695" spans="21:21" x14ac:dyDescent="0.3">
      <c r="U166695" s="25"/>
    </row>
    <row r="166717" spans="21:21" x14ac:dyDescent="0.3">
      <c r="U166717" s="25"/>
    </row>
    <row r="166739" spans="21:21" x14ac:dyDescent="0.3">
      <c r="U166739" s="25"/>
    </row>
    <row r="166761" spans="21:21" x14ac:dyDescent="0.3">
      <c r="U166761" s="25"/>
    </row>
    <row r="166783" spans="21:21" x14ac:dyDescent="0.3">
      <c r="U166783" s="25"/>
    </row>
    <row r="166805" spans="21:21" x14ac:dyDescent="0.3">
      <c r="U166805" s="25"/>
    </row>
    <row r="166827" spans="21:21" x14ac:dyDescent="0.3">
      <c r="U166827" s="25"/>
    </row>
    <row r="166849" spans="21:21" x14ac:dyDescent="0.3">
      <c r="U166849" s="25"/>
    </row>
    <row r="166871" spans="21:21" x14ac:dyDescent="0.3">
      <c r="U166871" s="25"/>
    </row>
    <row r="166893" spans="21:21" x14ac:dyDescent="0.3">
      <c r="U166893" s="25"/>
    </row>
    <row r="166915" spans="21:21" x14ac:dyDescent="0.3">
      <c r="U166915" s="25"/>
    </row>
    <row r="166937" spans="21:21" x14ac:dyDescent="0.3">
      <c r="U166937" s="25"/>
    </row>
    <row r="166959" spans="21:21" x14ac:dyDescent="0.3">
      <c r="U166959" s="25"/>
    </row>
    <row r="166981" spans="21:21" x14ac:dyDescent="0.3">
      <c r="U166981" s="25"/>
    </row>
    <row r="167003" spans="21:21" x14ac:dyDescent="0.3">
      <c r="U167003" s="25"/>
    </row>
    <row r="167025" spans="21:21" x14ac:dyDescent="0.3">
      <c r="U167025" s="25"/>
    </row>
    <row r="167047" spans="21:21" x14ac:dyDescent="0.3">
      <c r="U167047" s="25"/>
    </row>
    <row r="167069" spans="21:21" x14ac:dyDescent="0.3">
      <c r="U167069" s="25"/>
    </row>
    <row r="167091" spans="21:21" x14ac:dyDescent="0.3">
      <c r="U167091" s="25"/>
    </row>
    <row r="167113" spans="21:21" x14ac:dyDescent="0.3">
      <c r="U167113" s="25"/>
    </row>
    <row r="167135" spans="21:21" x14ac:dyDescent="0.3">
      <c r="U167135" s="25"/>
    </row>
    <row r="167157" spans="21:21" x14ac:dyDescent="0.3">
      <c r="U167157" s="25"/>
    </row>
    <row r="167179" spans="21:21" x14ac:dyDescent="0.3">
      <c r="U167179" s="25"/>
    </row>
    <row r="167201" spans="21:21" x14ac:dyDescent="0.3">
      <c r="U167201" s="25"/>
    </row>
    <row r="167223" spans="21:21" x14ac:dyDescent="0.3">
      <c r="U167223" s="25"/>
    </row>
    <row r="167245" spans="21:21" x14ac:dyDescent="0.3">
      <c r="U167245" s="25"/>
    </row>
    <row r="167267" spans="21:21" x14ac:dyDescent="0.3">
      <c r="U167267" s="25"/>
    </row>
    <row r="167289" spans="21:21" x14ac:dyDescent="0.3">
      <c r="U167289" s="25"/>
    </row>
    <row r="167311" spans="21:21" x14ac:dyDescent="0.3">
      <c r="U167311" s="25"/>
    </row>
    <row r="167333" spans="21:21" x14ac:dyDescent="0.3">
      <c r="U167333" s="25"/>
    </row>
    <row r="167355" spans="21:21" x14ac:dyDescent="0.3">
      <c r="U167355" s="25"/>
    </row>
    <row r="167377" spans="21:21" x14ac:dyDescent="0.3">
      <c r="U167377" s="25"/>
    </row>
    <row r="167399" spans="21:21" x14ac:dyDescent="0.3">
      <c r="U167399" s="25"/>
    </row>
    <row r="167421" spans="21:21" x14ac:dyDescent="0.3">
      <c r="U167421" s="25"/>
    </row>
    <row r="167443" spans="21:21" x14ac:dyDescent="0.3">
      <c r="U167443" s="25"/>
    </row>
    <row r="167465" spans="21:21" x14ac:dyDescent="0.3">
      <c r="U167465" s="25"/>
    </row>
    <row r="167487" spans="21:21" x14ac:dyDescent="0.3">
      <c r="U167487" s="25"/>
    </row>
    <row r="167509" spans="21:21" x14ac:dyDescent="0.3">
      <c r="U167509" s="25"/>
    </row>
    <row r="167531" spans="21:21" x14ac:dyDescent="0.3">
      <c r="U167531" s="25"/>
    </row>
    <row r="167553" spans="21:21" x14ac:dyDescent="0.3">
      <c r="U167553" s="25"/>
    </row>
    <row r="167575" spans="21:21" x14ac:dyDescent="0.3">
      <c r="U167575" s="25"/>
    </row>
    <row r="167597" spans="21:21" x14ac:dyDescent="0.3">
      <c r="U167597" s="25"/>
    </row>
    <row r="167619" spans="21:21" x14ac:dyDescent="0.3">
      <c r="U167619" s="25"/>
    </row>
    <row r="167641" spans="21:21" x14ac:dyDescent="0.3">
      <c r="U167641" s="25"/>
    </row>
    <row r="167663" spans="21:21" x14ac:dyDescent="0.3">
      <c r="U167663" s="25"/>
    </row>
    <row r="167685" spans="21:21" x14ac:dyDescent="0.3">
      <c r="U167685" s="25"/>
    </row>
    <row r="167707" spans="21:21" x14ac:dyDescent="0.3">
      <c r="U167707" s="25"/>
    </row>
    <row r="167729" spans="21:21" x14ac:dyDescent="0.3">
      <c r="U167729" s="25"/>
    </row>
    <row r="167751" spans="21:21" x14ac:dyDescent="0.3">
      <c r="U167751" s="25"/>
    </row>
    <row r="167773" spans="21:21" x14ac:dyDescent="0.3">
      <c r="U167773" s="25"/>
    </row>
    <row r="167795" spans="21:21" x14ac:dyDescent="0.3">
      <c r="U167795" s="25"/>
    </row>
    <row r="167817" spans="21:21" x14ac:dyDescent="0.3">
      <c r="U167817" s="25"/>
    </row>
    <row r="167839" spans="21:21" x14ac:dyDescent="0.3">
      <c r="U167839" s="25"/>
    </row>
    <row r="167861" spans="21:21" x14ac:dyDescent="0.3">
      <c r="U167861" s="25"/>
    </row>
    <row r="167883" spans="21:21" x14ac:dyDescent="0.3">
      <c r="U167883" s="25"/>
    </row>
    <row r="167905" spans="21:21" x14ac:dyDescent="0.3">
      <c r="U167905" s="25"/>
    </row>
    <row r="167927" spans="21:21" x14ac:dyDescent="0.3">
      <c r="U167927" s="25"/>
    </row>
    <row r="167949" spans="21:21" x14ac:dyDescent="0.3">
      <c r="U167949" s="25"/>
    </row>
    <row r="167971" spans="21:21" x14ac:dyDescent="0.3">
      <c r="U167971" s="25"/>
    </row>
    <row r="167993" spans="21:21" x14ac:dyDescent="0.3">
      <c r="U167993" s="25"/>
    </row>
    <row r="168015" spans="21:21" x14ac:dyDescent="0.3">
      <c r="U168015" s="25"/>
    </row>
    <row r="168037" spans="21:21" x14ac:dyDescent="0.3">
      <c r="U168037" s="25"/>
    </row>
    <row r="168059" spans="21:21" x14ac:dyDescent="0.3">
      <c r="U168059" s="25"/>
    </row>
    <row r="168081" spans="21:21" x14ac:dyDescent="0.3">
      <c r="U168081" s="25"/>
    </row>
    <row r="168103" spans="21:21" x14ac:dyDescent="0.3">
      <c r="U168103" s="25"/>
    </row>
    <row r="168125" spans="21:21" x14ac:dyDescent="0.3">
      <c r="U168125" s="25"/>
    </row>
    <row r="168147" spans="21:21" x14ac:dyDescent="0.3">
      <c r="U168147" s="25"/>
    </row>
    <row r="168169" spans="21:21" x14ac:dyDescent="0.3">
      <c r="U168169" s="25"/>
    </row>
    <row r="168191" spans="21:21" x14ac:dyDescent="0.3">
      <c r="U168191" s="25"/>
    </row>
    <row r="168213" spans="21:21" x14ac:dyDescent="0.3">
      <c r="U168213" s="25"/>
    </row>
    <row r="168235" spans="21:21" x14ac:dyDescent="0.3">
      <c r="U168235" s="25"/>
    </row>
    <row r="168257" spans="21:21" x14ac:dyDescent="0.3">
      <c r="U168257" s="25"/>
    </row>
    <row r="168279" spans="21:21" x14ac:dyDescent="0.3">
      <c r="U168279" s="25"/>
    </row>
    <row r="168301" spans="21:21" x14ac:dyDescent="0.3">
      <c r="U168301" s="25"/>
    </row>
    <row r="168323" spans="21:21" x14ac:dyDescent="0.3">
      <c r="U168323" s="25"/>
    </row>
    <row r="168345" spans="21:21" x14ac:dyDescent="0.3">
      <c r="U168345" s="25"/>
    </row>
    <row r="168367" spans="21:21" x14ac:dyDescent="0.3">
      <c r="U168367" s="25"/>
    </row>
    <row r="168389" spans="21:21" x14ac:dyDescent="0.3">
      <c r="U168389" s="25"/>
    </row>
    <row r="168411" spans="21:21" x14ac:dyDescent="0.3">
      <c r="U168411" s="25"/>
    </row>
    <row r="168433" spans="21:21" x14ac:dyDescent="0.3">
      <c r="U168433" s="25"/>
    </row>
    <row r="168455" spans="21:21" x14ac:dyDescent="0.3">
      <c r="U168455" s="25"/>
    </row>
    <row r="168477" spans="21:21" x14ac:dyDescent="0.3">
      <c r="U168477" s="25"/>
    </row>
    <row r="168499" spans="21:21" x14ac:dyDescent="0.3">
      <c r="U168499" s="25"/>
    </row>
    <row r="168521" spans="21:21" x14ac:dyDescent="0.3">
      <c r="U168521" s="25"/>
    </row>
    <row r="168543" spans="21:21" x14ac:dyDescent="0.3">
      <c r="U168543" s="25"/>
    </row>
    <row r="168565" spans="21:21" x14ac:dyDescent="0.3">
      <c r="U168565" s="25"/>
    </row>
    <row r="168587" spans="21:21" x14ac:dyDescent="0.3">
      <c r="U168587" s="25"/>
    </row>
    <row r="168609" spans="21:21" x14ac:dyDescent="0.3">
      <c r="U168609" s="25"/>
    </row>
    <row r="168631" spans="21:21" x14ac:dyDescent="0.3">
      <c r="U168631" s="25"/>
    </row>
    <row r="168653" spans="21:21" x14ac:dyDescent="0.3">
      <c r="U168653" s="25"/>
    </row>
    <row r="168675" spans="21:21" x14ac:dyDescent="0.3">
      <c r="U168675" s="25"/>
    </row>
    <row r="168697" spans="21:21" x14ac:dyDescent="0.3">
      <c r="U168697" s="25"/>
    </row>
    <row r="168719" spans="21:21" x14ac:dyDescent="0.3">
      <c r="U168719" s="25"/>
    </row>
    <row r="168741" spans="21:21" x14ac:dyDescent="0.3">
      <c r="U168741" s="25"/>
    </row>
    <row r="168763" spans="21:21" x14ac:dyDescent="0.3">
      <c r="U168763" s="25"/>
    </row>
    <row r="168785" spans="21:21" x14ac:dyDescent="0.3">
      <c r="U168785" s="25"/>
    </row>
    <row r="168807" spans="21:21" x14ac:dyDescent="0.3">
      <c r="U168807" s="25"/>
    </row>
    <row r="168829" spans="21:21" x14ac:dyDescent="0.3">
      <c r="U168829" s="25"/>
    </row>
    <row r="168851" spans="21:21" x14ac:dyDescent="0.3">
      <c r="U168851" s="25"/>
    </row>
    <row r="168873" spans="21:21" x14ac:dyDescent="0.3">
      <c r="U168873" s="25"/>
    </row>
    <row r="168895" spans="21:21" x14ac:dyDescent="0.3">
      <c r="U168895" s="25"/>
    </row>
    <row r="168917" spans="21:21" x14ac:dyDescent="0.3">
      <c r="U168917" s="25"/>
    </row>
    <row r="168939" spans="21:21" x14ac:dyDescent="0.3">
      <c r="U168939" s="25"/>
    </row>
    <row r="168961" spans="21:21" x14ac:dyDescent="0.3">
      <c r="U168961" s="25"/>
    </row>
    <row r="168983" spans="21:21" x14ac:dyDescent="0.3">
      <c r="U168983" s="25"/>
    </row>
    <row r="169005" spans="21:21" x14ac:dyDescent="0.3">
      <c r="U169005" s="25"/>
    </row>
    <row r="169027" spans="21:21" x14ac:dyDescent="0.3">
      <c r="U169027" s="25"/>
    </row>
    <row r="169049" spans="21:21" x14ac:dyDescent="0.3">
      <c r="U169049" s="25"/>
    </row>
    <row r="169071" spans="21:21" x14ac:dyDescent="0.3">
      <c r="U169071" s="25"/>
    </row>
    <row r="169093" spans="21:21" x14ac:dyDescent="0.3">
      <c r="U169093" s="25"/>
    </row>
    <row r="169115" spans="21:21" x14ac:dyDescent="0.3">
      <c r="U169115" s="25"/>
    </row>
    <row r="169137" spans="21:21" x14ac:dyDescent="0.3">
      <c r="U169137" s="25"/>
    </row>
    <row r="169159" spans="21:21" x14ac:dyDescent="0.3">
      <c r="U169159" s="25"/>
    </row>
    <row r="169181" spans="21:21" x14ac:dyDescent="0.3">
      <c r="U169181" s="25"/>
    </row>
    <row r="169203" spans="21:21" x14ac:dyDescent="0.3">
      <c r="U169203" s="25"/>
    </row>
    <row r="169225" spans="21:21" x14ac:dyDescent="0.3">
      <c r="U169225" s="25"/>
    </row>
    <row r="169247" spans="21:21" x14ac:dyDescent="0.3">
      <c r="U169247" s="25"/>
    </row>
    <row r="169269" spans="21:21" x14ac:dyDescent="0.3">
      <c r="U169269" s="25"/>
    </row>
    <row r="169291" spans="21:21" x14ac:dyDescent="0.3">
      <c r="U169291" s="25"/>
    </row>
    <row r="169313" spans="21:21" x14ac:dyDescent="0.3">
      <c r="U169313" s="25"/>
    </row>
    <row r="169335" spans="21:21" x14ac:dyDescent="0.3">
      <c r="U169335" s="25"/>
    </row>
    <row r="169357" spans="21:21" x14ac:dyDescent="0.3">
      <c r="U169357" s="25"/>
    </row>
    <row r="169379" spans="21:21" x14ac:dyDescent="0.3">
      <c r="U169379" s="25"/>
    </row>
    <row r="169401" spans="21:21" x14ac:dyDescent="0.3">
      <c r="U169401" s="25"/>
    </row>
    <row r="169423" spans="21:21" x14ac:dyDescent="0.3">
      <c r="U169423" s="25"/>
    </row>
    <row r="169445" spans="21:21" x14ac:dyDescent="0.3">
      <c r="U169445" s="25"/>
    </row>
    <row r="169467" spans="21:21" x14ac:dyDescent="0.3">
      <c r="U169467" s="25"/>
    </row>
    <row r="169489" spans="21:21" x14ac:dyDescent="0.3">
      <c r="U169489" s="25"/>
    </row>
    <row r="169511" spans="21:21" x14ac:dyDescent="0.3">
      <c r="U169511" s="25"/>
    </row>
    <row r="169533" spans="21:21" x14ac:dyDescent="0.3">
      <c r="U169533" s="25"/>
    </row>
    <row r="169555" spans="21:21" x14ac:dyDescent="0.3">
      <c r="U169555" s="25"/>
    </row>
    <row r="169577" spans="21:21" x14ac:dyDescent="0.3">
      <c r="U169577" s="25"/>
    </row>
    <row r="169599" spans="21:21" x14ac:dyDescent="0.3">
      <c r="U169599" s="25"/>
    </row>
    <row r="169621" spans="21:21" x14ac:dyDescent="0.3">
      <c r="U169621" s="25"/>
    </row>
    <row r="169643" spans="21:21" x14ac:dyDescent="0.3">
      <c r="U169643" s="25"/>
    </row>
    <row r="169665" spans="21:21" x14ac:dyDescent="0.3">
      <c r="U169665" s="25"/>
    </row>
    <row r="169687" spans="21:21" x14ac:dyDescent="0.3">
      <c r="U169687" s="25"/>
    </row>
    <row r="169709" spans="21:21" x14ac:dyDescent="0.3">
      <c r="U169709" s="25"/>
    </row>
    <row r="169731" spans="21:21" x14ac:dyDescent="0.3">
      <c r="U169731" s="25"/>
    </row>
    <row r="169753" spans="21:21" x14ac:dyDescent="0.3">
      <c r="U169753" s="25"/>
    </row>
    <row r="169775" spans="21:21" x14ac:dyDescent="0.3">
      <c r="U169775" s="25"/>
    </row>
    <row r="169797" spans="21:21" x14ac:dyDescent="0.3">
      <c r="U169797" s="25"/>
    </row>
    <row r="169819" spans="21:21" x14ac:dyDescent="0.3">
      <c r="U169819" s="25"/>
    </row>
    <row r="169841" spans="21:21" x14ac:dyDescent="0.3">
      <c r="U169841" s="25"/>
    </row>
    <row r="169863" spans="21:21" x14ac:dyDescent="0.3">
      <c r="U169863" s="25"/>
    </row>
    <row r="169885" spans="21:21" x14ac:dyDescent="0.3">
      <c r="U169885" s="25"/>
    </row>
    <row r="169907" spans="21:21" x14ac:dyDescent="0.3">
      <c r="U169907" s="25"/>
    </row>
    <row r="169929" spans="21:21" x14ac:dyDescent="0.3">
      <c r="U169929" s="25"/>
    </row>
    <row r="169951" spans="21:21" x14ac:dyDescent="0.3">
      <c r="U169951" s="25"/>
    </row>
    <row r="169973" spans="21:21" x14ac:dyDescent="0.3">
      <c r="U169973" s="25"/>
    </row>
    <row r="169995" spans="21:21" x14ac:dyDescent="0.3">
      <c r="U169995" s="25"/>
    </row>
    <row r="170017" spans="21:21" x14ac:dyDescent="0.3">
      <c r="U170017" s="25"/>
    </row>
    <row r="170039" spans="21:21" x14ac:dyDescent="0.3">
      <c r="U170039" s="25"/>
    </row>
    <row r="170061" spans="21:21" x14ac:dyDescent="0.3">
      <c r="U170061" s="25"/>
    </row>
    <row r="170083" spans="21:21" x14ac:dyDescent="0.3">
      <c r="U170083" s="25"/>
    </row>
    <row r="170105" spans="21:21" x14ac:dyDescent="0.3">
      <c r="U170105" s="25"/>
    </row>
    <row r="170127" spans="21:21" x14ac:dyDescent="0.3">
      <c r="U170127" s="25"/>
    </row>
    <row r="170149" spans="21:21" x14ac:dyDescent="0.3">
      <c r="U170149" s="25"/>
    </row>
    <row r="170171" spans="21:21" x14ac:dyDescent="0.3">
      <c r="U170171" s="25"/>
    </row>
    <row r="170193" spans="21:21" x14ac:dyDescent="0.3">
      <c r="U170193" s="25"/>
    </row>
    <row r="170215" spans="21:21" x14ac:dyDescent="0.3">
      <c r="U170215" s="25"/>
    </row>
    <row r="170237" spans="21:21" x14ac:dyDescent="0.3">
      <c r="U170237" s="25"/>
    </row>
    <row r="170259" spans="21:21" x14ac:dyDescent="0.3">
      <c r="U170259" s="25"/>
    </row>
    <row r="170281" spans="21:21" x14ac:dyDescent="0.3">
      <c r="U170281" s="25"/>
    </row>
    <row r="170303" spans="21:21" x14ac:dyDescent="0.3">
      <c r="U170303" s="25"/>
    </row>
    <row r="170325" spans="21:21" x14ac:dyDescent="0.3">
      <c r="U170325" s="25"/>
    </row>
    <row r="170347" spans="21:21" x14ac:dyDescent="0.3">
      <c r="U170347" s="25"/>
    </row>
    <row r="170369" spans="21:21" x14ac:dyDescent="0.3">
      <c r="U170369" s="25"/>
    </row>
    <row r="170391" spans="21:21" x14ac:dyDescent="0.3">
      <c r="U170391" s="25"/>
    </row>
    <row r="170413" spans="21:21" x14ac:dyDescent="0.3">
      <c r="U170413" s="25"/>
    </row>
    <row r="170435" spans="21:21" x14ac:dyDescent="0.3">
      <c r="U170435" s="25"/>
    </row>
    <row r="170457" spans="21:21" x14ac:dyDescent="0.3">
      <c r="U170457" s="25"/>
    </row>
    <row r="170479" spans="21:21" x14ac:dyDescent="0.3">
      <c r="U170479" s="25"/>
    </row>
    <row r="170501" spans="21:21" x14ac:dyDescent="0.3">
      <c r="U170501" s="25"/>
    </row>
    <row r="170523" spans="21:21" x14ac:dyDescent="0.3">
      <c r="U170523" s="25"/>
    </row>
    <row r="170545" spans="21:21" x14ac:dyDescent="0.3">
      <c r="U170545" s="25"/>
    </row>
    <row r="170567" spans="21:21" x14ac:dyDescent="0.3">
      <c r="U170567" s="25"/>
    </row>
    <row r="170589" spans="21:21" x14ac:dyDescent="0.3">
      <c r="U170589" s="25"/>
    </row>
    <row r="170611" spans="21:21" x14ac:dyDescent="0.3">
      <c r="U170611" s="25"/>
    </row>
    <row r="170633" spans="21:21" x14ac:dyDescent="0.3">
      <c r="U170633" s="25"/>
    </row>
    <row r="170655" spans="21:21" x14ac:dyDescent="0.3">
      <c r="U170655" s="25"/>
    </row>
    <row r="170677" spans="21:21" x14ac:dyDescent="0.3">
      <c r="U170677" s="25"/>
    </row>
    <row r="170699" spans="21:21" x14ac:dyDescent="0.3">
      <c r="U170699" s="25"/>
    </row>
    <row r="170721" spans="21:21" x14ac:dyDescent="0.3">
      <c r="U170721" s="25"/>
    </row>
    <row r="170743" spans="21:21" x14ac:dyDescent="0.3">
      <c r="U170743" s="25"/>
    </row>
    <row r="170765" spans="21:21" x14ac:dyDescent="0.3">
      <c r="U170765" s="25"/>
    </row>
    <row r="170787" spans="21:21" x14ac:dyDescent="0.3">
      <c r="U170787" s="25"/>
    </row>
    <row r="170809" spans="21:21" x14ac:dyDescent="0.3">
      <c r="U170809" s="25"/>
    </row>
    <row r="170831" spans="21:21" x14ac:dyDescent="0.3">
      <c r="U170831" s="25"/>
    </row>
    <row r="170853" spans="21:21" x14ac:dyDescent="0.3">
      <c r="U170853" s="25"/>
    </row>
    <row r="170875" spans="21:21" x14ac:dyDescent="0.3">
      <c r="U170875" s="25"/>
    </row>
    <row r="170897" spans="21:21" x14ac:dyDescent="0.3">
      <c r="U170897" s="25"/>
    </row>
    <row r="170919" spans="21:21" x14ac:dyDescent="0.3">
      <c r="U170919" s="25"/>
    </row>
    <row r="170941" spans="21:21" x14ac:dyDescent="0.3">
      <c r="U170941" s="25"/>
    </row>
    <row r="170963" spans="21:21" x14ac:dyDescent="0.3">
      <c r="U170963" s="25"/>
    </row>
    <row r="170985" spans="21:21" x14ac:dyDescent="0.3">
      <c r="U170985" s="25"/>
    </row>
    <row r="171007" spans="21:21" x14ac:dyDescent="0.3">
      <c r="U171007" s="25"/>
    </row>
    <row r="171029" spans="21:21" x14ac:dyDescent="0.3">
      <c r="U171029" s="25"/>
    </row>
    <row r="171051" spans="21:21" x14ac:dyDescent="0.3">
      <c r="U171051" s="25"/>
    </row>
    <row r="171073" spans="21:21" x14ac:dyDescent="0.3">
      <c r="U171073" s="25"/>
    </row>
    <row r="171095" spans="21:21" x14ac:dyDescent="0.3">
      <c r="U171095" s="25"/>
    </row>
    <row r="171117" spans="21:21" x14ac:dyDescent="0.3">
      <c r="U171117" s="25"/>
    </row>
    <row r="171139" spans="21:21" x14ac:dyDescent="0.3">
      <c r="U171139" s="25"/>
    </row>
    <row r="171161" spans="21:21" x14ac:dyDescent="0.3">
      <c r="U171161" s="25"/>
    </row>
    <row r="171183" spans="21:21" x14ac:dyDescent="0.3">
      <c r="U171183" s="25"/>
    </row>
    <row r="171205" spans="21:21" x14ac:dyDescent="0.3">
      <c r="U171205" s="25"/>
    </row>
    <row r="171227" spans="21:21" x14ac:dyDescent="0.3">
      <c r="U171227" s="25"/>
    </row>
    <row r="171249" spans="21:21" x14ac:dyDescent="0.3">
      <c r="U171249" s="25"/>
    </row>
    <row r="171271" spans="21:21" x14ac:dyDescent="0.3">
      <c r="U171271" s="25"/>
    </row>
    <row r="171293" spans="21:21" x14ac:dyDescent="0.3">
      <c r="U171293" s="25"/>
    </row>
    <row r="171315" spans="21:21" x14ac:dyDescent="0.3">
      <c r="U171315" s="25"/>
    </row>
    <row r="171337" spans="21:21" x14ac:dyDescent="0.3">
      <c r="U171337" s="25"/>
    </row>
    <row r="171359" spans="21:21" x14ac:dyDescent="0.3">
      <c r="U171359" s="25"/>
    </row>
    <row r="171381" spans="21:21" x14ac:dyDescent="0.3">
      <c r="U171381" s="25"/>
    </row>
    <row r="171403" spans="21:21" x14ac:dyDescent="0.3">
      <c r="U171403" s="25"/>
    </row>
    <row r="171425" spans="21:21" x14ac:dyDescent="0.3">
      <c r="U171425" s="25"/>
    </row>
    <row r="171447" spans="21:21" x14ac:dyDescent="0.3">
      <c r="U171447" s="25"/>
    </row>
    <row r="171469" spans="21:21" x14ac:dyDescent="0.3">
      <c r="U171469" s="25"/>
    </row>
    <row r="171491" spans="21:21" x14ac:dyDescent="0.3">
      <c r="U171491" s="25"/>
    </row>
    <row r="171513" spans="21:21" x14ac:dyDescent="0.3">
      <c r="U171513" s="25"/>
    </row>
    <row r="171535" spans="21:21" x14ac:dyDescent="0.3">
      <c r="U171535" s="25"/>
    </row>
    <row r="171557" spans="21:21" x14ac:dyDescent="0.3">
      <c r="U171557" s="25"/>
    </row>
    <row r="171579" spans="21:21" x14ac:dyDescent="0.3">
      <c r="U171579" s="25"/>
    </row>
    <row r="171601" spans="21:21" x14ac:dyDescent="0.3">
      <c r="U171601" s="25"/>
    </row>
    <row r="171623" spans="21:21" x14ac:dyDescent="0.3">
      <c r="U171623" s="25"/>
    </row>
    <row r="171645" spans="21:21" x14ac:dyDescent="0.3">
      <c r="U171645" s="25"/>
    </row>
    <row r="171667" spans="21:21" x14ac:dyDescent="0.3">
      <c r="U171667" s="25"/>
    </row>
    <row r="171689" spans="21:21" x14ac:dyDescent="0.3">
      <c r="U171689" s="25"/>
    </row>
    <row r="171711" spans="21:21" x14ac:dyDescent="0.3">
      <c r="U171711" s="25"/>
    </row>
    <row r="171733" spans="21:21" x14ac:dyDescent="0.3">
      <c r="U171733" s="25"/>
    </row>
    <row r="171755" spans="21:21" x14ac:dyDescent="0.3">
      <c r="U171755" s="25"/>
    </row>
    <row r="171777" spans="21:21" x14ac:dyDescent="0.3">
      <c r="U171777" s="25"/>
    </row>
    <row r="171799" spans="21:21" x14ac:dyDescent="0.3">
      <c r="U171799" s="25"/>
    </row>
    <row r="171821" spans="21:21" x14ac:dyDescent="0.3">
      <c r="U171821" s="25"/>
    </row>
    <row r="171843" spans="21:21" x14ac:dyDescent="0.3">
      <c r="U171843" s="25"/>
    </row>
    <row r="171865" spans="21:21" x14ac:dyDescent="0.3">
      <c r="U171865" s="25"/>
    </row>
    <row r="171887" spans="21:21" x14ac:dyDescent="0.3">
      <c r="U171887" s="25"/>
    </row>
    <row r="171909" spans="21:21" x14ac:dyDescent="0.3">
      <c r="U171909" s="25"/>
    </row>
    <row r="171931" spans="21:21" x14ac:dyDescent="0.3">
      <c r="U171931" s="25"/>
    </row>
    <row r="171953" spans="21:21" x14ac:dyDescent="0.3">
      <c r="U171953" s="25"/>
    </row>
    <row r="171975" spans="21:21" x14ac:dyDescent="0.3">
      <c r="U171975" s="25"/>
    </row>
    <row r="171997" spans="21:21" x14ac:dyDescent="0.3">
      <c r="U171997" s="25"/>
    </row>
    <row r="172019" spans="21:21" x14ac:dyDescent="0.3">
      <c r="U172019" s="25"/>
    </row>
    <row r="172041" spans="21:21" x14ac:dyDescent="0.3">
      <c r="U172041" s="25"/>
    </row>
    <row r="172063" spans="21:21" x14ac:dyDescent="0.3">
      <c r="U172063" s="25"/>
    </row>
    <row r="172085" spans="21:21" x14ac:dyDescent="0.3">
      <c r="U172085" s="25"/>
    </row>
    <row r="172107" spans="21:21" x14ac:dyDescent="0.3">
      <c r="U172107" s="25"/>
    </row>
    <row r="172129" spans="21:21" x14ac:dyDescent="0.3">
      <c r="U172129" s="25"/>
    </row>
    <row r="172151" spans="21:21" x14ac:dyDescent="0.3">
      <c r="U172151" s="25"/>
    </row>
    <row r="172173" spans="21:21" x14ac:dyDescent="0.3">
      <c r="U172173" s="25"/>
    </row>
    <row r="172195" spans="21:21" x14ac:dyDescent="0.3">
      <c r="U172195" s="25"/>
    </row>
    <row r="172217" spans="21:21" x14ac:dyDescent="0.3">
      <c r="U172217" s="25"/>
    </row>
    <row r="172239" spans="21:21" x14ac:dyDescent="0.3">
      <c r="U172239" s="25"/>
    </row>
    <row r="172261" spans="21:21" x14ac:dyDescent="0.3">
      <c r="U172261" s="25"/>
    </row>
    <row r="172283" spans="21:21" x14ac:dyDescent="0.3">
      <c r="U172283" s="25"/>
    </row>
    <row r="172305" spans="21:21" x14ac:dyDescent="0.3">
      <c r="U172305" s="25"/>
    </row>
    <row r="172327" spans="21:21" x14ac:dyDescent="0.3">
      <c r="U172327" s="25"/>
    </row>
    <row r="172349" spans="21:21" x14ac:dyDescent="0.3">
      <c r="U172349" s="25"/>
    </row>
    <row r="172371" spans="21:21" x14ac:dyDescent="0.3">
      <c r="U172371" s="25"/>
    </row>
    <row r="172393" spans="21:21" x14ac:dyDescent="0.3">
      <c r="U172393" s="25"/>
    </row>
    <row r="172415" spans="21:21" x14ac:dyDescent="0.3">
      <c r="U172415" s="25"/>
    </row>
    <row r="172437" spans="21:21" x14ac:dyDescent="0.3">
      <c r="U172437" s="25"/>
    </row>
    <row r="172459" spans="21:21" x14ac:dyDescent="0.3">
      <c r="U172459" s="25"/>
    </row>
    <row r="172481" spans="21:21" x14ac:dyDescent="0.3">
      <c r="U172481" s="25"/>
    </row>
    <row r="172503" spans="21:21" x14ac:dyDescent="0.3">
      <c r="U172503" s="25"/>
    </row>
    <row r="172525" spans="21:21" x14ac:dyDescent="0.3">
      <c r="U172525" s="25"/>
    </row>
    <row r="172547" spans="21:21" x14ac:dyDescent="0.3">
      <c r="U172547" s="25"/>
    </row>
    <row r="172569" spans="21:21" x14ac:dyDescent="0.3">
      <c r="U172569" s="25"/>
    </row>
    <row r="172591" spans="21:21" x14ac:dyDescent="0.3">
      <c r="U172591" s="25"/>
    </row>
    <row r="172613" spans="21:21" x14ac:dyDescent="0.3">
      <c r="U172613" s="25"/>
    </row>
    <row r="172635" spans="21:21" x14ac:dyDescent="0.3">
      <c r="U172635" s="25"/>
    </row>
    <row r="172657" spans="21:21" x14ac:dyDescent="0.3">
      <c r="U172657" s="25"/>
    </row>
    <row r="172679" spans="21:21" x14ac:dyDescent="0.3">
      <c r="U172679" s="25"/>
    </row>
    <row r="172701" spans="21:21" x14ac:dyDescent="0.3">
      <c r="U172701" s="25"/>
    </row>
    <row r="172723" spans="21:21" x14ac:dyDescent="0.3">
      <c r="U172723" s="25"/>
    </row>
    <row r="172745" spans="21:21" x14ac:dyDescent="0.3">
      <c r="U172745" s="25"/>
    </row>
    <row r="172767" spans="21:21" x14ac:dyDescent="0.3">
      <c r="U172767" s="25"/>
    </row>
    <row r="172789" spans="21:21" x14ac:dyDescent="0.3">
      <c r="U172789" s="25"/>
    </row>
    <row r="172811" spans="21:21" x14ac:dyDescent="0.3">
      <c r="U172811" s="25"/>
    </row>
    <row r="172833" spans="21:21" x14ac:dyDescent="0.3">
      <c r="U172833" s="25"/>
    </row>
    <row r="172855" spans="21:21" x14ac:dyDescent="0.3">
      <c r="U172855" s="25"/>
    </row>
    <row r="172877" spans="21:21" x14ac:dyDescent="0.3">
      <c r="U172877" s="25"/>
    </row>
    <row r="172899" spans="21:21" x14ac:dyDescent="0.3">
      <c r="U172899" s="25"/>
    </row>
    <row r="172921" spans="21:21" x14ac:dyDescent="0.3">
      <c r="U172921" s="25"/>
    </row>
    <row r="172943" spans="21:21" x14ac:dyDescent="0.3">
      <c r="U172943" s="25"/>
    </row>
    <row r="172965" spans="21:21" x14ac:dyDescent="0.3">
      <c r="U172965" s="25"/>
    </row>
    <row r="172987" spans="21:21" x14ac:dyDescent="0.3">
      <c r="U172987" s="25"/>
    </row>
    <row r="173009" spans="21:21" x14ac:dyDescent="0.3">
      <c r="U173009" s="25"/>
    </row>
    <row r="173031" spans="21:21" x14ac:dyDescent="0.3">
      <c r="U173031" s="25"/>
    </row>
    <row r="173053" spans="21:21" x14ac:dyDescent="0.3">
      <c r="U173053" s="25"/>
    </row>
    <row r="173075" spans="21:21" x14ac:dyDescent="0.3">
      <c r="U173075" s="25"/>
    </row>
    <row r="173097" spans="21:21" x14ac:dyDescent="0.3">
      <c r="U173097" s="25"/>
    </row>
    <row r="173119" spans="21:21" x14ac:dyDescent="0.3">
      <c r="U173119" s="25"/>
    </row>
    <row r="173141" spans="21:21" x14ac:dyDescent="0.3">
      <c r="U173141" s="25"/>
    </row>
    <row r="173163" spans="21:21" x14ac:dyDescent="0.3">
      <c r="U173163" s="25"/>
    </row>
    <row r="173185" spans="21:21" x14ac:dyDescent="0.3">
      <c r="U173185" s="25"/>
    </row>
    <row r="173207" spans="21:21" x14ac:dyDescent="0.3">
      <c r="U173207" s="25"/>
    </row>
    <row r="173229" spans="21:21" x14ac:dyDescent="0.3">
      <c r="U173229" s="25"/>
    </row>
    <row r="173251" spans="21:21" x14ac:dyDescent="0.3">
      <c r="U173251" s="25"/>
    </row>
    <row r="173273" spans="21:21" x14ac:dyDescent="0.3">
      <c r="U173273" s="25"/>
    </row>
    <row r="173295" spans="21:21" x14ac:dyDescent="0.3">
      <c r="U173295" s="25"/>
    </row>
    <row r="173317" spans="21:21" x14ac:dyDescent="0.3">
      <c r="U173317" s="25"/>
    </row>
    <row r="173339" spans="21:21" x14ac:dyDescent="0.3">
      <c r="U173339" s="25"/>
    </row>
    <row r="173361" spans="21:21" x14ac:dyDescent="0.3">
      <c r="U173361" s="25"/>
    </row>
    <row r="173383" spans="21:21" x14ac:dyDescent="0.3">
      <c r="U173383" s="25"/>
    </row>
    <row r="173405" spans="21:21" x14ac:dyDescent="0.3">
      <c r="U173405" s="25"/>
    </row>
    <row r="173427" spans="21:21" x14ac:dyDescent="0.3">
      <c r="U173427" s="25"/>
    </row>
    <row r="173449" spans="21:21" x14ac:dyDescent="0.3">
      <c r="U173449" s="25"/>
    </row>
    <row r="173471" spans="21:21" x14ac:dyDescent="0.3">
      <c r="U173471" s="25"/>
    </row>
    <row r="173493" spans="21:21" x14ac:dyDescent="0.3">
      <c r="U173493" s="25"/>
    </row>
    <row r="173515" spans="21:21" x14ac:dyDescent="0.3">
      <c r="U173515" s="25"/>
    </row>
    <row r="173537" spans="21:21" x14ac:dyDescent="0.3">
      <c r="U173537" s="25"/>
    </row>
    <row r="173559" spans="21:21" x14ac:dyDescent="0.3">
      <c r="U173559" s="25"/>
    </row>
    <row r="173581" spans="21:21" x14ac:dyDescent="0.3">
      <c r="U173581" s="25"/>
    </row>
    <row r="173603" spans="21:21" x14ac:dyDescent="0.3">
      <c r="U173603" s="25"/>
    </row>
    <row r="173625" spans="21:21" x14ac:dyDescent="0.3">
      <c r="U173625" s="25"/>
    </row>
    <row r="173647" spans="21:21" x14ac:dyDescent="0.3">
      <c r="U173647" s="25"/>
    </row>
    <row r="173669" spans="21:21" x14ac:dyDescent="0.3">
      <c r="U173669" s="25"/>
    </row>
    <row r="173691" spans="21:21" x14ac:dyDescent="0.3">
      <c r="U173691" s="25"/>
    </row>
    <row r="173713" spans="21:21" x14ac:dyDescent="0.3">
      <c r="U173713" s="25"/>
    </row>
    <row r="173735" spans="21:21" x14ac:dyDescent="0.3">
      <c r="U173735" s="25"/>
    </row>
    <row r="173757" spans="21:21" x14ac:dyDescent="0.3">
      <c r="U173757" s="25"/>
    </row>
    <row r="173779" spans="21:21" x14ac:dyDescent="0.3">
      <c r="U173779" s="25"/>
    </row>
    <row r="173801" spans="21:21" x14ac:dyDescent="0.3">
      <c r="U173801" s="25"/>
    </row>
    <row r="173823" spans="21:21" x14ac:dyDescent="0.3">
      <c r="U173823" s="25"/>
    </row>
    <row r="173845" spans="21:21" x14ac:dyDescent="0.3">
      <c r="U173845" s="25"/>
    </row>
    <row r="173867" spans="21:21" x14ac:dyDescent="0.3">
      <c r="U173867" s="25"/>
    </row>
    <row r="173889" spans="21:21" x14ac:dyDescent="0.3">
      <c r="U173889" s="25"/>
    </row>
    <row r="173911" spans="21:21" x14ac:dyDescent="0.3">
      <c r="U173911" s="25"/>
    </row>
    <row r="173933" spans="21:21" x14ac:dyDescent="0.3">
      <c r="U173933" s="25"/>
    </row>
    <row r="173955" spans="21:21" x14ac:dyDescent="0.3">
      <c r="U173955" s="25"/>
    </row>
    <row r="173977" spans="21:21" x14ac:dyDescent="0.3">
      <c r="U173977" s="25"/>
    </row>
    <row r="173999" spans="21:21" x14ac:dyDescent="0.3">
      <c r="U173999" s="25"/>
    </row>
    <row r="174021" spans="21:21" x14ac:dyDescent="0.3">
      <c r="U174021" s="25"/>
    </row>
    <row r="174043" spans="21:21" x14ac:dyDescent="0.3">
      <c r="U174043" s="25"/>
    </row>
    <row r="174065" spans="21:21" x14ac:dyDescent="0.3">
      <c r="U174065" s="25"/>
    </row>
    <row r="174087" spans="21:21" x14ac:dyDescent="0.3">
      <c r="U174087" s="25"/>
    </row>
    <row r="174109" spans="21:21" x14ac:dyDescent="0.3">
      <c r="U174109" s="25"/>
    </row>
    <row r="174131" spans="21:21" x14ac:dyDescent="0.3">
      <c r="U174131" s="25"/>
    </row>
    <row r="174153" spans="21:21" x14ac:dyDescent="0.3">
      <c r="U174153" s="25"/>
    </row>
    <row r="174175" spans="21:21" x14ac:dyDescent="0.3">
      <c r="U174175" s="25"/>
    </row>
    <row r="174197" spans="21:21" x14ac:dyDescent="0.3">
      <c r="U174197" s="25"/>
    </row>
    <row r="174219" spans="21:21" x14ac:dyDescent="0.3">
      <c r="U174219" s="25"/>
    </row>
    <row r="174241" spans="21:21" x14ac:dyDescent="0.3">
      <c r="U174241" s="25"/>
    </row>
    <row r="174263" spans="21:21" x14ac:dyDescent="0.3">
      <c r="U174263" s="25"/>
    </row>
    <row r="174285" spans="21:21" x14ac:dyDescent="0.3">
      <c r="U174285" s="25"/>
    </row>
    <row r="174307" spans="21:21" x14ac:dyDescent="0.3">
      <c r="U174307" s="25"/>
    </row>
    <row r="174329" spans="21:21" x14ac:dyDescent="0.3">
      <c r="U174329" s="25"/>
    </row>
    <row r="174351" spans="21:21" x14ac:dyDescent="0.3">
      <c r="U174351" s="25"/>
    </row>
    <row r="174373" spans="21:21" x14ac:dyDescent="0.3">
      <c r="U174373" s="25"/>
    </row>
    <row r="174395" spans="21:21" x14ac:dyDescent="0.3">
      <c r="U174395" s="25"/>
    </row>
    <row r="174417" spans="21:21" x14ac:dyDescent="0.3">
      <c r="U174417" s="25"/>
    </row>
    <row r="174439" spans="21:21" x14ac:dyDescent="0.3">
      <c r="U174439" s="25"/>
    </row>
    <row r="174461" spans="21:21" x14ac:dyDescent="0.3">
      <c r="U174461" s="25"/>
    </row>
    <row r="174483" spans="21:21" x14ac:dyDescent="0.3">
      <c r="U174483" s="25"/>
    </row>
    <row r="174505" spans="21:21" x14ac:dyDescent="0.3">
      <c r="U174505" s="25"/>
    </row>
    <row r="174527" spans="21:21" x14ac:dyDescent="0.3">
      <c r="U174527" s="25"/>
    </row>
    <row r="174549" spans="21:21" x14ac:dyDescent="0.3">
      <c r="U174549" s="25"/>
    </row>
    <row r="174571" spans="21:21" x14ac:dyDescent="0.3">
      <c r="U174571" s="25"/>
    </row>
    <row r="174593" spans="21:21" x14ac:dyDescent="0.3">
      <c r="U174593" s="25"/>
    </row>
    <row r="174615" spans="21:21" x14ac:dyDescent="0.3">
      <c r="U174615" s="25"/>
    </row>
    <row r="174637" spans="21:21" x14ac:dyDescent="0.3">
      <c r="U174637" s="25"/>
    </row>
    <row r="174659" spans="21:21" x14ac:dyDescent="0.3">
      <c r="U174659" s="25"/>
    </row>
    <row r="174681" spans="21:21" x14ac:dyDescent="0.3">
      <c r="U174681" s="25"/>
    </row>
    <row r="174703" spans="21:21" x14ac:dyDescent="0.3">
      <c r="U174703" s="25"/>
    </row>
    <row r="174725" spans="21:21" x14ac:dyDescent="0.3">
      <c r="U174725" s="25"/>
    </row>
    <row r="174747" spans="21:21" x14ac:dyDescent="0.3">
      <c r="U174747" s="25"/>
    </row>
    <row r="174769" spans="21:21" x14ac:dyDescent="0.3">
      <c r="U174769" s="25"/>
    </row>
    <row r="174791" spans="21:21" x14ac:dyDescent="0.3">
      <c r="U174791" s="25"/>
    </row>
    <row r="174813" spans="21:21" x14ac:dyDescent="0.3">
      <c r="U174813" s="25"/>
    </row>
    <row r="174835" spans="21:21" x14ac:dyDescent="0.3">
      <c r="U174835" s="25"/>
    </row>
    <row r="174857" spans="21:21" x14ac:dyDescent="0.3">
      <c r="U174857" s="25"/>
    </row>
    <row r="174879" spans="21:21" x14ac:dyDescent="0.3">
      <c r="U174879" s="25"/>
    </row>
    <row r="174901" spans="21:21" x14ac:dyDescent="0.3">
      <c r="U174901" s="25"/>
    </row>
    <row r="174923" spans="21:21" x14ac:dyDescent="0.3">
      <c r="U174923" s="25"/>
    </row>
    <row r="174945" spans="21:21" x14ac:dyDescent="0.3">
      <c r="U174945" s="25"/>
    </row>
    <row r="174967" spans="21:21" x14ac:dyDescent="0.3">
      <c r="U174967" s="25"/>
    </row>
    <row r="174989" spans="21:21" x14ac:dyDescent="0.3">
      <c r="U174989" s="25"/>
    </row>
    <row r="175011" spans="21:21" x14ac:dyDescent="0.3">
      <c r="U175011" s="25"/>
    </row>
    <row r="175033" spans="21:21" x14ac:dyDescent="0.3">
      <c r="U175033" s="25"/>
    </row>
    <row r="175055" spans="21:21" x14ac:dyDescent="0.3">
      <c r="U175055" s="25"/>
    </row>
    <row r="175077" spans="21:21" x14ac:dyDescent="0.3">
      <c r="U175077" s="25"/>
    </row>
    <row r="175099" spans="21:21" x14ac:dyDescent="0.3">
      <c r="U175099" s="25"/>
    </row>
    <row r="175121" spans="21:21" x14ac:dyDescent="0.3">
      <c r="U175121" s="25"/>
    </row>
    <row r="175143" spans="21:21" x14ac:dyDescent="0.3">
      <c r="U175143" s="25"/>
    </row>
    <row r="175165" spans="21:21" x14ac:dyDescent="0.3">
      <c r="U175165" s="25"/>
    </row>
    <row r="175187" spans="21:21" x14ac:dyDescent="0.3">
      <c r="U175187" s="25"/>
    </row>
    <row r="175209" spans="21:21" x14ac:dyDescent="0.3">
      <c r="U175209" s="25"/>
    </row>
    <row r="175231" spans="21:21" x14ac:dyDescent="0.3">
      <c r="U175231" s="25"/>
    </row>
    <row r="175253" spans="21:21" x14ac:dyDescent="0.3">
      <c r="U175253" s="25"/>
    </row>
    <row r="175275" spans="21:21" x14ac:dyDescent="0.3">
      <c r="U175275" s="25"/>
    </row>
    <row r="175297" spans="21:21" x14ac:dyDescent="0.3">
      <c r="U175297" s="25"/>
    </row>
    <row r="175319" spans="21:21" x14ac:dyDescent="0.3">
      <c r="U175319" s="25"/>
    </row>
    <row r="175341" spans="21:21" x14ac:dyDescent="0.3">
      <c r="U175341" s="25"/>
    </row>
    <row r="175363" spans="21:21" x14ac:dyDescent="0.3">
      <c r="U175363" s="25"/>
    </row>
    <row r="175385" spans="21:21" x14ac:dyDescent="0.3">
      <c r="U175385" s="25"/>
    </row>
    <row r="175407" spans="21:21" x14ac:dyDescent="0.3">
      <c r="U175407" s="25"/>
    </row>
    <row r="175429" spans="21:21" x14ac:dyDescent="0.3">
      <c r="U175429" s="25"/>
    </row>
    <row r="175451" spans="21:21" x14ac:dyDescent="0.3">
      <c r="U175451" s="25"/>
    </row>
    <row r="175473" spans="21:21" x14ac:dyDescent="0.3">
      <c r="U175473" s="25"/>
    </row>
    <row r="175495" spans="21:21" x14ac:dyDescent="0.3">
      <c r="U175495" s="25"/>
    </row>
    <row r="175517" spans="21:21" x14ac:dyDescent="0.3">
      <c r="U175517" s="25"/>
    </row>
    <row r="175539" spans="21:21" x14ac:dyDescent="0.3">
      <c r="U175539" s="25"/>
    </row>
    <row r="175561" spans="21:21" x14ac:dyDescent="0.3">
      <c r="U175561" s="25"/>
    </row>
    <row r="175583" spans="21:21" x14ac:dyDescent="0.3">
      <c r="U175583" s="25"/>
    </row>
    <row r="175605" spans="21:21" x14ac:dyDescent="0.3">
      <c r="U175605" s="25"/>
    </row>
    <row r="175627" spans="21:21" x14ac:dyDescent="0.3">
      <c r="U175627" s="25"/>
    </row>
    <row r="175649" spans="21:21" x14ac:dyDescent="0.3">
      <c r="U175649" s="25"/>
    </row>
    <row r="175671" spans="21:21" x14ac:dyDescent="0.3">
      <c r="U175671" s="25"/>
    </row>
    <row r="175693" spans="21:21" x14ac:dyDescent="0.3">
      <c r="U175693" s="25"/>
    </row>
    <row r="175715" spans="21:21" x14ac:dyDescent="0.3">
      <c r="U175715" s="25"/>
    </row>
    <row r="175737" spans="21:21" x14ac:dyDescent="0.3">
      <c r="U175737" s="25"/>
    </row>
    <row r="175759" spans="21:21" x14ac:dyDescent="0.3">
      <c r="U175759" s="25"/>
    </row>
    <row r="175781" spans="21:21" x14ac:dyDescent="0.3">
      <c r="U175781" s="25"/>
    </row>
    <row r="175803" spans="21:21" x14ac:dyDescent="0.3">
      <c r="U175803" s="25"/>
    </row>
    <row r="175825" spans="21:21" x14ac:dyDescent="0.3">
      <c r="U175825" s="25"/>
    </row>
    <row r="175847" spans="21:21" x14ac:dyDescent="0.3">
      <c r="U175847" s="25"/>
    </row>
    <row r="175869" spans="21:21" x14ac:dyDescent="0.3">
      <c r="U175869" s="25"/>
    </row>
    <row r="175891" spans="21:21" x14ac:dyDescent="0.3">
      <c r="U175891" s="25"/>
    </row>
    <row r="175913" spans="21:21" x14ac:dyDescent="0.3">
      <c r="U175913" s="25"/>
    </row>
    <row r="175935" spans="21:21" x14ac:dyDescent="0.3">
      <c r="U175935" s="25"/>
    </row>
    <row r="175957" spans="21:21" x14ac:dyDescent="0.3">
      <c r="U175957" s="25"/>
    </row>
    <row r="175979" spans="21:21" x14ac:dyDescent="0.3">
      <c r="U175979" s="25"/>
    </row>
    <row r="176001" spans="21:21" x14ac:dyDescent="0.3">
      <c r="U176001" s="25"/>
    </row>
    <row r="176023" spans="21:21" x14ac:dyDescent="0.3">
      <c r="U176023" s="25"/>
    </row>
    <row r="176045" spans="21:21" x14ac:dyDescent="0.3">
      <c r="U176045" s="25"/>
    </row>
    <row r="176067" spans="21:21" x14ac:dyDescent="0.3">
      <c r="U176067" s="25"/>
    </row>
    <row r="176089" spans="21:21" x14ac:dyDescent="0.3">
      <c r="U176089" s="25"/>
    </row>
    <row r="176111" spans="21:21" x14ac:dyDescent="0.3">
      <c r="U176111" s="25"/>
    </row>
    <row r="176133" spans="21:21" x14ac:dyDescent="0.3">
      <c r="U176133" s="25"/>
    </row>
    <row r="176155" spans="21:21" x14ac:dyDescent="0.3">
      <c r="U176155" s="25"/>
    </row>
    <row r="176177" spans="21:21" x14ac:dyDescent="0.3">
      <c r="U176177" s="25"/>
    </row>
    <row r="176199" spans="21:21" x14ac:dyDescent="0.3">
      <c r="U176199" s="25"/>
    </row>
    <row r="176221" spans="21:21" x14ac:dyDescent="0.3">
      <c r="U176221" s="25"/>
    </row>
    <row r="176243" spans="21:21" x14ac:dyDescent="0.3">
      <c r="U176243" s="25"/>
    </row>
    <row r="176265" spans="21:21" x14ac:dyDescent="0.3">
      <c r="U176265" s="25"/>
    </row>
    <row r="176287" spans="21:21" x14ac:dyDescent="0.3">
      <c r="U176287" s="25"/>
    </row>
    <row r="176309" spans="21:21" x14ac:dyDescent="0.3">
      <c r="U176309" s="25"/>
    </row>
    <row r="176331" spans="21:21" x14ac:dyDescent="0.3">
      <c r="U176331" s="25"/>
    </row>
    <row r="176353" spans="21:21" x14ac:dyDescent="0.3">
      <c r="U176353" s="25"/>
    </row>
    <row r="176375" spans="21:21" x14ac:dyDescent="0.3">
      <c r="U176375" s="25"/>
    </row>
    <row r="176397" spans="21:21" x14ac:dyDescent="0.3">
      <c r="U176397" s="25"/>
    </row>
    <row r="176419" spans="21:21" x14ac:dyDescent="0.3">
      <c r="U176419" s="25"/>
    </row>
    <row r="176441" spans="21:21" x14ac:dyDescent="0.3">
      <c r="U176441" s="25"/>
    </row>
    <row r="176463" spans="21:21" x14ac:dyDescent="0.3">
      <c r="U176463" s="25"/>
    </row>
    <row r="176485" spans="21:21" x14ac:dyDescent="0.3">
      <c r="U176485" s="25"/>
    </row>
    <row r="176507" spans="21:21" x14ac:dyDescent="0.3">
      <c r="U176507" s="25"/>
    </row>
    <row r="176529" spans="21:21" x14ac:dyDescent="0.3">
      <c r="U176529" s="25"/>
    </row>
    <row r="176551" spans="21:21" x14ac:dyDescent="0.3">
      <c r="U176551" s="25"/>
    </row>
    <row r="176573" spans="21:21" x14ac:dyDescent="0.3">
      <c r="U176573" s="25"/>
    </row>
    <row r="176595" spans="21:21" x14ac:dyDescent="0.3">
      <c r="U176595" s="25"/>
    </row>
    <row r="176617" spans="21:21" x14ac:dyDescent="0.3">
      <c r="U176617" s="25"/>
    </row>
    <row r="176639" spans="21:21" x14ac:dyDescent="0.3">
      <c r="U176639" s="25"/>
    </row>
    <row r="176661" spans="21:21" x14ac:dyDescent="0.3">
      <c r="U176661" s="25"/>
    </row>
    <row r="176683" spans="21:21" x14ac:dyDescent="0.3">
      <c r="U176683" s="25"/>
    </row>
    <row r="176705" spans="21:21" x14ac:dyDescent="0.3">
      <c r="U176705" s="25"/>
    </row>
    <row r="176727" spans="21:21" x14ac:dyDescent="0.3">
      <c r="U176727" s="25"/>
    </row>
    <row r="176749" spans="21:21" x14ac:dyDescent="0.3">
      <c r="U176749" s="25"/>
    </row>
    <row r="176771" spans="21:21" x14ac:dyDescent="0.3">
      <c r="U176771" s="25"/>
    </row>
    <row r="176793" spans="21:21" x14ac:dyDescent="0.3">
      <c r="U176793" s="25"/>
    </row>
    <row r="176815" spans="21:21" x14ac:dyDescent="0.3">
      <c r="U176815" s="25"/>
    </row>
    <row r="176837" spans="21:21" x14ac:dyDescent="0.3">
      <c r="U176837" s="25"/>
    </row>
    <row r="176859" spans="21:21" x14ac:dyDescent="0.3">
      <c r="U176859" s="25"/>
    </row>
    <row r="176881" spans="21:21" x14ac:dyDescent="0.3">
      <c r="U176881" s="25"/>
    </row>
    <row r="176903" spans="21:21" x14ac:dyDescent="0.3">
      <c r="U176903" s="25"/>
    </row>
    <row r="176925" spans="21:21" x14ac:dyDescent="0.3">
      <c r="U176925" s="25"/>
    </row>
    <row r="176947" spans="21:21" x14ac:dyDescent="0.3">
      <c r="U176947" s="25"/>
    </row>
    <row r="176969" spans="21:21" x14ac:dyDescent="0.3">
      <c r="U176969" s="25"/>
    </row>
    <row r="176991" spans="21:21" x14ac:dyDescent="0.3">
      <c r="U176991" s="25"/>
    </row>
    <row r="177013" spans="21:21" x14ac:dyDescent="0.3">
      <c r="U177013" s="25"/>
    </row>
    <row r="177035" spans="21:21" x14ac:dyDescent="0.3">
      <c r="U177035" s="25"/>
    </row>
    <row r="177057" spans="21:21" x14ac:dyDescent="0.3">
      <c r="U177057" s="25"/>
    </row>
    <row r="177079" spans="21:21" x14ac:dyDescent="0.3">
      <c r="U177079" s="25"/>
    </row>
    <row r="177101" spans="21:21" x14ac:dyDescent="0.3">
      <c r="U177101" s="25"/>
    </row>
    <row r="177123" spans="21:21" x14ac:dyDescent="0.3">
      <c r="U177123" s="25"/>
    </row>
    <row r="177145" spans="21:21" x14ac:dyDescent="0.3">
      <c r="U177145" s="25"/>
    </row>
    <row r="177167" spans="21:21" x14ac:dyDescent="0.3">
      <c r="U177167" s="25"/>
    </row>
    <row r="177189" spans="21:21" x14ac:dyDescent="0.3">
      <c r="U177189" s="25"/>
    </row>
    <row r="177211" spans="21:21" x14ac:dyDescent="0.3">
      <c r="U177211" s="25"/>
    </row>
    <row r="177233" spans="21:21" x14ac:dyDescent="0.3">
      <c r="U177233" s="25"/>
    </row>
    <row r="177255" spans="21:21" x14ac:dyDescent="0.3">
      <c r="U177255" s="25"/>
    </row>
    <row r="177277" spans="21:21" x14ac:dyDescent="0.3">
      <c r="U177277" s="25"/>
    </row>
    <row r="177299" spans="21:21" x14ac:dyDescent="0.3">
      <c r="U177299" s="25"/>
    </row>
    <row r="177321" spans="21:21" x14ac:dyDescent="0.3">
      <c r="U177321" s="25"/>
    </row>
    <row r="177343" spans="21:21" x14ac:dyDescent="0.3">
      <c r="U177343" s="25"/>
    </row>
    <row r="177365" spans="21:21" x14ac:dyDescent="0.3">
      <c r="U177365" s="25"/>
    </row>
    <row r="177387" spans="21:21" x14ac:dyDescent="0.3">
      <c r="U177387" s="25"/>
    </row>
    <row r="177409" spans="21:21" x14ac:dyDescent="0.3">
      <c r="U177409" s="25"/>
    </row>
    <row r="177431" spans="21:21" x14ac:dyDescent="0.3">
      <c r="U177431" s="25"/>
    </row>
    <row r="177453" spans="21:21" x14ac:dyDescent="0.3">
      <c r="U177453" s="25"/>
    </row>
    <row r="177475" spans="21:21" x14ac:dyDescent="0.3">
      <c r="U177475" s="25"/>
    </row>
    <row r="177497" spans="21:21" x14ac:dyDescent="0.3">
      <c r="U177497" s="25"/>
    </row>
    <row r="177519" spans="21:21" x14ac:dyDescent="0.3">
      <c r="U177519" s="25"/>
    </row>
    <row r="177541" spans="21:21" x14ac:dyDescent="0.3">
      <c r="U177541" s="25"/>
    </row>
    <row r="177563" spans="21:21" x14ac:dyDescent="0.3">
      <c r="U177563" s="25"/>
    </row>
    <row r="177585" spans="21:21" x14ac:dyDescent="0.3">
      <c r="U177585" s="25"/>
    </row>
    <row r="177607" spans="21:21" x14ac:dyDescent="0.3">
      <c r="U177607" s="25"/>
    </row>
    <row r="177629" spans="21:21" x14ac:dyDescent="0.3">
      <c r="U177629" s="25"/>
    </row>
    <row r="177651" spans="21:21" x14ac:dyDescent="0.3">
      <c r="U177651" s="25"/>
    </row>
    <row r="177673" spans="21:21" x14ac:dyDescent="0.3">
      <c r="U177673" s="25"/>
    </row>
    <row r="177695" spans="21:21" x14ac:dyDescent="0.3">
      <c r="U177695" s="25"/>
    </row>
    <row r="177717" spans="21:21" x14ac:dyDescent="0.3">
      <c r="U177717" s="25"/>
    </row>
    <row r="177739" spans="21:21" x14ac:dyDescent="0.3">
      <c r="U177739" s="25"/>
    </row>
    <row r="177761" spans="21:21" x14ac:dyDescent="0.3">
      <c r="U177761" s="25"/>
    </row>
    <row r="177783" spans="21:21" x14ac:dyDescent="0.3">
      <c r="U177783" s="25"/>
    </row>
    <row r="177805" spans="21:21" x14ac:dyDescent="0.3">
      <c r="U177805" s="25"/>
    </row>
    <row r="177827" spans="21:21" x14ac:dyDescent="0.3">
      <c r="U177827" s="25"/>
    </row>
    <row r="177849" spans="21:21" x14ac:dyDescent="0.3">
      <c r="U177849" s="25"/>
    </row>
    <row r="177871" spans="21:21" x14ac:dyDescent="0.3">
      <c r="U177871" s="25"/>
    </row>
    <row r="177893" spans="21:21" x14ac:dyDescent="0.3">
      <c r="U177893" s="25"/>
    </row>
    <row r="177915" spans="21:21" x14ac:dyDescent="0.3">
      <c r="U177915" s="25"/>
    </row>
    <row r="177937" spans="21:21" x14ac:dyDescent="0.3">
      <c r="U177937" s="25"/>
    </row>
    <row r="177959" spans="21:21" x14ac:dyDescent="0.3">
      <c r="U177959" s="25"/>
    </row>
    <row r="177981" spans="21:21" x14ac:dyDescent="0.3">
      <c r="U177981" s="25"/>
    </row>
    <row r="178003" spans="21:21" x14ac:dyDescent="0.3">
      <c r="U178003" s="25"/>
    </row>
    <row r="178025" spans="21:21" x14ac:dyDescent="0.3">
      <c r="U178025" s="25"/>
    </row>
    <row r="178047" spans="21:21" x14ac:dyDescent="0.3">
      <c r="U178047" s="25"/>
    </row>
    <row r="178069" spans="21:21" x14ac:dyDescent="0.3">
      <c r="U178069" s="25"/>
    </row>
    <row r="178091" spans="21:21" x14ac:dyDescent="0.3">
      <c r="U178091" s="25"/>
    </row>
    <row r="178113" spans="21:21" x14ac:dyDescent="0.3">
      <c r="U178113" s="25"/>
    </row>
    <row r="178135" spans="21:21" x14ac:dyDescent="0.3">
      <c r="U178135" s="25"/>
    </row>
    <row r="178157" spans="21:21" x14ac:dyDescent="0.3">
      <c r="U178157" s="25"/>
    </row>
    <row r="178179" spans="21:21" x14ac:dyDescent="0.3">
      <c r="U178179" s="25"/>
    </row>
    <row r="178201" spans="21:21" x14ac:dyDescent="0.3">
      <c r="U178201" s="25"/>
    </row>
    <row r="178223" spans="21:21" x14ac:dyDescent="0.3">
      <c r="U178223" s="25"/>
    </row>
    <row r="178245" spans="21:21" x14ac:dyDescent="0.3">
      <c r="U178245" s="25"/>
    </row>
    <row r="178267" spans="21:21" x14ac:dyDescent="0.3">
      <c r="U178267" s="25"/>
    </row>
    <row r="178289" spans="21:21" x14ac:dyDescent="0.3">
      <c r="U178289" s="25"/>
    </row>
    <row r="178311" spans="21:21" x14ac:dyDescent="0.3">
      <c r="U178311" s="25"/>
    </row>
    <row r="178333" spans="21:21" x14ac:dyDescent="0.3">
      <c r="U178333" s="25"/>
    </row>
    <row r="178355" spans="21:21" x14ac:dyDescent="0.3">
      <c r="U178355" s="25"/>
    </row>
    <row r="178377" spans="21:21" x14ac:dyDescent="0.3">
      <c r="U178377" s="25"/>
    </row>
    <row r="178399" spans="21:21" x14ac:dyDescent="0.3">
      <c r="U178399" s="25"/>
    </row>
    <row r="178421" spans="21:21" x14ac:dyDescent="0.3">
      <c r="U178421" s="25"/>
    </row>
    <row r="178443" spans="21:21" x14ac:dyDescent="0.3">
      <c r="U178443" s="25"/>
    </row>
    <row r="178465" spans="21:21" x14ac:dyDescent="0.3">
      <c r="U178465" s="25"/>
    </row>
    <row r="178487" spans="21:21" x14ac:dyDescent="0.3">
      <c r="U178487" s="25"/>
    </row>
    <row r="178509" spans="21:21" x14ac:dyDescent="0.3">
      <c r="U178509" s="25"/>
    </row>
    <row r="178531" spans="21:21" x14ac:dyDescent="0.3">
      <c r="U178531" s="25"/>
    </row>
    <row r="178553" spans="21:21" x14ac:dyDescent="0.3">
      <c r="U178553" s="25"/>
    </row>
    <row r="178575" spans="21:21" x14ac:dyDescent="0.3">
      <c r="U178575" s="25"/>
    </row>
    <row r="178597" spans="21:21" x14ac:dyDescent="0.3">
      <c r="U178597" s="25"/>
    </row>
    <row r="178619" spans="21:21" x14ac:dyDescent="0.3">
      <c r="U178619" s="25"/>
    </row>
    <row r="178641" spans="21:21" x14ac:dyDescent="0.3">
      <c r="U178641" s="25"/>
    </row>
    <row r="178663" spans="21:21" x14ac:dyDescent="0.3">
      <c r="U178663" s="25"/>
    </row>
    <row r="178685" spans="21:21" x14ac:dyDescent="0.3">
      <c r="U178685" s="25"/>
    </row>
    <row r="178707" spans="21:21" x14ac:dyDescent="0.3">
      <c r="U178707" s="25"/>
    </row>
    <row r="178729" spans="21:21" x14ac:dyDescent="0.3">
      <c r="U178729" s="25"/>
    </row>
    <row r="178751" spans="21:21" x14ac:dyDescent="0.3">
      <c r="U178751" s="25"/>
    </row>
    <row r="178773" spans="21:21" x14ac:dyDescent="0.3">
      <c r="U178773" s="25"/>
    </row>
    <row r="178795" spans="21:21" x14ac:dyDescent="0.3">
      <c r="U178795" s="25"/>
    </row>
    <row r="178817" spans="21:21" x14ac:dyDescent="0.3">
      <c r="U178817" s="25"/>
    </row>
    <row r="178839" spans="21:21" x14ac:dyDescent="0.3">
      <c r="U178839" s="25"/>
    </row>
    <row r="178861" spans="21:21" x14ac:dyDescent="0.3">
      <c r="U178861" s="25"/>
    </row>
    <row r="178883" spans="21:21" x14ac:dyDescent="0.3">
      <c r="U178883" s="25"/>
    </row>
    <row r="178905" spans="21:21" x14ac:dyDescent="0.3">
      <c r="U178905" s="25"/>
    </row>
    <row r="178927" spans="21:21" x14ac:dyDescent="0.3">
      <c r="U178927" s="25"/>
    </row>
    <row r="178949" spans="21:21" x14ac:dyDescent="0.3">
      <c r="U178949" s="25"/>
    </row>
    <row r="178971" spans="21:21" x14ac:dyDescent="0.3">
      <c r="U178971" s="25"/>
    </row>
    <row r="178993" spans="21:21" x14ac:dyDescent="0.3">
      <c r="U178993" s="25"/>
    </row>
    <row r="179015" spans="21:21" x14ac:dyDescent="0.3">
      <c r="U179015" s="25"/>
    </row>
    <row r="179037" spans="21:21" x14ac:dyDescent="0.3">
      <c r="U179037" s="25"/>
    </row>
    <row r="179059" spans="21:21" x14ac:dyDescent="0.3">
      <c r="U179059" s="25"/>
    </row>
    <row r="179081" spans="21:21" x14ac:dyDescent="0.3">
      <c r="U179081" s="25"/>
    </row>
    <row r="179103" spans="21:21" x14ac:dyDescent="0.3">
      <c r="U179103" s="25"/>
    </row>
    <row r="179125" spans="21:21" x14ac:dyDescent="0.3">
      <c r="U179125" s="25"/>
    </row>
    <row r="179147" spans="21:21" x14ac:dyDescent="0.3">
      <c r="U179147" s="25"/>
    </row>
    <row r="179169" spans="21:21" x14ac:dyDescent="0.3">
      <c r="U179169" s="25"/>
    </row>
    <row r="179191" spans="21:21" x14ac:dyDescent="0.3">
      <c r="U179191" s="25"/>
    </row>
    <row r="179213" spans="21:21" x14ac:dyDescent="0.3">
      <c r="U179213" s="25"/>
    </row>
    <row r="179235" spans="21:21" x14ac:dyDescent="0.3">
      <c r="U179235" s="25"/>
    </row>
    <row r="179257" spans="21:21" x14ac:dyDescent="0.3">
      <c r="U179257" s="25"/>
    </row>
    <row r="179279" spans="21:21" x14ac:dyDescent="0.3">
      <c r="U179279" s="25"/>
    </row>
    <row r="179301" spans="21:21" x14ac:dyDescent="0.3">
      <c r="U179301" s="25"/>
    </row>
    <row r="179323" spans="21:21" x14ac:dyDescent="0.3">
      <c r="U179323" s="25"/>
    </row>
    <row r="179345" spans="21:21" x14ac:dyDescent="0.3">
      <c r="U179345" s="25"/>
    </row>
    <row r="179367" spans="21:21" x14ac:dyDescent="0.3">
      <c r="U179367" s="25"/>
    </row>
    <row r="179389" spans="21:21" x14ac:dyDescent="0.3">
      <c r="U179389" s="25"/>
    </row>
    <row r="179411" spans="21:21" x14ac:dyDescent="0.3">
      <c r="U179411" s="25"/>
    </row>
    <row r="179433" spans="21:21" x14ac:dyDescent="0.3">
      <c r="U179433" s="25"/>
    </row>
    <row r="179455" spans="21:21" x14ac:dyDescent="0.3">
      <c r="U179455" s="25"/>
    </row>
    <row r="179477" spans="21:21" x14ac:dyDescent="0.3">
      <c r="U179477" s="25"/>
    </row>
    <row r="179499" spans="21:21" x14ac:dyDescent="0.3">
      <c r="U179499" s="25"/>
    </row>
    <row r="179521" spans="21:21" x14ac:dyDescent="0.3">
      <c r="U179521" s="25"/>
    </row>
    <row r="179543" spans="21:21" x14ac:dyDescent="0.3">
      <c r="U179543" s="25"/>
    </row>
    <row r="179565" spans="21:21" x14ac:dyDescent="0.3">
      <c r="U179565" s="25"/>
    </row>
    <row r="179587" spans="21:21" x14ac:dyDescent="0.3">
      <c r="U179587" s="25"/>
    </row>
    <row r="179609" spans="21:21" x14ac:dyDescent="0.3">
      <c r="U179609" s="25"/>
    </row>
    <row r="179631" spans="21:21" x14ac:dyDescent="0.3">
      <c r="U179631" s="25"/>
    </row>
    <row r="179653" spans="21:21" x14ac:dyDescent="0.3">
      <c r="U179653" s="25"/>
    </row>
    <row r="179675" spans="21:21" x14ac:dyDescent="0.3">
      <c r="U179675" s="25"/>
    </row>
    <row r="179697" spans="21:21" x14ac:dyDescent="0.3">
      <c r="U179697" s="25"/>
    </row>
    <row r="179719" spans="21:21" x14ac:dyDescent="0.3">
      <c r="U179719" s="25"/>
    </row>
    <row r="179741" spans="21:21" x14ac:dyDescent="0.3">
      <c r="U179741" s="25"/>
    </row>
    <row r="179763" spans="21:21" x14ac:dyDescent="0.3">
      <c r="U179763" s="25"/>
    </row>
    <row r="179785" spans="21:21" x14ac:dyDescent="0.3">
      <c r="U179785" s="25"/>
    </row>
    <row r="179807" spans="21:21" x14ac:dyDescent="0.3">
      <c r="U179807" s="25"/>
    </row>
    <row r="179829" spans="21:21" x14ac:dyDescent="0.3">
      <c r="U179829" s="25"/>
    </row>
    <row r="179851" spans="21:21" x14ac:dyDescent="0.3">
      <c r="U179851" s="25"/>
    </row>
    <row r="179873" spans="21:21" x14ac:dyDescent="0.3">
      <c r="U179873" s="25"/>
    </row>
    <row r="179895" spans="21:21" x14ac:dyDescent="0.3">
      <c r="U179895" s="25"/>
    </row>
    <row r="179917" spans="21:21" x14ac:dyDescent="0.3">
      <c r="U179917" s="25"/>
    </row>
    <row r="179939" spans="21:21" x14ac:dyDescent="0.3">
      <c r="U179939" s="25"/>
    </row>
    <row r="179961" spans="21:21" x14ac:dyDescent="0.3">
      <c r="U179961" s="25"/>
    </row>
    <row r="179983" spans="21:21" x14ac:dyDescent="0.3">
      <c r="U179983" s="25"/>
    </row>
    <row r="180005" spans="21:21" x14ac:dyDescent="0.3">
      <c r="U180005" s="25"/>
    </row>
    <row r="180027" spans="21:21" x14ac:dyDescent="0.3">
      <c r="U180027" s="25"/>
    </row>
    <row r="180049" spans="21:21" x14ac:dyDescent="0.3">
      <c r="U180049" s="25"/>
    </row>
    <row r="180071" spans="21:21" x14ac:dyDescent="0.3">
      <c r="U180071" s="25"/>
    </row>
    <row r="180093" spans="21:21" x14ac:dyDescent="0.3">
      <c r="U180093" s="25"/>
    </row>
    <row r="180115" spans="21:21" x14ac:dyDescent="0.3">
      <c r="U180115" s="25"/>
    </row>
    <row r="180137" spans="21:21" x14ac:dyDescent="0.3">
      <c r="U180137" s="25"/>
    </row>
    <row r="180159" spans="21:21" x14ac:dyDescent="0.3">
      <c r="U180159" s="25"/>
    </row>
    <row r="180181" spans="21:21" x14ac:dyDescent="0.3">
      <c r="U180181" s="25"/>
    </row>
    <row r="180203" spans="21:21" x14ac:dyDescent="0.3">
      <c r="U180203" s="25"/>
    </row>
    <row r="180225" spans="21:21" x14ac:dyDescent="0.3">
      <c r="U180225" s="25"/>
    </row>
    <row r="180247" spans="21:21" x14ac:dyDescent="0.3">
      <c r="U180247" s="25"/>
    </row>
    <row r="180269" spans="21:21" x14ac:dyDescent="0.3">
      <c r="U180269" s="25"/>
    </row>
    <row r="180291" spans="21:21" x14ac:dyDescent="0.3">
      <c r="U180291" s="25"/>
    </row>
    <row r="180313" spans="21:21" x14ac:dyDescent="0.3">
      <c r="U180313" s="25"/>
    </row>
    <row r="180335" spans="21:21" x14ac:dyDescent="0.3">
      <c r="U180335" s="25"/>
    </row>
    <row r="180357" spans="21:21" x14ac:dyDescent="0.3">
      <c r="U180357" s="25"/>
    </row>
    <row r="180379" spans="21:21" x14ac:dyDescent="0.3">
      <c r="U180379" s="25"/>
    </row>
    <row r="180401" spans="21:21" x14ac:dyDescent="0.3">
      <c r="U180401" s="25"/>
    </row>
    <row r="180423" spans="21:21" x14ac:dyDescent="0.3">
      <c r="U180423" s="25"/>
    </row>
    <row r="180445" spans="21:21" x14ac:dyDescent="0.3">
      <c r="U180445" s="25"/>
    </row>
    <row r="180467" spans="21:21" x14ac:dyDescent="0.3">
      <c r="U180467" s="25"/>
    </row>
    <row r="180489" spans="21:21" x14ac:dyDescent="0.3">
      <c r="U180489" s="25"/>
    </row>
    <row r="180511" spans="21:21" x14ac:dyDescent="0.3">
      <c r="U180511" s="25"/>
    </row>
    <row r="180533" spans="21:21" x14ac:dyDescent="0.3">
      <c r="U180533" s="25"/>
    </row>
    <row r="180555" spans="21:21" x14ac:dyDescent="0.3">
      <c r="U180555" s="25"/>
    </row>
    <row r="180577" spans="21:21" x14ac:dyDescent="0.3">
      <c r="U180577" s="25"/>
    </row>
    <row r="180599" spans="21:21" x14ac:dyDescent="0.3">
      <c r="U180599" s="25"/>
    </row>
    <row r="180621" spans="21:21" x14ac:dyDescent="0.3">
      <c r="U180621" s="25"/>
    </row>
    <row r="180643" spans="21:21" x14ac:dyDescent="0.3">
      <c r="U180643" s="25"/>
    </row>
    <row r="180665" spans="21:21" x14ac:dyDescent="0.3">
      <c r="U180665" s="25"/>
    </row>
    <row r="180687" spans="21:21" x14ac:dyDescent="0.3">
      <c r="U180687" s="25"/>
    </row>
    <row r="180709" spans="21:21" x14ac:dyDescent="0.3">
      <c r="U180709" s="25"/>
    </row>
    <row r="180731" spans="21:21" x14ac:dyDescent="0.3">
      <c r="U180731" s="25"/>
    </row>
    <row r="180753" spans="21:21" x14ac:dyDescent="0.3">
      <c r="U180753" s="25"/>
    </row>
    <row r="180775" spans="21:21" x14ac:dyDescent="0.3">
      <c r="U180775" s="25"/>
    </row>
    <row r="180797" spans="21:21" x14ac:dyDescent="0.3">
      <c r="U180797" s="25"/>
    </row>
    <row r="180819" spans="21:21" x14ac:dyDescent="0.3">
      <c r="U180819" s="25"/>
    </row>
    <row r="180841" spans="21:21" x14ac:dyDescent="0.3">
      <c r="U180841" s="25"/>
    </row>
    <row r="180863" spans="21:21" x14ac:dyDescent="0.3">
      <c r="U180863" s="25"/>
    </row>
    <row r="180885" spans="21:21" x14ac:dyDescent="0.3">
      <c r="U180885" s="25"/>
    </row>
    <row r="180907" spans="21:21" x14ac:dyDescent="0.3">
      <c r="U180907" s="25"/>
    </row>
    <row r="180929" spans="21:21" x14ac:dyDescent="0.3">
      <c r="U180929" s="25"/>
    </row>
    <row r="180951" spans="21:21" x14ac:dyDescent="0.3">
      <c r="U180951" s="25"/>
    </row>
    <row r="180973" spans="21:21" x14ac:dyDescent="0.3">
      <c r="U180973" s="25"/>
    </row>
    <row r="180995" spans="21:21" x14ac:dyDescent="0.3">
      <c r="U180995" s="25"/>
    </row>
    <row r="181017" spans="21:21" x14ac:dyDescent="0.3">
      <c r="U181017" s="25"/>
    </row>
    <row r="181039" spans="21:21" x14ac:dyDescent="0.3">
      <c r="U181039" s="25"/>
    </row>
    <row r="181061" spans="21:21" x14ac:dyDescent="0.3">
      <c r="U181061" s="25"/>
    </row>
    <row r="181083" spans="21:21" x14ac:dyDescent="0.3">
      <c r="U181083" s="25"/>
    </row>
    <row r="181105" spans="21:21" x14ac:dyDescent="0.3">
      <c r="U181105" s="25"/>
    </row>
    <row r="181127" spans="21:21" x14ac:dyDescent="0.3">
      <c r="U181127" s="25"/>
    </row>
    <row r="181149" spans="21:21" x14ac:dyDescent="0.3">
      <c r="U181149" s="25"/>
    </row>
    <row r="181171" spans="21:21" x14ac:dyDescent="0.3">
      <c r="U181171" s="25"/>
    </row>
    <row r="181193" spans="21:21" x14ac:dyDescent="0.3">
      <c r="U181193" s="25"/>
    </row>
    <row r="181215" spans="21:21" x14ac:dyDescent="0.3">
      <c r="U181215" s="25"/>
    </row>
    <row r="181237" spans="21:21" x14ac:dyDescent="0.3">
      <c r="U181237" s="25"/>
    </row>
    <row r="181259" spans="21:21" x14ac:dyDescent="0.3">
      <c r="U181259" s="25"/>
    </row>
    <row r="181281" spans="21:21" x14ac:dyDescent="0.3">
      <c r="U181281" s="25"/>
    </row>
    <row r="181303" spans="21:21" x14ac:dyDescent="0.3">
      <c r="U181303" s="25"/>
    </row>
    <row r="181325" spans="21:21" x14ac:dyDescent="0.3">
      <c r="U181325" s="25"/>
    </row>
    <row r="181347" spans="21:21" x14ac:dyDescent="0.3">
      <c r="U181347" s="25"/>
    </row>
    <row r="181369" spans="21:21" x14ac:dyDescent="0.3">
      <c r="U181369" s="25"/>
    </row>
    <row r="181391" spans="21:21" x14ac:dyDescent="0.3">
      <c r="U181391" s="25"/>
    </row>
    <row r="181413" spans="21:21" x14ac:dyDescent="0.3">
      <c r="U181413" s="25"/>
    </row>
    <row r="181435" spans="21:21" x14ac:dyDescent="0.3">
      <c r="U181435" s="25"/>
    </row>
    <row r="181457" spans="21:21" x14ac:dyDescent="0.3">
      <c r="U181457" s="25"/>
    </row>
    <row r="181479" spans="21:21" x14ac:dyDescent="0.3">
      <c r="U181479" s="25"/>
    </row>
    <row r="181501" spans="21:21" x14ac:dyDescent="0.3">
      <c r="U181501" s="25"/>
    </row>
    <row r="181523" spans="21:21" x14ac:dyDescent="0.3">
      <c r="U181523" s="25"/>
    </row>
    <row r="181545" spans="21:21" x14ac:dyDescent="0.3">
      <c r="U181545" s="25"/>
    </row>
    <row r="181567" spans="21:21" x14ac:dyDescent="0.3">
      <c r="U181567" s="25"/>
    </row>
    <row r="181589" spans="21:21" x14ac:dyDescent="0.3">
      <c r="U181589" s="25"/>
    </row>
    <row r="181611" spans="21:21" x14ac:dyDescent="0.3">
      <c r="U181611" s="25"/>
    </row>
    <row r="181633" spans="21:21" x14ac:dyDescent="0.3">
      <c r="U181633" s="25"/>
    </row>
    <row r="181655" spans="21:21" x14ac:dyDescent="0.3">
      <c r="U181655" s="25"/>
    </row>
    <row r="181677" spans="21:21" x14ac:dyDescent="0.3">
      <c r="U181677" s="25"/>
    </row>
    <row r="181699" spans="21:21" x14ac:dyDescent="0.3">
      <c r="U181699" s="25"/>
    </row>
    <row r="181721" spans="21:21" x14ac:dyDescent="0.3">
      <c r="U181721" s="25"/>
    </row>
    <row r="181743" spans="21:21" x14ac:dyDescent="0.3">
      <c r="U181743" s="25"/>
    </row>
    <row r="181765" spans="21:21" x14ac:dyDescent="0.3">
      <c r="U181765" s="25"/>
    </row>
    <row r="181787" spans="21:21" x14ac:dyDescent="0.3">
      <c r="U181787" s="25"/>
    </row>
    <row r="181809" spans="21:21" x14ac:dyDescent="0.3">
      <c r="U181809" s="25"/>
    </row>
    <row r="181831" spans="21:21" x14ac:dyDescent="0.3">
      <c r="U181831" s="25"/>
    </row>
    <row r="181853" spans="21:21" x14ac:dyDescent="0.3">
      <c r="U181853" s="25"/>
    </row>
    <row r="181875" spans="21:21" x14ac:dyDescent="0.3">
      <c r="U181875" s="25"/>
    </row>
    <row r="181897" spans="21:21" x14ac:dyDescent="0.3">
      <c r="U181897" s="25"/>
    </row>
    <row r="181919" spans="21:21" x14ac:dyDescent="0.3">
      <c r="U181919" s="25"/>
    </row>
    <row r="181941" spans="21:21" x14ac:dyDescent="0.3">
      <c r="U181941" s="25"/>
    </row>
    <row r="181963" spans="21:21" x14ac:dyDescent="0.3">
      <c r="U181963" s="25"/>
    </row>
    <row r="181985" spans="21:21" x14ac:dyDescent="0.3">
      <c r="U181985" s="25"/>
    </row>
    <row r="182007" spans="21:21" x14ac:dyDescent="0.3">
      <c r="U182007" s="25"/>
    </row>
    <row r="182029" spans="21:21" x14ac:dyDescent="0.3">
      <c r="U182029" s="25"/>
    </row>
    <row r="182051" spans="21:21" x14ac:dyDescent="0.3">
      <c r="U182051" s="25"/>
    </row>
    <row r="182073" spans="21:21" x14ac:dyDescent="0.3">
      <c r="U182073" s="25"/>
    </row>
    <row r="182095" spans="21:21" x14ac:dyDescent="0.3">
      <c r="U182095" s="25"/>
    </row>
    <row r="182117" spans="21:21" x14ac:dyDescent="0.3">
      <c r="U182117" s="25"/>
    </row>
    <row r="182139" spans="21:21" x14ac:dyDescent="0.3">
      <c r="U182139" s="25"/>
    </row>
    <row r="182161" spans="21:21" x14ac:dyDescent="0.3">
      <c r="U182161" s="25"/>
    </row>
    <row r="182183" spans="21:21" x14ac:dyDescent="0.3">
      <c r="U182183" s="25"/>
    </row>
    <row r="182205" spans="21:21" x14ac:dyDescent="0.3">
      <c r="U182205" s="25"/>
    </row>
    <row r="182227" spans="21:21" x14ac:dyDescent="0.3">
      <c r="U182227" s="25"/>
    </row>
    <row r="182249" spans="21:21" x14ac:dyDescent="0.3">
      <c r="U182249" s="25"/>
    </row>
    <row r="182271" spans="21:21" x14ac:dyDescent="0.3">
      <c r="U182271" s="25"/>
    </row>
    <row r="182293" spans="21:21" x14ac:dyDescent="0.3">
      <c r="U182293" s="25"/>
    </row>
    <row r="182315" spans="21:21" x14ac:dyDescent="0.3">
      <c r="U182315" s="25"/>
    </row>
    <row r="182337" spans="21:21" x14ac:dyDescent="0.3">
      <c r="U182337" s="25"/>
    </row>
    <row r="182359" spans="21:21" x14ac:dyDescent="0.3">
      <c r="U182359" s="25"/>
    </row>
    <row r="182381" spans="21:21" x14ac:dyDescent="0.3">
      <c r="U182381" s="25"/>
    </row>
    <row r="182403" spans="21:21" x14ac:dyDescent="0.3">
      <c r="U182403" s="25"/>
    </row>
    <row r="182425" spans="21:21" x14ac:dyDescent="0.3">
      <c r="U182425" s="25"/>
    </row>
    <row r="182447" spans="21:21" x14ac:dyDescent="0.3">
      <c r="U182447" s="25"/>
    </row>
    <row r="182469" spans="21:21" x14ac:dyDescent="0.3">
      <c r="U182469" s="25"/>
    </row>
    <row r="182491" spans="21:21" x14ac:dyDescent="0.3">
      <c r="U182491" s="25"/>
    </row>
    <row r="182513" spans="21:21" x14ac:dyDescent="0.3">
      <c r="U182513" s="25"/>
    </row>
    <row r="182535" spans="21:21" x14ac:dyDescent="0.3">
      <c r="U182535" s="25"/>
    </row>
    <row r="182557" spans="21:21" x14ac:dyDescent="0.3">
      <c r="U182557" s="25"/>
    </row>
    <row r="182579" spans="21:21" x14ac:dyDescent="0.3">
      <c r="U182579" s="25"/>
    </row>
    <row r="182601" spans="21:21" x14ac:dyDescent="0.3">
      <c r="U182601" s="25"/>
    </row>
    <row r="182623" spans="21:21" x14ac:dyDescent="0.3">
      <c r="U182623" s="25"/>
    </row>
    <row r="182645" spans="21:21" x14ac:dyDescent="0.3">
      <c r="U182645" s="25"/>
    </row>
    <row r="182667" spans="21:21" x14ac:dyDescent="0.3">
      <c r="U182667" s="25"/>
    </row>
    <row r="182689" spans="21:21" x14ac:dyDescent="0.3">
      <c r="U182689" s="25"/>
    </row>
    <row r="182711" spans="21:21" x14ac:dyDescent="0.3">
      <c r="U182711" s="25"/>
    </row>
    <row r="182733" spans="21:21" x14ac:dyDescent="0.3">
      <c r="U182733" s="25"/>
    </row>
    <row r="182755" spans="21:21" x14ac:dyDescent="0.3">
      <c r="U182755" s="25"/>
    </row>
    <row r="182777" spans="21:21" x14ac:dyDescent="0.3">
      <c r="U182777" s="25"/>
    </row>
    <row r="182799" spans="21:21" x14ac:dyDescent="0.3">
      <c r="U182799" s="25"/>
    </row>
    <row r="182821" spans="21:21" x14ac:dyDescent="0.3">
      <c r="U182821" s="25"/>
    </row>
    <row r="182843" spans="21:21" x14ac:dyDescent="0.3">
      <c r="U182843" s="25"/>
    </row>
    <row r="182865" spans="21:21" x14ac:dyDescent="0.3">
      <c r="U182865" s="25"/>
    </row>
    <row r="182887" spans="21:21" x14ac:dyDescent="0.3">
      <c r="U182887" s="25"/>
    </row>
    <row r="182909" spans="21:21" x14ac:dyDescent="0.3">
      <c r="U182909" s="25"/>
    </row>
    <row r="182931" spans="21:21" x14ac:dyDescent="0.3">
      <c r="U182931" s="25"/>
    </row>
    <row r="182953" spans="21:21" x14ac:dyDescent="0.3">
      <c r="U182953" s="25"/>
    </row>
    <row r="182975" spans="21:21" x14ac:dyDescent="0.3">
      <c r="U182975" s="25"/>
    </row>
    <row r="182997" spans="21:21" x14ac:dyDescent="0.3">
      <c r="U182997" s="25"/>
    </row>
    <row r="183019" spans="21:21" x14ac:dyDescent="0.3">
      <c r="U183019" s="25"/>
    </row>
    <row r="183041" spans="21:21" x14ac:dyDescent="0.3">
      <c r="U183041" s="25"/>
    </row>
    <row r="183063" spans="21:21" x14ac:dyDescent="0.3">
      <c r="U183063" s="25"/>
    </row>
    <row r="183085" spans="21:21" x14ac:dyDescent="0.3">
      <c r="U183085" s="25"/>
    </row>
    <row r="183107" spans="21:21" x14ac:dyDescent="0.3">
      <c r="U183107" s="25"/>
    </row>
    <row r="183129" spans="21:21" x14ac:dyDescent="0.3">
      <c r="U183129" s="25"/>
    </row>
    <row r="183151" spans="21:21" x14ac:dyDescent="0.3">
      <c r="U183151" s="25"/>
    </row>
    <row r="183173" spans="21:21" x14ac:dyDescent="0.3">
      <c r="U183173" s="25"/>
    </row>
    <row r="183195" spans="21:21" x14ac:dyDescent="0.3">
      <c r="U183195" s="25"/>
    </row>
    <row r="183217" spans="21:21" x14ac:dyDescent="0.3">
      <c r="U183217" s="25"/>
    </row>
    <row r="183239" spans="21:21" x14ac:dyDescent="0.3">
      <c r="U183239" s="25"/>
    </row>
    <row r="183261" spans="21:21" x14ac:dyDescent="0.3">
      <c r="U183261" s="25"/>
    </row>
    <row r="183283" spans="21:21" x14ac:dyDescent="0.3">
      <c r="U183283" s="25"/>
    </row>
    <row r="183305" spans="21:21" x14ac:dyDescent="0.3">
      <c r="U183305" s="25"/>
    </row>
    <row r="183327" spans="21:21" x14ac:dyDescent="0.3">
      <c r="U183327" s="25"/>
    </row>
    <row r="183349" spans="21:21" x14ac:dyDescent="0.3">
      <c r="U183349" s="25"/>
    </row>
    <row r="183371" spans="21:21" x14ac:dyDescent="0.3">
      <c r="U183371" s="25"/>
    </row>
    <row r="183393" spans="21:21" x14ac:dyDescent="0.3">
      <c r="U183393" s="25"/>
    </row>
    <row r="183415" spans="21:21" x14ac:dyDescent="0.3">
      <c r="U183415" s="25"/>
    </row>
    <row r="183437" spans="21:21" x14ac:dyDescent="0.3">
      <c r="U183437" s="25"/>
    </row>
    <row r="183459" spans="21:21" x14ac:dyDescent="0.3">
      <c r="U183459" s="25"/>
    </row>
    <row r="183481" spans="21:21" x14ac:dyDescent="0.3">
      <c r="U183481" s="25"/>
    </row>
    <row r="183503" spans="21:21" x14ac:dyDescent="0.3">
      <c r="U183503" s="25"/>
    </row>
    <row r="183525" spans="21:21" x14ac:dyDescent="0.3">
      <c r="U183525" s="25"/>
    </row>
    <row r="183547" spans="21:21" x14ac:dyDescent="0.3">
      <c r="U183547" s="25"/>
    </row>
    <row r="183569" spans="21:21" x14ac:dyDescent="0.3">
      <c r="U183569" s="25"/>
    </row>
    <row r="183591" spans="21:21" x14ac:dyDescent="0.3">
      <c r="U183591" s="25"/>
    </row>
    <row r="183613" spans="21:21" x14ac:dyDescent="0.3">
      <c r="U183613" s="25"/>
    </row>
    <row r="183635" spans="21:21" x14ac:dyDescent="0.3">
      <c r="U183635" s="25"/>
    </row>
    <row r="183657" spans="21:21" x14ac:dyDescent="0.3">
      <c r="U183657" s="25"/>
    </row>
    <row r="183679" spans="21:21" x14ac:dyDescent="0.3">
      <c r="U183679" s="25"/>
    </row>
    <row r="183701" spans="21:21" x14ac:dyDescent="0.3">
      <c r="U183701" s="25"/>
    </row>
    <row r="183723" spans="21:21" x14ac:dyDescent="0.3">
      <c r="U183723" s="25"/>
    </row>
    <row r="183745" spans="21:21" x14ac:dyDescent="0.3">
      <c r="U183745" s="25"/>
    </row>
    <row r="183767" spans="21:21" x14ac:dyDescent="0.3">
      <c r="U183767" s="25"/>
    </row>
    <row r="183789" spans="21:21" x14ac:dyDescent="0.3">
      <c r="U183789" s="25"/>
    </row>
    <row r="183811" spans="21:21" x14ac:dyDescent="0.3">
      <c r="U183811" s="25"/>
    </row>
    <row r="183833" spans="21:21" x14ac:dyDescent="0.3">
      <c r="U183833" s="25"/>
    </row>
    <row r="183855" spans="21:21" x14ac:dyDescent="0.3">
      <c r="U183855" s="25"/>
    </row>
    <row r="183877" spans="21:21" x14ac:dyDescent="0.3">
      <c r="U183877" s="25"/>
    </row>
    <row r="183899" spans="21:21" x14ac:dyDescent="0.3">
      <c r="U183899" s="25"/>
    </row>
    <row r="183921" spans="21:21" x14ac:dyDescent="0.3">
      <c r="U183921" s="25"/>
    </row>
    <row r="183943" spans="21:21" x14ac:dyDescent="0.3">
      <c r="U183943" s="25"/>
    </row>
    <row r="183965" spans="21:21" x14ac:dyDescent="0.3">
      <c r="U183965" s="25"/>
    </row>
    <row r="183987" spans="21:21" x14ac:dyDescent="0.3">
      <c r="U183987" s="25"/>
    </row>
    <row r="184009" spans="21:21" x14ac:dyDescent="0.3">
      <c r="U184009" s="25"/>
    </row>
    <row r="184031" spans="21:21" x14ac:dyDescent="0.3">
      <c r="U184031" s="25"/>
    </row>
    <row r="184053" spans="21:21" x14ac:dyDescent="0.3">
      <c r="U184053" s="25"/>
    </row>
    <row r="184075" spans="21:21" x14ac:dyDescent="0.3">
      <c r="U184075" s="25"/>
    </row>
    <row r="184097" spans="21:21" x14ac:dyDescent="0.3">
      <c r="U184097" s="25"/>
    </row>
    <row r="184119" spans="21:21" x14ac:dyDescent="0.3">
      <c r="U184119" s="25"/>
    </row>
    <row r="184141" spans="21:21" x14ac:dyDescent="0.3">
      <c r="U184141" s="25"/>
    </row>
    <row r="184163" spans="21:21" x14ac:dyDescent="0.3">
      <c r="U184163" s="25"/>
    </row>
    <row r="184185" spans="21:21" x14ac:dyDescent="0.3">
      <c r="U184185" s="25"/>
    </row>
    <row r="184207" spans="21:21" x14ac:dyDescent="0.3">
      <c r="U184207" s="25"/>
    </row>
    <row r="184229" spans="21:21" x14ac:dyDescent="0.3">
      <c r="U184229" s="25"/>
    </row>
    <row r="184251" spans="21:21" x14ac:dyDescent="0.3">
      <c r="U184251" s="25"/>
    </row>
    <row r="184273" spans="21:21" x14ac:dyDescent="0.3">
      <c r="U184273" s="25"/>
    </row>
    <row r="184295" spans="21:21" x14ac:dyDescent="0.3">
      <c r="U184295" s="25"/>
    </row>
    <row r="184317" spans="21:21" x14ac:dyDescent="0.3">
      <c r="U184317" s="25"/>
    </row>
    <row r="184339" spans="21:21" x14ac:dyDescent="0.3">
      <c r="U184339" s="25"/>
    </row>
    <row r="184361" spans="21:21" x14ac:dyDescent="0.3">
      <c r="U184361" s="25"/>
    </row>
    <row r="184383" spans="21:21" x14ac:dyDescent="0.3">
      <c r="U184383" s="25"/>
    </row>
    <row r="184405" spans="21:21" x14ac:dyDescent="0.3">
      <c r="U184405" s="25"/>
    </row>
    <row r="184427" spans="21:21" x14ac:dyDescent="0.3">
      <c r="U184427" s="25"/>
    </row>
    <row r="184449" spans="21:21" x14ac:dyDescent="0.3">
      <c r="U184449" s="25"/>
    </row>
    <row r="184471" spans="21:21" x14ac:dyDescent="0.3">
      <c r="U184471" s="25"/>
    </row>
    <row r="184493" spans="21:21" x14ac:dyDescent="0.3">
      <c r="U184493" s="25"/>
    </row>
    <row r="184515" spans="21:21" x14ac:dyDescent="0.3">
      <c r="U184515" s="25"/>
    </row>
    <row r="184537" spans="21:21" x14ac:dyDescent="0.3">
      <c r="U184537" s="25"/>
    </row>
    <row r="184559" spans="21:21" x14ac:dyDescent="0.3">
      <c r="U184559" s="25"/>
    </row>
    <row r="184581" spans="21:21" x14ac:dyDescent="0.3">
      <c r="U184581" s="25"/>
    </row>
    <row r="184603" spans="21:21" x14ac:dyDescent="0.3">
      <c r="U184603" s="25"/>
    </row>
    <row r="184625" spans="21:21" x14ac:dyDescent="0.3">
      <c r="U184625" s="25"/>
    </row>
    <row r="184647" spans="21:21" x14ac:dyDescent="0.3">
      <c r="U184647" s="25"/>
    </row>
    <row r="184669" spans="21:21" x14ac:dyDescent="0.3">
      <c r="U184669" s="25"/>
    </row>
    <row r="184691" spans="21:21" x14ac:dyDescent="0.3">
      <c r="U184691" s="25"/>
    </row>
    <row r="184713" spans="21:21" x14ac:dyDescent="0.3">
      <c r="U184713" s="25"/>
    </row>
    <row r="184735" spans="21:21" x14ac:dyDescent="0.3">
      <c r="U184735" s="25"/>
    </row>
    <row r="184757" spans="21:21" x14ac:dyDescent="0.3">
      <c r="U184757" s="25"/>
    </row>
    <row r="184779" spans="21:21" x14ac:dyDescent="0.3">
      <c r="U184779" s="25"/>
    </row>
    <row r="184801" spans="21:21" x14ac:dyDescent="0.3">
      <c r="U184801" s="25"/>
    </row>
    <row r="184823" spans="21:21" x14ac:dyDescent="0.3">
      <c r="U184823" s="25"/>
    </row>
    <row r="184845" spans="21:21" x14ac:dyDescent="0.3">
      <c r="U184845" s="25"/>
    </row>
    <row r="184867" spans="21:21" x14ac:dyDescent="0.3">
      <c r="U184867" s="25"/>
    </row>
    <row r="184889" spans="21:21" x14ac:dyDescent="0.3">
      <c r="U184889" s="25"/>
    </row>
    <row r="184911" spans="21:21" x14ac:dyDescent="0.3">
      <c r="U184911" s="25"/>
    </row>
    <row r="184933" spans="21:21" x14ac:dyDescent="0.3">
      <c r="U184933" s="25"/>
    </row>
    <row r="184955" spans="21:21" x14ac:dyDescent="0.3">
      <c r="U184955" s="25"/>
    </row>
    <row r="184977" spans="21:21" x14ac:dyDescent="0.3">
      <c r="U184977" s="25"/>
    </row>
    <row r="184999" spans="21:21" x14ac:dyDescent="0.3">
      <c r="U184999" s="25"/>
    </row>
    <row r="185021" spans="21:21" x14ac:dyDescent="0.3">
      <c r="U185021" s="25"/>
    </row>
    <row r="185043" spans="21:21" x14ac:dyDescent="0.3">
      <c r="U185043" s="25"/>
    </row>
    <row r="185065" spans="21:21" x14ac:dyDescent="0.3">
      <c r="U185065" s="25"/>
    </row>
    <row r="185087" spans="21:21" x14ac:dyDescent="0.3">
      <c r="U185087" s="25"/>
    </row>
    <row r="185109" spans="21:21" x14ac:dyDescent="0.3">
      <c r="U185109" s="25"/>
    </row>
    <row r="185131" spans="21:21" x14ac:dyDescent="0.3">
      <c r="U185131" s="25"/>
    </row>
    <row r="185153" spans="21:21" x14ac:dyDescent="0.3">
      <c r="U185153" s="25"/>
    </row>
    <row r="185175" spans="21:21" x14ac:dyDescent="0.3">
      <c r="U185175" s="25"/>
    </row>
    <row r="185197" spans="21:21" x14ac:dyDescent="0.3">
      <c r="U185197" s="25"/>
    </row>
    <row r="185219" spans="21:21" x14ac:dyDescent="0.3">
      <c r="U185219" s="25"/>
    </row>
    <row r="185241" spans="21:21" x14ac:dyDescent="0.3">
      <c r="U185241" s="25"/>
    </row>
    <row r="185263" spans="21:21" x14ac:dyDescent="0.3">
      <c r="U185263" s="25"/>
    </row>
    <row r="185285" spans="21:21" x14ac:dyDescent="0.3">
      <c r="U185285" s="25"/>
    </row>
    <row r="185307" spans="21:21" x14ac:dyDescent="0.3">
      <c r="U185307" s="25"/>
    </row>
    <row r="185329" spans="21:21" x14ac:dyDescent="0.3">
      <c r="U185329" s="25"/>
    </row>
    <row r="185351" spans="21:21" x14ac:dyDescent="0.3">
      <c r="U185351" s="25"/>
    </row>
    <row r="185373" spans="21:21" x14ac:dyDescent="0.3">
      <c r="U185373" s="25"/>
    </row>
    <row r="185395" spans="21:21" x14ac:dyDescent="0.3">
      <c r="U185395" s="25"/>
    </row>
    <row r="185417" spans="21:21" x14ac:dyDescent="0.3">
      <c r="U185417" s="25"/>
    </row>
    <row r="185439" spans="21:21" x14ac:dyDescent="0.3">
      <c r="U185439" s="25"/>
    </row>
    <row r="185461" spans="21:21" x14ac:dyDescent="0.3">
      <c r="U185461" s="25"/>
    </row>
    <row r="185483" spans="21:21" x14ac:dyDescent="0.3">
      <c r="U185483" s="25"/>
    </row>
    <row r="185505" spans="21:21" x14ac:dyDescent="0.3">
      <c r="U185505" s="25"/>
    </row>
    <row r="185527" spans="21:21" x14ac:dyDescent="0.3">
      <c r="U185527" s="25"/>
    </row>
    <row r="185549" spans="21:21" x14ac:dyDescent="0.3">
      <c r="U185549" s="25"/>
    </row>
    <row r="185571" spans="21:21" x14ac:dyDescent="0.3">
      <c r="U185571" s="25"/>
    </row>
    <row r="185593" spans="21:21" x14ac:dyDescent="0.3">
      <c r="U185593" s="25"/>
    </row>
    <row r="185615" spans="21:21" x14ac:dyDescent="0.3">
      <c r="U185615" s="25"/>
    </row>
    <row r="185637" spans="21:21" x14ac:dyDescent="0.3">
      <c r="U185637" s="25"/>
    </row>
    <row r="185659" spans="21:21" x14ac:dyDescent="0.3">
      <c r="U185659" s="25"/>
    </row>
    <row r="185681" spans="21:21" x14ac:dyDescent="0.3">
      <c r="U185681" s="25"/>
    </row>
    <row r="185703" spans="21:21" x14ac:dyDescent="0.3">
      <c r="U185703" s="25"/>
    </row>
    <row r="185725" spans="21:21" x14ac:dyDescent="0.3">
      <c r="U185725" s="25"/>
    </row>
    <row r="185747" spans="21:21" x14ac:dyDescent="0.3">
      <c r="U185747" s="25"/>
    </row>
    <row r="185769" spans="21:21" x14ac:dyDescent="0.3">
      <c r="U185769" s="25"/>
    </row>
    <row r="185791" spans="21:21" x14ac:dyDescent="0.3">
      <c r="U185791" s="25"/>
    </row>
    <row r="185813" spans="21:21" x14ac:dyDescent="0.3">
      <c r="U185813" s="25"/>
    </row>
    <row r="185835" spans="21:21" x14ac:dyDescent="0.3">
      <c r="U185835" s="25"/>
    </row>
    <row r="185857" spans="21:21" x14ac:dyDescent="0.3">
      <c r="U185857" s="25"/>
    </row>
    <row r="185879" spans="21:21" x14ac:dyDescent="0.3">
      <c r="U185879" s="25"/>
    </row>
    <row r="185901" spans="21:21" x14ac:dyDescent="0.3">
      <c r="U185901" s="25"/>
    </row>
    <row r="185923" spans="21:21" x14ac:dyDescent="0.3">
      <c r="U185923" s="25"/>
    </row>
    <row r="185945" spans="21:21" x14ac:dyDescent="0.3">
      <c r="U185945" s="25"/>
    </row>
    <row r="185967" spans="21:21" x14ac:dyDescent="0.3">
      <c r="U185967" s="25"/>
    </row>
    <row r="185989" spans="21:21" x14ac:dyDescent="0.3">
      <c r="U185989" s="25"/>
    </row>
    <row r="186011" spans="21:21" x14ac:dyDescent="0.3">
      <c r="U186011" s="25"/>
    </row>
    <row r="186033" spans="21:21" x14ac:dyDescent="0.3">
      <c r="U186033" s="25"/>
    </row>
    <row r="186055" spans="21:21" x14ac:dyDescent="0.3">
      <c r="U186055" s="25"/>
    </row>
    <row r="186077" spans="21:21" x14ac:dyDescent="0.3">
      <c r="U186077" s="25"/>
    </row>
    <row r="186099" spans="21:21" x14ac:dyDescent="0.3">
      <c r="U186099" s="25"/>
    </row>
    <row r="186121" spans="21:21" x14ac:dyDescent="0.3">
      <c r="U186121" s="25"/>
    </row>
    <row r="186143" spans="21:21" x14ac:dyDescent="0.3">
      <c r="U186143" s="25"/>
    </row>
    <row r="186165" spans="21:21" x14ac:dyDescent="0.3">
      <c r="U186165" s="25"/>
    </row>
    <row r="186187" spans="21:21" x14ac:dyDescent="0.3">
      <c r="U186187" s="25"/>
    </row>
    <row r="186209" spans="21:21" x14ac:dyDescent="0.3">
      <c r="U186209" s="25"/>
    </row>
    <row r="186231" spans="21:21" x14ac:dyDescent="0.3">
      <c r="U186231" s="25"/>
    </row>
    <row r="186253" spans="21:21" x14ac:dyDescent="0.3">
      <c r="U186253" s="25"/>
    </row>
    <row r="186275" spans="21:21" x14ac:dyDescent="0.3">
      <c r="U186275" s="25"/>
    </row>
    <row r="186297" spans="21:21" x14ac:dyDescent="0.3">
      <c r="U186297" s="25"/>
    </row>
    <row r="186319" spans="21:21" x14ac:dyDescent="0.3">
      <c r="U186319" s="25"/>
    </row>
    <row r="186341" spans="21:21" x14ac:dyDescent="0.3">
      <c r="U186341" s="25"/>
    </row>
    <row r="186363" spans="21:21" x14ac:dyDescent="0.3">
      <c r="U186363" s="25"/>
    </row>
    <row r="186385" spans="21:21" x14ac:dyDescent="0.3">
      <c r="U186385" s="25"/>
    </row>
    <row r="186407" spans="21:21" x14ac:dyDescent="0.3">
      <c r="U186407" s="25"/>
    </row>
    <row r="186429" spans="21:21" x14ac:dyDescent="0.3">
      <c r="U186429" s="25"/>
    </row>
    <row r="186451" spans="21:21" x14ac:dyDescent="0.3">
      <c r="U186451" s="25"/>
    </row>
    <row r="186473" spans="21:21" x14ac:dyDescent="0.3">
      <c r="U186473" s="25"/>
    </row>
    <row r="186495" spans="21:21" x14ac:dyDescent="0.3">
      <c r="U186495" s="25"/>
    </row>
    <row r="186517" spans="21:21" x14ac:dyDescent="0.3">
      <c r="U186517" s="25"/>
    </row>
    <row r="186539" spans="21:21" x14ac:dyDescent="0.3">
      <c r="U186539" s="25"/>
    </row>
    <row r="186561" spans="21:21" x14ac:dyDescent="0.3">
      <c r="U186561" s="25"/>
    </row>
    <row r="186583" spans="21:21" x14ac:dyDescent="0.3">
      <c r="U186583" s="25"/>
    </row>
    <row r="186605" spans="21:21" x14ac:dyDescent="0.3">
      <c r="U186605" s="25"/>
    </row>
    <row r="186627" spans="21:21" x14ac:dyDescent="0.3">
      <c r="U186627" s="25"/>
    </row>
    <row r="186649" spans="21:21" x14ac:dyDescent="0.3">
      <c r="U186649" s="25"/>
    </row>
    <row r="186671" spans="21:21" x14ac:dyDescent="0.3">
      <c r="U186671" s="25"/>
    </row>
    <row r="186693" spans="21:21" x14ac:dyDescent="0.3">
      <c r="U186693" s="25"/>
    </row>
    <row r="186715" spans="21:21" x14ac:dyDescent="0.3">
      <c r="U186715" s="25"/>
    </row>
    <row r="186737" spans="21:21" x14ac:dyDescent="0.3">
      <c r="U186737" s="25"/>
    </row>
    <row r="186759" spans="21:21" x14ac:dyDescent="0.3">
      <c r="U186759" s="25"/>
    </row>
    <row r="186781" spans="21:21" x14ac:dyDescent="0.3">
      <c r="U186781" s="25"/>
    </row>
    <row r="186803" spans="21:21" x14ac:dyDescent="0.3">
      <c r="U186803" s="25"/>
    </row>
    <row r="186825" spans="21:21" x14ac:dyDescent="0.3">
      <c r="U186825" s="25"/>
    </row>
    <row r="186847" spans="21:21" x14ac:dyDescent="0.3">
      <c r="U186847" s="25"/>
    </row>
    <row r="186869" spans="21:21" x14ac:dyDescent="0.3">
      <c r="U186869" s="25"/>
    </row>
    <row r="186891" spans="21:21" x14ac:dyDescent="0.3">
      <c r="U186891" s="25"/>
    </row>
    <row r="186913" spans="21:21" x14ac:dyDescent="0.3">
      <c r="U186913" s="25"/>
    </row>
    <row r="186935" spans="21:21" x14ac:dyDescent="0.3">
      <c r="U186935" s="25"/>
    </row>
    <row r="186957" spans="21:21" x14ac:dyDescent="0.3">
      <c r="U186957" s="25"/>
    </row>
    <row r="186979" spans="21:21" x14ac:dyDescent="0.3">
      <c r="U186979" s="25"/>
    </row>
    <row r="187001" spans="21:21" x14ac:dyDescent="0.3">
      <c r="U187001" s="25"/>
    </row>
    <row r="187023" spans="21:21" x14ac:dyDescent="0.3">
      <c r="U187023" s="25"/>
    </row>
    <row r="187045" spans="21:21" x14ac:dyDescent="0.3">
      <c r="U187045" s="25"/>
    </row>
    <row r="187067" spans="21:21" x14ac:dyDescent="0.3">
      <c r="U187067" s="25"/>
    </row>
    <row r="187089" spans="21:21" x14ac:dyDescent="0.3">
      <c r="U187089" s="25"/>
    </row>
    <row r="187111" spans="21:21" x14ac:dyDescent="0.3">
      <c r="U187111" s="25"/>
    </row>
    <row r="187133" spans="21:21" x14ac:dyDescent="0.3">
      <c r="U187133" s="25"/>
    </row>
    <row r="187155" spans="21:21" x14ac:dyDescent="0.3">
      <c r="U187155" s="25"/>
    </row>
    <row r="187177" spans="21:21" x14ac:dyDescent="0.3">
      <c r="U187177" s="25"/>
    </row>
    <row r="187199" spans="21:21" x14ac:dyDescent="0.3">
      <c r="U187199" s="25"/>
    </row>
    <row r="187221" spans="21:21" x14ac:dyDescent="0.3">
      <c r="U187221" s="25"/>
    </row>
    <row r="187243" spans="21:21" x14ac:dyDescent="0.3">
      <c r="U187243" s="25"/>
    </row>
    <row r="187265" spans="21:21" x14ac:dyDescent="0.3">
      <c r="U187265" s="25"/>
    </row>
    <row r="187287" spans="21:21" x14ac:dyDescent="0.3">
      <c r="U187287" s="25"/>
    </row>
    <row r="187309" spans="21:21" x14ac:dyDescent="0.3">
      <c r="U187309" s="25"/>
    </row>
    <row r="187331" spans="21:21" x14ac:dyDescent="0.3">
      <c r="U187331" s="25"/>
    </row>
    <row r="187353" spans="21:21" x14ac:dyDescent="0.3">
      <c r="U187353" s="25"/>
    </row>
    <row r="187375" spans="21:21" x14ac:dyDescent="0.3">
      <c r="U187375" s="25"/>
    </row>
    <row r="187397" spans="21:21" x14ac:dyDescent="0.3">
      <c r="U187397" s="25"/>
    </row>
    <row r="187419" spans="21:21" x14ac:dyDescent="0.3">
      <c r="U187419" s="25"/>
    </row>
    <row r="187441" spans="21:21" x14ac:dyDescent="0.3">
      <c r="U187441" s="25"/>
    </row>
    <row r="187463" spans="21:21" x14ac:dyDescent="0.3">
      <c r="U187463" s="25"/>
    </row>
    <row r="187485" spans="21:21" x14ac:dyDescent="0.3">
      <c r="U187485" s="25"/>
    </row>
    <row r="187507" spans="21:21" x14ac:dyDescent="0.3">
      <c r="U187507" s="25"/>
    </row>
    <row r="187529" spans="21:21" x14ac:dyDescent="0.3">
      <c r="U187529" s="25"/>
    </row>
    <row r="187551" spans="21:21" x14ac:dyDescent="0.3">
      <c r="U187551" s="25"/>
    </row>
    <row r="187573" spans="21:21" x14ac:dyDescent="0.3">
      <c r="U187573" s="25"/>
    </row>
    <row r="187595" spans="21:21" x14ac:dyDescent="0.3">
      <c r="U187595" s="25"/>
    </row>
    <row r="187617" spans="21:21" x14ac:dyDescent="0.3">
      <c r="U187617" s="25"/>
    </row>
    <row r="187639" spans="21:21" x14ac:dyDescent="0.3">
      <c r="U187639" s="25"/>
    </row>
    <row r="187661" spans="21:21" x14ac:dyDescent="0.3">
      <c r="U187661" s="25"/>
    </row>
    <row r="187683" spans="21:21" x14ac:dyDescent="0.3">
      <c r="U187683" s="25"/>
    </row>
    <row r="187705" spans="21:21" x14ac:dyDescent="0.3">
      <c r="U187705" s="25"/>
    </row>
    <row r="187727" spans="21:21" x14ac:dyDescent="0.3">
      <c r="U187727" s="25"/>
    </row>
    <row r="187749" spans="21:21" x14ac:dyDescent="0.3">
      <c r="U187749" s="25"/>
    </row>
    <row r="187771" spans="21:21" x14ac:dyDescent="0.3">
      <c r="U187771" s="25"/>
    </row>
    <row r="187793" spans="21:21" x14ac:dyDescent="0.3">
      <c r="U187793" s="25"/>
    </row>
    <row r="187815" spans="21:21" x14ac:dyDescent="0.3">
      <c r="U187815" s="25"/>
    </row>
    <row r="187837" spans="21:21" x14ac:dyDescent="0.3">
      <c r="U187837" s="25"/>
    </row>
    <row r="187859" spans="21:21" x14ac:dyDescent="0.3">
      <c r="U187859" s="25"/>
    </row>
    <row r="187881" spans="21:21" x14ac:dyDescent="0.3">
      <c r="U187881" s="25"/>
    </row>
    <row r="187903" spans="21:21" x14ac:dyDescent="0.3">
      <c r="U187903" s="25"/>
    </row>
    <row r="187925" spans="21:21" x14ac:dyDescent="0.3">
      <c r="U187925" s="25"/>
    </row>
    <row r="187947" spans="21:21" x14ac:dyDescent="0.3">
      <c r="U187947" s="25"/>
    </row>
    <row r="187969" spans="21:21" x14ac:dyDescent="0.3">
      <c r="U187969" s="25"/>
    </row>
    <row r="187991" spans="21:21" x14ac:dyDescent="0.3">
      <c r="U187991" s="25"/>
    </row>
    <row r="188013" spans="21:21" x14ac:dyDescent="0.3">
      <c r="U188013" s="25"/>
    </row>
    <row r="188035" spans="21:21" x14ac:dyDescent="0.3">
      <c r="U188035" s="25"/>
    </row>
    <row r="188057" spans="21:21" x14ac:dyDescent="0.3">
      <c r="U188057" s="25"/>
    </row>
    <row r="188079" spans="21:21" x14ac:dyDescent="0.3">
      <c r="U188079" s="25"/>
    </row>
    <row r="188101" spans="21:21" x14ac:dyDescent="0.3">
      <c r="U188101" s="25"/>
    </row>
    <row r="188123" spans="21:21" x14ac:dyDescent="0.3">
      <c r="U188123" s="25"/>
    </row>
    <row r="188145" spans="21:21" x14ac:dyDescent="0.3">
      <c r="U188145" s="25"/>
    </row>
    <row r="188167" spans="21:21" x14ac:dyDescent="0.3">
      <c r="U188167" s="25"/>
    </row>
    <row r="188189" spans="21:21" x14ac:dyDescent="0.3">
      <c r="U188189" s="25"/>
    </row>
    <row r="188211" spans="21:21" x14ac:dyDescent="0.3">
      <c r="U188211" s="25"/>
    </row>
    <row r="188233" spans="21:21" x14ac:dyDescent="0.3">
      <c r="U188233" s="25"/>
    </row>
    <row r="188255" spans="21:21" x14ac:dyDescent="0.3">
      <c r="U188255" s="25"/>
    </row>
    <row r="188277" spans="21:21" x14ac:dyDescent="0.3">
      <c r="U188277" s="25"/>
    </row>
    <row r="188299" spans="21:21" x14ac:dyDescent="0.3">
      <c r="U188299" s="25"/>
    </row>
    <row r="188321" spans="21:21" x14ac:dyDescent="0.3">
      <c r="U188321" s="25"/>
    </row>
    <row r="188343" spans="21:21" x14ac:dyDescent="0.3">
      <c r="U188343" s="25"/>
    </row>
    <row r="188365" spans="21:21" x14ac:dyDescent="0.3">
      <c r="U188365" s="25"/>
    </row>
    <row r="188387" spans="21:21" x14ac:dyDescent="0.3">
      <c r="U188387" s="25"/>
    </row>
    <row r="188409" spans="21:21" x14ac:dyDescent="0.3">
      <c r="U188409" s="25"/>
    </row>
    <row r="188431" spans="21:21" x14ac:dyDescent="0.3">
      <c r="U188431" s="25"/>
    </row>
    <row r="188453" spans="21:21" x14ac:dyDescent="0.3">
      <c r="U188453" s="25"/>
    </row>
    <row r="188475" spans="21:21" x14ac:dyDescent="0.3">
      <c r="U188475" s="25"/>
    </row>
    <row r="188497" spans="21:21" x14ac:dyDescent="0.3">
      <c r="U188497" s="25"/>
    </row>
    <row r="188519" spans="21:21" x14ac:dyDescent="0.3">
      <c r="U188519" s="25"/>
    </row>
    <row r="188541" spans="21:21" x14ac:dyDescent="0.3">
      <c r="U188541" s="25"/>
    </row>
    <row r="188563" spans="21:21" x14ac:dyDescent="0.3">
      <c r="U188563" s="25"/>
    </row>
    <row r="188585" spans="21:21" x14ac:dyDescent="0.3">
      <c r="U188585" s="25"/>
    </row>
    <row r="188607" spans="21:21" x14ac:dyDescent="0.3">
      <c r="U188607" s="25"/>
    </row>
    <row r="188629" spans="21:21" x14ac:dyDescent="0.3">
      <c r="U188629" s="25"/>
    </row>
    <row r="188651" spans="21:21" x14ac:dyDescent="0.3">
      <c r="U188651" s="25"/>
    </row>
    <row r="188673" spans="21:21" x14ac:dyDescent="0.3">
      <c r="U188673" s="25"/>
    </row>
    <row r="188695" spans="21:21" x14ac:dyDescent="0.3">
      <c r="U188695" s="25"/>
    </row>
    <row r="188717" spans="21:21" x14ac:dyDescent="0.3">
      <c r="U188717" s="25"/>
    </row>
    <row r="188739" spans="21:21" x14ac:dyDescent="0.3">
      <c r="U188739" s="25"/>
    </row>
    <row r="188761" spans="21:21" x14ac:dyDescent="0.3">
      <c r="U188761" s="25"/>
    </row>
    <row r="188783" spans="21:21" x14ac:dyDescent="0.3">
      <c r="U188783" s="25"/>
    </row>
    <row r="188805" spans="21:21" x14ac:dyDescent="0.3">
      <c r="U188805" s="25"/>
    </row>
    <row r="188827" spans="21:21" x14ac:dyDescent="0.3">
      <c r="U188827" s="25"/>
    </row>
    <row r="188849" spans="21:21" x14ac:dyDescent="0.3">
      <c r="U188849" s="25"/>
    </row>
    <row r="188871" spans="21:21" x14ac:dyDescent="0.3">
      <c r="U188871" s="25"/>
    </row>
    <row r="188893" spans="21:21" x14ac:dyDescent="0.3">
      <c r="U188893" s="25"/>
    </row>
    <row r="188915" spans="21:21" x14ac:dyDescent="0.3">
      <c r="U188915" s="25"/>
    </row>
    <row r="188937" spans="21:21" x14ac:dyDescent="0.3">
      <c r="U188937" s="25"/>
    </row>
    <row r="188959" spans="21:21" x14ac:dyDescent="0.3">
      <c r="U188959" s="25"/>
    </row>
    <row r="188981" spans="21:21" x14ac:dyDescent="0.3">
      <c r="U188981" s="25"/>
    </row>
    <row r="189003" spans="21:21" x14ac:dyDescent="0.3">
      <c r="U189003" s="25"/>
    </row>
    <row r="189025" spans="21:21" x14ac:dyDescent="0.3">
      <c r="U189025" s="25"/>
    </row>
    <row r="189047" spans="21:21" x14ac:dyDescent="0.3">
      <c r="U189047" s="25"/>
    </row>
    <row r="189069" spans="21:21" x14ac:dyDescent="0.3">
      <c r="U189069" s="25"/>
    </row>
    <row r="189091" spans="21:21" x14ac:dyDescent="0.3">
      <c r="U189091" s="25"/>
    </row>
    <row r="189113" spans="21:21" x14ac:dyDescent="0.3">
      <c r="U189113" s="25"/>
    </row>
    <row r="189135" spans="21:21" x14ac:dyDescent="0.3">
      <c r="U189135" s="25"/>
    </row>
    <row r="189157" spans="21:21" x14ac:dyDescent="0.3">
      <c r="U189157" s="25"/>
    </row>
    <row r="189179" spans="21:21" x14ac:dyDescent="0.3">
      <c r="U189179" s="25"/>
    </row>
    <row r="189201" spans="21:21" x14ac:dyDescent="0.3">
      <c r="U189201" s="25"/>
    </row>
    <row r="189223" spans="21:21" x14ac:dyDescent="0.3">
      <c r="U189223" s="25"/>
    </row>
    <row r="189245" spans="21:21" x14ac:dyDescent="0.3">
      <c r="U189245" s="25"/>
    </row>
    <row r="189267" spans="21:21" x14ac:dyDescent="0.3">
      <c r="U189267" s="25"/>
    </row>
    <row r="189289" spans="21:21" x14ac:dyDescent="0.3">
      <c r="U189289" s="25"/>
    </row>
    <row r="189311" spans="21:21" x14ac:dyDescent="0.3">
      <c r="U189311" s="25"/>
    </row>
    <row r="189333" spans="21:21" x14ac:dyDescent="0.3">
      <c r="U189333" s="25"/>
    </row>
    <row r="189355" spans="21:21" x14ac:dyDescent="0.3">
      <c r="U189355" s="25"/>
    </row>
    <row r="189377" spans="21:21" x14ac:dyDescent="0.3">
      <c r="U189377" s="25"/>
    </row>
    <row r="189399" spans="21:21" x14ac:dyDescent="0.3">
      <c r="U189399" s="25"/>
    </row>
    <row r="189421" spans="21:21" x14ac:dyDescent="0.3">
      <c r="U189421" s="25"/>
    </row>
    <row r="189443" spans="21:21" x14ac:dyDescent="0.3">
      <c r="U189443" s="25"/>
    </row>
    <row r="189465" spans="21:21" x14ac:dyDescent="0.3">
      <c r="U189465" s="25"/>
    </row>
    <row r="189487" spans="21:21" x14ac:dyDescent="0.3">
      <c r="U189487" s="25"/>
    </row>
    <row r="189509" spans="21:21" x14ac:dyDescent="0.3">
      <c r="U189509" s="25"/>
    </row>
    <row r="189531" spans="21:21" x14ac:dyDescent="0.3">
      <c r="U189531" s="25"/>
    </row>
    <row r="189553" spans="21:21" x14ac:dyDescent="0.3">
      <c r="U189553" s="25"/>
    </row>
    <row r="189575" spans="21:21" x14ac:dyDescent="0.3">
      <c r="U189575" s="25"/>
    </row>
    <row r="189597" spans="21:21" x14ac:dyDescent="0.3">
      <c r="U189597" s="25"/>
    </row>
    <row r="189619" spans="21:21" x14ac:dyDescent="0.3">
      <c r="U189619" s="25"/>
    </row>
    <row r="189641" spans="21:21" x14ac:dyDescent="0.3">
      <c r="U189641" s="25"/>
    </row>
    <row r="189663" spans="21:21" x14ac:dyDescent="0.3">
      <c r="U189663" s="25"/>
    </row>
    <row r="189685" spans="21:21" x14ac:dyDescent="0.3">
      <c r="U189685" s="25"/>
    </row>
    <row r="189707" spans="21:21" x14ac:dyDescent="0.3">
      <c r="U189707" s="25"/>
    </row>
    <row r="189729" spans="21:21" x14ac:dyDescent="0.3">
      <c r="U189729" s="25"/>
    </row>
    <row r="189751" spans="21:21" x14ac:dyDescent="0.3">
      <c r="U189751" s="25"/>
    </row>
    <row r="189773" spans="21:21" x14ac:dyDescent="0.3">
      <c r="U189773" s="25"/>
    </row>
    <row r="189795" spans="21:21" x14ac:dyDescent="0.3">
      <c r="U189795" s="25"/>
    </row>
    <row r="189817" spans="21:21" x14ac:dyDescent="0.3">
      <c r="U189817" s="25"/>
    </row>
    <row r="189839" spans="21:21" x14ac:dyDescent="0.3">
      <c r="U189839" s="25"/>
    </row>
    <row r="189861" spans="21:21" x14ac:dyDescent="0.3">
      <c r="U189861" s="25"/>
    </row>
    <row r="189883" spans="21:21" x14ac:dyDescent="0.3">
      <c r="U189883" s="25"/>
    </row>
    <row r="189905" spans="21:21" x14ac:dyDescent="0.3">
      <c r="U189905" s="25"/>
    </row>
    <row r="189927" spans="21:21" x14ac:dyDescent="0.3">
      <c r="U189927" s="25"/>
    </row>
    <row r="189949" spans="21:21" x14ac:dyDescent="0.3">
      <c r="U189949" s="25"/>
    </row>
    <row r="189971" spans="21:21" x14ac:dyDescent="0.3">
      <c r="U189971" s="25"/>
    </row>
    <row r="189993" spans="21:21" x14ac:dyDescent="0.3">
      <c r="U189993" s="25"/>
    </row>
    <row r="190015" spans="21:21" x14ac:dyDescent="0.3">
      <c r="U190015" s="25"/>
    </row>
    <row r="190037" spans="21:21" x14ac:dyDescent="0.3">
      <c r="U190037" s="25"/>
    </row>
    <row r="190059" spans="21:21" x14ac:dyDescent="0.3">
      <c r="U190059" s="25"/>
    </row>
    <row r="190081" spans="21:21" x14ac:dyDescent="0.3">
      <c r="U190081" s="25"/>
    </row>
    <row r="190103" spans="21:21" x14ac:dyDescent="0.3">
      <c r="U190103" s="25"/>
    </row>
    <row r="190125" spans="21:21" x14ac:dyDescent="0.3">
      <c r="U190125" s="25"/>
    </row>
    <row r="190147" spans="21:21" x14ac:dyDescent="0.3">
      <c r="U190147" s="25"/>
    </row>
    <row r="190169" spans="21:21" x14ac:dyDescent="0.3">
      <c r="U190169" s="25"/>
    </row>
    <row r="190191" spans="21:21" x14ac:dyDescent="0.3">
      <c r="U190191" s="25"/>
    </row>
    <row r="190213" spans="21:21" x14ac:dyDescent="0.3">
      <c r="U190213" s="25"/>
    </row>
    <row r="190235" spans="21:21" x14ac:dyDescent="0.3">
      <c r="U190235" s="25"/>
    </row>
    <row r="190257" spans="21:21" x14ac:dyDescent="0.3">
      <c r="U190257" s="25"/>
    </row>
    <row r="190279" spans="21:21" x14ac:dyDescent="0.3">
      <c r="U190279" s="25"/>
    </row>
    <row r="190301" spans="21:21" x14ac:dyDescent="0.3">
      <c r="U190301" s="25"/>
    </row>
    <row r="190323" spans="21:21" x14ac:dyDescent="0.3">
      <c r="U190323" s="25"/>
    </row>
    <row r="190345" spans="21:21" x14ac:dyDescent="0.3">
      <c r="U190345" s="25"/>
    </row>
    <row r="190367" spans="21:21" x14ac:dyDescent="0.3">
      <c r="U190367" s="25"/>
    </row>
    <row r="190389" spans="21:21" x14ac:dyDescent="0.3">
      <c r="U190389" s="25"/>
    </row>
    <row r="190411" spans="21:21" x14ac:dyDescent="0.3">
      <c r="U190411" s="25"/>
    </row>
    <row r="190433" spans="21:21" x14ac:dyDescent="0.3">
      <c r="U190433" s="25"/>
    </row>
    <row r="190455" spans="21:21" x14ac:dyDescent="0.3">
      <c r="U190455" s="25"/>
    </row>
    <row r="190477" spans="21:21" x14ac:dyDescent="0.3">
      <c r="U190477" s="25"/>
    </row>
    <row r="190499" spans="21:21" x14ac:dyDescent="0.3">
      <c r="U190499" s="25"/>
    </row>
    <row r="190521" spans="21:21" x14ac:dyDescent="0.3">
      <c r="U190521" s="25"/>
    </row>
    <row r="190543" spans="21:21" x14ac:dyDescent="0.3">
      <c r="U190543" s="25"/>
    </row>
    <row r="190565" spans="21:21" x14ac:dyDescent="0.3">
      <c r="U190565" s="25"/>
    </row>
    <row r="190587" spans="21:21" x14ac:dyDescent="0.3">
      <c r="U190587" s="25"/>
    </row>
    <row r="190609" spans="21:21" x14ac:dyDescent="0.3">
      <c r="U190609" s="25"/>
    </row>
    <row r="190631" spans="21:21" x14ac:dyDescent="0.3">
      <c r="U190631" s="25"/>
    </row>
    <row r="190653" spans="21:21" x14ac:dyDescent="0.3">
      <c r="U190653" s="25"/>
    </row>
    <row r="190675" spans="21:21" x14ac:dyDescent="0.3">
      <c r="U190675" s="25"/>
    </row>
    <row r="190697" spans="21:21" x14ac:dyDescent="0.3">
      <c r="U190697" s="25"/>
    </row>
    <row r="190719" spans="21:21" x14ac:dyDescent="0.3">
      <c r="U190719" s="25"/>
    </row>
    <row r="190741" spans="21:21" x14ac:dyDescent="0.3">
      <c r="U190741" s="25"/>
    </row>
    <row r="190763" spans="21:21" x14ac:dyDescent="0.3">
      <c r="U190763" s="25"/>
    </row>
    <row r="190785" spans="21:21" x14ac:dyDescent="0.3">
      <c r="U190785" s="25"/>
    </row>
    <row r="190807" spans="21:21" x14ac:dyDescent="0.3">
      <c r="U190807" s="25"/>
    </row>
    <row r="190829" spans="21:21" x14ac:dyDescent="0.3">
      <c r="U190829" s="25"/>
    </row>
    <row r="190851" spans="21:21" x14ac:dyDescent="0.3">
      <c r="U190851" s="25"/>
    </row>
    <row r="190873" spans="21:21" x14ac:dyDescent="0.3">
      <c r="U190873" s="25"/>
    </row>
    <row r="190895" spans="21:21" x14ac:dyDescent="0.3">
      <c r="U190895" s="25"/>
    </row>
    <row r="190917" spans="21:21" x14ac:dyDescent="0.3">
      <c r="U190917" s="25"/>
    </row>
    <row r="190939" spans="21:21" x14ac:dyDescent="0.3">
      <c r="U190939" s="25"/>
    </row>
    <row r="190961" spans="21:21" x14ac:dyDescent="0.3">
      <c r="U190961" s="25"/>
    </row>
    <row r="190983" spans="21:21" x14ac:dyDescent="0.3">
      <c r="U190983" s="25"/>
    </row>
    <row r="191005" spans="21:21" x14ac:dyDescent="0.3">
      <c r="U191005" s="25"/>
    </row>
    <row r="191027" spans="21:21" x14ac:dyDescent="0.3">
      <c r="U191027" s="25"/>
    </row>
    <row r="191049" spans="21:21" x14ac:dyDescent="0.3">
      <c r="U191049" s="25"/>
    </row>
    <row r="191071" spans="21:21" x14ac:dyDescent="0.3">
      <c r="U191071" s="25"/>
    </row>
    <row r="191093" spans="21:21" x14ac:dyDescent="0.3">
      <c r="U191093" s="25"/>
    </row>
    <row r="191115" spans="21:21" x14ac:dyDescent="0.3">
      <c r="U191115" s="25"/>
    </row>
    <row r="191137" spans="21:21" x14ac:dyDescent="0.3">
      <c r="U191137" s="25"/>
    </row>
    <row r="191159" spans="21:21" x14ac:dyDescent="0.3">
      <c r="U191159" s="25"/>
    </row>
    <row r="191181" spans="21:21" x14ac:dyDescent="0.3">
      <c r="U191181" s="25"/>
    </row>
    <row r="191203" spans="21:21" x14ac:dyDescent="0.3">
      <c r="U191203" s="25"/>
    </row>
    <row r="191225" spans="21:21" x14ac:dyDescent="0.3">
      <c r="U191225" s="25"/>
    </row>
    <row r="191247" spans="21:21" x14ac:dyDescent="0.3">
      <c r="U191247" s="25"/>
    </row>
    <row r="191269" spans="21:21" x14ac:dyDescent="0.3">
      <c r="U191269" s="25"/>
    </row>
    <row r="191291" spans="21:21" x14ac:dyDescent="0.3">
      <c r="U191291" s="25"/>
    </row>
    <row r="191313" spans="21:21" x14ac:dyDescent="0.3">
      <c r="U191313" s="25"/>
    </row>
    <row r="191335" spans="21:21" x14ac:dyDescent="0.3">
      <c r="U191335" s="25"/>
    </row>
    <row r="191357" spans="21:21" x14ac:dyDescent="0.3">
      <c r="U191357" s="25"/>
    </row>
    <row r="191379" spans="21:21" x14ac:dyDescent="0.3">
      <c r="U191379" s="25"/>
    </row>
    <row r="191401" spans="21:21" x14ac:dyDescent="0.3">
      <c r="U191401" s="25"/>
    </row>
    <row r="191423" spans="21:21" x14ac:dyDescent="0.3">
      <c r="U191423" s="25"/>
    </row>
    <row r="191445" spans="21:21" x14ac:dyDescent="0.3">
      <c r="U191445" s="25"/>
    </row>
    <row r="191467" spans="21:21" x14ac:dyDescent="0.3">
      <c r="U191467" s="25"/>
    </row>
    <row r="191489" spans="21:21" x14ac:dyDescent="0.3">
      <c r="U191489" s="25"/>
    </row>
    <row r="191511" spans="21:21" x14ac:dyDescent="0.3">
      <c r="U191511" s="25"/>
    </row>
    <row r="191533" spans="21:21" x14ac:dyDescent="0.3">
      <c r="U191533" s="25"/>
    </row>
    <row r="191555" spans="21:21" x14ac:dyDescent="0.3">
      <c r="U191555" s="25"/>
    </row>
    <row r="191577" spans="21:21" x14ac:dyDescent="0.3">
      <c r="U191577" s="25"/>
    </row>
    <row r="191599" spans="21:21" x14ac:dyDescent="0.3">
      <c r="U191599" s="25"/>
    </row>
    <row r="191621" spans="21:21" x14ac:dyDescent="0.3">
      <c r="U191621" s="25"/>
    </row>
    <row r="191643" spans="21:21" x14ac:dyDescent="0.3">
      <c r="U191643" s="25"/>
    </row>
    <row r="191665" spans="21:21" x14ac:dyDescent="0.3">
      <c r="U191665" s="25"/>
    </row>
    <row r="191687" spans="21:21" x14ac:dyDescent="0.3">
      <c r="U191687" s="25"/>
    </row>
    <row r="191709" spans="21:21" x14ac:dyDescent="0.3">
      <c r="U191709" s="25"/>
    </row>
    <row r="191731" spans="21:21" x14ac:dyDescent="0.3">
      <c r="U191731" s="25"/>
    </row>
    <row r="191753" spans="21:21" x14ac:dyDescent="0.3">
      <c r="U191753" s="25"/>
    </row>
    <row r="191775" spans="21:21" x14ac:dyDescent="0.3">
      <c r="U191775" s="25"/>
    </row>
    <row r="191797" spans="21:21" x14ac:dyDescent="0.3">
      <c r="U191797" s="25"/>
    </row>
    <row r="191819" spans="21:21" x14ac:dyDescent="0.3">
      <c r="U191819" s="25"/>
    </row>
    <row r="191841" spans="21:21" x14ac:dyDescent="0.3">
      <c r="U191841" s="25"/>
    </row>
    <row r="191863" spans="21:21" x14ac:dyDescent="0.3">
      <c r="U191863" s="25"/>
    </row>
    <row r="191885" spans="21:21" x14ac:dyDescent="0.3">
      <c r="U191885" s="25"/>
    </row>
    <row r="191907" spans="21:21" x14ac:dyDescent="0.3">
      <c r="U191907" s="25"/>
    </row>
    <row r="191929" spans="21:21" x14ac:dyDescent="0.3">
      <c r="U191929" s="25"/>
    </row>
    <row r="191951" spans="21:21" x14ac:dyDescent="0.3">
      <c r="U191951" s="25"/>
    </row>
    <row r="191973" spans="21:21" x14ac:dyDescent="0.3">
      <c r="U191973" s="25"/>
    </row>
    <row r="191995" spans="21:21" x14ac:dyDescent="0.3">
      <c r="U191995" s="25"/>
    </row>
    <row r="192017" spans="21:21" x14ac:dyDescent="0.3">
      <c r="U192017" s="25"/>
    </row>
    <row r="192039" spans="21:21" x14ac:dyDescent="0.3">
      <c r="U192039" s="25"/>
    </row>
    <row r="192061" spans="21:21" x14ac:dyDescent="0.3">
      <c r="U192061" s="25"/>
    </row>
    <row r="192083" spans="21:21" x14ac:dyDescent="0.3">
      <c r="U192083" s="25"/>
    </row>
    <row r="192105" spans="21:21" x14ac:dyDescent="0.3">
      <c r="U192105" s="25"/>
    </row>
    <row r="192127" spans="21:21" x14ac:dyDescent="0.3">
      <c r="U192127" s="25"/>
    </row>
    <row r="192149" spans="21:21" x14ac:dyDescent="0.3">
      <c r="U192149" s="25"/>
    </row>
    <row r="192171" spans="21:21" x14ac:dyDescent="0.3">
      <c r="U192171" s="25"/>
    </row>
    <row r="192193" spans="21:21" x14ac:dyDescent="0.3">
      <c r="U192193" s="25"/>
    </row>
    <row r="192215" spans="21:21" x14ac:dyDescent="0.3">
      <c r="U192215" s="25"/>
    </row>
    <row r="192237" spans="21:21" x14ac:dyDescent="0.3">
      <c r="U192237" s="25"/>
    </row>
    <row r="192259" spans="21:21" x14ac:dyDescent="0.3">
      <c r="U192259" s="25"/>
    </row>
    <row r="192281" spans="21:21" x14ac:dyDescent="0.3">
      <c r="U192281" s="25"/>
    </row>
    <row r="192303" spans="21:21" x14ac:dyDescent="0.3">
      <c r="U192303" s="25"/>
    </row>
    <row r="192325" spans="21:21" x14ac:dyDescent="0.3">
      <c r="U192325" s="25"/>
    </row>
    <row r="192347" spans="21:21" x14ac:dyDescent="0.3">
      <c r="U192347" s="25"/>
    </row>
    <row r="192369" spans="21:21" x14ac:dyDescent="0.3">
      <c r="U192369" s="25"/>
    </row>
    <row r="192391" spans="21:21" x14ac:dyDescent="0.3">
      <c r="U192391" s="25"/>
    </row>
    <row r="192413" spans="21:21" x14ac:dyDescent="0.3">
      <c r="U192413" s="25"/>
    </row>
    <row r="192435" spans="21:21" x14ac:dyDescent="0.3">
      <c r="U192435" s="25"/>
    </row>
    <row r="192457" spans="21:21" x14ac:dyDescent="0.3">
      <c r="U192457" s="25"/>
    </row>
    <row r="192479" spans="21:21" x14ac:dyDescent="0.3">
      <c r="U192479" s="25"/>
    </row>
    <row r="192501" spans="21:21" x14ac:dyDescent="0.3">
      <c r="U192501" s="25"/>
    </row>
    <row r="192523" spans="21:21" x14ac:dyDescent="0.3">
      <c r="U192523" s="25"/>
    </row>
    <row r="192545" spans="21:21" x14ac:dyDescent="0.3">
      <c r="U192545" s="25"/>
    </row>
    <row r="192567" spans="21:21" x14ac:dyDescent="0.3">
      <c r="U192567" s="25"/>
    </row>
    <row r="192589" spans="21:21" x14ac:dyDescent="0.3">
      <c r="U192589" s="25"/>
    </row>
    <row r="192611" spans="21:21" x14ac:dyDescent="0.3">
      <c r="U192611" s="25"/>
    </row>
    <row r="192633" spans="21:21" x14ac:dyDescent="0.3">
      <c r="U192633" s="25"/>
    </row>
    <row r="192655" spans="21:21" x14ac:dyDescent="0.3">
      <c r="U192655" s="25"/>
    </row>
    <row r="192677" spans="21:21" x14ac:dyDescent="0.3">
      <c r="U192677" s="25"/>
    </row>
    <row r="192699" spans="21:21" x14ac:dyDescent="0.3">
      <c r="U192699" s="25"/>
    </row>
    <row r="192721" spans="21:21" x14ac:dyDescent="0.3">
      <c r="U192721" s="25"/>
    </row>
    <row r="192743" spans="21:21" x14ac:dyDescent="0.3">
      <c r="U192743" s="25"/>
    </row>
    <row r="192765" spans="21:21" x14ac:dyDescent="0.3">
      <c r="U192765" s="25"/>
    </row>
    <row r="192787" spans="21:21" x14ac:dyDescent="0.3">
      <c r="U192787" s="25"/>
    </row>
    <row r="192809" spans="21:21" x14ac:dyDescent="0.3">
      <c r="U192809" s="25"/>
    </row>
    <row r="192831" spans="21:21" x14ac:dyDescent="0.3">
      <c r="U192831" s="25"/>
    </row>
    <row r="192853" spans="21:21" x14ac:dyDescent="0.3">
      <c r="U192853" s="25"/>
    </row>
    <row r="192875" spans="21:21" x14ac:dyDescent="0.3">
      <c r="U192875" s="25"/>
    </row>
    <row r="192897" spans="21:21" x14ac:dyDescent="0.3">
      <c r="U192897" s="25"/>
    </row>
    <row r="192919" spans="21:21" x14ac:dyDescent="0.3">
      <c r="U192919" s="25"/>
    </row>
    <row r="192941" spans="21:21" x14ac:dyDescent="0.3">
      <c r="U192941" s="25"/>
    </row>
    <row r="192963" spans="21:21" x14ac:dyDescent="0.3">
      <c r="U192963" s="25"/>
    </row>
    <row r="192985" spans="21:21" x14ac:dyDescent="0.3">
      <c r="U192985" s="25"/>
    </row>
    <row r="193007" spans="21:21" x14ac:dyDescent="0.3">
      <c r="U193007" s="25"/>
    </row>
    <row r="193029" spans="21:21" x14ac:dyDescent="0.3">
      <c r="U193029" s="25"/>
    </row>
    <row r="193051" spans="21:21" x14ac:dyDescent="0.3">
      <c r="U193051" s="25"/>
    </row>
    <row r="193073" spans="21:21" x14ac:dyDescent="0.3">
      <c r="U193073" s="25"/>
    </row>
    <row r="193095" spans="21:21" x14ac:dyDescent="0.3">
      <c r="U193095" s="25"/>
    </row>
    <row r="193117" spans="21:21" x14ac:dyDescent="0.3">
      <c r="U193117" s="25"/>
    </row>
    <row r="193139" spans="21:21" x14ac:dyDescent="0.3">
      <c r="U193139" s="25"/>
    </row>
    <row r="193161" spans="21:21" x14ac:dyDescent="0.3">
      <c r="U193161" s="25"/>
    </row>
    <row r="193183" spans="21:21" x14ac:dyDescent="0.3">
      <c r="U193183" s="25"/>
    </row>
    <row r="193205" spans="21:21" x14ac:dyDescent="0.3">
      <c r="U193205" s="25"/>
    </row>
    <row r="193227" spans="21:21" x14ac:dyDescent="0.3">
      <c r="U193227" s="25"/>
    </row>
    <row r="193249" spans="21:21" x14ac:dyDescent="0.3">
      <c r="U193249" s="25"/>
    </row>
    <row r="193271" spans="21:21" x14ac:dyDescent="0.3">
      <c r="U193271" s="25"/>
    </row>
    <row r="193293" spans="21:21" x14ac:dyDescent="0.3">
      <c r="U193293" s="25"/>
    </row>
    <row r="193315" spans="21:21" x14ac:dyDescent="0.3">
      <c r="U193315" s="25"/>
    </row>
    <row r="193337" spans="21:21" x14ac:dyDescent="0.3">
      <c r="U193337" s="25"/>
    </row>
    <row r="193359" spans="21:21" x14ac:dyDescent="0.3">
      <c r="U193359" s="25"/>
    </row>
    <row r="193381" spans="21:21" x14ac:dyDescent="0.3">
      <c r="U193381" s="25"/>
    </row>
    <row r="193403" spans="21:21" x14ac:dyDescent="0.3">
      <c r="U193403" s="25"/>
    </row>
    <row r="193425" spans="21:21" x14ac:dyDescent="0.3">
      <c r="U193425" s="25"/>
    </row>
    <row r="193447" spans="21:21" x14ac:dyDescent="0.3">
      <c r="U193447" s="25"/>
    </row>
    <row r="193469" spans="21:21" x14ac:dyDescent="0.3">
      <c r="U193469" s="25"/>
    </row>
    <row r="193491" spans="21:21" x14ac:dyDescent="0.3">
      <c r="U193491" s="25"/>
    </row>
    <row r="193513" spans="21:21" x14ac:dyDescent="0.3">
      <c r="U193513" s="25"/>
    </row>
    <row r="193535" spans="21:21" x14ac:dyDescent="0.3">
      <c r="U193535" s="25"/>
    </row>
    <row r="193557" spans="21:21" x14ac:dyDescent="0.3">
      <c r="U193557" s="25"/>
    </row>
    <row r="193579" spans="21:21" x14ac:dyDescent="0.3">
      <c r="U193579" s="25"/>
    </row>
    <row r="193601" spans="21:21" x14ac:dyDescent="0.3">
      <c r="U193601" s="25"/>
    </row>
    <row r="193623" spans="21:21" x14ac:dyDescent="0.3">
      <c r="U193623" s="25"/>
    </row>
    <row r="193645" spans="21:21" x14ac:dyDescent="0.3">
      <c r="U193645" s="25"/>
    </row>
    <row r="193667" spans="21:21" x14ac:dyDescent="0.3">
      <c r="U193667" s="25"/>
    </row>
    <row r="193689" spans="21:21" x14ac:dyDescent="0.3">
      <c r="U193689" s="25"/>
    </row>
    <row r="193711" spans="21:21" x14ac:dyDescent="0.3">
      <c r="U193711" s="25"/>
    </row>
    <row r="193733" spans="21:21" x14ac:dyDescent="0.3">
      <c r="U193733" s="25"/>
    </row>
    <row r="193755" spans="21:21" x14ac:dyDescent="0.3">
      <c r="U193755" s="25"/>
    </row>
    <row r="193777" spans="21:21" x14ac:dyDescent="0.3">
      <c r="U193777" s="25"/>
    </row>
    <row r="193799" spans="21:21" x14ac:dyDescent="0.3">
      <c r="U193799" s="25"/>
    </row>
    <row r="193821" spans="21:21" x14ac:dyDescent="0.3">
      <c r="U193821" s="25"/>
    </row>
    <row r="193843" spans="21:21" x14ac:dyDescent="0.3">
      <c r="U193843" s="25"/>
    </row>
    <row r="193865" spans="21:21" x14ac:dyDescent="0.3">
      <c r="U193865" s="25"/>
    </row>
    <row r="193887" spans="21:21" x14ac:dyDescent="0.3">
      <c r="U193887" s="25"/>
    </row>
    <row r="193909" spans="21:21" x14ac:dyDescent="0.3">
      <c r="U193909" s="25"/>
    </row>
    <row r="193931" spans="21:21" x14ac:dyDescent="0.3">
      <c r="U193931" s="25"/>
    </row>
    <row r="193953" spans="21:21" x14ac:dyDescent="0.3">
      <c r="U193953" s="25"/>
    </row>
    <row r="193975" spans="21:21" x14ac:dyDescent="0.3">
      <c r="U193975" s="25"/>
    </row>
    <row r="193997" spans="21:21" x14ac:dyDescent="0.3">
      <c r="U193997" s="25"/>
    </row>
    <row r="194019" spans="21:21" x14ac:dyDescent="0.3">
      <c r="U194019" s="25"/>
    </row>
    <row r="194041" spans="21:21" x14ac:dyDescent="0.3">
      <c r="U194041" s="25"/>
    </row>
    <row r="194063" spans="21:21" x14ac:dyDescent="0.3">
      <c r="U194063" s="25"/>
    </row>
    <row r="194085" spans="21:21" x14ac:dyDescent="0.3">
      <c r="U194085" s="25"/>
    </row>
    <row r="194107" spans="21:21" x14ac:dyDescent="0.3">
      <c r="U194107" s="25"/>
    </row>
    <row r="194129" spans="21:21" x14ac:dyDescent="0.3">
      <c r="U194129" s="25"/>
    </row>
    <row r="194151" spans="21:21" x14ac:dyDescent="0.3">
      <c r="U194151" s="25"/>
    </row>
    <row r="194173" spans="21:21" x14ac:dyDescent="0.3">
      <c r="U194173" s="25"/>
    </row>
    <row r="194195" spans="21:21" x14ac:dyDescent="0.3">
      <c r="U194195" s="25"/>
    </row>
    <row r="194217" spans="21:21" x14ac:dyDescent="0.3">
      <c r="U194217" s="25"/>
    </row>
    <row r="194239" spans="21:21" x14ac:dyDescent="0.3">
      <c r="U194239" s="25"/>
    </row>
    <row r="194261" spans="21:21" x14ac:dyDescent="0.3">
      <c r="U194261" s="25"/>
    </row>
    <row r="194283" spans="21:21" x14ac:dyDescent="0.3">
      <c r="U194283" s="25"/>
    </row>
    <row r="194305" spans="21:21" x14ac:dyDescent="0.3">
      <c r="U194305" s="25"/>
    </row>
    <row r="194327" spans="21:21" x14ac:dyDescent="0.3">
      <c r="U194327" s="25"/>
    </row>
    <row r="194349" spans="21:21" x14ac:dyDescent="0.3">
      <c r="U194349" s="25"/>
    </row>
    <row r="194371" spans="21:21" x14ac:dyDescent="0.3">
      <c r="U194371" s="25"/>
    </row>
    <row r="194393" spans="21:21" x14ac:dyDescent="0.3">
      <c r="U194393" s="25"/>
    </row>
    <row r="194415" spans="21:21" x14ac:dyDescent="0.3">
      <c r="U194415" s="25"/>
    </row>
    <row r="194437" spans="21:21" x14ac:dyDescent="0.3">
      <c r="U194437" s="25"/>
    </row>
    <row r="194459" spans="21:21" x14ac:dyDescent="0.3">
      <c r="U194459" s="25"/>
    </row>
    <row r="194481" spans="21:21" x14ac:dyDescent="0.3">
      <c r="U194481" s="25"/>
    </row>
    <row r="194503" spans="21:21" x14ac:dyDescent="0.3">
      <c r="U194503" s="25"/>
    </row>
    <row r="194525" spans="21:21" x14ac:dyDescent="0.3">
      <c r="U194525" s="25"/>
    </row>
    <row r="194547" spans="21:21" x14ac:dyDescent="0.3">
      <c r="U194547" s="25"/>
    </row>
    <row r="194569" spans="21:21" x14ac:dyDescent="0.3">
      <c r="U194569" s="25"/>
    </row>
    <row r="194591" spans="21:21" x14ac:dyDescent="0.3">
      <c r="U194591" s="25"/>
    </row>
    <row r="194613" spans="21:21" x14ac:dyDescent="0.3">
      <c r="U194613" s="25"/>
    </row>
    <row r="194635" spans="21:21" x14ac:dyDescent="0.3">
      <c r="U194635" s="25"/>
    </row>
    <row r="194657" spans="21:21" x14ac:dyDescent="0.3">
      <c r="U194657" s="25"/>
    </row>
    <row r="194679" spans="21:21" x14ac:dyDescent="0.3">
      <c r="U194679" s="25"/>
    </row>
    <row r="194701" spans="21:21" x14ac:dyDescent="0.3">
      <c r="U194701" s="25"/>
    </row>
    <row r="194723" spans="21:21" x14ac:dyDescent="0.3">
      <c r="U194723" s="25"/>
    </row>
    <row r="194745" spans="21:21" x14ac:dyDescent="0.3">
      <c r="U194745" s="25"/>
    </row>
    <row r="194767" spans="21:21" x14ac:dyDescent="0.3">
      <c r="U194767" s="25"/>
    </row>
    <row r="194789" spans="21:21" x14ac:dyDescent="0.3">
      <c r="U194789" s="25"/>
    </row>
    <row r="194811" spans="21:21" x14ac:dyDescent="0.3">
      <c r="U194811" s="25"/>
    </row>
    <row r="194833" spans="21:21" x14ac:dyDescent="0.3">
      <c r="U194833" s="25"/>
    </row>
    <row r="194855" spans="21:21" x14ac:dyDescent="0.3">
      <c r="U194855" s="25"/>
    </row>
    <row r="194877" spans="21:21" x14ac:dyDescent="0.3">
      <c r="U194877" s="25"/>
    </row>
    <row r="194899" spans="21:21" x14ac:dyDescent="0.3">
      <c r="U194899" s="25"/>
    </row>
    <row r="194921" spans="21:21" x14ac:dyDescent="0.3">
      <c r="U194921" s="25"/>
    </row>
    <row r="194943" spans="21:21" x14ac:dyDescent="0.3">
      <c r="U194943" s="25"/>
    </row>
    <row r="194965" spans="21:21" x14ac:dyDescent="0.3">
      <c r="U194965" s="25"/>
    </row>
    <row r="194987" spans="21:21" x14ac:dyDescent="0.3">
      <c r="U194987" s="25"/>
    </row>
    <row r="195009" spans="21:21" x14ac:dyDescent="0.3">
      <c r="U195009" s="25"/>
    </row>
    <row r="195031" spans="21:21" x14ac:dyDescent="0.3">
      <c r="U195031" s="25"/>
    </row>
    <row r="195053" spans="21:21" x14ac:dyDescent="0.3">
      <c r="U195053" s="25"/>
    </row>
    <row r="195075" spans="21:21" x14ac:dyDescent="0.3">
      <c r="U195075" s="25"/>
    </row>
    <row r="195097" spans="21:21" x14ac:dyDescent="0.3">
      <c r="U195097" s="25"/>
    </row>
    <row r="195119" spans="21:21" x14ac:dyDescent="0.3">
      <c r="U195119" s="25"/>
    </row>
    <row r="195141" spans="21:21" x14ac:dyDescent="0.3">
      <c r="U195141" s="25"/>
    </row>
    <row r="195163" spans="21:21" x14ac:dyDescent="0.3">
      <c r="U195163" s="25"/>
    </row>
    <row r="195185" spans="21:21" x14ac:dyDescent="0.3">
      <c r="U195185" s="25"/>
    </row>
    <row r="195207" spans="21:21" x14ac:dyDescent="0.3">
      <c r="U195207" s="25"/>
    </row>
    <row r="195229" spans="21:21" x14ac:dyDescent="0.3">
      <c r="U195229" s="25"/>
    </row>
    <row r="195251" spans="21:21" x14ac:dyDescent="0.3">
      <c r="U195251" s="25"/>
    </row>
    <row r="195273" spans="21:21" x14ac:dyDescent="0.3">
      <c r="U195273" s="25"/>
    </row>
    <row r="195295" spans="21:21" x14ac:dyDescent="0.3">
      <c r="U195295" s="25"/>
    </row>
    <row r="195317" spans="21:21" x14ac:dyDescent="0.3">
      <c r="U195317" s="25"/>
    </row>
    <row r="195339" spans="21:21" x14ac:dyDescent="0.3">
      <c r="U195339" s="25"/>
    </row>
    <row r="195361" spans="21:21" x14ac:dyDescent="0.3">
      <c r="U195361" s="25"/>
    </row>
    <row r="195383" spans="21:21" x14ac:dyDescent="0.3">
      <c r="U195383" s="25"/>
    </row>
    <row r="195405" spans="21:21" x14ac:dyDescent="0.3">
      <c r="U195405" s="25"/>
    </row>
    <row r="195427" spans="21:21" x14ac:dyDescent="0.3">
      <c r="U195427" s="25"/>
    </row>
    <row r="195449" spans="21:21" x14ac:dyDescent="0.3">
      <c r="U195449" s="25"/>
    </row>
    <row r="195471" spans="21:21" x14ac:dyDescent="0.3">
      <c r="U195471" s="25"/>
    </row>
    <row r="195493" spans="21:21" x14ac:dyDescent="0.3">
      <c r="U195493" s="25"/>
    </row>
    <row r="195515" spans="21:21" x14ac:dyDescent="0.3">
      <c r="U195515" s="25"/>
    </row>
    <row r="195537" spans="21:21" x14ac:dyDescent="0.3">
      <c r="U195537" s="25"/>
    </row>
    <row r="195559" spans="21:21" x14ac:dyDescent="0.3">
      <c r="U195559" s="25"/>
    </row>
    <row r="195581" spans="21:21" x14ac:dyDescent="0.3">
      <c r="U195581" s="25"/>
    </row>
    <row r="195603" spans="21:21" x14ac:dyDescent="0.3">
      <c r="U195603" s="25"/>
    </row>
    <row r="195625" spans="21:21" x14ac:dyDescent="0.3">
      <c r="U195625" s="25"/>
    </row>
    <row r="195647" spans="21:21" x14ac:dyDescent="0.3">
      <c r="U195647" s="25"/>
    </row>
    <row r="195669" spans="21:21" x14ac:dyDescent="0.3">
      <c r="U195669" s="25"/>
    </row>
    <row r="195691" spans="21:21" x14ac:dyDescent="0.3">
      <c r="U195691" s="25"/>
    </row>
    <row r="195713" spans="21:21" x14ac:dyDescent="0.3">
      <c r="U195713" s="25"/>
    </row>
    <row r="195735" spans="21:21" x14ac:dyDescent="0.3">
      <c r="U195735" s="25"/>
    </row>
    <row r="195757" spans="21:21" x14ac:dyDescent="0.3">
      <c r="U195757" s="25"/>
    </row>
    <row r="195779" spans="21:21" x14ac:dyDescent="0.3">
      <c r="U195779" s="25"/>
    </row>
    <row r="195801" spans="21:21" x14ac:dyDescent="0.3">
      <c r="U195801" s="25"/>
    </row>
    <row r="195823" spans="21:21" x14ac:dyDescent="0.3">
      <c r="U195823" s="25"/>
    </row>
    <row r="195845" spans="21:21" x14ac:dyDescent="0.3">
      <c r="U195845" s="25"/>
    </row>
    <row r="195867" spans="21:21" x14ac:dyDescent="0.3">
      <c r="U195867" s="25"/>
    </row>
    <row r="195889" spans="21:21" x14ac:dyDescent="0.3">
      <c r="U195889" s="25"/>
    </row>
    <row r="195911" spans="21:21" x14ac:dyDescent="0.3">
      <c r="U195911" s="25"/>
    </row>
    <row r="195933" spans="21:21" x14ac:dyDescent="0.3">
      <c r="U195933" s="25"/>
    </row>
    <row r="195955" spans="21:21" x14ac:dyDescent="0.3">
      <c r="U195955" s="25"/>
    </row>
    <row r="195977" spans="21:21" x14ac:dyDescent="0.3">
      <c r="U195977" s="25"/>
    </row>
    <row r="195999" spans="21:21" x14ac:dyDescent="0.3">
      <c r="U195999" s="25"/>
    </row>
    <row r="196021" spans="21:21" x14ac:dyDescent="0.3">
      <c r="U196021" s="25"/>
    </row>
    <row r="196043" spans="21:21" x14ac:dyDescent="0.3">
      <c r="U196043" s="25"/>
    </row>
    <row r="196065" spans="21:21" x14ac:dyDescent="0.3">
      <c r="U196065" s="25"/>
    </row>
    <row r="196087" spans="21:21" x14ac:dyDescent="0.3">
      <c r="U196087" s="25"/>
    </row>
    <row r="196109" spans="21:21" x14ac:dyDescent="0.3">
      <c r="U196109" s="25"/>
    </row>
    <row r="196131" spans="21:21" x14ac:dyDescent="0.3">
      <c r="U196131" s="25"/>
    </row>
    <row r="196153" spans="21:21" x14ac:dyDescent="0.3">
      <c r="U196153" s="25"/>
    </row>
    <row r="196175" spans="21:21" x14ac:dyDescent="0.3">
      <c r="U196175" s="25"/>
    </row>
    <row r="196197" spans="21:21" x14ac:dyDescent="0.3">
      <c r="U196197" s="25"/>
    </row>
    <row r="196219" spans="21:21" x14ac:dyDescent="0.3">
      <c r="U196219" s="25"/>
    </row>
    <row r="196241" spans="21:21" x14ac:dyDescent="0.3">
      <c r="U196241" s="25"/>
    </row>
    <row r="196263" spans="21:21" x14ac:dyDescent="0.3">
      <c r="U196263" s="25"/>
    </row>
    <row r="196285" spans="21:21" x14ac:dyDescent="0.3">
      <c r="U196285" s="25"/>
    </row>
    <row r="196307" spans="21:21" x14ac:dyDescent="0.3">
      <c r="U196307" s="25"/>
    </row>
    <row r="196329" spans="21:21" x14ac:dyDescent="0.3">
      <c r="U196329" s="25"/>
    </row>
    <row r="196351" spans="21:21" x14ac:dyDescent="0.3">
      <c r="U196351" s="25"/>
    </row>
    <row r="196373" spans="21:21" x14ac:dyDescent="0.3">
      <c r="U196373" s="25"/>
    </row>
    <row r="196395" spans="21:21" x14ac:dyDescent="0.3">
      <c r="U196395" s="25"/>
    </row>
    <row r="196417" spans="21:21" x14ac:dyDescent="0.3">
      <c r="U196417" s="25"/>
    </row>
    <row r="196439" spans="21:21" x14ac:dyDescent="0.3">
      <c r="U196439" s="25"/>
    </row>
    <row r="196461" spans="21:21" x14ac:dyDescent="0.3">
      <c r="U196461" s="25"/>
    </row>
    <row r="196483" spans="21:21" x14ac:dyDescent="0.3">
      <c r="U196483" s="25"/>
    </row>
    <row r="196505" spans="21:21" x14ac:dyDescent="0.3">
      <c r="U196505" s="25"/>
    </row>
    <row r="196527" spans="21:21" x14ac:dyDescent="0.3">
      <c r="U196527" s="25"/>
    </row>
    <row r="196549" spans="21:21" x14ac:dyDescent="0.3">
      <c r="U196549" s="25"/>
    </row>
    <row r="196571" spans="21:21" x14ac:dyDescent="0.3">
      <c r="U196571" s="25"/>
    </row>
    <row r="196593" spans="21:21" x14ac:dyDescent="0.3">
      <c r="U196593" s="25"/>
    </row>
    <row r="196615" spans="21:21" x14ac:dyDescent="0.3">
      <c r="U196615" s="25"/>
    </row>
    <row r="196637" spans="21:21" x14ac:dyDescent="0.3">
      <c r="U196637" s="25"/>
    </row>
    <row r="196659" spans="21:21" x14ac:dyDescent="0.3">
      <c r="U196659" s="25"/>
    </row>
    <row r="196681" spans="21:21" x14ac:dyDescent="0.3">
      <c r="U196681" s="25"/>
    </row>
    <row r="196703" spans="21:21" x14ac:dyDescent="0.3">
      <c r="U196703" s="25"/>
    </row>
    <row r="196725" spans="21:21" x14ac:dyDescent="0.3">
      <c r="U196725" s="25"/>
    </row>
    <row r="196747" spans="21:21" x14ac:dyDescent="0.3">
      <c r="U196747" s="25"/>
    </row>
    <row r="196769" spans="21:21" x14ac:dyDescent="0.3">
      <c r="U196769" s="25"/>
    </row>
    <row r="196791" spans="21:21" x14ac:dyDescent="0.3">
      <c r="U196791" s="25"/>
    </row>
    <row r="196813" spans="21:21" x14ac:dyDescent="0.3">
      <c r="U196813" s="25"/>
    </row>
    <row r="196835" spans="21:21" x14ac:dyDescent="0.3">
      <c r="U196835" s="25"/>
    </row>
    <row r="196857" spans="21:21" x14ac:dyDescent="0.3">
      <c r="U196857" s="25"/>
    </row>
    <row r="196879" spans="21:21" x14ac:dyDescent="0.3">
      <c r="U196879" s="25"/>
    </row>
    <row r="196901" spans="21:21" x14ac:dyDescent="0.3">
      <c r="U196901" s="25"/>
    </row>
    <row r="196923" spans="21:21" x14ac:dyDescent="0.3">
      <c r="U196923" s="25"/>
    </row>
    <row r="196945" spans="21:21" x14ac:dyDescent="0.3">
      <c r="U196945" s="25"/>
    </row>
    <row r="196967" spans="21:21" x14ac:dyDescent="0.3">
      <c r="U196967" s="25"/>
    </row>
    <row r="196989" spans="21:21" x14ac:dyDescent="0.3">
      <c r="U196989" s="25"/>
    </row>
    <row r="197011" spans="21:21" x14ac:dyDescent="0.3">
      <c r="U197011" s="25"/>
    </row>
    <row r="197033" spans="21:21" x14ac:dyDescent="0.3">
      <c r="U197033" s="25"/>
    </row>
    <row r="197055" spans="21:21" x14ac:dyDescent="0.3">
      <c r="U197055" s="25"/>
    </row>
    <row r="197077" spans="21:21" x14ac:dyDescent="0.3">
      <c r="U197077" s="25"/>
    </row>
    <row r="197099" spans="21:21" x14ac:dyDescent="0.3">
      <c r="U197099" s="25"/>
    </row>
    <row r="197121" spans="21:21" x14ac:dyDescent="0.3">
      <c r="U197121" s="25"/>
    </row>
    <row r="197143" spans="21:21" x14ac:dyDescent="0.3">
      <c r="U197143" s="25"/>
    </row>
    <row r="197165" spans="21:21" x14ac:dyDescent="0.3">
      <c r="U197165" s="25"/>
    </row>
    <row r="197187" spans="21:21" x14ac:dyDescent="0.3">
      <c r="U197187" s="25"/>
    </row>
    <row r="197209" spans="21:21" x14ac:dyDescent="0.3">
      <c r="U197209" s="25"/>
    </row>
    <row r="197231" spans="21:21" x14ac:dyDescent="0.3">
      <c r="U197231" s="25"/>
    </row>
    <row r="197253" spans="21:21" x14ac:dyDescent="0.3">
      <c r="U197253" s="25"/>
    </row>
    <row r="197275" spans="21:21" x14ac:dyDescent="0.3">
      <c r="U197275" s="25"/>
    </row>
    <row r="197297" spans="21:21" x14ac:dyDescent="0.3">
      <c r="U197297" s="25"/>
    </row>
    <row r="197319" spans="21:21" x14ac:dyDescent="0.3">
      <c r="U197319" s="25"/>
    </row>
    <row r="197341" spans="21:21" x14ac:dyDescent="0.3">
      <c r="U197341" s="25"/>
    </row>
    <row r="197363" spans="21:21" x14ac:dyDescent="0.3">
      <c r="U197363" s="25"/>
    </row>
    <row r="197385" spans="21:21" x14ac:dyDescent="0.3">
      <c r="U197385" s="25"/>
    </row>
    <row r="197407" spans="21:21" x14ac:dyDescent="0.3">
      <c r="U197407" s="25"/>
    </row>
    <row r="197429" spans="21:21" x14ac:dyDescent="0.3">
      <c r="U197429" s="25"/>
    </row>
    <row r="197451" spans="21:21" x14ac:dyDescent="0.3">
      <c r="U197451" s="25"/>
    </row>
    <row r="197473" spans="21:21" x14ac:dyDescent="0.3">
      <c r="U197473" s="25"/>
    </row>
    <row r="197495" spans="21:21" x14ac:dyDescent="0.3">
      <c r="U197495" s="25"/>
    </row>
    <row r="197517" spans="21:21" x14ac:dyDescent="0.3">
      <c r="U197517" s="25"/>
    </row>
    <row r="197539" spans="21:21" x14ac:dyDescent="0.3">
      <c r="U197539" s="25"/>
    </row>
    <row r="197561" spans="21:21" x14ac:dyDescent="0.3">
      <c r="U197561" s="25"/>
    </row>
    <row r="197583" spans="21:21" x14ac:dyDescent="0.3">
      <c r="U197583" s="25"/>
    </row>
    <row r="197605" spans="21:21" x14ac:dyDescent="0.3">
      <c r="U197605" s="25"/>
    </row>
    <row r="197627" spans="21:21" x14ac:dyDescent="0.3">
      <c r="U197627" s="25"/>
    </row>
    <row r="197649" spans="21:21" x14ac:dyDescent="0.3">
      <c r="U197649" s="25"/>
    </row>
    <row r="197671" spans="21:21" x14ac:dyDescent="0.3">
      <c r="U197671" s="25"/>
    </row>
    <row r="197693" spans="21:21" x14ac:dyDescent="0.3">
      <c r="U197693" s="25"/>
    </row>
    <row r="197715" spans="21:21" x14ac:dyDescent="0.3">
      <c r="U197715" s="25"/>
    </row>
    <row r="197737" spans="21:21" x14ac:dyDescent="0.3">
      <c r="U197737" s="25"/>
    </row>
    <row r="197759" spans="21:21" x14ac:dyDescent="0.3">
      <c r="U197759" s="25"/>
    </row>
    <row r="197781" spans="21:21" x14ac:dyDescent="0.3">
      <c r="U197781" s="25"/>
    </row>
    <row r="197803" spans="21:21" x14ac:dyDescent="0.3">
      <c r="U197803" s="25"/>
    </row>
    <row r="197825" spans="21:21" x14ac:dyDescent="0.3">
      <c r="U197825" s="25"/>
    </row>
    <row r="197847" spans="21:21" x14ac:dyDescent="0.3">
      <c r="U197847" s="25"/>
    </row>
    <row r="197869" spans="21:21" x14ac:dyDescent="0.3">
      <c r="U197869" s="25"/>
    </row>
    <row r="197891" spans="21:21" x14ac:dyDescent="0.3">
      <c r="U197891" s="25"/>
    </row>
    <row r="197913" spans="21:21" x14ac:dyDescent="0.3">
      <c r="U197913" s="25"/>
    </row>
    <row r="197935" spans="21:21" x14ac:dyDescent="0.3">
      <c r="U197935" s="25"/>
    </row>
    <row r="197957" spans="21:21" x14ac:dyDescent="0.3">
      <c r="U197957" s="25"/>
    </row>
    <row r="197979" spans="21:21" x14ac:dyDescent="0.3">
      <c r="U197979" s="25"/>
    </row>
    <row r="198001" spans="21:21" x14ac:dyDescent="0.3">
      <c r="U198001" s="25"/>
    </row>
    <row r="198023" spans="21:21" x14ac:dyDescent="0.3">
      <c r="U198023" s="25"/>
    </row>
    <row r="198045" spans="21:21" x14ac:dyDescent="0.3">
      <c r="U198045" s="25"/>
    </row>
    <row r="198067" spans="21:21" x14ac:dyDescent="0.3">
      <c r="U198067" s="25"/>
    </row>
    <row r="198089" spans="21:21" x14ac:dyDescent="0.3">
      <c r="U198089" s="25"/>
    </row>
    <row r="198111" spans="21:21" x14ac:dyDescent="0.3">
      <c r="U198111" s="25"/>
    </row>
    <row r="198133" spans="21:21" x14ac:dyDescent="0.3">
      <c r="U198133" s="25"/>
    </row>
    <row r="198155" spans="21:21" x14ac:dyDescent="0.3">
      <c r="U198155" s="25"/>
    </row>
    <row r="198177" spans="21:21" x14ac:dyDescent="0.3">
      <c r="U198177" s="25"/>
    </row>
    <row r="198199" spans="21:21" x14ac:dyDescent="0.3">
      <c r="U198199" s="25"/>
    </row>
    <row r="198221" spans="21:21" x14ac:dyDescent="0.3">
      <c r="U198221" s="25"/>
    </row>
    <row r="198243" spans="21:21" x14ac:dyDescent="0.3">
      <c r="U198243" s="25"/>
    </row>
    <row r="198265" spans="21:21" x14ac:dyDescent="0.3">
      <c r="U198265" s="25"/>
    </row>
    <row r="198287" spans="21:21" x14ac:dyDescent="0.3">
      <c r="U198287" s="25"/>
    </row>
    <row r="198309" spans="21:21" x14ac:dyDescent="0.3">
      <c r="U198309" s="25"/>
    </row>
    <row r="198331" spans="21:21" x14ac:dyDescent="0.3">
      <c r="U198331" s="25"/>
    </row>
    <row r="198353" spans="21:21" x14ac:dyDescent="0.3">
      <c r="U198353" s="25"/>
    </row>
    <row r="198375" spans="21:21" x14ac:dyDescent="0.3">
      <c r="U198375" s="25"/>
    </row>
    <row r="198397" spans="21:21" x14ac:dyDescent="0.3">
      <c r="U198397" s="25"/>
    </row>
    <row r="198419" spans="21:21" x14ac:dyDescent="0.3">
      <c r="U198419" s="25"/>
    </row>
    <row r="198441" spans="21:21" x14ac:dyDescent="0.3">
      <c r="U198441" s="25"/>
    </row>
    <row r="198463" spans="21:21" x14ac:dyDescent="0.3">
      <c r="U198463" s="25"/>
    </row>
    <row r="198485" spans="21:21" x14ac:dyDescent="0.3">
      <c r="U198485" s="25"/>
    </row>
    <row r="198507" spans="21:21" x14ac:dyDescent="0.3">
      <c r="U198507" s="25"/>
    </row>
    <row r="198529" spans="21:21" x14ac:dyDescent="0.3">
      <c r="U198529" s="25"/>
    </row>
    <row r="198551" spans="21:21" x14ac:dyDescent="0.3">
      <c r="U198551" s="25"/>
    </row>
    <row r="198573" spans="21:21" x14ac:dyDescent="0.3">
      <c r="U198573" s="25"/>
    </row>
    <row r="198595" spans="21:21" x14ac:dyDescent="0.3">
      <c r="U198595" s="25"/>
    </row>
    <row r="198617" spans="21:21" x14ac:dyDescent="0.3">
      <c r="U198617" s="25"/>
    </row>
    <row r="198639" spans="21:21" x14ac:dyDescent="0.3">
      <c r="U198639" s="25"/>
    </row>
    <row r="198661" spans="21:21" x14ac:dyDescent="0.3">
      <c r="U198661" s="25"/>
    </row>
    <row r="198683" spans="21:21" x14ac:dyDescent="0.3">
      <c r="U198683" s="25"/>
    </row>
    <row r="198705" spans="21:21" x14ac:dyDescent="0.3">
      <c r="U198705" s="25"/>
    </row>
    <row r="198727" spans="21:21" x14ac:dyDescent="0.3">
      <c r="U198727" s="25"/>
    </row>
    <row r="198749" spans="21:21" x14ac:dyDescent="0.3">
      <c r="U198749" s="25"/>
    </row>
    <row r="198771" spans="21:21" x14ac:dyDescent="0.3">
      <c r="U198771" s="25"/>
    </row>
    <row r="198793" spans="21:21" x14ac:dyDescent="0.3">
      <c r="U198793" s="25"/>
    </row>
    <row r="198815" spans="21:21" x14ac:dyDescent="0.3">
      <c r="U198815" s="25"/>
    </row>
    <row r="198837" spans="21:21" x14ac:dyDescent="0.3">
      <c r="U198837" s="25"/>
    </row>
    <row r="198859" spans="21:21" x14ac:dyDescent="0.3">
      <c r="U198859" s="25"/>
    </row>
    <row r="198881" spans="21:21" x14ac:dyDescent="0.3">
      <c r="U198881" s="25"/>
    </row>
    <row r="198903" spans="21:21" x14ac:dyDescent="0.3">
      <c r="U198903" s="25"/>
    </row>
    <row r="198925" spans="21:21" x14ac:dyDescent="0.3">
      <c r="U198925" s="25"/>
    </row>
    <row r="198947" spans="21:21" x14ac:dyDescent="0.3">
      <c r="U198947" s="25"/>
    </row>
    <row r="198969" spans="21:21" x14ac:dyDescent="0.3">
      <c r="U198969" s="25"/>
    </row>
    <row r="198991" spans="21:21" x14ac:dyDescent="0.3">
      <c r="U198991" s="25"/>
    </row>
    <row r="199013" spans="21:21" x14ac:dyDescent="0.3">
      <c r="U199013" s="25"/>
    </row>
    <row r="199035" spans="21:21" x14ac:dyDescent="0.3">
      <c r="U199035" s="25"/>
    </row>
    <row r="199057" spans="21:21" x14ac:dyDescent="0.3">
      <c r="U199057" s="25"/>
    </row>
    <row r="199079" spans="21:21" x14ac:dyDescent="0.3">
      <c r="U199079" s="25"/>
    </row>
    <row r="199101" spans="21:21" x14ac:dyDescent="0.3">
      <c r="U199101" s="25"/>
    </row>
    <row r="199123" spans="21:21" x14ac:dyDescent="0.3">
      <c r="U199123" s="25"/>
    </row>
    <row r="199145" spans="21:21" x14ac:dyDescent="0.3">
      <c r="U199145" s="25"/>
    </row>
    <row r="199167" spans="21:21" x14ac:dyDescent="0.3">
      <c r="U199167" s="25"/>
    </row>
    <row r="199189" spans="21:21" x14ac:dyDescent="0.3">
      <c r="U199189" s="25"/>
    </row>
    <row r="199211" spans="21:21" x14ac:dyDescent="0.3">
      <c r="U199211" s="25"/>
    </row>
    <row r="199233" spans="21:21" x14ac:dyDescent="0.3">
      <c r="U199233" s="25"/>
    </row>
    <row r="199255" spans="21:21" x14ac:dyDescent="0.3">
      <c r="U199255" s="25"/>
    </row>
    <row r="199277" spans="21:21" x14ac:dyDescent="0.3">
      <c r="U199277" s="25"/>
    </row>
    <row r="199299" spans="21:21" x14ac:dyDescent="0.3">
      <c r="U199299" s="25"/>
    </row>
    <row r="199321" spans="21:21" x14ac:dyDescent="0.3">
      <c r="U199321" s="25"/>
    </row>
    <row r="199343" spans="21:21" x14ac:dyDescent="0.3">
      <c r="U199343" s="25"/>
    </row>
    <row r="199365" spans="21:21" x14ac:dyDescent="0.3">
      <c r="U199365" s="25"/>
    </row>
    <row r="199387" spans="21:21" x14ac:dyDescent="0.3">
      <c r="U199387" s="25"/>
    </row>
    <row r="199409" spans="21:21" x14ac:dyDescent="0.3">
      <c r="U199409" s="25"/>
    </row>
    <row r="199431" spans="21:21" x14ac:dyDescent="0.3">
      <c r="U199431" s="25"/>
    </row>
    <row r="199453" spans="21:21" x14ac:dyDescent="0.3">
      <c r="U199453" s="25"/>
    </row>
    <row r="199475" spans="21:21" x14ac:dyDescent="0.3">
      <c r="U199475" s="25"/>
    </row>
    <row r="199497" spans="21:21" x14ac:dyDescent="0.3">
      <c r="U199497" s="25"/>
    </row>
    <row r="199519" spans="21:21" x14ac:dyDescent="0.3">
      <c r="U199519" s="25"/>
    </row>
    <row r="199541" spans="21:21" x14ac:dyDescent="0.3">
      <c r="U199541" s="25"/>
    </row>
    <row r="199563" spans="21:21" x14ac:dyDescent="0.3">
      <c r="U199563" s="25"/>
    </row>
    <row r="199585" spans="21:21" x14ac:dyDescent="0.3">
      <c r="U199585" s="25"/>
    </row>
    <row r="199607" spans="21:21" x14ac:dyDescent="0.3">
      <c r="U199607" s="25"/>
    </row>
    <row r="199629" spans="21:21" x14ac:dyDescent="0.3">
      <c r="U199629" s="25"/>
    </row>
    <row r="199651" spans="21:21" x14ac:dyDescent="0.3">
      <c r="U199651" s="25"/>
    </row>
    <row r="199673" spans="21:21" x14ac:dyDescent="0.3">
      <c r="U199673" s="25"/>
    </row>
    <row r="199695" spans="21:21" x14ac:dyDescent="0.3">
      <c r="U199695" s="25"/>
    </row>
    <row r="199717" spans="21:21" x14ac:dyDescent="0.3">
      <c r="U199717" s="25"/>
    </row>
    <row r="199739" spans="21:21" x14ac:dyDescent="0.3">
      <c r="U199739" s="25"/>
    </row>
    <row r="199761" spans="21:21" x14ac:dyDescent="0.3">
      <c r="U199761" s="25"/>
    </row>
    <row r="199783" spans="21:21" x14ac:dyDescent="0.3">
      <c r="U199783" s="25"/>
    </row>
    <row r="199805" spans="21:21" x14ac:dyDescent="0.3">
      <c r="U199805" s="25"/>
    </row>
    <row r="199827" spans="21:21" x14ac:dyDescent="0.3">
      <c r="U199827" s="25"/>
    </row>
    <row r="199849" spans="21:21" x14ac:dyDescent="0.3">
      <c r="U199849" s="25"/>
    </row>
    <row r="199871" spans="21:21" x14ac:dyDescent="0.3">
      <c r="U199871" s="25"/>
    </row>
    <row r="199893" spans="21:21" x14ac:dyDescent="0.3">
      <c r="U199893" s="25"/>
    </row>
    <row r="199915" spans="21:21" x14ac:dyDescent="0.3">
      <c r="U199915" s="25"/>
    </row>
    <row r="199937" spans="21:21" x14ac:dyDescent="0.3">
      <c r="U199937" s="25"/>
    </row>
    <row r="199959" spans="21:21" x14ac:dyDescent="0.3">
      <c r="U199959" s="25"/>
    </row>
    <row r="199981" spans="21:21" x14ac:dyDescent="0.3">
      <c r="U199981" s="25"/>
    </row>
    <row r="200003" spans="21:21" x14ac:dyDescent="0.3">
      <c r="U200003" s="25"/>
    </row>
    <row r="200025" spans="21:21" x14ac:dyDescent="0.3">
      <c r="U200025" s="25"/>
    </row>
    <row r="200047" spans="21:21" x14ac:dyDescent="0.3">
      <c r="U200047" s="25"/>
    </row>
    <row r="200069" spans="21:21" x14ac:dyDescent="0.3">
      <c r="U200069" s="25"/>
    </row>
    <row r="200091" spans="21:21" x14ac:dyDescent="0.3">
      <c r="U200091" s="25"/>
    </row>
    <row r="200113" spans="21:21" x14ac:dyDescent="0.3">
      <c r="U200113" s="25"/>
    </row>
    <row r="200135" spans="21:21" x14ac:dyDescent="0.3">
      <c r="U200135" s="25"/>
    </row>
    <row r="200157" spans="21:21" x14ac:dyDescent="0.3">
      <c r="U200157" s="25"/>
    </row>
    <row r="200179" spans="21:21" x14ac:dyDescent="0.3">
      <c r="U200179" s="25"/>
    </row>
    <row r="200201" spans="21:21" x14ac:dyDescent="0.3">
      <c r="U200201" s="25"/>
    </row>
    <row r="200223" spans="21:21" x14ac:dyDescent="0.3">
      <c r="U200223" s="25"/>
    </row>
    <row r="200245" spans="21:21" x14ac:dyDescent="0.3">
      <c r="U200245" s="25"/>
    </row>
    <row r="200267" spans="21:21" x14ac:dyDescent="0.3">
      <c r="U200267" s="25"/>
    </row>
    <row r="200289" spans="21:21" x14ac:dyDescent="0.3">
      <c r="U200289" s="25"/>
    </row>
    <row r="200311" spans="21:21" x14ac:dyDescent="0.3">
      <c r="U200311" s="25"/>
    </row>
    <row r="200333" spans="21:21" x14ac:dyDescent="0.3">
      <c r="U200333" s="25"/>
    </row>
    <row r="200355" spans="21:21" x14ac:dyDescent="0.3">
      <c r="U200355" s="25"/>
    </row>
    <row r="200377" spans="21:21" x14ac:dyDescent="0.3">
      <c r="U200377" s="25"/>
    </row>
    <row r="200399" spans="21:21" x14ac:dyDescent="0.3">
      <c r="U200399" s="25"/>
    </row>
    <row r="200421" spans="21:21" x14ac:dyDescent="0.3">
      <c r="U200421" s="25"/>
    </row>
    <row r="200443" spans="21:21" x14ac:dyDescent="0.3">
      <c r="U200443" s="25"/>
    </row>
    <row r="200465" spans="21:21" x14ac:dyDescent="0.3">
      <c r="U200465" s="25"/>
    </row>
    <row r="200487" spans="21:21" x14ac:dyDescent="0.3">
      <c r="U200487" s="25"/>
    </row>
    <row r="200509" spans="21:21" x14ac:dyDescent="0.3">
      <c r="U200509" s="25"/>
    </row>
    <row r="200531" spans="21:21" x14ac:dyDescent="0.3">
      <c r="U200531" s="25"/>
    </row>
    <row r="200553" spans="21:21" x14ac:dyDescent="0.3">
      <c r="U200553" s="25"/>
    </row>
    <row r="200575" spans="21:21" x14ac:dyDescent="0.3">
      <c r="U200575" s="25"/>
    </row>
    <row r="200597" spans="21:21" x14ac:dyDescent="0.3">
      <c r="U200597" s="25"/>
    </row>
    <row r="200619" spans="21:21" x14ac:dyDescent="0.3">
      <c r="U200619" s="25"/>
    </row>
    <row r="200641" spans="21:21" x14ac:dyDescent="0.3">
      <c r="U200641" s="25"/>
    </row>
    <row r="200663" spans="21:21" x14ac:dyDescent="0.3">
      <c r="U200663" s="25"/>
    </row>
    <row r="200685" spans="21:21" x14ac:dyDescent="0.3">
      <c r="U200685" s="25"/>
    </row>
    <row r="200707" spans="21:21" x14ac:dyDescent="0.3">
      <c r="U200707" s="25"/>
    </row>
    <row r="200729" spans="21:21" x14ac:dyDescent="0.3">
      <c r="U200729" s="25"/>
    </row>
    <row r="200751" spans="21:21" x14ac:dyDescent="0.3">
      <c r="U200751" s="25"/>
    </row>
    <row r="200773" spans="21:21" x14ac:dyDescent="0.3">
      <c r="U200773" s="25"/>
    </row>
    <row r="200795" spans="21:21" x14ac:dyDescent="0.3">
      <c r="U200795" s="25"/>
    </row>
    <row r="200817" spans="21:21" x14ac:dyDescent="0.3">
      <c r="U200817" s="25"/>
    </row>
    <row r="200839" spans="21:21" x14ac:dyDescent="0.3">
      <c r="U200839" s="25"/>
    </row>
    <row r="200861" spans="21:21" x14ac:dyDescent="0.3">
      <c r="U200861" s="25"/>
    </row>
    <row r="200883" spans="21:21" x14ac:dyDescent="0.3">
      <c r="U200883" s="25"/>
    </row>
    <row r="200905" spans="21:21" x14ac:dyDescent="0.3">
      <c r="U200905" s="25"/>
    </row>
    <row r="200927" spans="21:21" x14ac:dyDescent="0.3">
      <c r="U200927" s="25"/>
    </row>
    <row r="200949" spans="21:21" x14ac:dyDescent="0.3">
      <c r="U200949" s="25"/>
    </row>
    <row r="200971" spans="21:21" x14ac:dyDescent="0.3">
      <c r="U200971" s="25"/>
    </row>
    <row r="200993" spans="21:21" x14ac:dyDescent="0.3">
      <c r="U200993" s="25"/>
    </row>
    <row r="201015" spans="21:21" x14ac:dyDescent="0.3">
      <c r="U201015" s="25"/>
    </row>
    <row r="201037" spans="21:21" x14ac:dyDescent="0.3">
      <c r="U201037" s="25"/>
    </row>
    <row r="201059" spans="21:21" x14ac:dyDescent="0.3">
      <c r="U201059" s="25"/>
    </row>
    <row r="201081" spans="21:21" x14ac:dyDescent="0.3">
      <c r="U201081" s="25"/>
    </row>
    <row r="201103" spans="21:21" x14ac:dyDescent="0.3">
      <c r="U201103" s="25"/>
    </row>
    <row r="201125" spans="21:21" x14ac:dyDescent="0.3">
      <c r="U201125" s="25"/>
    </row>
    <row r="201147" spans="21:21" x14ac:dyDescent="0.3">
      <c r="U201147" s="25"/>
    </row>
    <row r="201169" spans="21:21" x14ac:dyDescent="0.3">
      <c r="U201169" s="25"/>
    </row>
    <row r="201191" spans="21:21" x14ac:dyDescent="0.3">
      <c r="U201191" s="25"/>
    </row>
    <row r="201213" spans="21:21" x14ac:dyDescent="0.3">
      <c r="U201213" s="25"/>
    </row>
    <row r="201235" spans="21:21" x14ac:dyDescent="0.3">
      <c r="U201235" s="25"/>
    </row>
    <row r="201257" spans="21:21" x14ac:dyDescent="0.3">
      <c r="U201257" s="25"/>
    </row>
    <row r="201279" spans="21:21" x14ac:dyDescent="0.3">
      <c r="U201279" s="25"/>
    </row>
    <row r="201301" spans="21:21" x14ac:dyDescent="0.3">
      <c r="U201301" s="25"/>
    </row>
    <row r="201323" spans="21:21" x14ac:dyDescent="0.3">
      <c r="U201323" s="25"/>
    </row>
    <row r="201345" spans="21:21" x14ac:dyDescent="0.3">
      <c r="U201345" s="25"/>
    </row>
    <row r="201367" spans="21:21" x14ac:dyDescent="0.3">
      <c r="U201367" s="25"/>
    </row>
    <row r="201389" spans="21:21" x14ac:dyDescent="0.3">
      <c r="U201389" s="25"/>
    </row>
    <row r="201411" spans="21:21" x14ac:dyDescent="0.3">
      <c r="U201411" s="25"/>
    </row>
    <row r="201433" spans="21:21" x14ac:dyDescent="0.3">
      <c r="U201433" s="25"/>
    </row>
    <row r="201455" spans="21:21" x14ac:dyDescent="0.3">
      <c r="U201455" s="25"/>
    </row>
    <row r="201477" spans="21:21" x14ac:dyDescent="0.3">
      <c r="U201477" s="25"/>
    </row>
    <row r="201499" spans="21:21" x14ac:dyDescent="0.3">
      <c r="U201499" s="25"/>
    </row>
    <row r="201521" spans="21:21" x14ac:dyDescent="0.3">
      <c r="U201521" s="25"/>
    </row>
    <row r="201543" spans="21:21" x14ac:dyDescent="0.3">
      <c r="U201543" s="25"/>
    </row>
    <row r="201565" spans="21:21" x14ac:dyDescent="0.3">
      <c r="U201565" s="25"/>
    </row>
    <row r="201587" spans="21:21" x14ac:dyDescent="0.3">
      <c r="U201587" s="25"/>
    </row>
    <row r="201609" spans="21:21" x14ac:dyDescent="0.3">
      <c r="U201609" s="25"/>
    </row>
    <row r="201631" spans="21:21" x14ac:dyDescent="0.3">
      <c r="U201631" s="25"/>
    </row>
    <row r="201653" spans="21:21" x14ac:dyDescent="0.3">
      <c r="U201653" s="25"/>
    </row>
    <row r="201675" spans="21:21" x14ac:dyDescent="0.3">
      <c r="U201675" s="25"/>
    </row>
    <row r="201697" spans="21:21" x14ac:dyDescent="0.3">
      <c r="U201697" s="25"/>
    </row>
    <row r="201719" spans="21:21" x14ac:dyDescent="0.3">
      <c r="U201719" s="25"/>
    </row>
    <row r="201741" spans="21:21" x14ac:dyDescent="0.3">
      <c r="U201741" s="25"/>
    </row>
    <row r="201763" spans="21:21" x14ac:dyDescent="0.3">
      <c r="U201763" s="25"/>
    </row>
    <row r="201785" spans="21:21" x14ac:dyDescent="0.3">
      <c r="U201785" s="25"/>
    </row>
    <row r="201807" spans="21:21" x14ac:dyDescent="0.3">
      <c r="U201807" s="25"/>
    </row>
    <row r="201829" spans="21:21" x14ac:dyDescent="0.3">
      <c r="U201829" s="25"/>
    </row>
    <row r="201851" spans="21:21" x14ac:dyDescent="0.3">
      <c r="U201851" s="25"/>
    </row>
    <row r="201873" spans="21:21" x14ac:dyDescent="0.3">
      <c r="U201873" s="25"/>
    </row>
    <row r="201895" spans="21:21" x14ac:dyDescent="0.3">
      <c r="U201895" s="25"/>
    </row>
    <row r="201917" spans="21:21" x14ac:dyDescent="0.3">
      <c r="U201917" s="25"/>
    </row>
    <row r="201939" spans="21:21" x14ac:dyDescent="0.3">
      <c r="U201939" s="25"/>
    </row>
    <row r="201961" spans="21:21" x14ac:dyDescent="0.3">
      <c r="U201961" s="25"/>
    </row>
    <row r="201983" spans="21:21" x14ac:dyDescent="0.3">
      <c r="U201983" s="25"/>
    </row>
    <row r="202005" spans="21:21" x14ac:dyDescent="0.3">
      <c r="U202005" s="25"/>
    </row>
    <row r="202027" spans="21:21" x14ac:dyDescent="0.3">
      <c r="U202027" s="25"/>
    </row>
    <row r="202049" spans="21:21" x14ac:dyDescent="0.3">
      <c r="U202049" s="25"/>
    </row>
    <row r="202071" spans="21:21" x14ac:dyDescent="0.3">
      <c r="U202071" s="25"/>
    </row>
    <row r="202093" spans="21:21" x14ac:dyDescent="0.3">
      <c r="U202093" s="25"/>
    </row>
    <row r="202115" spans="21:21" x14ac:dyDescent="0.3">
      <c r="U202115" s="25"/>
    </row>
    <row r="202137" spans="21:21" x14ac:dyDescent="0.3">
      <c r="U202137" s="25"/>
    </row>
    <row r="202159" spans="21:21" x14ac:dyDescent="0.3">
      <c r="U202159" s="25"/>
    </row>
    <row r="202181" spans="21:21" x14ac:dyDescent="0.3">
      <c r="U202181" s="25"/>
    </row>
    <row r="202203" spans="21:21" x14ac:dyDescent="0.3">
      <c r="U202203" s="25"/>
    </row>
    <row r="202225" spans="21:21" x14ac:dyDescent="0.3">
      <c r="U202225" s="25"/>
    </row>
    <row r="202247" spans="21:21" x14ac:dyDescent="0.3">
      <c r="U202247" s="25"/>
    </row>
    <row r="202269" spans="21:21" x14ac:dyDescent="0.3">
      <c r="U202269" s="25"/>
    </row>
    <row r="202291" spans="21:21" x14ac:dyDescent="0.3">
      <c r="U202291" s="25"/>
    </row>
    <row r="202313" spans="21:21" x14ac:dyDescent="0.3">
      <c r="U202313" s="25"/>
    </row>
    <row r="202335" spans="21:21" x14ac:dyDescent="0.3">
      <c r="U202335" s="25"/>
    </row>
    <row r="202357" spans="21:21" x14ac:dyDescent="0.3">
      <c r="U202357" s="25"/>
    </row>
    <row r="202379" spans="21:21" x14ac:dyDescent="0.3">
      <c r="U202379" s="25"/>
    </row>
    <row r="202401" spans="21:21" x14ac:dyDescent="0.3">
      <c r="U202401" s="25"/>
    </row>
    <row r="202423" spans="21:21" x14ac:dyDescent="0.3">
      <c r="U202423" s="25"/>
    </row>
    <row r="202445" spans="21:21" x14ac:dyDescent="0.3">
      <c r="U202445" s="25"/>
    </row>
    <row r="202467" spans="21:21" x14ac:dyDescent="0.3">
      <c r="U202467" s="25"/>
    </row>
    <row r="202489" spans="21:21" x14ac:dyDescent="0.3">
      <c r="U202489" s="25"/>
    </row>
    <row r="202511" spans="21:21" x14ac:dyDescent="0.3">
      <c r="U202511" s="25"/>
    </row>
    <row r="202533" spans="21:21" x14ac:dyDescent="0.3">
      <c r="U202533" s="25"/>
    </row>
    <row r="202555" spans="21:21" x14ac:dyDescent="0.3">
      <c r="U202555" s="25"/>
    </row>
    <row r="202577" spans="21:21" x14ac:dyDescent="0.3">
      <c r="U202577" s="25"/>
    </row>
    <row r="202599" spans="21:21" x14ac:dyDescent="0.3">
      <c r="U202599" s="25"/>
    </row>
    <row r="202621" spans="21:21" x14ac:dyDescent="0.3">
      <c r="U202621" s="25"/>
    </row>
    <row r="202643" spans="21:21" x14ac:dyDescent="0.3">
      <c r="U202643" s="25"/>
    </row>
    <row r="202665" spans="21:21" x14ac:dyDescent="0.3">
      <c r="U202665" s="25"/>
    </row>
    <row r="202687" spans="21:21" x14ac:dyDescent="0.3">
      <c r="U202687" s="25"/>
    </row>
    <row r="202709" spans="21:21" x14ac:dyDescent="0.3">
      <c r="U202709" s="25"/>
    </row>
    <row r="202731" spans="21:21" x14ac:dyDescent="0.3">
      <c r="U202731" s="25"/>
    </row>
    <row r="202753" spans="21:21" x14ac:dyDescent="0.3">
      <c r="U202753" s="25"/>
    </row>
    <row r="202775" spans="21:21" x14ac:dyDescent="0.3">
      <c r="U202775" s="25"/>
    </row>
    <row r="202797" spans="21:21" x14ac:dyDescent="0.3">
      <c r="U202797" s="25"/>
    </row>
    <row r="202819" spans="21:21" x14ac:dyDescent="0.3">
      <c r="U202819" s="25"/>
    </row>
    <row r="202841" spans="21:21" x14ac:dyDescent="0.3">
      <c r="U202841" s="25"/>
    </row>
    <row r="202863" spans="21:21" x14ac:dyDescent="0.3">
      <c r="U202863" s="25"/>
    </row>
    <row r="202885" spans="21:21" x14ac:dyDescent="0.3">
      <c r="U202885" s="25"/>
    </row>
    <row r="202907" spans="21:21" x14ac:dyDescent="0.3">
      <c r="U202907" s="25"/>
    </row>
    <row r="202929" spans="21:21" x14ac:dyDescent="0.3">
      <c r="U202929" s="25"/>
    </row>
    <row r="202951" spans="21:21" x14ac:dyDescent="0.3">
      <c r="U202951" s="25"/>
    </row>
    <row r="202973" spans="21:21" x14ac:dyDescent="0.3">
      <c r="U202973" s="25"/>
    </row>
    <row r="202995" spans="21:21" x14ac:dyDescent="0.3">
      <c r="U202995" s="25"/>
    </row>
    <row r="203017" spans="21:21" x14ac:dyDescent="0.3">
      <c r="U203017" s="25"/>
    </row>
    <row r="203039" spans="21:21" x14ac:dyDescent="0.3">
      <c r="U203039" s="25"/>
    </row>
    <row r="203061" spans="21:21" x14ac:dyDescent="0.3">
      <c r="U203061" s="25"/>
    </row>
    <row r="203083" spans="21:21" x14ac:dyDescent="0.3">
      <c r="U203083" s="25"/>
    </row>
    <row r="203105" spans="21:21" x14ac:dyDescent="0.3">
      <c r="U203105" s="25"/>
    </row>
    <row r="203127" spans="21:21" x14ac:dyDescent="0.3">
      <c r="U203127" s="25"/>
    </row>
    <row r="203149" spans="21:21" x14ac:dyDescent="0.3">
      <c r="U203149" s="25"/>
    </row>
    <row r="203171" spans="21:21" x14ac:dyDescent="0.3">
      <c r="U203171" s="25"/>
    </row>
    <row r="203193" spans="21:21" x14ac:dyDescent="0.3">
      <c r="U203193" s="25"/>
    </row>
    <row r="203215" spans="21:21" x14ac:dyDescent="0.3">
      <c r="U203215" s="25"/>
    </row>
    <row r="203237" spans="21:21" x14ac:dyDescent="0.3">
      <c r="U203237" s="25"/>
    </row>
    <row r="203259" spans="21:21" x14ac:dyDescent="0.3">
      <c r="U203259" s="25"/>
    </row>
    <row r="203281" spans="21:21" x14ac:dyDescent="0.3">
      <c r="U203281" s="25"/>
    </row>
    <row r="203303" spans="21:21" x14ac:dyDescent="0.3">
      <c r="U203303" s="25"/>
    </row>
    <row r="203325" spans="21:21" x14ac:dyDescent="0.3">
      <c r="U203325" s="25"/>
    </row>
    <row r="203347" spans="21:21" x14ac:dyDescent="0.3">
      <c r="U203347" s="25"/>
    </row>
    <row r="203369" spans="21:21" x14ac:dyDescent="0.3">
      <c r="U203369" s="25"/>
    </row>
    <row r="203391" spans="21:21" x14ac:dyDescent="0.3">
      <c r="U203391" s="25"/>
    </row>
    <row r="203413" spans="21:21" x14ac:dyDescent="0.3">
      <c r="U203413" s="25"/>
    </row>
    <row r="203435" spans="21:21" x14ac:dyDescent="0.3">
      <c r="U203435" s="25"/>
    </row>
    <row r="203457" spans="21:21" x14ac:dyDescent="0.3">
      <c r="U203457" s="25"/>
    </row>
    <row r="203479" spans="21:21" x14ac:dyDescent="0.3">
      <c r="U203479" s="25"/>
    </row>
    <row r="203501" spans="21:21" x14ac:dyDescent="0.3">
      <c r="U203501" s="25"/>
    </row>
    <row r="203523" spans="21:21" x14ac:dyDescent="0.3">
      <c r="U203523" s="25"/>
    </row>
    <row r="203545" spans="21:21" x14ac:dyDescent="0.3">
      <c r="U203545" s="25"/>
    </row>
    <row r="203567" spans="21:21" x14ac:dyDescent="0.3">
      <c r="U203567" s="25"/>
    </row>
    <row r="203589" spans="21:21" x14ac:dyDescent="0.3">
      <c r="U203589" s="25"/>
    </row>
    <row r="203611" spans="21:21" x14ac:dyDescent="0.3">
      <c r="U203611" s="25"/>
    </row>
    <row r="203633" spans="21:21" x14ac:dyDescent="0.3">
      <c r="U203633" s="25"/>
    </row>
    <row r="203655" spans="21:21" x14ac:dyDescent="0.3">
      <c r="U203655" s="25"/>
    </row>
    <row r="203677" spans="21:21" x14ac:dyDescent="0.3">
      <c r="U203677" s="25"/>
    </row>
    <row r="203699" spans="21:21" x14ac:dyDescent="0.3">
      <c r="U203699" s="25"/>
    </row>
    <row r="203721" spans="21:21" x14ac:dyDescent="0.3">
      <c r="U203721" s="25"/>
    </row>
    <row r="203743" spans="21:21" x14ac:dyDescent="0.3">
      <c r="U203743" s="25"/>
    </row>
    <row r="203765" spans="21:21" x14ac:dyDescent="0.3">
      <c r="U203765" s="25"/>
    </row>
    <row r="203787" spans="21:21" x14ac:dyDescent="0.3">
      <c r="U203787" s="25"/>
    </row>
    <row r="203809" spans="21:21" x14ac:dyDescent="0.3">
      <c r="U203809" s="25"/>
    </row>
    <row r="203831" spans="21:21" x14ac:dyDescent="0.3">
      <c r="U203831" s="25"/>
    </row>
    <row r="203853" spans="21:21" x14ac:dyDescent="0.3">
      <c r="U203853" s="25"/>
    </row>
    <row r="203875" spans="21:21" x14ac:dyDescent="0.3">
      <c r="U203875" s="25"/>
    </row>
    <row r="203897" spans="21:21" x14ac:dyDescent="0.3">
      <c r="U203897" s="25"/>
    </row>
    <row r="203919" spans="21:21" x14ac:dyDescent="0.3">
      <c r="U203919" s="25"/>
    </row>
    <row r="203941" spans="21:21" x14ac:dyDescent="0.3">
      <c r="U203941" s="25"/>
    </row>
    <row r="203963" spans="21:21" x14ac:dyDescent="0.3">
      <c r="U203963" s="25"/>
    </row>
    <row r="203985" spans="21:21" x14ac:dyDescent="0.3">
      <c r="U203985" s="25"/>
    </row>
    <row r="204007" spans="21:21" x14ac:dyDescent="0.3">
      <c r="U204007" s="25"/>
    </row>
    <row r="204029" spans="21:21" x14ac:dyDescent="0.3">
      <c r="U204029" s="25"/>
    </row>
    <row r="204051" spans="21:21" x14ac:dyDescent="0.3">
      <c r="U204051" s="25"/>
    </row>
    <row r="204073" spans="21:21" x14ac:dyDescent="0.3">
      <c r="U204073" s="25"/>
    </row>
    <row r="204095" spans="21:21" x14ac:dyDescent="0.3">
      <c r="U204095" s="25"/>
    </row>
    <row r="204117" spans="21:21" x14ac:dyDescent="0.3">
      <c r="U204117" s="25"/>
    </row>
    <row r="204139" spans="21:21" x14ac:dyDescent="0.3">
      <c r="U204139" s="25"/>
    </row>
    <row r="204161" spans="21:21" x14ac:dyDescent="0.3">
      <c r="U204161" s="25"/>
    </row>
    <row r="204183" spans="21:21" x14ac:dyDescent="0.3">
      <c r="U204183" s="25"/>
    </row>
    <row r="204205" spans="21:21" x14ac:dyDescent="0.3">
      <c r="U204205" s="25"/>
    </row>
    <row r="204227" spans="21:21" x14ac:dyDescent="0.3">
      <c r="U204227" s="25"/>
    </row>
    <row r="204249" spans="21:21" x14ac:dyDescent="0.3">
      <c r="U204249" s="25"/>
    </row>
    <row r="204271" spans="21:21" x14ac:dyDescent="0.3">
      <c r="U204271" s="25"/>
    </row>
    <row r="204293" spans="21:21" x14ac:dyDescent="0.3">
      <c r="U204293" s="25"/>
    </row>
    <row r="204315" spans="21:21" x14ac:dyDescent="0.3">
      <c r="U204315" s="25"/>
    </row>
    <row r="204337" spans="21:21" x14ac:dyDescent="0.3">
      <c r="U204337" s="25"/>
    </row>
    <row r="204359" spans="21:21" x14ac:dyDescent="0.3">
      <c r="U204359" s="25"/>
    </row>
    <row r="204381" spans="21:21" x14ac:dyDescent="0.3">
      <c r="U204381" s="25"/>
    </row>
    <row r="204403" spans="21:21" x14ac:dyDescent="0.3">
      <c r="U204403" s="25"/>
    </row>
    <row r="204425" spans="21:21" x14ac:dyDescent="0.3">
      <c r="U204425" s="25"/>
    </row>
    <row r="204447" spans="21:21" x14ac:dyDescent="0.3">
      <c r="U204447" s="25"/>
    </row>
    <row r="204469" spans="21:21" x14ac:dyDescent="0.3">
      <c r="U204469" s="25"/>
    </row>
    <row r="204491" spans="21:21" x14ac:dyDescent="0.3">
      <c r="U204491" s="25"/>
    </row>
    <row r="204513" spans="21:21" x14ac:dyDescent="0.3">
      <c r="U204513" s="25"/>
    </row>
    <row r="204535" spans="21:21" x14ac:dyDescent="0.3">
      <c r="U204535" s="25"/>
    </row>
    <row r="204557" spans="21:21" x14ac:dyDescent="0.3">
      <c r="U204557" s="25"/>
    </row>
    <row r="204579" spans="21:21" x14ac:dyDescent="0.3">
      <c r="U204579" s="25"/>
    </row>
    <row r="204601" spans="21:21" x14ac:dyDescent="0.3">
      <c r="U204601" s="25"/>
    </row>
    <row r="204623" spans="21:21" x14ac:dyDescent="0.3">
      <c r="U204623" s="25"/>
    </row>
    <row r="204645" spans="21:21" x14ac:dyDescent="0.3">
      <c r="U204645" s="25"/>
    </row>
    <row r="204667" spans="21:21" x14ac:dyDescent="0.3">
      <c r="U204667" s="25"/>
    </row>
    <row r="204689" spans="21:21" x14ac:dyDescent="0.3">
      <c r="U204689" s="25"/>
    </row>
    <row r="204711" spans="21:21" x14ac:dyDescent="0.3">
      <c r="U204711" s="25"/>
    </row>
    <row r="204733" spans="21:21" x14ac:dyDescent="0.3">
      <c r="U204733" s="25"/>
    </row>
    <row r="204755" spans="21:21" x14ac:dyDescent="0.3">
      <c r="U204755" s="25"/>
    </row>
    <row r="204777" spans="21:21" x14ac:dyDescent="0.3">
      <c r="U204777" s="25"/>
    </row>
    <row r="204799" spans="21:21" x14ac:dyDescent="0.3">
      <c r="U204799" s="25"/>
    </row>
    <row r="204821" spans="21:21" x14ac:dyDescent="0.3">
      <c r="U204821" s="25"/>
    </row>
    <row r="204843" spans="21:21" x14ac:dyDescent="0.3">
      <c r="U204843" s="25"/>
    </row>
    <row r="204865" spans="21:21" x14ac:dyDescent="0.3">
      <c r="U204865" s="25"/>
    </row>
    <row r="204887" spans="21:21" x14ac:dyDescent="0.3">
      <c r="U204887" s="25"/>
    </row>
    <row r="204909" spans="21:21" x14ac:dyDescent="0.3">
      <c r="U204909" s="25"/>
    </row>
    <row r="204931" spans="21:21" x14ac:dyDescent="0.3">
      <c r="U204931" s="25"/>
    </row>
    <row r="204953" spans="21:21" x14ac:dyDescent="0.3">
      <c r="U204953" s="25"/>
    </row>
    <row r="204975" spans="21:21" x14ac:dyDescent="0.3">
      <c r="U204975" s="25"/>
    </row>
    <row r="204997" spans="21:21" x14ac:dyDescent="0.3">
      <c r="U204997" s="25"/>
    </row>
    <row r="205019" spans="21:21" x14ac:dyDescent="0.3">
      <c r="U205019" s="25"/>
    </row>
    <row r="205041" spans="21:21" x14ac:dyDescent="0.3">
      <c r="U205041" s="25"/>
    </row>
    <row r="205063" spans="21:21" x14ac:dyDescent="0.3">
      <c r="U205063" s="25"/>
    </row>
    <row r="205085" spans="21:21" x14ac:dyDescent="0.3">
      <c r="U205085" s="25"/>
    </row>
    <row r="205107" spans="21:21" x14ac:dyDescent="0.3">
      <c r="U205107" s="25"/>
    </row>
    <row r="205129" spans="21:21" x14ac:dyDescent="0.3">
      <c r="U205129" s="25"/>
    </row>
    <row r="205151" spans="21:21" x14ac:dyDescent="0.3">
      <c r="U205151" s="25"/>
    </row>
    <row r="205173" spans="21:21" x14ac:dyDescent="0.3">
      <c r="U205173" s="25"/>
    </row>
    <row r="205195" spans="21:21" x14ac:dyDescent="0.3">
      <c r="U205195" s="25"/>
    </row>
    <row r="205217" spans="21:21" x14ac:dyDescent="0.3">
      <c r="U205217" s="25"/>
    </row>
    <row r="205239" spans="21:21" x14ac:dyDescent="0.3">
      <c r="U205239" s="25"/>
    </row>
    <row r="205261" spans="21:21" x14ac:dyDescent="0.3">
      <c r="U205261" s="25"/>
    </row>
    <row r="205283" spans="21:21" x14ac:dyDescent="0.3">
      <c r="U205283" s="25"/>
    </row>
    <row r="205305" spans="21:21" x14ac:dyDescent="0.3">
      <c r="U205305" s="25"/>
    </row>
    <row r="205327" spans="21:21" x14ac:dyDescent="0.3">
      <c r="U205327" s="25"/>
    </row>
    <row r="205349" spans="21:21" x14ac:dyDescent="0.3">
      <c r="U205349" s="25"/>
    </row>
    <row r="205371" spans="21:21" x14ac:dyDescent="0.3">
      <c r="U205371" s="25"/>
    </row>
    <row r="205393" spans="21:21" x14ac:dyDescent="0.3">
      <c r="U205393" s="25"/>
    </row>
    <row r="205415" spans="21:21" x14ac:dyDescent="0.3">
      <c r="U205415" s="25"/>
    </row>
    <row r="205437" spans="21:21" x14ac:dyDescent="0.3">
      <c r="U205437" s="25"/>
    </row>
    <row r="205459" spans="21:21" x14ac:dyDescent="0.3">
      <c r="U205459" s="25"/>
    </row>
    <row r="205481" spans="21:21" x14ac:dyDescent="0.3">
      <c r="U205481" s="25"/>
    </row>
    <row r="205503" spans="21:21" x14ac:dyDescent="0.3">
      <c r="U205503" s="25"/>
    </row>
    <row r="205525" spans="21:21" x14ac:dyDescent="0.3">
      <c r="U205525" s="25"/>
    </row>
    <row r="205547" spans="21:21" x14ac:dyDescent="0.3">
      <c r="U205547" s="25"/>
    </row>
    <row r="205569" spans="21:21" x14ac:dyDescent="0.3">
      <c r="U205569" s="25"/>
    </row>
    <row r="205591" spans="21:21" x14ac:dyDescent="0.3">
      <c r="U205591" s="25"/>
    </row>
    <row r="205613" spans="21:21" x14ac:dyDescent="0.3">
      <c r="U205613" s="25"/>
    </row>
    <row r="205635" spans="21:21" x14ac:dyDescent="0.3">
      <c r="U205635" s="25"/>
    </row>
    <row r="205657" spans="21:21" x14ac:dyDescent="0.3">
      <c r="U205657" s="25"/>
    </row>
    <row r="205679" spans="21:21" x14ac:dyDescent="0.3">
      <c r="U205679" s="25"/>
    </row>
    <row r="205701" spans="21:21" x14ac:dyDescent="0.3">
      <c r="U205701" s="25"/>
    </row>
    <row r="205723" spans="21:21" x14ac:dyDescent="0.3">
      <c r="U205723" s="25"/>
    </row>
    <row r="205745" spans="21:21" x14ac:dyDescent="0.3">
      <c r="U205745" s="25"/>
    </row>
    <row r="205767" spans="21:21" x14ac:dyDescent="0.3">
      <c r="U205767" s="25"/>
    </row>
    <row r="205789" spans="21:21" x14ac:dyDescent="0.3">
      <c r="U205789" s="25"/>
    </row>
    <row r="205811" spans="21:21" x14ac:dyDescent="0.3">
      <c r="U205811" s="25"/>
    </row>
    <row r="205833" spans="21:21" x14ac:dyDescent="0.3">
      <c r="U205833" s="25"/>
    </row>
    <row r="205855" spans="21:21" x14ac:dyDescent="0.3">
      <c r="U205855" s="25"/>
    </row>
    <row r="205877" spans="21:21" x14ac:dyDescent="0.3">
      <c r="U205877" s="25"/>
    </row>
    <row r="205899" spans="21:21" x14ac:dyDescent="0.3">
      <c r="U205899" s="25"/>
    </row>
    <row r="205921" spans="21:21" x14ac:dyDescent="0.3">
      <c r="U205921" s="25"/>
    </row>
    <row r="205943" spans="21:21" x14ac:dyDescent="0.3">
      <c r="U205943" s="25"/>
    </row>
    <row r="205965" spans="21:21" x14ac:dyDescent="0.3">
      <c r="U205965" s="25"/>
    </row>
    <row r="205987" spans="21:21" x14ac:dyDescent="0.3">
      <c r="U205987" s="25"/>
    </row>
    <row r="206009" spans="21:21" x14ac:dyDescent="0.3">
      <c r="U206009" s="25"/>
    </row>
    <row r="206031" spans="21:21" x14ac:dyDescent="0.3">
      <c r="U206031" s="25"/>
    </row>
    <row r="206053" spans="21:21" x14ac:dyDescent="0.3">
      <c r="U206053" s="25"/>
    </row>
    <row r="206075" spans="21:21" x14ac:dyDescent="0.3">
      <c r="U206075" s="25"/>
    </row>
    <row r="206097" spans="21:21" x14ac:dyDescent="0.3">
      <c r="U206097" s="25"/>
    </row>
    <row r="206119" spans="21:21" x14ac:dyDescent="0.3">
      <c r="U206119" s="25"/>
    </row>
    <row r="206141" spans="21:21" x14ac:dyDescent="0.3">
      <c r="U206141" s="25"/>
    </row>
    <row r="206163" spans="21:21" x14ac:dyDescent="0.3">
      <c r="U206163" s="25"/>
    </row>
    <row r="206185" spans="21:21" x14ac:dyDescent="0.3">
      <c r="U206185" s="25"/>
    </row>
    <row r="206207" spans="21:21" x14ac:dyDescent="0.3">
      <c r="U206207" s="25"/>
    </row>
    <row r="206229" spans="21:21" x14ac:dyDescent="0.3">
      <c r="U206229" s="25"/>
    </row>
    <row r="206251" spans="21:21" x14ac:dyDescent="0.3">
      <c r="U206251" s="25"/>
    </row>
    <row r="206273" spans="21:21" x14ac:dyDescent="0.3">
      <c r="U206273" s="25"/>
    </row>
    <row r="206295" spans="21:21" x14ac:dyDescent="0.3">
      <c r="U206295" s="25"/>
    </row>
    <row r="206317" spans="21:21" x14ac:dyDescent="0.3">
      <c r="U206317" s="25"/>
    </row>
    <row r="206339" spans="21:21" x14ac:dyDescent="0.3">
      <c r="U206339" s="25"/>
    </row>
    <row r="206361" spans="21:21" x14ac:dyDescent="0.3">
      <c r="U206361" s="25"/>
    </row>
    <row r="206383" spans="21:21" x14ac:dyDescent="0.3">
      <c r="U206383" s="25"/>
    </row>
    <row r="206405" spans="21:21" x14ac:dyDescent="0.3">
      <c r="U206405" s="25"/>
    </row>
    <row r="206427" spans="21:21" x14ac:dyDescent="0.3">
      <c r="U206427" s="25"/>
    </row>
    <row r="206449" spans="21:21" x14ac:dyDescent="0.3">
      <c r="U206449" s="25"/>
    </row>
    <row r="206471" spans="21:21" x14ac:dyDescent="0.3">
      <c r="U206471" s="25"/>
    </row>
    <row r="206493" spans="21:21" x14ac:dyDescent="0.3">
      <c r="U206493" s="25"/>
    </row>
    <row r="206515" spans="21:21" x14ac:dyDescent="0.3">
      <c r="U206515" s="25"/>
    </row>
    <row r="206537" spans="21:21" x14ac:dyDescent="0.3">
      <c r="U206537" s="25"/>
    </row>
    <row r="206559" spans="21:21" x14ac:dyDescent="0.3">
      <c r="U206559" s="25"/>
    </row>
    <row r="206581" spans="21:21" x14ac:dyDescent="0.3">
      <c r="U206581" s="25"/>
    </row>
    <row r="206603" spans="21:21" x14ac:dyDescent="0.3">
      <c r="U206603" s="25"/>
    </row>
    <row r="206625" spans="21:21" x14ac:dyDescent="0.3">
      <c r="U206625" s="25"/>
    </row>
    <row r="206647" spans="21:21" x14ac:dyDescent="0.3">
      <c r="U206647" s="25"/>
    </row>
    <row r="206669" spans="21:21" x14ac:dyDescent="0.3">
      <c r="U206669" s="25"/>
    </row>
    <row r="206691" spans="21:21" x14ac:dyDescent="0.3">
      <c r="U206691" s="25"/>
    </row>
    <row r="206713" spans="21:21" x14ac:dyDescent="0.3">
      <c r="U206713" s="25"/>
    </row>
    <row r="206735" spans="21:21" x14ac:dyDescent="0.3">
      <c r="U206735" s="25"/>
    </row>
    <row r="206757" spans="21:21" x14ac:dyDescent="0.3">
      <c r="U206757" s="25"/>
    </row>
    <row r="206779" spans="21:21" x14ac:dyDescent="0.3">
      <c r="U206779" s="25"/>
    </row>
    <row r="206801" spans="21:21" x14ac:dyDescent="0.3">
      <c r="U206801" s="25"/>
    </row>
    <row r="206823" spans="21:21" x14ac:dyDescent="0.3">
      <c r="U206823" s="25"/>
    </row>
    <row r="206845" spans="21:21" x14ac:dyDescent="0.3">
      <c r="U206845" s="25"/>
    </row>
    <row r="206867" spans="21:21" x14ac:dyDescent="0.3">
      <c r="U206867" s="25"/>
    </row>
    <row r="206889" spans="21:21" x14ac:dyDescent="0.3">
      <c r="U206889" s="25"/>
    </row>
    <row r="206911" spans="21:21" x14ac:dyDescent="0.3">
      <c r="U206911" s="25"/>
    </row>
    <row r="206933" spans="21:21" x14ac:dyDescent="0.3">
      <c r="U206933" s="25"/>
    </row>
    <row r="206955" spans="21:21" x14ac:dyDescent="0.3">
      <c r="U206955" s="25"/>
    </row>
    <row r="206977" spans="21:21" x14ac:dyDescent="0.3">
      <c r="U206977" s="25"/>
    </row>
    <row r="206999" spans="21:21" x14ac:dyDescent="0.3">
      <c r="U206999" s="25"/>
    </row>
    <row r="207021" spans="21:21" x14ac:dyDescent="0.3">
      <c r="U207021" s="25"/>
    </row>
    <row r="207043" spans="21:21" x14ac:dyDescent="0.3">
      <c r="U207043" s="25"/>
    </row>
    <row r="207065" spans="21:21" x14ac:dyDescent="0.3">
      <c r="U207065" s="25"/>
    </row>
    <row r="207087" spans="21:21" x14ac:dyDescent="0.3">
      <c r="U207087" s="25"/>
    </row>
    <row r="207109" spans="21:21" x14ac:dyDescent="0.3">
      <c r="U207109" s="25"/>
    </row>
    <row r="207131" spans="21:21" x14ac:dyDescent="0.3">
      <c r="U207131" s="25"/>
    </row>
    <row r="207153" spans="21:21" x14ac:dyDescent="0.3">
      <c r="U207153" s="25"/>
    </row>
    <row r="207175" spans="21:21" x14ac:dyDescent="0.3">
      <c r="U207175" s="25"/>
    </row>
    <row r="207197" spans="21:21" x14ac:dyDescent="0.3">
      <c r="U207197" s="25"/>
    </row>
    <row r="207219" spans="21:21" x14ac:dyDescent="0.3">
      <c r="U207219" s="25"/>
    </row>
    <row r="207241" spans="21:21" x14ac:dyDescent="0.3">
      <c r="U207241" s="25"/>
    </row>
    <row r="207263" spans="21:21" x14ac:dyDescent="0.3">
      <c r="U207263" s="25"/>
    </row>
    <row r="207285" spans="21:21" x14ac:dyDescent="0.3">
      <c r="U207285" s="25"/>
    </row>
    <row r="207307" spans="21:21" x14ac:dyDescent="0.3">
      <c r="U207307" s="25"/>
    </row>
    <row r="207329" spans="21:21" x14ac:dyDescent="0.3">
      <c r="U207329" s="25"/>
    </row>
    <row r="207351" spans="21:21" x14ac:dyDescent="0.3">
      <c r="U207351" s="25"/>
    </row>
    <row r="207373" spans="21:21" x14ac:dyDescent="0.3">
      <c r="U207373" s="25"/>
    </row>
    <row r="207395" spans="21:21" x14ac:dyDescent="0.3">
      <c r="U207395" s="25"/>
    </row>
    <row r="207417" spans="21:21" x14ac:dyDescent="0.3">
      <c r="U207417" s="25"/>
    </row>
    <row r="207439" spans="21:21" x14ac:dyDescent="0.3">
      <c r="U207439" s="25"/>
    </row>
    <row r="207461" spans="21:21" x14ac:dyDescent="0.3">
      <c r="U207461" s="25"/>
    </row>
    <row r="207483" spans="21:21" x14ac:dyDescent="0.3">
      <c r="U207483" s="25"/>
    </row>
    <row r="207505" spans="21:21" x14ac:dyDescent="0.3">
      <c r="U207505" s="25"/>
    </row>
    <row r="207527" spans="21:21" x14ac:dyDescent="0.3">
      <c r="U207527" s="25"/>
    </row>
    <row r="207549" spans="21:21" x14ac:dyDescent="0.3">
      <c r="U207549" s="25"/>
    </row>
    <row r="207571" spans="21:21" x14ac:dyDescent="0.3">
      <c r="U207571" s="25"/>
    </row>
    <row r="207593" spans="21:21" x14ac:dyDescent="0.3">
      <c r="U207593" s="25"/>
    </row>
    <row r="207615" spans="21:21" x14ac:dyDescent="0.3">
      <c r="U207615" s="25"/>
    </row>
    <row r="207637" spans="21:21" x14ac:dyDescent="0.3">
      <c r="U207637" s="25"/>
    </row>
    <row r="207659" spans="21:21" x14ac:dyDescent="0.3">
      <c r="U207659" s="25"/>
    </row>
    <row r="207681" spans="21:21" x14ac:dyDescent="0.3">
      <c r="U207681" s="25"/>
    </row>
    <row r="207703" spans="21:21" x14ac:dyDescent="0.3">
      <c r="U207703" s="25"/>
    </row>
    <row r="207725" spans="21:21" x14ac:dyDescent="0.3">
      <c r="U207725" s="25"/>
    </row>
    <row r="207747" spans="21:21" x14ac:dyDescent="0.3">
      <c r="U207747" s="25"/>
    </row>
    <row r="207769" spans="21:21" x14ac:dyDescent="0.3">
      <c r="U207769" s="25"/>
    </row>
    <row r="207791" spans="21:21" x14ac:dyDescent="0.3">
      <c r="U207791" s="25"/>
    </row>
    <row r="207813" spans="21:21" x14ac:dyDescent="0.3">
      <c r="U207813" s="25"/>
    </row>
    <row r="207835" spans="21:21" x14ac:dyDescent="0.3">
      <c r="U207835" s="25"/>
    </row>
    <row r="207857" spans="21:21" x14ac:dyDescent="0.3">
      <c r="U207857" s="25"/>
    </row>
    <row r="207879" spans="21:21" x14ac:dyDescent="0.3">
      <c r="U207879" s="25"/>
    </row>
    <row r="207901" spans="21:21" x14ac:dyDescent="0.3">
      <c r="U207901" s="25"/>
    </row>
    <row r="207923" spans="21:21" x14ac:dyDescent="0.3">
      <c r="U207923" s="25"/>
    </row>
    <row r="207945" spans="21:21" x14ac:dyDescent="0.3">
      <c r="U207945" s="25"/>
    </row>
    <row r="207967" spans="21:21" x14ac:dyDescent="0.3">
      <c r="U207967" s="25"/>
    </row>
    <row r="207989" spans="21:21" x14ac:dyDescent="0.3">
      <c r="U207989" s="25"/>
    </row>
    <row r="208011" spans="21:21" x14ac:dyDescent="0.3">
      <c r="U208011" s="25"/>
    </row>
    <row r="208033" spans="21:21" x14ac:dyDescent="0.3">
      <c r="U208033" s="25"/>
    </row>
    <row r="208055" spans="21:21" x14ac:dyDescent="0.3">
      <c r="U208055" s="25"/>
    </row>
    <row r="208077" spans="21:21" x14ac:dyDescent="0.3">
      <c r="U208077" s="25"/>
    </row>
    <row r="208099" spans="21:21" x14ac:dyDescent="0.3">
      <c r="U208099" s="25"/>
    </row>
    <row r="208121" spans="21:21" x14ac:dyDescent="0.3">
      <c r="U208121" s="25"/>
    </row>
    <row r="208143" spans="21:21" x14ac:dyDescent="0.3">
      <c r="U208143" s="25"/>
    </row>
    <row r="208165" spans="21:21" x14ac:dyDescent="0.3">
      <c r="U208165" s="25"/>
    </row>
    <row r="208187" spans="21:21" x14ac:dyDescent="0.3">
      <c r="U208187" s="25"/>
    </row>
    <row r="208209" spans="21:21" x14ac:dyDescent="0.3">
      <c r="U208209" s="25"/>
    </row>
    <row r="208231" spans="21:21" x14ac:dyDescent="0.3">
      <c r="U208231" s="25"/>
    </row>
    <row r="208253" spans="21:21" x14ac:dyDescent="0.3">
      <c r="U208253" s="25"/>
    </row>
    <row r="208275" spans="21:21" x14ac:dyDescent="0.3">
      <c r="U208275" s="25"/>
    </row>
    <row r="208297" spans="21:21" x14ac:dyDescent="0.3">
      <c r="U208297" s="25"/>
    </row>
    <row r="208319" spans="21:21" x14ac:dyDescent="0.3">
      <c r="U208319" s="25"/>
    </row>
    <row r="208341" spans="21:21" x14ac:dyDescent="0.3">
      <c r="U208341" s="25"/>
    </row>
    <row r="208363" spans="21:21" x14ac:dyDescent="0.3">
      <c r="U208363" s="25"/>
    </row>
    <row r="208385" spans="21:21" x14ac:dyDescent="0.3">
      <c r="U208385" s="25"/>
    </row>
    <row r="208407" spans="21:21" x14ac:dyDescent="0.3">
      <c r="U208407" s="25"/>
    </row>
    <row r="208429" spans="21:21" x14ac:dyDescent="0.3">
      <c r="U208429" s="25"/>
    </row>
    <row r="208451" spans="21:21" x14ac:dyDescent="0.3">
      <c r="U208451" s="25"/>
    </row>
    <row r="208473" spans="21:21" x14ac:dyDescent="0.3">
      <c r="U208473" s="25"/>
    </row>
    <row r="208495" spans="21:21" x14ac:dyDescent="0.3">
      <c r="U208495" s="25"/>
    </row>
    <row r="208517" spans="21:21" x14ac:dyDescent="0.3">
      <c r="U208517" s="25"/>
    </row>
    <row r="208539" spans="21:21" x14ac:dyDescent="0.3">
      <c r="U208539" s="25"/>
    </row>
    <row r="208561" spans="21:21" x14ac:dyDescent="0.3">
      <c r="U208561" s="25"/>
    </row>
    <row r="208583" spans="21:21" x14ac:dyDescent="0.3">
      <c r="U208583" s="25"/>
    </row>
    <row r="208605" spans="21:21" x14ac:dyDescent="0.3">
      <c r="U208605" s="25"/>
    </row>
    <row r="208627" spans="21:21" x14ac:dyDescent="0.3">
      <c r="U208627" s="25"/>
    </row>
    <row r="208649" spans="21:21" x14ac:dyDescent="0.3">
      <c r="U208649" s="25"/>
    </row>
    <row r="208671" spans="21:21" x14ac:dyDescent="0.3">
      <c r="U208671" s="25"/>
    </row>
    <row r="208693" spans="21:21" x14ac:dyDescent="0.3">
      <c r="U208693" s="25"/>
    </row>
    <row r="208715" spans="21:21" x14ac:dyDescent="0.3">
      <c r="U208715" s="25"/>
    </row>
    <row r="208737" spans="21:21" x14ac:dyDescent="0.3">
      <c r="U208737" s="25"/>
    </row>
    <row r="208759" spans="21:21" x14ac:dyDescent="0.3">
      <c r="U208759" s="25"/>
    </row>
    <row r="208781" spans="21:21" x14ac:dyDescent="0.3">
      <c r="U208781" s="25"/>
    </row>
    <row r="208803" spans="21:21" x14ac:dyDescent="0.3">
      <c r="U208803" s="25"/>
    </row>
    <row r="208825" spans="21:21" x14ac:dyDescent="0.3">
      <c r="U208825" s="25"/>
    </row>
    <row r="208847" spans="21:21" x14ac:dyDescent="0.3">
      <c r="U208847" s="25"/>
    </row>
    <row r="208869" spans="21:21" x14ac:dyDescent="0.3">
      <c r="U208869" s="25"/>
    </row>
    <row r="208891" spans="21:21" x14ac:dyDescent="0.3">
      <c r="U208891" s="25"/>
    </row>
    <row r="208913" spans="21:21" x14ac:dyDescent="0.3">
      <c r="U208913" s="25"/>
    </row>
    <row r="208935" spans="21:21" x14ac:dyDescent="0.3">
      <c r="U208935" s="25"/>
    </row>
    <row r="208957" spans="21:21" x14ac:dyDescent="0.3">
      <c r="U208957" s="25"/>
    </row>
    <row r="208979" spans="21:21" x14ac:dyDescent="0.3">
      <c r="U208979" s="25"/>
    </row>
    <row r="209001" spans="21:21" x14ac:dyDescent="0.3">
      <c r="U209001" s="25"/>
    </row>
    <row r="209023" spans="21:21" x14ac:dyDescent="0.3">
      <c r="U209023" s="25"/>
    </row>
    <row r="209045" spans="21:21" x14ac:dyDescent="0.3">
      <c r="U209045" s="25"/>
    </row>
    <row r="209067" spans="21:21" x14ac:dyDescent="0.3">
      <c r="U209067" s="25"/>
    </row>
    <row r="209089" spans="21:21" x14ac:dyDescent="0.3">
      <c r="U209089" s="25"/>
    </row>
    <row r="209111" spans="21:21" x14ac:dyDescent="0.3">
      <c r="U209111" s="25"/>
    </row>
    <row r="209133" spans="21:21" x14ac:dyDescent="0.3">
      <c r="U209133" s="25"/>
    </row>
    <row r="209155" spans="21:21" x14ac:dyDescent="0.3">
      <c r="U209155" s="25"/>
    </row>
    <row r="209177" spans="21:21" x14ac:dyDescent="0.3">
      <c r="U209177" s="25"/>
    </row>
    <row r="209199" spans="21:21" x14ac:dyDescent="0.3">
      <c r="U209199" s="25"/>
    </row>
    <row r="209221" spans="21:21" x14ac:dyDescent="0.3">
      <c r="U209221" s="25"/>
    </row>
    <row r="209243" spans="21:21" x14ac:dyDescent="0.3">
      <c r="U209243" s="25"/>
    </row>
    <row r="209265" spans="21:21" x14ac:dyDescent="0.3">
      <c r="U209265" s="25"/>
    </row>
    <row r="209287" spans="21:21" x14ac:dyDescent="0.3">
      <c r="U209287" s="25"/>
    </row>
    <row r="209309" spans="21:21" x14ac:dyDescent="0.3">
      <c r="U209309" s="25"/>
    </row>
    <row r="209331" spans="21:21" x14ac:dyDescent="0.3">
      <c r="U209331" s="25"/>
    </row>
    <row r="209353" spans="21:21" x14ac:dyDescent="0.3">
      <c r="U209353" s="25"/>
    </row>
    <row r="209375" spans="21:21" x14ac:dyDescent="0.3">
      <c r="U209375" s="25"/>
    </row>
    <row r="209397" spans="21:21" x14ac:dyDescent="0.3">
      <c r="U209397" s="25"/>
    </row>
    <row r="209419" spans="21:21" x14ac:dyDescent="0.3">
      <c r="U209419" s="25"/>
    </row>
    <row r="209441" spans="21:21" x14ac:dyDescent="0.3">
      <c r="U209441" s="25"/>
    </row>
    <row r="209463" spans="21:21" x14ac:dyDescent="0.3">
      <c r="U209463" s="25"/>
    </row>
    <row r="209485" spans="21:21" x14ac:dyDescent="0.3">
      <c r="U209485" s="25"/>
    </row>
    <row r="209507" spans="21:21" x14ac:dyDescent="0.3">
      <c r="U209507" s="25"/>
    </row>
    <row r="209529" spans="21:21" x14ac:dyDescent="0.3">
      <c r="U209529" s="25"/>
    </row>
    <row r="209551" spans="21:21" x14ac:dyDescent="0.3">
      <c r="U209551" s="25"/>
    </row>
    <row r="209573" spans="21:21" x14ac:dyDescent="0.3">
      <c r="U209573" s="25"/>
    </row>
    <row r="209595" spans="21:21" x14ac:dyDescent="0.3">
      <c r="U209595" s="25"/>
    </row>
    <row r="209617" spans="21:21" x14ac:dyDescent="0.3">
      <c r="U209617" s="25"/>
    </row>
    <row r="209639" spans="21:21" x14ac:dyDescent="0.3">
      <c r="U209639" s="25"/>
    </row>
    <row r="209661" spans="21:21" x14ac:dyDescent="0.3">
      <c r="U209661" s="25"/>
    </row>
    <row r="209683" spans="21:21" x14ac:dyDescent="0.3">
      <c r="U209683" s="25"/>
    </row>
    <row r="209705" spans="21:21" x14ac:dyDescent="0.3">
      <c r="U209705" s="25"/>
    </row>
    <row r="209727" spans="21:21" x14ac:dyDescent="0.3">
      <c r="U209727" s="25"/>
    </row>
    <row r="209749" spans="21:21" x14ac:dyDescent="0.3">
      <c r="U209749" s="25"/>
    </row>
    <row r="209771" spans="21:21" x14ac:dyDescent="0.3">
      <c r="U209771" s="25"/>
    </row>
    <row r="209793" spans="21:21" x14ac:dyDescent="0.3">
      <c r="U209793" s="25"/>
    </row>
    <row r="209815" spans="21:21" x14ac:dyDescent="0.3">
      <c r="U209815" s="25"/>
    </row>
    <row r="209837" spans="21:21" x14ac:dyDescent="0.3">
      <c r="U209837" s="25"/>
    </row>
    <row r="209859" spans="21:21" x14ac:dyDescent="0.3">
      <c r="U209859" s="25"/>
    </row>
    <row r="209881" spans="21:21" x14ac:dyDescent="0.3">
      <c r="U209881" s="25"/>
    </row>
    <row r="209903" spans="21:21" x14ac:dyDescent="0.3">
      <c r="U209903" s="25"/>
    </row>
    <row r="209925" spans="21:21" x14ac:dyDescent="0.3">
      <c r="U209925" s="25"/>
    </row>
    <row r="209947" spans="21:21" x14ac:dyDescent="0.3">
      <c r="U209947" s="25"/>
    </row>
    <row r="209969" spans="21:21" x14ac:dyDescent="0.3">
      <c r="U209969" s="25"/>
    </row>
    <row r="209991" spans="21:21" x14ac:dyDescent="0.3">
      <c r="U209991" s="25"/>
    </row>
    <row r="210013" spans="21:21" x14ac:dyDescent="0.3">
      <c r="U210013" s="25"/>
    </row>
    <row r="210035" spans="21:21" x14ac:dyDescent="0.3">
      <c r="U210035" s="25"/>
    </row>
    <row r="210057" spans="21:21" x14ac:dyDescent="0.3">
      <c r="U210057" s="25"/>
    </row>
    <row r="210079" spans="21:21" x14ac:dyDescent="0.3">
      <c r="U210079" s="25"/>
    </row>
    <row r="210101" spans="21:21" x14ac:dyDescent="0.3">
      <c r="U210101" s="25"/>
    </row>
    <row r="210123" spans="21:21" x14ac:dyDescent="0.3">
      <c r="U210123" s="25"/>
    </row>
    <row r="210145" spans="21:21" x14ac:dyDescent="0.3">
      <c r="U210145" s="25"/>
    </row>
    <row r="210167" spans="21:21" x14ac:dyDescent="0.3">
      <c r="U210167" s="25"/>
    </row>
    <row r="210189" spans="21:21" x14ac:dyDescent="0.3">
      <c r="U210189" s="25"/>
    </row>
    <row r="210211" spans="21:21" x14ac:dyDescent="0.3">
      <c r="U210211" s="25"/>
    </row>
    <row r="210233" spans="21:21" x14ac:dyDescent="0.3">
      <c r="U210233" s="25"/>
    </row>
    <row r="210255" spans="21:21" x14ac:dyDescent="0.3">
      <c r="U210255" s="25"/>
    </row>
    <row r="210277" spans="21:21" x14ac:dyDescent="0.3">
      <c r="U210277" s="25"/>
    </row>
    <row r="210299" spans="21:21" x14ac:dyDescent="0.3">
      <c r="U210299" s="25"/>
    </row>
    <row r="210321" spans="21:21" x14ac:dyDescent="0.3">
      <c r="U210321" s="25"/>
    </row>
    <row r="210343" spans="21:21" x14ac:dyDescent="0.3">
      <c r="U210343" s="25"/>
    </row>
    <row r="210365" spans="21:21" x14ac:dyDescent="0.3">
      <c r="U210365" s="25"/>
    </row>
    <row r="210387" spans="21:21" x14ac:dyDescent="0.3">
      <c r="U210387" s="25"/>
    </row>
    <row r="210409" spans="21:21" x14ac:dyDescent="0.3">
      <c r="U210409" s="25"/>
    </row>
    <row r="210431" spans="21:21" x14ac:dyDescent="0.3">
      <c r="U210431" s="25"/>
    </row>
    <row r="210453" spans="21:21" x14ac:dyDescent="0.3">
      <c r="U210453" s="25"/>
    </row>
    <row r="210475" spans="21:21" x14ac:dyDescent="0.3">
      <c r="U210475" s="25"/>
    </row>
    <row r="210497" spans="21:21" x14ac:dyDescent="0.3">
      <c r="U210497" s="25"/>
    </row>
    <row r="210519" spans="21:21" x14ac:dyDescent="0.3">
      <c r="U210519" s="25"/>
    </row>
    <row r="210541" spans="21:21" x14ac:dyDescent="0.3">
      <c r="U210541" s="25"/>
    </row>
    <row r="210563" spans="21:21" x14ac:dyDescent="0.3">
      <c r="U210563" s="25"/>
    </row>
    <row r="210585" spans="21:21" x14ac:dyDescent="0.3">
      <c r="U210585" s="25"/>
    </row>
    <row r="210607" spans="21:21" x14ac:dyDescent="0.3">
      <c r="U210607" s="25"/>
    </row>
    <row r="210629" spans="21:21" x14ac:dyDescent="0.3">
      <c r="U210629" s="25"/>
    </row>
    <row r="210651" spans="21:21" x14ac:dyDescent="0.3">
      <c r="U210651" s="25"/>
    </row>
    <row r="210673" spans="21:21" x14ac:dyDescent="0.3">
      <c r="U210673" s="25"/>
    </row>
    <row r="210695" spans="21:21" x14ac:dyDescent="0.3">
      <c r="U210695" s="25"/>
    </row>
    <row r="210717" spans="21:21" x14ac:dyDescent="0.3">
      <c r="U210717" s="25"/>
    </row>
    <row r="210739" spans="21:21" x14ac:dyDescent="0.3">
      <c r="U210739" s="25"/>
    </row>
    <row r="210761" spans="21:21" x14ac:dyDescent="0.3">
      <c r="U210761" s="25"/>
    </row>
    <row r="210783" spans="21:21" x14ac:dyDescent="0.3">
      <c r="U210783" s="25"/>
    </row>
    <row r="210805" spans="21:21" x14ac:dyDescent="0.3">
      <c r="U210805" s="25"/>
    </row>
    <row r="210827" spans="21:21" x14ac:dyDescent="0.3">
      <c r="U210827" s="25"/>
    </row>
    <row r="210849" spans="21:21" x14ac:dyDescent="0.3">
      <c r="U210849" s="25"/>
    </row>
    <row r="210871" spans="21:21" x14ac:dyDescent="0.3">
      <c r="U210871" s="25"/>
    </row>
    <row r="210893" spans="21:21" x14ac:dyDescent="0.3">
      <c r="U210893" s="25"/>
    </row>
    <row r="210915" spans="21:21" x14ac:dyDescent="0.3">
      <c r="U210915" s="25"/>
    </row>
    <row r="210937" spans="21:21" x14ac:dyDescent="0.3">
      <c r="U210937" s="25"/>
    </row>
    <row r="210959" spans="21:21" x14ac:dyDescent="0.3">
      <c r="U210959" s="25"/>
    </row>
    <row r="210981" spans="21:21" x14ac:dyDescent="0.3">
      <c r="U210981" s="25"/>
    </row>
    <row r="211003" spans="21:21" x14ac:dyDescent="0.3">
      <c r="U211003" s="25"/>
    </row>
    <row r="211025" spans="21:21" x14ac:dyDescent="0.3">
      <c r="U211025" s="25"/>
    </row>
    <row r="211047" spans="21:21" x14ac:dyDescent="0.3">
      <c r="U211047" s="25"/>
    </row>
    <row r="211069" spans="21:21" x14ac:dyDescent="0.3">
      <c r="U211069" s="25"/>
    </row>
    <row r="211091" spans="21:21" x14ac:dyDescent="0.3">
      <c r="U211091" s="25"/>
    </row>
    <row r="211113" spans="21:21" x14ac:dyDescent="0.3">
      <c r="U211113" s="25"/>
    </row>
    <row r="211135" spans="21:21" x14ac:dyDescent="0.3">
      <c r="U211135" s="25"/>
    </row>
    <row r="211157" spans="21:21" x14ac:dyDescent="0.3">
      <c r="U211157" s="25"/>
    </row>
    <row r="211179" spans="21:21" x14ac:dyDescent="0.3">
      <c r="U211179" s="25"/>
    </row>
    <row r="211201" spans="21:21" x14ac:dyDescent="0.3">
      <c r="U211201" s="25"/>
    </row>
    <row r="211223" spans="21:21" x14ac:dyDescent="0.3">
      <c r="U211223" s="25"/>
    </row>
    <row r="211245" spans="21:21" x14ac:dyDescent="0.3">
      <c r="U211245" s="25"/>
    </row>
    <row r="211267" spans="21:21" x14ac:dyDescent="0.3">
      <c r="U211267" s="25"/>
    </row>
    <row r="211289" spans="21:21" x14ac:dyDescent="0.3">
      <c r="U211289" s="25"/>
    </row>
    <row r="211311" spans="21:21" x14ac:dyDescent="0.3">
      <c r="U211311" s="25"/>
    </row>
    <row r="211333" spans="21:21" x14ac:dyDescent="0.3">
      <c r="U211333" s="25"/>
    </row>
    <row r="211355" spans="21:21" x14ac:dyDescent="0.3">
      <c r="U211355" s="25"/>
    </row>
    <row r="211377" spans="21:21" x14ac:dyDescent="0.3">
      <c r="U211377" s="25"/>
    </row>
    <row r="211399" spans="21:21" x14ac:dyDescent="0.3">
      <c r="U211399" s="25"/>
    </row>
    <row r="211421" spans="21:21" x14ac:dyDescent="0.3">
      <c r="U211421" s="25"/>
    </row>
    <row r="211443" spans="21:21" x14ac:dyDescent="0.3">
      <c r="U211443" s="25"/>
    </row>
    <row r="211465" spans="21:21" x14ac:dyDescent="0.3">
      <c r="U211465" s="25"/>
    </row>
    <row r="211487" spans="21:21" x14ac:dyDescent="0.3">
      <c r="U211487" s="25"/>
    </row>
    <row r="211509" spans="21:21" x14ac:dyDescent="0.3">
      <c r="U211509" s="25"/>
    </row>
    <row r="211531" spans="21:21" x14ac:dyDescent="0.3">
      <c r="U211531" s="25"/>
    </row>
    <row r="211553" spans="21:21" x14ac:dyDescent="0.3">
      <c r="U211553" s="25"/>
    </row>
    <row r="211575" spans="21:21" x14ac:dyDescent="0.3">
      <c r="U211575" s="25"/>
    </row>
    <row r="211597" spans="21:21" x14ac:dyDescent="0.3">
      <c r="U211597" s="25"/>
    </row>
    <row r="211619" spans="21:21" x14ac:dyDescent="0.3">
      <c r="U211619" s="25"/>
    </row>
    <row r="211641" spans="21:21" x14ac:dyDescent="0.3">
      <c r="U211641" s="25"/>
    </row>
    <row r="211663" spans="21:21" x14ac:dyDescent="0.3">
      <c r="U211663" s="25"/>
    </row>
    <row r="211685" spans="21:21" x14ac:dyDescent="0.3">
      <c r="U211685" s="25"/>
    </row>
    <row r="211707" spans="21:21" x14ac:dyDescent="0.3">
      <c r="U211707" s="25"/>
    </row>
    <row r="211729" spans="21:21" x14ac:dyDescent="0.3">
      <c r="U211729" s="25"/>
    </row>
    <row r="211751" spans="21:21" x14ac:dyDescent="0.3">
      <c r="U211751" s="25"/>
    </row>
    <row r="211773" spans="21:21" x14ac:dyDescent="0.3">
      <c r="U211773" s="25"/>
    </row>
    <row r="211795" spans="21:21" x14ac:dyDescent="0.3">
      <c r="U211795" s="25"/>
    </row>
    <row r="211817" spans="21:21" x14ac:dyDescent="0.3">
      <c r="U211817" s="25"/>
    </row>
    <row r="211839" spans="21:21" x14ac:dyDescent="0.3">
      <c r="U211839" s="25"/>
    </row>
    <row r="211861" spans="21:21" x14ac:dyDescent="0.3">
      <c r="U211861" s="25"/>
    </row>
    <row r="211883" spans="21:21" x14ac:dyDescent="0.3">
      <c r="U211883" s="25"/>
    </row>
    <row r="211905" spans="21:21" x14ac:dyDescent="0.3">
      <c r="U211905" s="25"/>
    </row>
    <row r="211927" spans="21:21" x14ac:dyDescent="0.3">
      <c r="U211927" s="25"/>
    </row>
    <row r="211949" spans="21:21" x14ac:dyDescent="0.3">
      <c r="U211949" s="25"/>
    </row>
    <row r="211971" spans="21:21" x14ac:dyDescent="0.3">
      <c r="U211971" s="25"/>
    </row>
    <row r="211993" spans="21:21" x14ac:dyDescent="0.3">
      <c r="U211993" s="25"/>
    </row>
    <row r="212015" spans="21:21" x14ac:dyDescent="0.3">
      <c r="U212015" s="25"/>
    </row>
    <row r="212037" spans="21:21" x14ac:dyDescent="0.3">
      <c r="U212037" s="25"/>
    </row>
    <row r="212059" spans="21:21" x14ac:dyDescent="0.3">
      <c r="U212059" s="25"/>
    </row>
    <row r="212081" spans="21:21" x14ac:dyDescent="0.3">
      <c r="U212081" s="25"/>
    </row>
    <row r="212103" spans="21:21" x14ac:dyDescent="0.3">
      <c r="U212103" s="25"/>
    </row>
    <row r="212125" spans="21:21" x14ac:dyDescent="0.3">
      <c r="U212125" s="25"/>
    </row>
    <row r="212147" spans="21:21" x14ac:dyDescent="0.3">
      <c r="U212147" s="25"/>
    </row>
    <row r="212169" spans="21:21" x14ac:dyDescent="0.3">
      <c r="U212169" s="25"/>
    </row>
    <row r="212191" spans="21:21" x14ac:dyDescent="0.3">
      <c r="U212191" s="25"/>
    </row>
    <row r="212213" spans="21:21" x14ac:dyDescent="0.3">
      <c r="U212213" s="25"/>
    </row>
    <row r="212235" spans="21:21" x14ac:dyDescent="0.3">
      <c r="U212235" s="25"/>
    </row>
    <row r="212257" spans="21:21" x14ac:dyDescent="0.3">
      <c r="U212257" s="25"/>
    </row>
    <row r="212279" spans="21:21" x14ac:dyDescent="0.3">
      <c r="U212279" s="25"/>
    </row>
    <row r="212301" spans="21:21" x14ac:dyDescent="0.3">
      <c r="U212301" s="25"/>
    </row>
    <row r="212323" spans="21:21" x14ac:dyDescent="0.3">
      <c r="U212323" s="25"/>
    </row>
    <row r="212345" spans="21:21" x14ac:dyDescent="0.3">
      <c r="U212345" s="25"/>
    </row>
    <row r="212367" spans="21:21" x14ac:dyDescent="0.3">
      <c r="U212367" s="25"/>
    </row>
    <row r="212389" spans="21:21" x14ac:dyDescent="0.3">
      <c r="U212389" s="25"/>
    </row>
    <row r="212411" spans="21:21" x14ac:dyDescent="0.3">
      <c r="U212411" s="25"/>
    </row>
    <row r="212433" spans="21:21" x14ac:dyDescent="0.3">
      <c r="U212433" s="25"/>
    </row>
    <row r="212455" spans="21:21" x14ac:dyDescent="0.3">
      <c r="U212455" s="25"/>
    </row>
    <row r="212477" spans="21:21" x14ac:dyDescent="0.3">
      <c r="U212477" s="25"/>
    </row>
    <row r="212499" spans="21:21" x14ac:dyDescent="0.3">
      <c r="U212499" s="25"/>
    </row>
    <row r="212521" spans="21:21" x14ac:dyDescent="0.3">
      <c r="U212521" s="25"/>
    </row>
    <row r="212543" spans="21:21" x14ac:dyDescent="0.3">
      <c r="U212543" s="25"/>
    </row>
    <row r="212565" spans="21:21" x14ac:dyDescent="0.3">
      <c r="U212565" s="25"/>
    </row>
    <row r="212587" spans="21:21" x14ac:dyDescent="0.3">
      <c r="U212587" s="25"/>
    </row>
    <row r="212609" spans="21:21" x14ac:dyDescent="0.3">
      <c r="U212609" s="25"/>
    </row>
    <row r="212631" spans="21:21" x14ac:dyDescent="0.3">
      <c r="U212631" s="25"/>
    </row>
    <row r="212653" spans="21:21" x14ac:dyDescent="0.3">
      <c r="U212653" s="25"/>
    </row>
    <row r="212675" spans="21:21" x14ac:dyDescent="0.3">
      <c r="U212675" s="25"/>
    </row>
    <row r="212697" spans="21:21" x14ac:dyDescent="0.3">
      <c r="U212697" s="25"/>
    </row>
    <row r="212719" spans="21:21" x14ac:dyDescent="0.3">
      <c r="U212719" s="25"/>
    </row>
    <row r="212741" spans="21:21" x14ac:dyDescent="0.3">
      <c r="U212741" s="25"/>
    </row>
    <row r="212763" spans="21:21" x14ac:dyDescent="0.3">
      <c r="U212763" s="25"/>
    </row>
    <row r="212785" spans="21:21" x14ac:dyDescent="0.3">
      <c r="U212785" s="25"/>
    </row>
    <row r="212807" spans="21:21" x14ac:dyDescent="0.3">
      <c r="U212807" s="25"/>
    </row>
    <row r="212829" spans="21:21" x14ac:dyDescent="0.3">
      <c r="U212829" s="25"/>
    </row>
    <row r="212851" spans="21:21" x14ac:dyDescent="0.3">
      <c r="U212851" s="25"/>
    </row>
    <row r="212873" spans="21:21" x14ac:dyDescent="0.3">
      <c r="U212873" s="25"/>
    </row>
    <row r="212895" spans="21:21" x14ac:dyDescent="0.3">
      <c r="U212895" s="25"/>
    </row>
    <row r="212917" spans="21:21" x14ac:dyDescent="0.3">
      <c r="U212917" s="25"/>
    </row>
    <row r="212939" spans="21:21" x14ac:dyDescent="0.3">
      <c r="U212939" s="25"/>
    </row>
    <row r="212961" spans="21:21" x14ac:dyDescent="0.3">
      <c r="U212961" s="25"/>
    </row>
    <row r="212983" spans="21:21" x14ac:dyDescent="0.3">
      <c r="U212983" s="25"/>
    </row>
    <row r="213005" spans="21:21" x14ac:dyDescent="0.3">
      <c r="U213005" s="25"/>
    </row>
    <row r="213027" spans="21:21" x14ac:dyDescent="0.3">
      <c r="U213027" s="25"/>
    </row>
    <row r="213049" spans="21:21" x14ac:dyDescent="0.3">
      <c r="U213049" s="25"/>
    </row>
    <row r="213071" spans="21:21" x14ac:dyDescent="0.3">
      <c r="U213071" s="25"/>
    </row>
    <row r="213093" spans="21:21" x14ac:dyDescent="0.3">
      <c r="U213093" s="25"/>
    </row>
    <row r="213115" spans="21:21" x14ac:dyDescent="0.3">
      <c r="U213115" s="25"/>
    </row>
    <row r="213137" spans="21:21" x14ac:dyDescent="0.3">
      <c r="U213137" s="25"/>
    </row>
    <row r="213159" spans="21:21" x14ac:dyDescent="0.3">
      <c r="U213159" s="25"/>
    </row>
    <row r="213181" spans="21:21" x14ac:dyDescent="0.3">
      <c r="U213181" s="25"/>
    </row>
    <row r="213203" spans="21:21" x14ac:dyDescent="0.3">
      <c r="U213203" s="25"/>
    </row>
    <row r="213225" spans="21:21" x14ac:dyDescent="0.3">
      <c r="U213225" s="25"/>
    </row>
    <row r="213247" spans="21:21" x14ac:dyDescent="0.3">
      <c r="U213247" s="25"/>
    </row>
    <row r="213269" spans="21:21" x14ac:dyDescent="0.3">
      <c r="U213269" s="25"/>
    </row>
    <row r="213291" spans="21:21" x14ac:dyDescent="0.3">
      <c r="U213291" s="25"/>
    </row>
    <row r="213313" spans="21:21" x14ac:dyDescent="0.3">
      <c r="U213313" s="25"/>
    </row>
    <row r="213335" spans="21:21" x14ac:dyDescent="0.3">
      <c r="U213335" s="25"/>
    </row>
    <row r="213357" spans="21:21" x14ac:dyDescent="0.3">
      <c r="U213357" s="25"/>
    </row>
    <row r="213379" spans="21:21" x14ac:dyDescent="0.3">
      <c r="U213379" s="25"/>
    </row>
    <row r="213401" spans="21:21" x14ac:dyDescent="0.3">
      <c r="U213401" s="25"/>
    </row>
    <row r="213423" spans="21:21" x14ac:dyDescent="0.3">
      <c r="U213423" s="25"/>
    </row>
    <row r="213445" spans="21:21" x14ac:dyDescent="0.3">
      <c r="U213445" s="25"/>
    </row>
    <row r="213467" spans="21:21" x14ac:dyDescent="0.3">
      <c r="U213467" s="25"/>
    </row>
    <row r="213489" spans="21:21" x14ac:dyDescent="0.3">
      <c r="U213489" s="25"/>
    </row>
    <row r="213511" spans="21:21" x14ac:dyDescent="0.3">
      <c r="U213511" s="25"/>
    </row>
    <row r="213533" spans="21:21" x14ac:dyDescent="0.3">
      <c r="U213533" s="25"/>
    </row>
    <row r="213555" spans="21:21" x14ac:dyDescent="0.3">
      <c r="U213555" s="25"/>
    </row>
    <row r="213577" spans="21:21" x14ac:dyDescent="0.3">
      <c r="U213577" s="25"/>
    </row>
    <row r="213599" spans="21:21" x14ac:dyDescent="0.3">
      <c r="U213599" s="25"/>
    </row>
    <row r="213621" spans="21:21" x14ac:dyDescent="0.3">
      <c r="U213621" s="25"/>
    </row>
    <row r="213643" spans="21:21" x14ac:dyDescent="0.3">
      <c r="U213643" s="25"/>
    </row>
    <row r="213665" spans="21:21" x14ac:dyDescent="0.3">
      <c r="U213665" s="25"/>
    </row>
    <row r="213687" spans="21:21" x14ac:dyDescent="0.3">
      <c r="U213687" s="25"/>
    </row>
    <row r="213709" spans="21:21" x14ac:dyDescent="0.3">
      <c r="U213709" s="25"/>
    </row>
    <row r="213731" spans="21:21" x14ac:dyDescent="0.3">
      <c r="U213731" s="25"/>
    </row>
    <row r="213753" spans="21:21" x14ac:dyDescent="0.3">
      <c r="U213753" s="25"/>
    </row>
    <row r="213775" spans="21:21" x14ac:dyDescent="0.3">
      <c r="U213775" s="25"/>
    </row>
    <row r="213797" spans="21:21" x14ac:dyDescent="0.3">
      <c r="U213797" s="25"/>
    </row>
    <row r="213819" spans="21:21" x14ac:dyDescent="0.3">
      <c r="U213819" s="25"/>
    </row>
    <row r="213841" spans="21:21" x14ac:dyDescent="0.3">
      <c r="U213841" s="25"/>
    </row>
    <row r="213863" spans="21:21" x14ac:dyDescent="0.3">
      <c r="U213863" s="25"/>
    </row>
    <row r="213885" spans="21:21" x14ac:dyDescent="0.3">
      <c r="U213885" s="25"/>
    </row>
    <row r="213907" spans="21:21" x14ac:dyDescent="0.3">
      <c r="U213907" s="25"/>
    </row>
    <row r="213929" spans="21:21" x14ac:dyDescent="0.3">
      <c r="U213929" s="25"/>
    </row>
    <row r="213951" spans="21:21" x14ac:dyDescent="0.3">
      <c r="U213951" s="25"/>
    </row>
    <row r="213973" spans="21:21" x14ac:dyDescent="0.3">
      <c r="U213973" s="25"/>
    </row>
    <row r="213995" spans="21:21" x14ac:dyDescent="0.3">
      <c r="U213995" s="25"/>
    </row>
    <row r="214017" spans="21:21" x14ac:dyDescent="0.3">
      <c r="U214017" s="25"/>
    </row>
    <row r="214039" spans="21:21" x14ac:dyDescent="0.3">
      <c r="U214039" s="25"/>
    </row>
    <row r="214061" spans="21:21" x14ac:dyDescent="0.3">
      <c r="U214061" s="25"/>
    </row>
    <row r="214083" spans="21:21" x14ac:dyDescent="0.3">
      <c r="U214083" s="25"/>
    </row>
    <row r="214105" spans="21:21" x14ac:dyDescent="0.3">
      <c r="U214105" s="25"/>
    </row>
    <row r="214127" spans="21:21" x14ac:dyDescent="0.3">
      <c r="U214127" s="25"/>
    </row>
    <row r="214149" spans="21:21" x14ac:dyDescent="0.3">
      <c r="U214149" s="25"/>
    </row>
    <row r="214171" spans="21:21" x14ac:dyDescent="0.3">
      <c r="U214171" s="25"/>
    </row>
    <row r="214193" spans="21:21" x14ac:dyDescent="0.3">
      <c r="U214193" s="25"/>
    </row>
    <row r="214215" spans="21:21" x14ac:dyDescent="0.3">
      <c r="U214215" s="25"/>
    </row>
    <row r="214237" spans="21:21" x14ac:dyDescent="0.3">
      <c r="U214237" s="25"/>
    </row>
    <row r="214259" spans="21:21" x14ac:dyDescent="0.3">
      <c r="U214259" s="25"/>
    </row>
    <row r="214281" spans="21:21" x14ac:dyDescent="0.3">
      <c r="U214281" s="25"/>
    </row>
    <row r="214303" spans="21:21" x14ac:dyDescent="0.3">
      <c r="U214303" s="25"/>
    </row>
    <row r="214325" spans="21:21" x14ac:dyDescent="0.3">
      <c r="U214325" s="25"/>
    </row>
    <row r="214347" spans="21:21" x14ac:dyDescent="0.3">
      <c r="U214347" s="25"/>
    </row>
    <row r="214369" spans="21:21" x14ac:dyDescent="0.3">
      <c r="U214369" s="25"/>
    </row>
    <row r="214391" spans="21:21" x14ac:dyDescent="0.3">
      <c r="U214391" s="25"/>
    </row>
    <row r="214413" spans="21:21" x14ac:dyDescent="0.3">
      <c r="U214413" s="25"/>
    </row>
    <row r="214435" spans="21:21" x14ac:dyDescent="0.3">
      <c r="U214435" s="25"/>
    </row>
    <row r="214457" spans="21:21" x14ac:dyDescent="0.3">
      <c r="U214457" s="25"/>
    </row>
    <row r="214479" spans="21:21" x14ac:dyDescent="0.3">
      <c r="U214479" s="25"/>
    </row>
    <row r="214501" spans="21:21" x14ac:dyDescent="0.3">
      <c r="U214501" s="25"/>
    </row>
    <row r="214523" spans="21:21" x14ac:dyDescent="0.3">
      <c r="U214523" s="25"/>
    </row>
    <row r="214545" spans="21:21" x14ac:dyDescent="0.3">
      <c r="U214545" s="25"/>
    </row>
    <row r="214567" spans="21:21" x14ac:dyDescent="0.3">
      <c r="U214567" s="25"/>
    </row>
    <row r="214589" spans="21:21" x14ac:dyDescent="0.3">
      <c r="U214589" s="25"/>
    </row>
    <row r="214611" spans="21:21" x14ac:dyDescent="0.3">
      <c r="U214611" s="25"/>
    </row>
    <row r="214633" spans="21:21" x14ac:dyDescent="0.3">
      <c r="U214633" s="25"/>
    </row>
    <row r="214655" spans="21:21" x14ac:dyDescent="0.3">
      <c r="U214655" s="25"/>
    </row>
    <row r="214677" spans="21:21" x14ac:dyDescent="0.3">
      <c r="U214677" s="25"/>
    </row>
    <row r="214699" spans="21:21" x14ac:dyDescent="0.3">
      <c r="U214699" s="25"/>
    </row>
    <row r="214721" spans="21:21" x14ac:dyDescent="0.3">
      <c r="U214721" s="25"/>
    </row>
    <row r="214743" spans="21:21" x14ac:dyDescent="0.3">
      <c r="U214743" s="25"/>
    </row>
    <row r="214765" spans="21:21" x14ac:dyDescent="0.3">
      <c r="U214765" s="25"/>
    </row>
    <row r="214787" spans="21:21" x14ac:dyDescent="0.3">
      <c r="U214787" s="25"/>
    </row>
    <row r="214809" spans="21:21" x14ac:dyDescent="0.3">
      <c r="U214809" s="25"/>
    </row>
    <row r="214831" spans="21:21" x14ac:dyDescent="0.3">
      <c r="U214831" s="25"/>
    </row>
    <row r="214853" spans="21:21" x14ac:dyDescent="0.3">
      <c r="U214853" s="25"/>
    </row>
    <row r="214875" spans="21:21" x14ac:dyDescent="0.3">
      <c r="U214875" s="25"/>
    </row>
    <row r="214897" spans="21:21" x14ac:dyDescent="0.3">
      <c r="U214897" s="25"/>
    </row>
    <row r="214919" spans="21:21" x14ac:dyDescent="0.3">
      <c r="U214919" s="25"/>
    </row>
    <row r="214941" spans="21:21" x14ac:dyDescent="0.3">
      <c r="U214941" s="25"/>
    </row>
    <row r="214963" spans="21:21" x14ac:dyDescent="0.3">
      <c r="U214963" s="25"/>
    </row>
    <row r="214985" spans="21:21" x14ac:dyDescent="0.3">
      <c r="U214985" s="25"/>
    </row>
    <row r="215007" spans="21:21" x14ac:dyDescent="0.3">
      <c r="U215007" s="25"/>
    </row>
    <row r="215029" spans="21:21" x14ac:dyDescent="0.3">
      <c r="U215029" s="25"/>
    </row>
    <row r="215051" spans="21:21" x14ac:dyDescent="0.3">
      <c r="U215051" s="25"/>
    </row>
    <row r="215073" spans="21:21" x14ac:dyDescent="0.3">
      <c r="U215073" s="25"/>
    </row>
    <row r="215095" spans="21:21" x14ac:dyDescent="0.3">
      <c r="U215095" s="25"/>
    </row>
    <row r="215117" spans="21:21" x14ac:dyDescent="0.3">
      <c r="U215117" s="25"/>
    </row>
    <row r="215139" spans="21:21" x14ac:dyDescent="0.3">
      <c r="U215139" s="25"/>
    </row>
    <row r="215161" spans="21:21" x14ac:dyDescent="0.3">
      <c r="U215161" s="25"/>
    </row>
    <row r="215183" spans="21:21" x14ac:dyDescent="0.3">
      <c r="U215183" s="25"/>
    </row>
    <row r="215205" spans="21:21" x14ac:dyDescent="0.3">
      <c r="U215205" s="25"/>
    </row>
    <row r="215227" spans="21:21" x14ac:dyDescent="0.3">
      <c r="U215227" s="25"/>
    </row>
    <row r="215249" spans="21:21" x14ac:dyDescent="0.3">
      <c r="U215249" s="25"/>
    </row>
    <row r="215271" spans="21:21" x14ac:dyDescent="0.3">
      <c r="U215271" s="25"/>
    </row>
    <row r="215293" spans="21:21" x14ac:dyDescent="0.3">
      <c r="U215293" s="25"/>
    </row>
    <row r="215315" spans="21:21" x14ac:dyDescent="0.3">
      <c r="U215315" s="25"/>
    </row>
    <row r="215337" spans="21:21" x14ac:dyDescent="0.3">
      <c r="U215337" s="25"/>
    </row>
    <row r="215359" spans="21:21" x14ac:dyDescent="0.3">
      <c r="U215359" s="25"/>
    </row>
    <row r="215381" spans="21:21" x14ac:dyDescent="0.3">
      <c r="U215381" s="25"/>
    </row>
    <row r="215403" spans="21:21" x14ac:dyDescent="0.3">
      <c r="U215403" s="25"/>
    </row>
    <row r="215425" spans="21:21" x14ac:dyDescent="0.3">
      <c r="U215425" s="25"/>
    </row>
    <row r="215447" spans="21:21" x14ac:dyDescent="0.3">
      <c r="U215447" s="25"/>
    </row>
    <row r="215469" spans="21:21" x14ac:dyDescent="0.3">
      <c r="U215469" s="25"/>
    </row>
    <row r="215491" spans="21:21" x14ac:dyDescent="0.3">
      <c r="U215491" s="25"/>
    </row>
    <row r="215513" spans="21:21" x14ac:dyDescent="0.3">
      <c r="U215513" s="25"/>
    </row>
    <row r="215535" spans="21:21" x14ac:dyDescent="0.3">
      <c r="U215535" s="25"/>
    </row>
    <row r="215557" spans="21:21" x14ac:dyDescent="0.3">
      <c r="U215557" s="25"/>
    </row>
    <row r="215579" spans="21:21" x14ac:dyDescent="0.3">
      <c r="U215579" s="25"/>
    </row>
    <row r="215601" spans="21:21" x14ac:dyDescent="0.3">
      <c r="U215601" s="25"/>
    </row>
    <row r="215623" spans="21:21" x14ac:dyDescent="0.3">
      <c r="U215623" s="25"/>
    </row>
    <row r="215645" spans="21:21" x14ac:dyDescent="0.3">
      <c r="U215645" s="25"/>
    </row>
    <row r="215667" spans="21:21" x14ac:dyDescent="0.3">
      <c r="U215667" s="25"/>
    </row>
    <row r="215689" spans="21:21" x14ac:dyDescent="0.3">
      <c r="U215689" s="25"/>
    </row>
    <row r="215711" spans="21:21" x14ac:dyDescent="0.3">
      <c r="U215711" s="25"/>
    </row>
    <row r="215733" spans="21:21" x14ac:dyDescent="0.3">
      <c r="U215733" s="25"/>
    </row>
    <row r="215755" spans="21:21" x14ac:dyDescent="0.3">
      <c r="U215755" s="25"/>
    </row>
    <row r="215777" spans="21:21" x14ac:dyDescent="0.3">
      <c r="U215777" s="25"/>
    </row>
    <row r="215799" spans="21:21" x14ac:dyDescent="0.3">
      <c r="U215799" s="25"/>
    </row>
    <row r="215821" spans="21:21" x14ac:dyDescent="0.3">
      <c r="U215821" s="25"/>
    </row>
    <row r="215843" spans="21:21" x14ac:dyDescent="0.3">
      <c r="U215843" s="25"/>
    </row>
    <row r="215865" spans="21:21" x14ac:dyDescent="0.3">
      <c r="U215865" s="25"/>
    </row>
    <row r="215887" spans="21:21" x14ac:dyDescent="0.3">
      <c r="U215887" s="25"/>
    </row>
    <row r="215909" spans="21:21" x14ac:dyDescent="0.3">
      <c r="U215909" s="25"/>
    </row>
    <row r="215931" spans="21:21" x14ac:dyDescent="0.3">
      <c r="U215931" s="25"/>
    </row>
    <row r="215953" spans="21:21" x14ac:dyDescent="0.3">
      <c r="U215953" s="25"/>
    </row>
    <row r="215975" spans="21:21" x14ac:dyDescent="0.3">
      <c r="U215975" s="25"/>
    </row>
    <row r="215997" spans="21:21" x14ac:dyDescent="0.3">
      <c r="U215997" s="25"/>
    </row>
    <row r="216019" spans="21:21" x14ac:dyDescent="0.3">
      <c r="U216019" s="25"/>
    </row>
    <row r="216041" spans="21:21" x14ac:dyDescent="0.3">
      <c r="U216041" s="25"/>
    </row>
    <row r="216063" spans="21:21" x14ac:dyDescent="0.3">
      <c r="U216063" s="25"/>
    </row>
    <row r="216085" spans="21:21" x14ac:dyDescent="0.3">
      <c r="U216085" s="25"/>
    </row>
    <row r="216107" spans="21:21" x14ac:dyDescent="0.3">
      <c r="U216107" s="25"/>
    </row>
    <row r="216129" spans="21:21" x14ac:dyDescent="0.3">
      <c r="U216129" s="25"/>
    </row>
    <row r="216151" spans="21:21" x14ac:dyDescent="0.3">
      <c r="U216151" s="25"/>
    </row>
    <row r="216173" spans="21:21" x14ac:dyDescent="0.3">
      <c r="U216173" s="25"/>
    </row>
    <row r="216195" spans="21:21" x14ac:dyDescent="0.3">
      <c r="U216195" s="25"/>
    </row>
    <row r="216217" spans="21:21" x14ac:dyDescent="0.3">
      <c r="U216217" s="25"/>
    </row>
    <row r="216239" spans="21:21" x14ac:dyDescent="0.3">
      <c r="U216239" s="25"/>
    </row>
    <row r="216261" spans="21:21" x14ac:dyDescent="0.3">
      <c r="U216261" s="25"/>
    </row>
    <row r="216283" spans="21:21" x14ac:dyDescent="0.3">
      <c r="U216283" s="25"/>
    </row>
    <row r="216305" spans="21:21" x14ac:dyDescent="0.3">
      <c r="U216305" s="25"/>
    </row>
    <row r="216327" spans="21:21" x14ac:dyDescent="0.3">
      <c r="U216327" s="25"/>
    </row>
    <row r="216349" spans="21:21" x14ac:dyDescent="0.3">
      <c r="U216349" s="25"/>
    </row>
    <row r="216371" spans="21:21" x14ac:dyDescent="0.3">
      <c r="U216371" s="25"/>
    </row>
    <row r="216393" spans="21:21" x14ac:dyDescent="0.3">
      <c r="U216393" s="25"/>
    </row>
    <row r="216415" spans="21:21" x14ac:dyDescent="0.3">
      <c r="U216415" s="25"/>
    </row>
    <row r="216437" spans="21:21" x14ac:dyDescent="0.3">
      <c r="U216437" s="25"/>
    </row>
    <row r="216459" spans="21:21" x14ac:dyDescent="0.3">
      <c r="U216459" s="25"/>
    </row>
    <row r="216481" spans="21:21" x14ac:dyDescent="0.3">
      <c r="U216481" s="25"/>
    </row>
    <row r="216503" spans="21:21" x14ac:dyDescent="0.3">
      <c r="U216503" s="25"/>
    </row>
    <row r="216525" spans="21:21" x14ac:dyDescent="0.3">
      <c r="U216525" s="25"/>
    </row>
    <row r="216547" spans="21:21" x14ac:dyDescent="0.3">
      <c r="U216547" s="25"/>
    </row>
    <row r="216569" spans="21:21" x14ac:dyDescent="0.3">
      <c r="U216569" s="25"/>
    </row>
    <row r="216591" spans="21:21" x14ac:dyDescent="0.3">
      <c r="U216591" s="25"/>
    </row>
    <row r="216613" spans="21:21" x14ac:dyDescent="0.3">
      <c r="U216613" s="25"/>
    </row>
    <row r="216635" spans="21:21" x14ac:dyDescent="0.3">
      <c r="U216635" s="25"/>
    </row>
    <row r="216657" spans="21:21" x14ac:dyDescent="0.3">
      <c r="U216657" s="25"/>
    </row>
    <row r="216679" spans="21:21" x14ac:dyDescent="0.3">
      <c r="U216679" s="25"/>
    </row>
    <row r="216701" spans="21:21" x14ac:dyDescent="0.3">
      <c r="U216701" s="25"/>
    </row>
    <row r="216723" spans="21:21" x14ac:dyDescent="0.3">
      <c r="U216723" s="25"/>
    </row>
    <row r="216745" spans="21:21" x14ac:dyDescent="0.3">
      <c r="U216745" s="25"/>
    </row>
    <row r="216767" spans="21:21" x14ac:dyDescent="0.3">
      <c r="U216767" s="25"/>
    </row>
    <row r="216789" spans="21:21" x14ac:dyDescent="0.3">
      <c r="U216789" s="25"/>
    </row>
    <row r="216811" spans="21:21" x14ac:dyDescent="0.3">
      <c r="U216811" s="25"/>
    </row>
    <row r="216833" spans="21:21" x14ac:dyDescent="0.3">
      <c r="U216833" s="25"/>
    </row>
    <row r="216855" spans="21:21" x14ac:dyDescent="0.3">
      <c r="U216855" s="25"/>
    </row>
    <row r="216877" spans="21:21" x14ac:dyDescent="0.3">
      <c r="U216877" s="25"/>
    </row>
    <row r="216899" spans="21:21" x14ac:dyDescent="0.3">
      <c r="U216899" s="25"/>
    </row>
    <row r="216921" spans="21:21" x14ac:dyDescent="0.3">
      <c r="U216921" s="25"/>
    </row>
    <row r="216943" spans="21:21" x14ac:dyDescent="0.3">
      <c r="U216943" s="25"/>
    </row>
    <row r="216965" spans="21:21" x14ac:dyDescent="0.3">
      <c r="U216965" s="25"/>
    </row>
    <row r="216987" spans="21:21" x14ac:dyDescent="0.3">
      <c r="U216987" s="25"/>
    </row>
    <row r="217009" spans="21:21" x14ac:dyDescent="0.3">
      <c r="U217009" s="25"/>
    </row>
    <row r="217031" spans="21:21" x14ac:dyDescent="0.3">
      <c r="U217031" s="25"/>
    </row>
    <row r="217053" spans="21:21" x14ac:dyDescent="0.3">
      <c r="U217053" s="25"/>
    </row>
    <row r="217075" spans="21:21" x14ac:dyDescent="0.3">
      <c r="U217075" s="25"/>
    </row>
    <row r="217097" spans="21:21" x14ac:dyDescent="0.3">
      <c r="U217097" s="25"/>
    </row>
    <row r="217119" spans="21:21" x14ac:dyDescent="0.3">
      <c r="U217119" s="25"/>
    </row>
    <row r="217141" spans="21:21" x14ac:dyDescent="0.3">
      <c r="U217141" s="25"/>
    </row>
    <row r="217163" spans="21:21" x14ac:dyDescent="0.3">
      <c r="U217163" s="25"/>
    </row>
    <row r="217185" spans="21:21" x14ac:dyDescent="0.3">
      <c r="U217185" s="25"/>
    </row>
    <row r="217207" spans="21:21" x14ac:dyDescent="0.3">
      <c r="U217207" s="25"/>
    </row>
    <row r="217229" spans="21:21" x14ac:dyDescent="0.3">
      <c r="U217229" s="25"/>
    </row>
    <row r="217251" spans="21:21" x14ac:dyDescent="0.3">
      <c r="U217251" s="25"/>
    </row>
    <row r="217273" spans="21:21" x14ac:dyDescent="0.3">
      <c r="U217273" s="25"/>
    </row>
    <row r="217295" spans="21:21" x14ac:dyDescent="0.3">
      <c r="U217295" s="25"/>
    </row>
    <row r="217317" spans="21:21" x14ac:dyDescent="0.3">
      <c r="U217317" s="25"/>
    </row>
    <row r="217339" spans="21:21" x14ac:dyDescent="0.3">
      <c r="U217339" s="25"/>
    </row>
    <row r="217361" spans="21:21" x14ac:dyDescent="0.3">
      <c r="U217361" s="25"/>
    </row>
    <row r="217383" spans="21:21" x14ac:dyDescent="0.3">
      <c r="U217383" s="25"/>
    </row>
    <row r="217405" spans="21:21" x14ac:dyDescent="0.3">
      <c r="U217405" s="25"/>
    </row>
    <row r="217427" spans="21:21" x14ac:dyDescent="0.3">
      <c r="U217427" s="25"/>
    </row>
    <row r="217449" spans="21:21" x14ac:dyDescent="0.3">
      <c r="U217449" s="25"/>
    </row>
    <row r="217471" spans="21:21" x14ac:dyDescent="0.3">
      <c r="U217471" s="25"/>
    </row>
    <row r="217493" spans="21:21" x14ac:dyDescent="0.3">
      <c r="U217493" s="25"/>
    </row>
    <row r="217515" spans="21:21" x14ac:dyDescent="0.3">
      <c r="U217515" s="25"/>
    </row>
    <row r="217537" spans="21:21" x14ac:dyDescent="0.3">
      <c r="U217537" s="25"/>
    </row>
    <row r="217559" spans="21:21" x14ac:dyDescent="0.3">
      <c r="U217559" s="25"/>
    </row>
    <row r="217581" spans="21:21" x14ac:dyDescent="0.3">
      <c r="U217581" s="25"/>
    </row>
    <row r="217603" spans="21:21" x14ac:dyDescent="0.3">
      <c r="U217603" s="25"/>
    </row>
    <row r="217625" spans="21:21" x14ac:dyDescent="0.3">
      <c r="U217625" s="25"/>
    </row>
    <row r="217647" spans="21:21" x14ac:dyDescent="0.3">
      <c r="U217647" s="25"/>
    </row>
    <row r="217669" spans="21:21" x14ac:dyDescent="0.3">
      <c r="U217669" s="25"/>
    </row>
    <row r="217691" spans="21:21" x14ac:dyDescent="0.3">
      <c r="U217691" s="25"/>
    </row>
    <row r="217713" spans="21:21" x14ac:dyDescent="0.3">
      <c r="U217713" s="25"/>
    </row>
    <row r="217735" spans="21:21" x14ac:dyDescent="0.3">
      <c r="U217735" s="25"/>
    </row>
    <row r="217757" spans="21:21" x14ac:dyDescent="0.3">
      <c r="U217757" s="25"/>
    </row>
    <row r="217779" spans="21:21" x14ac:dyDescent="0.3">
      <c r="U217779" s="25"/>
    </row>
    <row r="217801" spans="21:21" x14ac:dyDescent="0.3">
      <c r="U217801" s="25"/>
    </row>
    <row r="217823" spans="21:21" x14ac:dyDescent="0.3">
      <c r="U217823" s="25"/>
    </row>
    <row r="217845" spans="21:21" x14ac:dyDescent="0.3">
      <c r="U217845" s="25"/>
    </row>
    <row r="217867" spans="21:21" x14ac:dyDescent="0.3">
      <c r="U217867" s="25"/>
    </row>
    <row r="217889" spans="21:21" x14ac:dyDescent="0.3">
      <c r="U217889" s="25"/>
    </row>
    <row r="217911" spans="21:21" x14ac:dyDescent="0.3">
      <c r="U217911" s="25"/>
    </row>
    <row r="217933" spans="21:21" x14ac:dyDescent="0.3">
      <c r="U217933" s="25"/>
    </row>
    <row r="217955" spans="21:21" x14ac:dyDescent="0.3">
      <c r="U217955" s="25"/>
    </row>
    <row r="217977" spans="21:21" x14ac:dyDescent="0.3">
      <c r="U217977" s="25"/>
    </row>
    <row r="217999" spans="21:21" x14ac:dyDescent="0.3">
      <c r="U217999" s="25"/>
    </row>
    <row r="218021" spans="21:21" x14ac:dyDescent="0.3">
      <c r="U218021" s="25"/>
    </row>
    <row r="218043" spans="21:21" x14ac:dyDescent="0.3">
      <c r="U218043" s="25"/>
    </row>
    <row r="218065" spans="21:21" x14ac:dyDescent="0.3">
      <c r="U218065" s="25"/>
    </row>
    <row r="218087" spans="21:21" x14ac:dyDescent="0.3">
      <c r="U218087" s="25"/>
    </row>
    <row r="218109" spans="21:21" x14ac:dyDescent="0.3">
      <c r="U218109" s="25"/>
    </row>
    <row r="218131" spans="21:21" x14ac:dyDescent="0.3">
      <c r="U218131" s="25"/>
    </row>
    <row r="218153" spans="21:21" x14ac:dyDescent="0.3">
      <c r="U218153" s="25"/>
    </row>
    <row r="218175" spans="21:21" x14ac:dyDescent="0.3">
      <c r="U218175" s="25"/>
    </row>
    <row r="218197" spans="21:21" x14ac:dyDescent="0.3">
      <c r="U218197" s="25"/>
    </row>
    <row r="218219" spans="21:21" x14ac:dyDescent="0.3">
      <c r="U218219" s="25"/>
    </row>
    <row r="218241" spans="21:21" x14ac:dyDescent="0.3">
      <c r="U218241" s="25"/>
    </row>
    <row r="218263" spans="21:21" x14ac:dyDescent="0.3">
      <c r="U218263" s="25"/>
    </row>
    <row r="218285" spans="21:21" x14ac:dyDescent="0.3">
      <c r="U218285" s="25"/>
    </row>
    <row r="218307" spans="21:21" x14ac:dyDescent="0.3">
      <c r="U218307" s="25"/>
    </row>
    <row r="218329" spans="21:21" x14ac:dyDescent="0.3">
      <c r="U218329" s="25"/>
    </row>
    <row r="218351" spans="21:21" x14ac:dyDescent="0.3">
      <c r="U218351" s="25"/>
    </row>
    <row r="218373" spans="21:21" x14ac:dyDescent="0.3">
      <c r="U218373" s="25"/>
    </row>
    <row r="218395" spans="21:21" x14ac:dyDescent="0.3">
      <c r="U218395" s="25"/>
    </row>
    <row r="218417" spans="21:21" x14ac:dyDescent="0.3">
      <c r="U218417" s="25"/>
    </row>
    <row r="218439" spans="21:21" x14ac:dyDescent="0.3">
      <c r="U218439" s="25"/>
    </row>
    <row r="218461" spans="21:21" x14ac:dyDescent="0.3">
      <c r="U218461" s="25"/>
    </row>
    <row r="218483" spans="21:21" x14ac:dyDescent="0.3">
      <c r="U218483" s="25"/>
    </row>
    <row r="218505" spans="21:21" x14ac:dyDescent="0.3">
      <c r="U218505" s="25"/>
    </row>
    <row r="218527" spans="21:21" x14ac:dyDescent="0.3">
      <c r="U218527" s="25"/>
    </row>
    <row r="218549" spans="21:21" x14ac:dyDescent="0.3">
      <c r="U218549" s="25"/>
    </row>
    <row r="218571" spans="21:21" x14ac:dyDescent="0.3">
      <c r="U218571" s="25"/>
    </row>
    <row r="218593" spans="21:21" x14ac:dyDescent="0.3">
      <c r="U218593" s="25"/>
    </row>
    <row r="218615" spans="21:21" x14ac:dyDescent="0.3">
      <c r="U218615" s="25"/>
    </row>
    <row r="218637" spans="21:21" x14ac:dyDescent="0.3">
      <c r="U218637" s="25"/>
    </row>
    <row r="218659" spans="21:21" x14ac:dyDescent="0.3">
      <c r="U218659" s="25"/>
    </row>
    <row r="218681" spans="21:21" x14ac:dyDescent="0.3">
      <c r="U218681" s="25"/>
    </row>
    <row r="218703" spans="21:21" x14ac:dyDescent="0.3">
      <c r="U218703" s="25"/>
    </row>
    <row r="218725" spans="21:21" x14ac:dyDescent="0.3">
      <c r="U218725" s="25"/>
    </row>
    <row r="218747" spans="21:21" x14ac:dyDescent="0.3">
      <c r="U218747" s="25"/>
    </row>
    <row r="218769" spans="21:21" x14ac:dyDescent="0.3">
      <c r="U218769" s="25"/>
    </row>
    <row r="218791" spans="21:21" x14ac:dyDescent="0.3">
      <c r="U218791" s="25"/>
    </row>
    <row r="218813" spans="21:21" x14ac:dyDescent="0.3">
      <c r="U218813" s="25"/>
    </row>
    <row r="218835" spans="21:21" x14ac:dyDescent="0.3">
      <c r="U218835" s="25"/>
    </row>
    <row r="218857" spans="21:21" x14ac:dyDescent="0.3">
      <c r="U218857" s="25"/>
    </row>
    <row r="218879" spans="21:21" x14ac:dyDescent="0.3">
      <c r="U218879" s="25"/>
    </row>
    <row r="218901" spans="21:21" x14ac:dyDescent="0.3">
      <c r="U218901" s="25"/>
    </row>
    <row r="218923" spans="21:21" x14ac:dyDescent="0.3">
      <c r="U218923" s="25"/>
    </row>
    <row r="218945" spans="21:21" x14ac:dyDescent="0.3">
      <c r="U218945" s="25"/>
    </row>
    <row r="218967" spans="21:21" x14ac:dyDescent="0.3">
      <c r="U218967" s="25"/>
    </row>
    <row r="218989" spans="21:21" x14ac:dyDescent="0.3">
      <c r="U218989" s="25"/>
    </row>
    <row r="219011" spans="21:21" x14ac:dyDescent="0.3">
      <c r="U219011" s="25"/>
    </row>
    <row r="219033" spans="21:21" x14ac:dyDescent="0.3">
      <c r="U219033" s="25"/>
    </row>
    <row r="219055" spans="21:21" x14ac:dyDescent="0.3">
      <c r="U219055" s="25"/>
    </row>
    <row r="219077" spans="21:21" x14ac:dyDescent="0.3">
      <c r="U219077" s="25"/>
    </row>
    <row r="219099" spans="21:21" x14ac:dyDescent="0.3">
      <c r="U219099" s="25"/>
    </row>
    <row r="219121" spans="21:21" x14ac:dyDescent="0.3">
      <c r="U219121" s="25"/>
    </row>
    <row r="219143" spans="21:21" x14ac:dyDescent="0.3">
      <c r="U219143" s="25"/>
    </row>
    <row r="219165" spans="21:21" x14ac:dyDescent="0.3">
      <c r="U219165" s="25"/>
    </row>
    <row r="219187" spans="21:21" x14ac:dyDescent="0.3">
      <c r="U219187" s="25"/>
    </row>
    <row r="219209" spans="21:21" x14ac:dyDescent="0.3">
      <c r="U219209" s="25"/>
    </row>
    <row r="219231" spans="21:21" x14ac:dyDescent="0.3">
      <c r="U219231" s="25"/>
    </row>
    <row r="219253" spans="21:21" x14ac:dyDescent="0.3">
      <c r="U219253" s="25"/>
    </row>
    <row r="219275" spans="21:21" x14ac:dyDescent="0.3">
      <c r="U219275" s="25"/>
    </row>
    <row r="219297" spans="21:21" x14ac:dyDescent="0.3">
      <c r="U219297" s="25"/>
    </row>
    <row r="219319" spans="21:21" x14ac:dyDescent="0.3">
      <c r="U219319" s="25"/>
    </row>
    <row r="219341" spans="21:21" x14ac:dyDescent="0.3">
      <c r="U219341" s="25"/>
    </row>
    <row r="219363" spans="21:21" x14ac:dyDescent="0.3">
      <c r="U219363" s="25"/>
    </row>
    <row r="219385" spans="21:21" x14ac:dyDescent="0.3">
      <c r="U219385" s="25"/>
    </row>
    <row r="219407" spans="21:21" x14ac:dyDescent="0.3">
      <c r="U219407" s="25"/>
    </row>
    <row r="219429" spans="21:21" x14ac:dyDescent="0.3">
      <c r="U219429" s="25"/>
    </row>
    <row r="219451" spans="21:21" x14ac:dyDescent="0.3">
      <c r="U219451" s="25"/>
    </row>
    <row r="219473" spans="21:21" x14ac:dyDescent="0.3">
      <c r="U219473" s="25"/>
    </row>
    <row r="219495" spans="21:21" x14ac:dyDescent="0.3">
      <c r="U219495" s="25"/>
    </row>
    <row r="219517" spans="21:21" x14ac:dyDescent="0.3">
      <c r="U219517" s="25"/>
    </row>
    <row r="219539" spans="21:21" x14ac:dyDescent="0.3">
      <c r="U219539" s="25"/>
    </row>
    <row r="219561" spans="21:21" x14ac:dyDescent="0.3">
      <c r="U219561" s="25"/>
    </row>
    <row r="219583" spans="21:21" x14ac:dyDescent="0.3">
      <c r="U219583" s="25"/>
    </row>
    <row r="219605" spans="21:21" x14ac:dyDescent="0.3">
      <c r="U219605" s="25"/>
    </row>
    <row r="219627" spans="21:21" x14ac:dyDescent="0.3">
      <c r="U219627" s="25"/>
    </row>
    <row r="219649" spans="21:21" x14ac:dyDescent="0.3">
      <c r="U219649" s="25"/>
    </row>
    <row r="219671" spans="21:21" x14ac:dyDescent="0.3">
      <c r="U219671" s="25"/>
    </row>
    <row r="219693" spans="21:21" x14ac:dyDescent="0.3">
      <c r="U219693" s="25"/>
    </row>
    <row r="219715" spans="21:21" x14ac:dyDescent="0.3">
      <c r="U219715" s="25"/>
    </row>
    <row r="219737" spans="21:21" x14ac:dyDescent="0.3">
      <c r="U219737" s="25"/>
    </row>
    <row r="219759" spans="21:21" x14ac:dyDescent="0.3">
      <c r="U219759" s="25"/>
    </row>
    <row r="219781" spans="21:21" x14ac:dyDescent="0.3">
      <c r="U219781" s="25"/>
    </row>
    <row r="219803" spans="21:21" x14ac:dyDescent="0.3">
      <c r="U219803" s="25"/>
    </row>
    <row r="219825" spans="21:21" x14ac:dyDescent="0.3">
      <c r="U219825" s="25"/>
    </row>
    <row r="219847" spans="21:21" x14ac:dyDescent="0.3">
      <c r="U219847" s="25"/>
    </row>
    <row r="219869" spans="21:21" x14ac:dyDescent="0.3">
      <c r="U219869" s="25"/>
    </row>
    <row r="219891" spans="21:21" x14ac:dyDescent="0.3">
      <c r="U219891" s="25"/>
    </row>
    <row r="219913" spans="21:21" x14ac:dyDescent="0.3">
      <c r="U219913" s="25"/>
    </row>
    <row r="219935" spans="21:21" x14ac:dyDescent="0.3">
      <c r="U219935" s="25"/>
    </row>
    <row r="219957" spans="21:21" x14ac:dyDescent="0.3">
      <c r="U219957" s="25"/>
    </row>
    <row r="219979" spans="21:21" x14ac:dyDescent="0.3">
      <c r="U219979" s="25"/>
    </row>
    <row r="220001" spans="21:21" x14ac:dyDescent="0.3">
      <c r="U220001" s="25"/>
    </row>
    <row r="220023" spans="21:21" x14ac:dyDescent="0.3">
      <c r="U220023" s="25"/>
    </row>
    <row r="220045" spans="21:21" x14ac:dyDescent="0.3">
      <c r="U220045" s="25"/>
    </row>
    <row r="220067" spans="21:21" x14ac:dyDescent="0.3">
      <c r="U220067" s="25"/>
    </row>
    <row r="220089" spans="21:21" x14ac:dyDescent="0.3">
      <c r="U220089" s="25"/>
    </row>
    <row r="220111" spans="21:21" x14ac:dyDescent="0.3">
      <c r="U220111" s="25"/>
    </row>
    <row r="220133" spans="21:21" x14ac:dyDescent="0.3">
      <c r="U220133" s="25"/>
    </row>
    <row r="220155" spans="21:21" x14ac:dyDescent="0.3">
      <c r="U220155" s="25"/>
    </row>
    <row r="220177" spans="21:21" x14ac:dyDescent="0.3">
      <c r="U220177" s="25"/>
    </row>
    <row r="220199" spans="21:21" x14ac:dyDescent="0.3">
      <c r="U220199" s="25"/>
    </row>
    <row r="220221" spans="21:21" x14ac:dyDescent="0.3">
      <c r="U220221" s="25"/>
    </row>
    <row r="220243" spans="21:21" x14ac:dyDescent="0.3">
      <c r="U220243" s="25"/>
    </row>
    <row r="220265" spans="21:21" x14ac:dyDescent="0.3">
      <c r="U220265" s="25"/>
    </row>
    <row r="220287" spans="21:21" x14ac:dyDescent="0.3">
      <c r="U220287" s="25"/>
    </row>
    <row r="220309" spans="21:21" x14ac:dyDescent="0.3">
      <c r="U220309" s="25"/>
    </row>
    <row r="220331" spans="21:21" x14ac:dyDescent="0.3">
      <c r="U220331" s="25"/>
    </row>
    <row r="220353" spans="21:21" x14ac:dyDescent="0.3">
      <c r="U220353" s="25"/>
    </row>
    <row r="220375" spans="21:21" x14ac:dyDescent="0.3">
      <c r="U220375" s="25"/>
    </row>
    <row r="220397" spans="21:21" x14ac:dyDescent="0.3">
      <c r="U220397" s="25"/>
    </row>
    <row r="220419" spans="21:21" x14ac:dyDescent="0.3">
      <c r="U220419" s="25"/>
    </row>
    <row r="220441" spans="21:21" x14ac:dyDescent="0.3">
      <c r="U220441" s="25"/>
    </row>
    <row r="220463" spans="21:21" x14ac:dyDescent="0.3">
      <c r="U220463" s="25"/>
    </row>
    <row r="220485" spans="21:21" x14ac:dyDescent="0.3">
      <c r="U220485" s="25"/>
    </row>
    <row r="220507" spans="21:21" x14ac:dyDescent="0.3">
      <c r="U220507" s="25"/>
    </row>
    <row r="220529" spans="21:21" x14ac:dyDescent="0.3">
      <c r="U220529" s="25"/>
    </row>
    <row r="220551" spans="21:21" x14ac:dyDescent="0.3">
      <c r="U220551" s="25"/>
    </row>
    <row r="220573" spans="21:21" x14ac:dyDescent="0.3">
      <c r="U220573" s="25"/>
    </row>
    <row r="220595" spans="21:21" x14ac:dyDescent="0.3">
      <c r="U220595" s="25"/>
    </row>
    <row r="220617" spans="21:21" x14ac:dyDescent="0.3">
      <c r="U220617" s="25"/>
    </row>
    <row r="220639" spans="21:21" x14ac:dyDescent="0.3">
      <c r="U220639" s="25"/>
    </row>
    <row r="220661" spans="21:21" x14ac:dyDescent="0.3">
      <c r="U220661" s="25"/>
    </row>
    <row r="220683" spans="21:21" x14ac:dyDescent="0.3">
      <c r="U220683" s="25"/>
    </row>
    <row r="220705" spans="21:21" x14ac:dyDescent="0.3">
      <c r="U220705" s="25"/>
    </row>
    <row r="220727" spans="21:21" x14ac:dyDescent="0.3">
      <c r="U220727" s="25"/>
    </row>
    <row r="220749" spans="21:21" x14ac:dyDescent="0.3">
      <c r="U220749" s="25"/>
    </row>
    <row r="220771" spans="21:21" x14ac:dyDescent="0.3">
      <c r="U220771" s="25"/>
    </row>
    <row r="220793" spans="21:21" x14ac:dyDescent="0.3">
      <c r="U220793" s="25"/>
    </row>
    <row r="220815" spans="21:21" x14ac:dyDescent="0.3">
      <c r="U220815" s="25"/>
    </row>
    <row r="220837" spans="21:21" x14ac:dyDescent="0.3">
      <c r="U220837" s="25"/>
    </row>
    <row r="220859" spans="21:21" x14ac:dyDescent="0.3">
      <c r="U220859" s="25"/>
    </row>
    <row r="220881" spans="21:21" x14ac:dyDescent="0.3">
      <c r="U220881" s="25"/>
    </row>
    <row r="220903" spans="21:21" x14ac:dyDescent="0.3">
      <c r="U220903" s="25"/>
    </row>
    <row r="220925" spans="21:21" x14ac:dyDescent="0.3">
      <c r="U220925" s="25"/>
    </row>
    <row r="220947" spans="21:21" x14ac:dyDescent="0.3">
      <c r="U220947" s="25"/>
    </row>
    <row r="220969" spans="21:21" x14ac:dyDescent="0.3">
      <c r="U220969" s="25"/>
    </row>
    <row r="220991" spans="21:21" x14ac:dyDescent="0.3">
      <c r="U220991" s="25"/>
    </row>
    <row r="221013" spans="21:21" x14ac:dyDescent="0.3">
      <c r="U221013" s="25"/>
    </row>
    <row r="221035" spans="21:21" x14ac:dyDescent="0.3">
      <c r="U221035" s="25"/>
    </row>
    <row r="221057" spans="21:21" x14ac:dyDescent="0.3">
      <c r="U221057" s="25"/>
    </row>
    <row r="221079" spans="21:21" x14ac:dyDescent="0.3">
      <c r="U221079" s="25"/>
    </row>
    <row r="221101" spans="21:21" x14ac:dyDescent="0.3">
      <c r="U221101" s="25"/>
    </row>
    <row r="221123" spans="21:21" x14ac:dyDescent="0.3">
      <c r="U221123" s="25"/>
    </row>
    <row r="221145" spans="21:21" x14ac:dyDescent="0.3">
      <c r="U221145" s="25"/>
    </row>
    <row r="221167" spans="21:21" x14ac:dyDescent="0.3">
      <c r="U221167" s="25"/>
    </row>
    <row r="221189" spans="21:21" x14ac:dyDescent="0.3">
      <c r="U221189" s="25"/>
    </row>
    <row r="221211" spans="21:21" x14ac:dyDescent="0.3">
      <c r="U221211" s="25"/>
    </row>
    <row r="221233" spans="21:21" x14ac:dyDescent="0.3">
      <c r="U221233" s="25"/>
    </row>
    <row r="221255" spans="21:21" x14ac:dyDescent="0.3">
      <c r="U221255" s="25"/>
    </row>
    <row r="221277" spans="21:21" x14ac:dyDescent="0.3">
      <c r="U221277" s="25"/>
    </row>
    <row r="221299" spans="21:21" x14ac:dyDescent="0.3">
      <c r="U221299" s="25"/>
    </row>
    <row r="221321" spans="21:21" x14ac:dyDescent="0.3">
      <c r="U221321" s="25"/>
    </row>
    <row r="221343" spans="21:21" x14ac:dyDescent="0.3">
      <c r="U221343" s="25"/>
    </row>
    <row r="221365" spans="21:21" x14ac:dyDescent="0.3">
      <c r="U221365" s="25"/>
    </row>
    <row r="221387" spans="21:21" x14ac:dyDescent="0.3">
      <c r="U221387" s="25"/>
    </row>
    <row r="221409" spans="21:21" x14ac:dyDescent="0.3">
      <c r="U221409" s="25"/>
    </row>
    <row r="221431" spans="21:21" x14ac:dyDescent="0.3">
      <c r="U221431" s="25"/>
    </row>
    <row r="221453" spans="21:21" x14ac:dyDescent="0.3">
      <c r="U221453" s="25"/>
    </row>
    <row r="221475" spans="21:21" x14ac:dyDescent="0.3">
      <c r="U221475" s="25"/>
    </row>
    <row r="221497" spans="21:21" x14ac:dyDescent="0.3">
      <c r="U221497" s="25"/>
    </row>
    <row r="221519" spans="21:21" x14ac:dyDescent="0.3">
      <c r="U221519" s="25"/>
    </row>
    <row r="221541" spans="21:21" x14ac:dyDescent="0.3">
      <c r="U221541" s="25"/>
    </row>
    <row r="221563" spans="21:21" x14ac:dyDescent="0.3">
      <c r="U221563" s="25"/>
    </row>
    <row r="221585" spans="21:21" x14ac:dyDescent="0.3">
      <c r="U221585" s="25"/>
    </row>
    <row r="221607" spans="21:21" x14ac:dyDescent="0.3">
      <c r="U221607" s="25"/>
    </row>
    <row r="221629" spans="21:21" x14ac:dyDescent="0.3">
      <c r="U221629" s="25"/>
    </row>
    <row r="221651" spans="21:21" x14ac:dyDescent="0.3">
      <c r="U221651" s="25"/>
    </row>
    <row r="221673" spans="21:21" x14ac:dyDescent="0.3">
      <c r="U221673" s="25"/>
    </row>
    <row r="221695" spans="21:21" x14ac:dyDescent="0.3">
      <c r="U221695" s="25"/>
    </row>
    <row r="221717" spans="21:21" x14ac:dyDescent="0.3">
      <c r="U221717" s="25"/>
    </row>
    <row r="221739" spans="21:21" x14ac:dyDescent="0.3">
      <c r="U221739" s="25"/>
    </row>
    <row r="221761" spans="21:21" x14ac:dyDescent="0.3">
      <c r="U221761" s="25"/>
    </row>
    <row r="221783" spans="21:21" x14ac:dyDescent="0.3">
      <c r="U221783" s="25"/>
    </row>
    <row r="221805" spans="21:21" x14ac:dyDescent="0.3">
      <c r="U221805" s="25"/>
    </row>
    <row r="221827" spans="21:21" x14ac:dyDescent="0.3">
      <c r="U221827" s="25"/>
    </row>
    <row r="221849" spans="21:21" x14ac:dyDescent="0.3">
      <c r="U221849" s="25"/>
    </row>
    <row r="221871" spans="21:21" x14ac:dyDescent="0.3">
      <c r="U221871" s="25"/>
    </row>
    <row r="221893" spans="21:21" x14ac:dyDescent="0.3">
      <c r="U221893" s="25"/>
    </row>
    <row r="221915" spans="21:21" x14ac:dyDescent="0.3">
      <c r="U221915" s="25"/>
    </row>
    <row r="221937" spans="21:21" x14ac:dyDescent="0.3">
      <c r="U221937" s="25"/>
    </row>
    <row r="221959" spans="21:21" x14ac:dyDescent="0.3">
      <c r="U221959" s="25"/>
    </row>
    <row r="221981" spans="21:21" x14ac:dyDescent="0.3">
      <c r="U221981" s="25"/>
    </row>
    <row r="222003" spans="21:21" x14ac:dyDescent="0.3">
      <c r="U222003" s="25"/>
    </row>
    <row r="222025" spans="21:21" x14ac:dyDescent="0.3">
      <c r="U222025" s="25"/>
    </row>
    <row r="222047" spans="21:21" x14ac:dyDescent="0.3">
      <c r="U222047" s="25"/>
    </row>
    <row r="222069" spans="21:21" x14ac:dyDescent="0.3">
      <c r="U222069" s="25"/>
    </row>
    <row r="222091" spans="21:21" x14ac:dyDescent="0.3">
      <c r="U222091" s="25"/>
    </row>
    <row r="222113" spans="21:21" x14ac:dyDescent="0.3">
      <c r="U222113" s="25"/>
    </row>
    <row r="222135" spans="21:21" x14ac:dyDescent="0.3">
      <c r="U222135" s="25"/>
    </row>
    <row r="222157" spans="21:21" x14ac:dyDescent="0.3">
      <c r="U222157" s="25"/>
    </row>
    <row r="222179" spans="21:21" x14ac:dyDescent="0.3">
      <c r="U222179" s="25"/>
    </row>
    <row r="222201" spans="21:21" x14ac:dyDescent="0.3">
      <c r="U222201" s="25"/>
    </row>
    <row r="222223" spans="21:21" x14ac:dyDescent="0.3">
      <c r="U222223" s="25"/>
    </row>
    <row r="222245" spans="21:21" x14ac:dyDescent="0.3">
      <c r="U222245" s="25"/>
    </row>
    <row r="222267" spans="21:21" x14ac:dyDescent="0.3">
      <c r="U222267" s="25"/>
    </row>
    <row r="222289" spans="21:21" x14ac:dyDescent="0.3">
      <c r="U222289" s="25"/>
    </row>
    <row r="222311" spans="21:21" x14ac:dyDescent="0.3">
      <c r="U222311" s="25"/>
    </row>
    <row r="222333" spans="21:21" x14ac:dyDescent="0.3">
      <c r="U222333" s="25"/>
    </row>
    <row r="222355" spans="21:21" x14ac:dyDescent="0.3">
      <c r="U222355" s="25"/>
    </row>
    <row r="222377" spans="21:21" x14ac:dyDescent="0.3">
      <c r="U222377" s="25"/>
    </row>
    <row r="222399" spans="21:21" x14ac:dyDescent="0.3">
      <c r="U222399" s="25"/>
    </row>
    <row r="222421" spans="21:21" x14ac:dyDescent="0.3">
      <c r="U222421" s="25"/>
    </row>
    <row r="222443" spans="21:21" x14ac:dyDescent="0.3">
      <c r="U222443" s="25"/>
    </row>
    <row r="222465" spans="21:21" x14ac:dyDescent="0.3">
      <c r="U222465" s="25"/>
    </row>
    <row r="222487" spans="21:21" x14ac:dyDescent="0.3">
      <c r="U222487" s="25"/>
    </row>
    <row r="222509" spans="21:21" x14ac:dyDescent="0.3">
      <c r="U222509" s="25"/>
    </row>
    <row r="222531" spans="21:21" x14ac:dyDescent="0.3">
      <c r="U222531" s="25"/>
    </row>
    <row r="222553" spans="21:21" x14ac:dyDescent="0.3">
      <c r="U222553" s="25"/>
    </row>
    <row r="222575" spans="21:21" x14ac:dyDescent="0.3">
      <c r="U222575" s="25"/>
    </row>
    <row r="222597" spans="21:21" x14ac:dyDescent="0.3">
      <c r="U222597" s="25"/>
    </row>
    <row r="222619" spans="21:21" x14ac:dyDescent="0.3">
      <c r="U222619" s="25"/>
    </row>
    <row r="222641" spans="21:21" x14ac:dyDescent="0.3">
      <c r="U222641" s="25"/>
    </row>
    <row r="222663" spans="21:21" x14ac:dyDescent="0.3">
      <c r="U222663" s="25"/>
    </row>
    <row r="222685" spans="21:21" x14ac:dyDescent="0.3">
      <c r="U222685" s="25"/>
    </row>
    <row r="222707" spans="21:21" x14ac:dyDescent="0.3">
      <c r="U222707" s="25"/>
    </row>
    <row r="222729" spans="21:21" x14ac:dyDescent="0.3">
      <c r="U222729" s="25"/>
    </row>
    <row r="222751" spans="21:21" x14ac:dyDescent="0.3">
      <c r="U222751" s="25"/>
    </row>
    <row r="222773" spans="21:21" x14ac:dyDescent="0.3">
      <c r="U222773" s="25"/>
    </row>
    <row r="222795" spans="21:21" x14ac:dyDescent="0.3">
      <c r="U222795" s="25"/>
    </row>
    <row r="222817" spans="21:21" x14ac:dyDescent="0.3">
      <c r="U222817" s="25"/>
    </row>
    <row r="222839" spans="21:21" x14ac:dyDescent="0.3">
      <c r="U222839" s="25"/>
    </row>
    <row r="222861" spans="21:21" x14ac:dyDescent="0.3">
      <c r="U222861" s="25"/>
    </row>
    <row r="222883" spans="21:21" x14ac:dyDescent="0.3">
      <c r="U222883" s="25"/>
    </row>
    <row r="222905" spans="21:21" x14ac:dyDescent="0.3">
      <c r="U222905" s="25"/>
    </row>
    <row r="222927" spans="21:21" x14ac:dyDescent="0.3">
      <c r="U222927" s="25"/>
    </row>
    <row r="222949" spans="21:21" x14ac:dyDescent="0.3">
      <c r="U222949" s="25"/>
    </row>
    <row r="222971" spans="21:21" x14ac:dyDescent="0.3">
      <c r="U222971" s="25"/>
    </row>
    <row r="222993" spans="21:21" x14ac:dyDescent="0.3">
      <c r="U222993" s="25"/>
    </row>
    <row r="223015" spans="21:21" x14ac:dyDescent="0.3">
      <c r="U223015" s="25"/>
    </row>
    <row r="223037" spans="21:21" x14ac:dyDescent="0.3">
      <c r="U223037" s="25"/>
    </row>
    <row r="223059" spans="21:21" x14ac:dyDescent="0.3">
      <c r="U223059" s="25"/>
    </row>
    <row r="223081" spans="21:21" x14ac:dyDescent="0.3">
      <c r="U223081" s="25"/>
    </row>
    <row r="223103" spans="21:21" x14ac:dyDescent="0.3">
      <c r="U223103" s="25"/>
    </row>
    <row r="223125" spans="21:21" x14ac:dyDescent="0.3">
      <c r="U223125" s="25"/>
    </row>
    <row r="223147" spans="21:21" x14ac:dyDescent="0.3">
      <c r="U223147" s="25"/>
    </row>
    <row r="223169" spans="21:21" x14ac:dyDescent="0.3">
      <c r="U223169" s="25"/>
    </row>
    <row r="223191" spans="21:21" x14ac:dyDescent="0.3">
      <c r="U223191" s="25"/>
    </row>
    <row r="223213" spans="21:21" x14ac:dyDescent="0.3">
      <c r="U223213" s="25"/>
    </row>
    <row r="223235" spans="21:21" x14ac:dyDescent="0.3">
      <c r="U223235" s="25"/>
    </row>
    <row r="223257" spans="21:21" x14ac:dyDescent="0.3">
      <c r="U223257" s="25"/>
    </row>
    <row r="223279" spans="21:21" x14ac:dyDescent="0.3">
      <c r="U223279" s="25"/>
    </row>
    <row r="223301" spans="21:21" x14ac:dyDescent="0.3">
      <c r="U223301" s="25"/>
    </row>
    <row r="223323" spans="21:21" x14ac:dyDescent="0.3">
      <c r="U223323" s="25"/>
    </row>
    <row r="223345" spans="21:21" x14ac:dyDescent="0.3">
      <c r="U223345" s="25"/>
    </row>
    <row r="223367" spans="21:21" x14ac:dyDescent="0.3">
      <c r="U223367" s="25"/>
    </row>
    <row r="223389" spans="21:21" x14ac:dyDescent="0.3">
      <c r="U223389" s="25"/>
    </row>
    <row r="223411" spans="21:21" x14ac:dyDescent="0.3">
      <c r="U223411" s="25"/>
    </row>
    <row r="223433" spans="21:21" x14ac:dyDescent="0.3">
      <c r="U223433" s="25"/>
    </row>
    <row r="223455" spans="21:21" x14ac:dyDescent="0.3">
      <c r="U223455" s="25"/>
    </row>
    <row r="223477" spans="21:21" x14ac:dyDescent="0.3">
      <c r="U223477" s="25"/>
    </row>
    <row r="223499" spans="21:21" x14ac:dyDescent="0.3">
      <c r="U223499" s="25"/>
    </row>
    <row r="223521" spans="21:21" x14ac:dyDescent="0.3">
      <c r="U223521" s="25"/>
    </row>
    <row r="223543" spans="21:21" x14ac:dyDescent="0.3">
      <c r="U223543" s="25"/>
    </row>
    <row r="223565" spans="21:21" x14ac:dyDescent="0.3">
      <c r="U223565" s="25"/>
    </row>
    <row r="223587" spans="21:21" x14ac:dyDescent="0.3">
      <c r="U223587" s="25"/>
    </row>
    <row r="223609" spans="21:21" x14ac:dyDescent="0.3">
      <c r="U223609" s="25"/>
    </row>
    <row r="223631" spans="21:21" x14ac:dyDescent="0.3">
      <c r="U223631" s="25"/>
    </row>
    <row r="223653" spans="21:21" x14ac:dyDescent="0.3">
      <c r="U223653" s="25"/>
    </row>
    <row r="223675" spans="21:21" x14ac:dyDescent="0.3">
      <c r="U223675" s="25"/>
    </row>
    <row r="223697" spans="21:21" x14ac:dyDescent="0.3">
      <c r="U223697" s="25"/>
    </row>
    <row r="223719" spans="21:21" x14ac:dyDescent="0.3">
      <c r="U223719" s="25"/>
    </row>
    <row r="223741" spans="21:21" x14ac:dyDescent="0.3">
      <c r="U223741" s="25"/>
    </row>
    <row r="223763" spans="21:21" x14ac:dyDescent="0.3">
      <c r="U223763" s="25"/>
    </row>
    <row r="223785" spans="21:21" x14ac:dyDescent="0.3">
      <c r="U223785" s="25"/>
    </row>
    <row r="223807" spans="21:21" x14ac:dyDescent="0.3">
      <c r="U223807" s="25"/>
    </row>
    <row r="223829" spans="21:21" x14ac:dyDescent="0.3">
      <c r="U223829" s="25"/>
    </row>
    <row r="223851" spans="21:21" x14ac:dyDescent="0.3">
      <c r="U223851" s="25"/>
    </row>
    <row r="223873" spans="21:21" x14ac:dyDescent="0.3">
      <c r="U223873" s="25"/>
    </row>
    <row r="223895" spans="21:21" x14ac:dyDescent="0.3">
      <c r="U223895" s="25"/>
    </row>
    <row r="223917" spans="21:21" x14ac:dyDescent="0.3">
      <c r="U223917" s="25"/>
    </row>
    <row r="223939" spans="21:21" x14ac:dyDescent="0.3">
      <c r="U223939" s="25"/>
    </row>
    <row r="223961" spans="21:21" x14ac:dyDescent="0.3">
      <c r="U223961" s="25"/>
    </row>
    <row r="223983" spans="21:21" x14ac:dyDescent="0.3">
      <c r="U223983" s="25"/>
    </row>
    <row r="224005" spans="21:21" x14ac:dyDescent="0.3">
      <c r="U224005" s="25"/>
    </row>
    <row r="224027" spans="21:21" x14ac:dyDescent="0.3">
      <c r="U224027" s="25"/>
    </row>
    <row r="224049" spans="21:21" x14ac:dyDescent="0.3">
      <c r="U224049" s="25"/>
    </row>
    <row r="224071" spans="21:21" x14ac:dyDescent="0.3">
      <c r="U224071" s="25"/>
    </row>
    <row r="224093" spans="21:21" x14ac:dyDescent="0.3">
      <c r="U224093" s="25"/>
    </row>
    <row r="224115" spans="21:21" x14ac:dyDescent="0.3">
      <c r="U224115" s="25"/>
    </row>
    <row r="224137" spans="21:21" x14ac:dyDescent="0.3">
      <c r="U224137" s="25"/>
    </row>
    <row r="224159" spans="21:21" x14ac:dyDescent="0.3">
      <c r="U224159" s="25"/>
    </row>
    <row r="224181" spans="21:21" x14ac:dyDescent="0.3">
      <c r="U224181" s="25"/>
    </row>
    <row r="224203" spans="21:21" x14ac:dyDescent="0.3">
      <c r="U224203" s="25"/>
    </row>
    <row r="224225" spans="21:21" x14ac:dyDescent="0.3">
      <c r="U224225" s="25"/>
    </row>
    <row r="224247" spans="21:21" x14ac:dyDescent="0.3">
      <c r="U224247" s="25"/>
    </row>
    <row r="224269" spans="21:21" x14ac:dyDescent="0.3">
      <c r="U224269" s="25"/>
    </row>
    <row r="224291" spans="21:21" x14ac:dyDescent="0.3">
      <c r="U224291" s="25"/>
    </row>
    <row r="224313" spans="21:21" x14ac:dyDescent="0.3">
      <c r="U224313" s="25"/>
    </row>
    <row r="224335" spans="21:21" x14ac:dyDescent="0.3">
      <c r="U224335" s="25"/>
    </row>
    <row r="224357" spans="21:21" x14ac:dyDescent="0.3">
      <c r="U224357" s="25"/>
    </row>
    <row r="224379" spans="21:21" x14ac:dyDescent="0.3">
      <c r="U224379" s="25"/>
    </row>
    <row r="224401" spans="21:21" x14ac:dyDescent="0.3">
      <c r="U224401" s="25"/>
    </row>
    <row r="224423" spans="21:21" x14ac:dyDescent="0.3">
      <c r="U224423" s="25"/>
    </row>
    <row r="224445" spans="21:21" x14ac:dyDescent="0.3">
      <c r="U224445" s="25"/>
    </row>
    <row r="224467" spans="21:21" x14ac:dyDescent="0.3">
      <c r="U224467" s="25"/>
    </row>
    <row r="224489" spans="21:21" x14ac:dyDescent="0.3">
      <c r="U224489" s="25"/>
    </row>
    <row r="224511" spans="21:21" x14ac:dyDescent="0.3">
      <c r="U224511" s="25"/>
    </row>
    <row r="224533" spans="21:21" x14ac:dyDescent="0.3">
      <c r="U224533" s="25"/>
    </row>
    <row r="224555" spans="21:21" x14ac:dyDescent="0.3">
      <c r="U224555" s="25"/>
    </row>
    <row r="224577" spans="21:21" x14ac:dyDescent="0.3">
      <c r="U224577" s="25"/>
    </row>
    <row r="224599" spans="21:21" x14ac:dyDescent="0.3">
      <c r="U224599" s="25"/>
    </row>
    <row r="224621" spans="21:21" x14ac:dyDescent="0.3">
      <c r="U224621" s="25"/>
    </row>
    <row r="224643" spans="21:21" x14ac:dyDescent="0.3">
      <c r="U224643" s="25"/>
    </row>
    <row r="224665" spans="21:21" x14ac:dyDescent="0.3">
      <c r="U224665" s="25"/>
    </row>
    <row r="224687" spans="21:21" x14ac:dyDescent="0.3">
      <c r="U224687" s="25"/>
    </row>
    <row r="224709" spans="21:21" x14ac:dyDescent="0.3">
      <c r="U224709" s="25"/>
    </row>
    <row r="224731" spans="21:21" x14ac:dyDescent="0.3">
      <c r="U224731" s="25"/>
    </row>
    <row r="224753" spans="21:21" x14ac:dyDescent="0.3">
      <c r="U224753" s="25"/>
    </row>
    <row r="224775" spans="21:21" x14ac:dyDescent="0.3">
      <c r="U224775" s="25"/>
    </row>
    <row r="224797" spans="21:21" x14ac:dyDescent="0.3">
      <c r="U224797" s="25"/>
    </row>
    <row r="224819" spans="21:21" x14ac:dyDescent="0.3">
      <c r="U224819" s="25"/>
    </row>
    <row r="224841" spans="21:21" x14ac:dyDescent="0.3">
      <c r="U224841" s="25"/>
    </row>
    <row r="224863" spans="21:21" x14ac:dyDescent="0.3">
      <c r="U224863" s="25"/>
    </row>
    <row r="224885" spans="21:21" x14ac:dyDescent="0.3">
      <c r="U224885" s="25"/>
    </row>
    <row r="224907" spans="21:21" x14ac:dyDescent="0.3">
      <c r="U224907" s="25"/>
    </row>
    <row r="224929" spans="21:21" x14ac:dyDescent="0.3">
      <c r="U224929" s="25"/>
    </row>
    <row r="224951" spans="21:21" x14ac:dyDescent="0.3">
      <c r="U224951" s="25"/>
    </row>
    <row r="224973" spans="21:21" x14ac:dyDescent="0.3">
      <c r="U224973" s="25"/>
    </row>
    <row r="224995" spans="21:21" x14ac:dyDescent="0.3">
      <c r="U224995" s="25"/>
    </row>
    <row r="225017" spans="21:21" x14ac:dyDescent="0.3">
      <c r="U225017" s="25"/>
    </row>
    <row r="225039" spans="21:21" x14ac:dyDescent="0.3">
      <c r="U225039" s="25"/>
    </row>
    <row r="225061" spans="21:21" x14ac:dyDescent="0.3">
      <c r="U225061" s="25"/>
    </row>
    <row r="225083" spans="21:21" x14ac:dyDescent="0.3">
      <c r="U225083" s="25"/>
    </row>
    <row r="225105" spans="21:21" x14ac:dyDescent="0.3">
      <c r="U225105" s="25"/>
    </row>
    <row r="225127" spans="21:21" x14ac:dyDescent="0.3">
      <c r="U225127" s="25"/>
    </row>
    <row r="225149" spans="21:21" x14ac:dyDescent="0.3">
      <c r="U225149" s="25"/>
    </row>
    <row r="225171" spans="21:21" x14ac:dyDescent="0.3">
      <c r="U225171" s="25"/>
    </row>
    <row r="225193" spans="21:21" x14ac:dyDescent="0.3">
      <c r="U225193" s="25"/>
    </row>
    <row r="225215" spans="21:21" x14ac:dyDescent="0.3">
      <c r="U225215" s="25"/>
    </row>
    <row r="225237" spans="21:21" x14ac:dyDescent="0.3">
      <c r="U225237" s="25"/>
    </row>
    <row r="225259" spans="21:21" x14ac:dyDescent="0.3">
      <c r="U225259" s="25"/>
    </row>
    <row r="225281" spans="21:21" x14ac:dyDescent="0.3">
      <c r="U225281" s="25"/>
    </row>
    <row r="225303" spans="21:21" x14ac:dyDescent="0.3">
      <c r="U225303" s="25"/>
    </row>
    <row r="225325" spans="21:21" x14ac:dyDescent="0.3">
      <c r="U225325" s="25"/>
    </row>
    <row r="225347" spans="21:21" x14ac:dyDescent="0.3">
      <c r="U225347" s="25"/>
    </row>
    <row r="225369" spans="21:21" x14ac:dyDescent="0.3">
      <c r="U225369" s="25"/>
    </row>
    <row r="225391" spans="21:21" x14ac:dyDescent="0.3">
      <c r="U225391" s="25"/>
    </row>
    <row r="225413" spans="21:21" x14ac:dyDescent="0.3">
      <c r="U225413" s="25"/>
    </row>
    <row r="225435" spans="21:21" x14ac:dyDescent="0.3">
      <c r="U225435" s="25"/>
    </row>
    <row r="225457" spans="21:21" x14ac:dyDescent="0.3">
      <c r="U225457" s="25"/>
    </row>
    <row r="225479" spans="21:21" x14ac:dyDescent="0.3">
      <c r="U225479" s="25"/>
    </row>
    <row r="225501" spans="21:21" x14ac:dyDescent="0.3">
      <c r="U225501" s="25"/>
    </row>
    <row r="225523" spans="21:21" x14ac:dyDescent="0.3">
      <c r="U225523" s="25"/>
    </row>
    <row r="225545" spans="21:21" x14ac:dyDescent="0.3">
      <c r="U225545" s="25"/>
    </row>
    <row r="225567" spans="21:21" x14ac:dyDescent="0.3">
      <c r="U225567" s="25"/>
    </row>
    <row r="225589" spans="21:21" x14ac:dyDescent="0.3">
      <c r="U225589" s="25"/>
    </row>
    <row r="225611" spans="21:21" x14ac:dyDescent="0.3">
      <c r="U225611" s="25"/>
    </row>
    <row r="225633" spans="21:21" x14ac:dyDescent="0.3">
      <c r="U225633" s="25"/>
    </row>
    <row r="225655" spans="21:21" x14ac:dyDescent="0.3">
      <c r="U225655" s="25"/>
    </row>
    <row r="225677" spans="21:21" x14ac:dyDescent="0.3">
      <c r="U225677" s="25"/>
    </row>
    <row r="225699" spans="21:21" x14ac:dyDescent="0.3">
      <c r="U225699" s="25"/>
    </row>
    <row r="225721" spans="21:21" x14ac:dyDescent="0.3">
      <c r="U225721" s="25"/>
    </row>
    <row r="225743" spans="21:21" x14ac:dyDescent="0.3">
      <c r="U225743" s="25"/>
    </row>
    <row r="225765" spans="21:21" x14ac:dyDescent="0.3">
      <c r="U225765" s="25"/>
    </row>
    <row r="225787" spans="21:21" x14ac:dyDescent="0.3">
      <c r="U225787" s="25"/>
    </row>
    <row r="225809" spans="21:21" x14ac:dyDescent="0.3">
      <c r="U225809" s="25"/>
    </row>
    <row r="225831" spans="21:21" x14ac:dyDescent="0.3">
      <c r="U225831" s="25"/>
    </row>
    <row r="225853" spans="21:21" x14ac:dyDescent="0.3">
      <c r="U225853" s="25"/>
    </row>
    <row r="225875" spans="21:21" x14ac:dyDescent="0.3">
      <c r="U225875" s="25"/>
    </row>
    <row r="225897" spans="21:21" x14ac:dyDescent="0.3">
      <c r="U225897" s="25"/>
    </row>
    <row r="225919" spans="21:21" x14ac:dyDescent="0.3">
      <c r="U225919" s="25"/>
    </row>
    <row r="225941" spans="21:21" x14ac:dyDescent="0.3">
      <c r="U225941" s="25"/>
    </row>
    <row r="225963" spans="21:21" x14ac:dyDescent="0.3">
      <c r="U225963" s="25"/>
    </row>
    <row r="225985" spans="21:21" x14ac:dyDescent="0.3">
      <c r="U225985" s="25"/>
    </row>
    <row r="226007" spans="21:21" x14ac:dyDescent="0.3">
      <c r="U226007" s="25"/>
    </row>
    <row r="226029" spans="21:21" x14ac:dyDescent="0.3">
      <c r="U226029" s="25"/>
    </row>
    <row r="226051" spans="21:21" x14ac:dyDescent="0.3">
      <c r="U226051" s="25"/>
    </row>
    <row r="226073" spans="21:21" x14ac:dyDescent="0.3">
      <c r="U226073" s="25"/>
    </row>
    <row r="226095" spans="21:21" x14ac:dyDescent="0.3">
      <c r="U226095" s="25"/>
    </row>
    <row r="226117" spans="21:21" x14ac:dyDescent="0.3">
      <c r="U226117" s="25"/>
    </row>
    <row r="226139" spans="21:21" x14ac:dyDescent="0.3">
      <c r="U226139" s="25"/>
    </row>
    <row r="226161" spans="21:21" x14ac:dyDescent="0.3">
      <c r="U226161" s="25"/>
    </row>
    <row r="226183" spans="21:21" x14ac:dyDescent="0.3">
      <c r="U226183" s="25"/>
    </row>
    <row r="226205" spans="21:21" x14ac:dyDescent="0.3">
      <c r="U226205" s="25"/>
    </row>
    <row r="226227" spans="21:21" x14ac:dyDescent="0.3">
      <c r="U226227" s="25"/>
    </row>
    <row r="226249" spans="21:21" x14ac:dyDescent="0.3">
      <c r="U226249" s="25"/>
    </row>
    <row r="226271" spans="21:21" x14ac:dyDescent="0.3">
      <c r="U226271" s="25"/>
    </row>
    <row r="226293" spans="21:21" x14ac:dyDescent="0.3">
      <c r="U226293" s="25"/>
    </row>
    <row r="226315" spans="21:21" x14ac:dyDescent="0.3">
      <c r="U226315" s="25"/>
    </row>
    <row r="226337" spans="21:21" x14ac:dyDescent="0.3">
      <c r="U226337" s="25"/>
    </row>
    <row r="226359" spans="21:21" x14ac:dyDescent="0.3">
      <c r="U226359" s="25"/>
    </row>
    <row r="226381" spans="21:21" x14ac:dyDescent="0.3">
      <c r="U226381" s="25"/>
    </row>
    <row r="226403" spans="21:21" x14ac:dyDescent="0.3">
      <c r="U226403" s="25"/>
    </row>
    <row r="226425" spans="21:21" x14ac:dyDescent="0.3">
      <c r="U226425" s="25"/>
    </row>
    <row r="226447" spans="21:21" x14ac:dyDescent="0.3">
      <c r="U226447" s="25"/>
    </row>
    <row r="226469" spans="21:21" x14ac:dyDescent="0.3">
      <c r="U226469" s="25"/>
    </row>
    <row r="226491" spans="21:21" x14ac:dyDescent="0.3">
      <c r="U226491" s="25"/>
    </row>
    <row r="226513" spans="21:21" x14ac:dyDescent="0.3">
      <c r="U226513" s="25"/>
    </row>
    <row r="226535" spans="21:21" x14ac:dyDescent="0.3">
      <c r="U226535" s="25"/>
    </row>
    <row r="226557" spans="21:21" x14ac:dyDescent="0.3">
      <c r="U226557" s="25"/>
    </row>
    <row r="226579" spans="21:21" x14ac:dyDescent="0.3">
      <c r="U226579" s="25"/>
    </row>
    <row r="226601" spans="21:21" x14ac:dyDescent="0.3">
      <c r="U226601" s="25"/>
    </row>
    <row r="226623" spans="21:21" x14ac:dyDescent="0.3">
      <c r="U226623" s="25"/>
    </row>
    <row r="226645" spans="21:21" x14ac:dyDescent="0.3">
      <c r="U226645" s="25"/>
    </row>
    <row r="226667" spans="21:21" x14ac:dyDescent="0.3">
      <c r="U226667" s="25"/>
    </row>
    <row r="226689" spans="21:21" x14ac:dyDescent="0.3">
      <c r="U226689" s="25"/>
    </row>
    <row r="226711" spans="21:21" x14ac:dyDescent="0.3">
      <c r="U226711" s="25"/>
    </row>
    <row r="226733" spans="21:21" x14ac:dyDescent="0.3">
      <c r="U226733" s="25"/>
    </row>
    <row r="226755" spans="21:21" x14ac:dyDescent="0.3">
      <c r="U226755" s="25"/>
    </row>
    <row r="226777" spans="21:21" x14ac:dyDescent="0.3">
      <c r="U226777" s="25"/>
    </row>
    <row r="226799" spans="21:21" x14ac:dyDescent="0.3">
      <c r="U226799" s="25"/>
    </row>
    <row r="226821" spans="21:21" x14ac:dyDescent="0.3">
      <c r="U226821" s="25"/>
    </row>
    <row r="226843" spans="21:21" x14ac:dyDescent="0.3">
      <c r="U226843" s="25"/>
    </row>
    <row r="226865" spans="21:21" x14ac:dyDescent="0.3">
      <c r="U226865" s="25"/>
    </row>
    <row r="226887" spans="21:21" x14ac:dyDescent="0.3">
      <c r="U226887" s="25"/>
    </row>
    <row r="226909" spans="21:21" x14ac:dyDescent="0.3">
      <c r="U226909" s="25"/>
    </row>
    <row r="226931" spans="21:21" x14ac:dyDescent="0.3">
      <c r="U226931" s="25"/>
    </row>
    <row r="226953" spans="21:21" x14ac:dyDescent="0.3">
      <c r="U226953" s="25"/>
    </row>
    <row r="226975" spans="21:21" x14ac:dyDescent="0.3">
      <c r="U226975" s="25"/>
    </row>
    <row r="226997" spans="21:21" x14ac:dyDescent="0.3">
      <c r="U226997" s="25"/>
    </row>
    <row r="227019" spans="21:21" x14ac:dyDescent="0.3">
      <c r="U227019" s="25"/>
    </row>
    <row r="227041" spans="21:21" x14ac:dyDescent="0.3">
      <c r="U227041" s="25"/>
    </row>
    <row r="227063" spans="21:21" x14ac:dyDescent="0.3">
      <c r="U227063" s="25"/>
    </row>
    <row r="227085" spans="21:21" x14ac:dyDescent="0.3">
      <c r="U227085" s="25"/>
    </row>
    <row r="227107" spans="21:21" x14ac:dyDescent="0.3">
      <c r="U227107" s="25"/>
    </row>
    <row r="227129" spans="21:21" x14ac:dyDescent="0.3">
      <c r="U227129" s="25"/>
    </row>
    <row r="227151" spans="21:21" x14ac:dyDescent="0.3">
      <c r="U227151" s="25"/>
    </row>
    <row r="227173" spans="21:21" x14ac:dyDescent="0.3">
      <c r="U227173" s="25"/>
    </row>
    <row r="227195" spans="21:21" x14ac:dyDescent="0.3">
      <c r="U227195" s="25"/>
    </row>
    <row r="227217" spans="21:21" x14ac:dyDescent="0.3">
      <c r="U227217" s="25"/>
    </row>
    <row r="227239" spans="21:21" x14ac:dyDescent="0.3">
      <c r="U227239" s="25"/>
    </row>
    <row r="227261" spans="21:21" x14ac:dyDescent="0.3">
      <c r="U227261" s="25"/>
    </row>
    <row r="227283" spans="21:21" x14ac:dyDescent="0.3">
      <c r="U227283" s="25"/>
    </row>
    <row r="227305" spans="21:21" x14ac:dyDescent="0.3">
      <c r="U227305" s="25"/>
    </row>
    <row r="227327" spans="21:21" x14ac:dyDescent="0.3">
      <c r="U227327" s="25"/>
    </row>
    <row r="227349" spans="21:21" x14ac:dyDescent="0.3">
      <c r="U227349" s="25"/>
    </row>
    <row r="227371" spans="21:21" x14ac:dyDescent="0.3">
      <c r="U227371" s="25"/>
    </row>
    <row r="227393" spans="21:21" x14ac:dyDescent="0.3">
      <c r="U227393" s="25"/>
    </row>
    <row r="227415" spans="21:21" x14ac:dyDescent="0.3">
      <c r="U227415" s="25"/>
    </row>
    <row r="227437" spans="21:21" x14ac:dyDescent="0.3">
      <c r="U227437" s="25"/>
    </row>
    <row r="227459" spans="21:21" x14ac:dyDescent="0.3">
      <c r="U227459" s="25"/>
    </row>
    <row r="227481" spans="21:21" x14ac:dyDescent="0.3">
      <c r="U227481" s="25"/>
    </row>
    <row r="227503" spans="21:21" x14ac:dyDescent="0.3">
      <c r="U227503" s="25"/>
    </row>
    <row r="227525" spans="21:21" x14ac:dyDescent="0.3">
      <c r="U227525" s="25"/>
    </row>
    <row r="227547" spans="21:21" x14ac:dyDescent="0.3">
      <c r="U227547" s="25"/>
    </row>
    <row r="227569" spans="21:21" x14ac:dyDescent="0.3">
      <c r="U227569" s="25"/>
    </row>
    <row r="227591" spans="21:21" x14ac:dyDescent="0.3">
      <c r="U227591" s="25"/>
    </row>
    <row r="227613" spans="21:21" x14ac:dyDescent="0.3">
      <c r="U227613" s="25"/>
    </row>
    <row r="227635" spans="21:21" x14ac:dyDescent="0.3">
      <c r="U227635" s="25"/>
    </row>
    <row r="227657" spans="21:21" x14ac:dyDescent="0.3">
      <c r="U227657" s="25"/>
    </row>
    <row r="227679" spans="21:21" x14ac:dyDescent="0.3">
      <c r="U227679" s="25"/>
    </row>
    <row r="227701" spans="21:21" x14ac:dyDescent="0.3">
      <c r="U227701" s="25"/>
    </row>
    <row r="227723" spans="21:21" x14ac:dyDescent="0.3">
      <c r="U227723" s="25"/>
    </row>
    <row r="227745" spans="21:21" x14ac:dyDescent="0.3">
      <c r="U227745" s="25"/>
    </row>
    <row r="227767" spans="21:21" x14ac:dyDescent="0.3">
      <c r="U227767" s="25"/>
    </row>
    <row r="227789" spans="21:21" x14ac:dyDescent="0.3">
      <c r="U227789" s="25"/>
    </row>
    <row r="227811" spans="21:21" x14ac:dyDescent="0.3">
      <c r="U227811" s="25"/>
    </row>
    <row r="227833" spans="21:21" x14ac:dyDescent="0.3">
      <c r="U227833" s="25"/>
    </row>
    <row r="227855" spans="21:21" x14ac:dyDescent="0.3">
      <c r="U227855" s="25"/>
    </row>
    <row r="227877" spans="21:21" x14ac:dyDescent="0.3">
      <c r="U227877" s="25"/>
    </row>
    <row r="227899" spans="21:21" x14ac:dyDescent="0.3">
      <c r="U227899" s="25"/>
    </row>
    <row r="227921" spans="21:21" x14ac:dyDescent="0.3">
      <c r="U227921" s="25"/>
    </row>
    <row r="227943" spans="21:21" x14ac:dyDescent="0.3">
      <c r="U227943" s="25"/>
    </row>
    <row r="227965" spans="21:21" x14ac:dyDescent="0.3">
      <c r="U227965" s="25"/>
    </row>
    <row r="227987" spans="21:21" x14ac:dyDescent="0.3">
      <c r="U227987" s="25"/>
    </row>
    <row r="228009" spans="21:21" x14ac:dyDescent="0.3">
      <c r="U228009" s="25"/>
    </row>
    <row r="228031" spans="21:21" x14ac:dyDescent="0.3">
      <c r="U228031" s="25"/>
    </row>
    <row r="228053" spans="21:21" x14ac:dyDescent="0.3">
      <c r="U228053" s="25"/>
    </row>
    <row r="228075" spans="21:21" x14ac:dyDescent="0.3">
      <c r="U228075" s="25"/>
    </row>
    <row r="228097" spans="21:21" x14ac:dyDescent="0.3">
      <c r="U228097" s="25"/>
    </row>
    <row r="228119" spans="21:21" x14ac:dyDescent="0.3">
      <c r="U228119" s="25"/>
    </row>
    <row r="228141" spans="21:21" x14ac:dyDescent="0.3">
      <c r="U228141" s="25"/>
    </row>
    <row r="228163" spans="21:21" x14ac:dyDescent="0.3">
      <c r="U228163" s="25"/>
    </row>
    <row r="228185" spans="21:21" x14ac:dyDescent="0.3">
      <c r="U228185" s="25"/>
    </row>
    <row r="228207" spans="21:21" x14ac:dyDescent="0.3">
      <c r="U228207" s="25"/>
    </row>
    <row r="228229" spans="21:21" x14ac:dyDescent="0.3">
      <c r="U228229" s="25"/>
    </row>
    <row r="228251" spans="21:21" x14ac:dyDescent="0.3">
      <c r="U228251" s="25"/>
    </row>
    <row r="228273" spans="21:21" x14ac:dyDescent="0.3">
      <c r="U228273" s="25"/>
    </row>
    <row r="228295" spans="21:21" x14ac:dyDescent="0.3">
      <c r="U228295" s="25"/>
    </row>
    <row r="228317" spans="21:21" x14ac:dyDescent="0.3">
      <c r="U228317" s="25"/>
    </row>
    <row r="228339" spans="21:21" x14ac:dyDescent="0.3">
      <c r="U228339" s="25"/>
    </row>
    <row r="228361" spans="21:21" x14ac:dyDescent="0.3">
      <c r="U228361" s="25"/>
    </row>
    <row r="228383" spans="21:21" x14ac:dyDescent="0.3">
      <c r="U228383" s="25"/>
    </row>
    <row r="228405" spans="21:21" x14ac:dyDescent="0.3">
      <c r="U228405" s="25"/>
    </row>
    <row r="228427" spans="21:21" x14ac:dyDescent="0.3">
      <c r="U228427" s="25"/>
    </row>
    <row r="228449" spans="21:21" x14ac:dyDescent="0.3">
      <c r="U228449" s="25"/>
    </row>
    <row r="228471" spans="21:21" x14ac:dyDescent="0.3">
      <c r="U228471" s="25"/>
    </row>
    <row r="228493" spans="21:21" x14ac:dyDescent="0.3">
      <c r="U228493" s="25"/>
    </row>
    <row r="228515" spans="21:21" x14ac:dyDescent="0.3">
      <c r="U228515" s="25"/>
    </row>
    <row r="228537" spans="21:21" x14ac:dyDescent="0.3">
      <c r="U228537" s="25"/>
    </row>
    <row r="228559" spans="21:21" x14ac:dyDescent="0.3">
      <c r="U228559" s="25"/>
    </row>
    <row r="228581" spans="21:21" x14ac:dyDescent="0.3">
      <c r="U228581" s="25"/>
    </row>
    <row r="228603" spans="21:21" x14ac:dyDescent="0.3">
      <c r="U228603" s="25"/>
    </row>
    <row r="228625" spans="21:21" x14ac:dyDescent="0.3">
      <c r="U228625" s="25"/>
    </row>
    <row r="228647" spans="21:21" x14ac:dyDescent="0.3">
      <c r="U228647" s="25"/>
    </row>
    <row r="228669" spans="21:21" x14ac:dyDescent="0.3">
      <c r="U228669" s="25"/>
    </row>
    <row r="228691" spans="21:21" x14ac:dyDescent="0.3">
      <c r="U228691" s="25"/>
    </row>
    <row r="228713" spans="21:21" x14ac:dyDescent="0.3">
      <c r="U228713" s="25"/>
    </row>
    <row r="228735" spans="21:21" x14ac:dyDescent="0.3">
      <c r="U228735" s="25"/>
    </row>
    <row r="228757" spans="21:21" x14ac:dyDescent="0.3">
      <c r="U228757" s="25"/>
    </row>
    <row r="228779" spans="21:21" x14ac:dyDescent="0.3">
      <c r="U228779" s="25"/>
    </row>
    <row r="228801" spans="21:21" x14ac:dyDescent="0.3">
      <c r="U228801" s="25"/>
    </row>
    <row r="228823" spans="21:21" x14ac:dyDescent="0.3">
      <c r="U228823" s="25"/>
    </row>
    <row r="228845" spans="21:21" x14ac:dyDescent="0.3">
      <c r="U228845" s="25"/>
    </row>
    <row r="228867" spans="21:21" x14ac:dyDescent="0.3">
      <c r="U228867" s="25"/>
    </row>
    <row r="228889" spans="21:21" x14ac:dyDescent="0.3">
      <c r="U228889" s="25"/>
    </row>
    <row r="228911" spans="21:21" x14ac:dyDescent="0.3">
      <c r="U228911" s="25"/>
    </row>
    <row r="228933" spans="21:21" x14ac:dyDescent="0.3">
      <c r="U228933" s="25"/>
    </row>
    <row r="228955" spans="21:21" x14ac:dyDescent="0.3">
      <c r="U228955" s="25"/>
    </row>
    <row r="228977" spans="21:21" x14ac:dyDescent="0.3">
      <c r="U228977" s="25"/>
    </row>
    <row r="228999" spans="21:21" x14ac:dyDescent="0.3">
      <c r="U228999" s="25"/>
    </row>
    <row r="229021" spans="21:21" x14ac:dyDescent="0.3">
      <c r="U229021" s="25"/>
    </row>
    <row r="229043" spans="21:21" x14ac:dyDescent="0.3">
      <c r="U229043" s="25"/>
    </row>
    <row r="229065" spans="21:21" x14ac:dyDescent="0.3">
      <c r="U229065" s="25"/>
    </row>
    <row r="229087" spans="21:21" x14ac:dyDescent="0.3">
      <c r="U229087" s="25"/>
    </row>
    <row r="229109" spans="21:21" x14ac:dyDescent="0.3">
      <c r="U229109" s="25"/>
    </row>
    <row r="229131" spans="21:21" x14ac:dyDescent="0.3">
      <c r="U229131" s="25"/>
    </row>
    <row r="229153" spans="21:21" x14ac:dyDescent="0.3">
      <c r="U229153" s="25"/>
    </row>
    <row r="229175" spans="21:21" x14ac:dyDescent="0.3">
      <c r="U229175" s="25"/>
    </row>
    <row r="229197" spans="21:21" x14ac:dyDescent="0.3">
      <c r="U229197" s="25"/>
    </row>
    <row r="229219" spans="21:21" x14ac:dyDescent="0.3">
      <c r="U229219" s="25"/>
    </row>
    <row r="229241" spans="21:21" x14ac:dyDescent="0.3">
      <c r="U229241" s="25"/>
    </row>
    <row r="229263" spans="21:21" x14ac:dyDescent="0.3">
      <c r="U229263" s="25"/>
    </row>
    <row r="229285" spans="21:21" x14ac:dyDescent="0.3">
      <c r="U229285" s="25"/>
    </row>
    <row r="229307" spans="21:21" x14ac:dyDescent="0.3">
      <c r="U229307" s="25"/>
    </row>
    <row r="229329" spans="21:21" x14ac:dyDescent="0.3">
      <c r="U229329" s="25"/>
    </row>
    <row r="229351" spans="21:21" x14ac:dyDescent="0.3">
      <c r="U229351" s="25"/>
    </row>
    <row r="229373" spans="21:21" x14ac:dyDescent="0.3">
      <c r="U229373" s="25"/>
    </row>
    <row r="229395" spans="21:21" x14ac:dyDescent="0.3">
      <c r="U229395" s="25"/>
    </row>
    <row r="229417" spans="21:21" x14ac:dyDescent="0.3">
      <c r="U229417" s="25"/>
    </row>
    <row r="229439" spans="21:21" x14ac:dyDescent="0.3">
      <c r="U229439" s="25"/>
    </row>
    <row r="229461" spans="21:21" x14ac:dyDescent="0.3">
      <c r="U229461" s="25"/>
    </row>
    <row r="229483" spans="21:21" x14ac:dyDescent="0.3">
      <c r="U229483" s="25"/>
    </row>
    <row r="229505" spans="21:21" x14ac:dyDescent="0.3">
      <c r="U229505" s="25"/>
    </row>
    <row r="229527" spans="21:21" x14ac:dyDescent="0.3">
      <c r="U229527" s="25"/>
    </row>
    <row r="229549" spans="21:21" x14ac:dyDescent="0.3">
      <c r="U229549" s="25"/>
    </row>
    <row r="229571" spans="21:21" x14ac:dyDescent="0.3">
      <c r="U229571" s="25"/>
    </row>
    <row r="229593" spans="21:21" x14ac:dyDescent="0.3">
      <c r="U229593" s="25"/>
    </row>
    <row r="229615" spans="21:21" x14ac:dyDescent="0.3">
      <c r="U229615" s="25"/>
    </row>
    <row r="229637" spans="21:21" x14ac:dyDescent="0.3">
      <c r="U229637" s="25"/>
    </row>
    <row r="229659" spans="21:21" x14ac:dyDescent="0.3">
      <c r="U229659" s="25"/>
    </row>
    <row r="229681" spans="21:21" x14ac:dyDescent="0.3">
      <c r="U229681" s="25"/>
    </row>
    <row r="229703" spans="21:21" x14ac:dyDescent="0.3">
      <c r="U229703" s="25"/>
    </row>
    <row r="229725" spans="21:21" x14ac:dyDescent="0.3">
      <c r="U229725" s="25"/>
    </row>
    <row r="229747" spans="21:21" x14ac:dyDescent="0.3">
      <c r="U229747" s="25"/>
    </row>
    <row r="229769" spans="21:21" x14ac:dyDescent="0.3">
      <c r="U229769" s="25"/>
    </row>
    <row r="229791" spans="21:21" x14ac:dyDescent="0.3">
      <c r="U229791" s="25"/>
    </row>
    <row r="229813" spans="21:21" x14ac:dyDescent="0.3">
      <c r="U229813" s="25"/>
    </row>
    <row r="229835" spans="21:21" x14ac:dyDescent="0.3">
      <c r="U229835" s="25"/>
    </row>
    <row r="229857" spans="21:21" x14ac:dyDescent="0.3">
      <c r="U229857" s="25"/>
    </row>
    <row r="229879" spans="21:21" x14ac:dyDescent="0.3">
      <c r="U229879" s="25"/>
    </row>
    <row r="229901" spans="21:21" x14ac:dyDescent="0.3">
      <c r="U229901" s="25"/>
    </row>
    <row r="229923" spans="21:21" x14ac:dyDescent="0.3">
      <c r="U229923" s="25"/>
    </row>
    <row r="229945" spans="21:21" x14ac:dyDescent="0.3">
      <c r="U229945" s="25"/>
    </row>
    <row r="229967" spans="21:21" x14ac:dyDescent="0.3">
      <c r="U229967" s="25"/>
    </row>
    <row r="229989" spans="21:21" x14ac:dyDescent="0.3">
      <c r="U229989" s="25"/>
    </row>
    <row r="230011" spans="21:21" x14ac:dyDescent="0.3">
      <c r="U230011" s="25"/>
    </row>
    <row r="230033" spans="21:21" x14ac:dyDescent="0.3">
      <c r="U230033" s="25"/>
    </row>
    <row r="230055" spans="21:21" x14ac:dyDescent="0.3">
      <c r="U230055" s="25"/>
    </row>
    <row r="230077" spans="21:21" x14ac:dyDescent="0.3">
      <c r="U230077" s="25"/>
    </row>
    <row r="230099" spans="21:21" x14ac:dyDescent="0.3">
      <c r="U230099" s="25"/>
    </row>
    <row r="230121" spans="21:21" x14ac:dyDescent="0.3">
      <c r="U230121" s="25"/>
    </row>
    <row r="230143" spans="21:21" x14ac:dyDescent="0.3">
      <c r="U230143" s="25"/>
    </row>
    <row r="230165" spans="21:21" x14ac:dyDescent="0.3">
      <c r="U230165" s="25"/>
    </row>
    <row r="230187" spans="21:21" x14ac:dyDescent="0.3">
      <c r="U230187" s="25"/>
    </row>
    <row r="230209" spans="21:21" x14ac:dyDescent="0.3">
      <c r="U230209" s="25"/>
    </row>
    <row r="230231" spans="21:21" x14ac:dyDescent="0.3">
      <c r="U230231" s="25"/>
    </row>
    <row r="230253" spans="21:21" x14ac:dyDescent="0.3">
      <c r="U230253" s="25"/>
    </row>
    <row r="230275" spans="21:21" x14ac:dyDescent="0.3">
      <c r="U230275" s="25"/>
    </row>
    <row r="230297" spans="21:21" x14ac:dyDescent="0.3">
      <c r="U230297" s="25"/>
    </row>
    <row r="230319" spans="21:21" x14ac:dyDescent="0.3">
      <c r="U230319" s="25"/>
    </row>
    <row r="230341" spans="21:21" x14ac:dyDescent="0.3">
      <c r="U230341" s="25"/>
    </row>
    <row r="230363" spans="21:21" x14ac:dyDescent="0.3">
      <c r="U230363" s="25"/>
    </row>
    <row r="230385" spans="21:21" x14ac:dyDescent="0.3">
      <c r="U230385" s="25"/>
    </row>
    <row r="230407" spans="21:21" x14ac:dyDescent="0.3">
      <c r="U230407" s="25"/>
    </row>
    <row r="230429" spans="21:21" x14ac:dyDescent="0.3">
      <c r="U230429" s="25"/>
    </row>
    <row r="230451" spans="21:21" x14ac:dyDescent="0.3">
      <c r="U230451" s="25"/>
    </row>
    <row r="230473" spans="21:21" x14ac:dyDescent="0.3">
      <c r="U230473" s="25"/>
    </row>
    <row r="230495" spans="21:21" x14ac:dyDescent="0.3">
      <c r="U230495" s="25"/>
    </row>
    <row r="230517" spans="21:21" x14ac:dyDescent="0.3">
      <c r="U230517" s="25"/>
    </row>
    <row r="230539" spans="21:21" x14ac:dyDescent="0.3">
      <c r="U230539" s="25"/>
    </row>
    <row r="230561" spans="21:21" x14ac:dyDescent="0.3">
      <c r="U230561" s="25"/>
    </row>
    <row r="230583" spans="21:21" x14ac:dyDescent="0.3">
      <c r="U230583" s="25"/>
    </row>
    <row r="230605" spans="21:21" x14ac:dyDescent="0.3">
      <c r="U230605" s="25"/>
    </row>
    <row r="230627" spans="21:21" x14ac:dyDescent="0.3">
      <c r="U230627" s="25"/>
    </row>
    <row r="230649" spans="21:21" x14ac:dyDescent="0.3">
      <c r="U230649" s="25"/>
    </row>
    <row r="230671" spans="21:21" x14ac:dyDescent="0.3">
      <c r="U230671" s="25"/>
    </row>
    <row r="230693" spans="21:21" x14ac:dyDescent="0.3">
      <c r="U230693" s="25"/>
    </row>
    <row r="230715" spans="21:21" x14ac:dyDescent="0.3">
      <c r="U230715" s="25"/>
    </row>
    <row r="230737" spans="21:21" x14ac:dyDescent="0.3">
      <c r="U230737" s="25"/>
    </row>
    <row r="230759" spans="21:21" x14ac:dyDescent="0.3">
      <c r="U230759" s="25"/>
    </row>
    <row r="230781" spans="21:21" x14ac:dyDescent="0.3">
      <c r="U230781" s="25"/>
    </row>
    <row r="230803" spans="21:21" x14ac:dyDescent="0.3">
      <c r="U230803" s="25"/>
    </row>
    <row r="230825" spans="21:21" x14ac:dyDescent="0.3">
      <c r="U230825" s="25"/>
    </row>
    <row r="230847" spans="21:21" x14ac:dyDescent="0.3">
      <c r="U230847" s="25"/>
    </row>
    <row r="230869" spans="21:21" x14ac:dyDescent="0.3">
      <c r="U230869" s="25"/>
    </row>
    <row r="230891" spans="21:21" x14ac:dyDescent="0.3">
      <c r="U230891" s="25"/>
    </row>
    <row r="230913" spans="21:21" x14ac:dyDescent="0.3">
      <c r="U230913" s="25"/>
    </row>
    <row r="230935" spans="21:21" x14ac:dyDescent="0.3">
      <c r="U230935" s="25"/>
    </row>
    <row r="230957" spans="21:21" x14ac:dyDescent="0.3">
      <c r="U230957" s="25"/>
    </row>
    <row r="230979" spans="21:21" x14ac:dyDescent="0.3">
      <c r="U230979" s="25"/>
    </row>
    <row r="231001" spans="21:21" x14ac:dyDescent="0.3">
      <c r="U231001" s="25"/>
    </row>
    <row r="231023" spans="21:21" x14ac:dyDescent="0.3">
      <c r="U231023" s="25"/>
    </row>
    <row r="231045" spans="21:21" x14ac:dyDescent="0.3">
      <c r="U231045" s="25"/>
    </row>
    <row r="231067" spans="21:21" x14ac:dyDescent="0.3">
      <c r="U231067" s="25"/>
    </row>
    <row r="231089" spans="21:21" x14ac:dyDescent="0.3">
      <c r="U231089" s="25"/>
    </row>
    <row r="231111" spans="21:21" x14ac:dyDescent="0.3">
      <c r="U231111" s="25"/>
    </row>
    <row r="231133" spans="21:21" x14ac:dyDescent="0.3">
      <c r="U231133" s="25"/>
    </row>
    <row r="231155" spans="21:21" x14ac:dyDescent="0.3">
      <c r="U231155" s="25"/>
    </row>
    <row r="231177" spans="21:21" x14ac:dyDescent="0.3">
      <c r="U231177" s="25"/>
    </row>
    <row r="231199" spans="21:21" x14ac:dyDescent="0.3">
      <c r="U231199" s="25"/>
    </row>
    <row r="231221" spans="21:21" x14ac:dyDescent="0.3">
      <c r="U231221" s="25"/>
    </row>
    <row r="231243" spans="21:21" x14ac:dyDescent="0.3">
      <c r="U231243" s="25"/>
    </row>
    <row r="231265" spans="21:21" x14ac:dyDescent="0.3">
      <c r="U231265" s="25"/>
    </row>
    <row r="231287" spans="21:21" x14ac:dyDescent="0.3">
      <c r="U231287" s="25"/>
    </row>
    <row r="231309" spans="21:21" x14ac:dyDescent="0.3">
      <c r="U231309" s="25"/>
    </row>
    <row r="231331" spans="21:21" x14ac:dyDescent="0.3">
      <c r="U231331" s="25"/>
    </row>
    <row r="231353" spans="21:21" x14ac:dyDescent="0.3">
      <c r="U231353" s="25"/>
    </row>
    <row r="231375" spans="21:21" x14ac:dyDescent="0.3">
      <c r="U231375" s="25"/>
    </row>
    <row r="231397" spans="21:21" x14ac:dyDescent="0.3">
      <c r="U231397" s="25"/>
    </row>
    <row r="231419" spans="21:21" x14ac:dyDescent="0.3">
      <c r="U231419" s="25"/>
    </row>
    <row r="231441" spans="21:21" x14ac:dyDescent="0.3">
      <c r="U231441" s="25"/>
    </row>
    <row r="231463" spans="21:21" x14ac:dyDescent="0.3">
      <c r="U231463" s="25"/>
    </row>
    <row r="231485" spans="21:21" x14ac:dyDescent="0.3">
      <c r="U231485" s="25"/>
    </row>
    <row r="231507" spans="21:21" x14ac:dyDescent="0.3">
      <c r="U231507" s="25"/>
    </row>
    <row r="231529" spans="21:21" x14ac:dyDescent="0.3">
      <c r="U231529" s="25"/>
    </row>
    <row r="231551" spans="21:21" x14ac:dyDescent="0.3">
      <c r="U231551" s="25"/>
    </row>
    <row r="231573" spans="21:21" x14ac:dyDescent="0.3">
      <c r="U231573" s="25"/>
    </row>
    <row r="231595" spans="21:21" x14ac:dyDescent="0.3">
      <c r="U231595" s="25"/>
    </row>
    <row r="231617" spans="21:21" x14ac:dyDescent="0.3">
      <c r="U231617" s="25"/>
    </row>
    <row r="231639" spans="21:21" x14ac:dyDescent="0.3">
      <c r="U231639" s="25"/>
    </row>
    <row r="231661" spans="21:21" x14ac:dyDescent="0.3">
      <c r="U231661" s="25"/>
    </row>
    <row r="231683" spans="21:21" x14ac:dyDescent="0.3">
      <c r="U231683" s="25"/>
    </row>
    <row r="231705" spans="21:21" x14ac:dyDescent="0.3">
      <c r="U231705" s="25"/>
    </row>
    <row r="231727" spans="21:21" x14ac:dyDescent="0.3">
      <c r="U231727" s="25"/>
    </row>
    <row r="231749" spans="21:21" x14ac:dyDescent="0.3">
      <c r="U231749" s="25"/>
    </row>
    <row r="231771" spans="21:21" x14ac:dyDescent="0.3">
      <c r="U231771" s="25"/>
    </row>
    <row r="231793" spans="21:21" x14ac:dyDescent="0.3">
      <c r="U231793" s="25"/>
    </row>
    <row r="231815" spans="21:21" x14ac:dyDescent="0.3">
      <c r="U231815" s="25"/>
    </row>
    <row r="231837" spans="21:21" x14ac:dyDescent="0.3">
      <c r="U231837" s="25"/>
    </row>
    <row r="231859" spans="21:21" x14ac:dyDescent="0.3">
      <c r="U231859" s="25"/>
    </row>
    <row r="231881" spans="21:21" x14ac:dyDescent="0.3">
      <c r="U231881" s="25"/>
    </row>
    <row r="231903" spans="21:21" x14ac:dyDescent="0.3">
      <c r="U231903" s="25"/>
    </row>
    <row r="231925" spans="21:21" x14ac:dyDescent="0.3">
      <c r="U231925" s="25"/>
    </row>
    <row r="231947" spans="21:21" x14ac:dyDescent="0.3">
      <c r="U231947" s="25"/>
    </row>
    <row r="231969" spans="21:21" x14ac:dyDescent="0.3">
      <c r="U231969" s="25"/>
    </row>
    <row r="231991" spans="21:21" x14ac:dyDescent="0.3">
      <c r="U231991" s="25"/>
    </row>
    <row r="232013" spans="21:21" x14ac:dyDescent="0.3">
      <c r="U232013" s="25"/>
    </row>
    <row r="232035" spans="21:21" x14ac:dyDescent="0.3">
      <c r="U232035" s="25"/>
    </row>
    <row r="232057" spans="21:21" x14ac:dyDescent="0.3">
      <c r="U232057" s="25"/>
    </row>
    <row r="232079" spans="21:21" x14ac:dyDescent="0.3">
      <c r="U232079" s="25"/>
    </row>
    <row r="232101" spans="21:21" x14ac:dyDescent="0.3">
      <c r="U232101" s="25"/>
    </row>
    <row r="232123" spans="21:21" x14ac:dyDescent="0.3">
      <c r="U232123" s="25"/>
    </row>
    <row r="232145" spans="21:21" x14ac:dyDescent="0.3">
      <c r="U232145" s="25"/>
    </row>
    <row r="232167" spans="21:21" x14ac:dyDescent="0.3">
      <c r="U232167" s="25"/>
    </row>
    <row r="232189" spans="21:21" x14ac:dyDescent="0.3">
      <c r="U232189" s="25"/>
    </row>
    <row r="232211" spans="21:21" x14ac:dyDescent="0.3">
      <c r="U232211" s="25"/>
    </row>
    <row r="232233" spans="21:21" x14ac:dyDescent="0.3">
      <c r="U232233" s="25"/>
    </row>
    <row r="232255" spans="21:21" x14ac:dyDescent="0.3">
      <c r="U232255" s="25"/>
    </row>
    <row r="232277" spans="21:21" x14ac:dyDescent="0.3">
      <c r="U232277" s="25"/>
    </row>
    <row r="232299" spans="21:21" x14ac:dyDescent="0.3">
      <c r="U232299" s="25"/>
    </row>
    <row r="232321" spans="21:21" x14ac:dyDescent="0.3">
      <c r="U232321" s="25"/>
    </row>
    <row r="232343" spans="21:21" x14ac:dyDescent="0.3">
      <c r="U232343" s="25"/>
    </row>
    <row r="232365" spans="21:21" x14ac:dyDescent="0.3">
      <c r="U232365" s="25"/>
    </row>
    <row r="232387" spans="21:21" x14ac:dyDescent="0.3">
      <c r="U232387" s="25"/>
    </row>
    <row r="232409" spans="21:21" x14ac:dyDescent="0.3">
      <c r="U232409" s="25"/>
    </row>
    <row r="232431" spans="21:21" x14ac:dyDescent="0.3">
      <c r="U232431" s="25"/>
    </row>
    <row r="232453" spans="21:21" x14ac:dyDescent="0.3">
      <c r="U232453" s="25"/>
    </row>
    <row r="232475" spans="21:21" x14ac:dyDescent="0.3">
      <c r="U232475" s="25"/>
    </row>
    <row r="232497" spans="21:21" x14ac:dyDescent="0.3">
      <c r="U232497" s="25"/>
    </row>
    <row r="232519" spans="21:21" x14ac:dyDescent="0.3">
      <c r="U232519" s="25"/>
    </row>
    <row r="232541" spans="21:21" x14ac:dyDescent="0.3">
      <c r="U232541" s="25"/>
    </row>
    <row r="232563" spans="21:21" x14ac:dyDescent="0.3">
      <c r="U232563" s="25"/>
    </row>
    <row r="232585" spans="21:21" x14ac:dyDescent="0.3">
      <c r="U232585" s="25"/>
    </row>
    <row r="232607" spans="21:21" x14ac:dyDescent="0.3">
      <c r="U232607" s="25"/>
    </row>
    <row r="232629" spans="21:21" x14ac:dyDescent="0.3">
      <c r="U232629" s="25"/>
    </row>
    <row r="232651" spans="21:21" x14ac:dyDescent="0.3">
      <c r="U232651" s="25"/>
    </row>
    <row r="232673" spans="21:21" x14ac:dyDescent="0.3">
      <c r="U232673" s="25"/>
    </row>
    <row r="232695" spans="21:21" x14ac:dyDescent="0.3">
      <c r="U232695" s="25"/>
    </row>
    <row r="232717" spans="21:21" x14ac:dyDescent="0.3">
      <c r="U232717" s="25"/>
    </row>
    <row r="232739" spans="21:21" x14ac:dyDescent="0.3">
      <c r="U232739" s="25"/>
    </row>
    <row r="232761" spans="21:21" x14ac:dyDescent="0.3">
      <c r="U232761" s="25"/>
    </row>
    <row r="232783" spans="21:21" x14ac:dyDescent="0.3">
      <c r="U232783" s="25"/>
    </row>
    <row r="232805" spans="21:21" x14ac:dyDescent="0.3">
      <c r="U232805" s="25"/>
    </row>
    <row r="232827" spans="21:21" x14ac:dyDescent="0.3">
      <c r="U232827" s="25"/>
    </row>
    <row r="232849" spans="21:21" x14ac:dyDescent="0.3">
      <c r="U232849" s="25"/>
    </row>
    <row r="232871" spans="21:21" x14ac:dyDescent="0.3">
      <c r="U232871" s="25"/>
    </row>
    <row r="232893" spans="21:21" x14ac:dyDescent="0.3">
      <c r="U232893" s="25"/>
    </row>
    <row r="232915" spans="21:21" x14ac:dyDescent="0.3">
      <c r="U232915" s="25"/>
    </row>
    <row r="232937" spans="21:21" x14ac:dyDescent="0.3">
      <c r="U232937" s="25"/>
    </row>
    <row r="232959" spans="21:21" x14ac:dyDescent="0.3">
      <c r="U232959" s="25"/>
    </row>
    <row r="232981" spans="21:21" x14ac:dyDescent="0.3">
      <c r="U232981" s="25"/>
    </row>
    <row r="233003" spans="21:21" x14ac:dyDescent="0.3">
      <c r="U233003" s="25"/>
    </row>
    <row r="233025" spans="21:21" x14ac:dyDescent="0.3">
      <c r="U233025" s="25"/>
    </row>
    <row r="233047" spans="21:21" x14ac:dyDescent="0.3">
      <c r="U233047" s="25"/>
    </row>
    <row r="233069" spans="21:21" x14ac:dyDescent="0.3">
      <c r="U233069" s="25"/>
    </row>
    <row r="233091" spans="21:21" x14ac:dyDescent="0.3">
      <c r="U233091" s="25"/>
    </row>
    <row r="233113" spans="21:21" x14ac:dyDescent="0.3">
      <c r="U233113" s="25"/>
    </row>
    <row r="233135" spans="21:21" x14ac:dyDescent="0.3">
      <c r="U233135" s="25"/>
    </row>
    <row r="233157" spans="21:21" x14ac:dyDescent="0.3">
      <c r="U233157" s="25"/>
    </row>
    <row r="233179" spans="21:21" x14ac:dyDescent="0.3">
      <c r="U233179" s="25"/>
    </row>
    <row r="233201" spans="21:21" x14ac:dyDescent="0.3">
      <c r="U233201" s="25"/>
    </row>
    <row r="233223" spans="21:21" x14ac:dyDescent="0.3">
      <c r="U233223" s="25"/>
    </row>
    <row r="233245" spans="21:21" x14ac:dyDescent="0.3">
      <c r="U233245" s="25"/>
    </row>
    <row r="233267" spans="21:21" x14ac:dyDescent="0.3">
      <c r="U233267" s="25"/>
    </row>
    <row r="233289" spans="21:21" x14ac:dyDescent="0.3">
      <c r="U233289" s="25"/>
    </row>
    <row r="233311" spans="21:21" x14ac:dyDescent="0.3">
      <c r="U233311" s="25"/>
    </row>
    <row r="233333" spans="21:21" x14ac:dyDescent="0.3">
      <c r="U233333" s="25"/>
    </row>
    <row r="233355" spans="21:21" x14ac:dyDescent="0.3">
      <c r="U233355" s="25"/>
    </row>
    <row r="233377" spans="21:21" x14ac:dyDescent="0.3">
      <c r="U233377" s="25"/>
    </row>
    <row r="233399" spans="21:21" x14ac:dyDescent="0.3">
      <c r="U233399" s="25"/>
    </row>
    <row r="233421" spans="21:21" x14ac:dyDescent="0.3">
      <c r="U233421" s="25"/>
    </row>
    <row r="233443" spans="21:21" x14ac:dyDescent="0.3">
      <c r="U233443" s="25"/>
    </row>
    <row r="233465" spans="21:21" x14ac:dyDescent="0.3">
      <c r="U233465" s="25"/>
    </row>
    <row r="233487" spans="21:21" x14ac:dyDescent="0.3">
      <c r="U233487" s="25"/>
    </row>
    <row r="233509" spans="21:21" x14ac:dyDescent="0.3">
      <c r="U233509" s="25"/>
    </row>
    <row r="233531" spans="21:21" x14ac:dyDescent="0.3">
      <c r="U233531" s="25"/>
    </row>
    <row r="233553" spans="21:21" x14ac:dyDescent="0.3">
      <c r="U233553" s="25"/>
    </row>
    <row r="233575" spans="21:21" x14ac:dyDescent="0.3">
      <c r="U233575" s="25"/>
    </row>
    <row r="233597" spans="21:21" x14ac:dyDescent="0.3">
      <c r="U233597" s="25"/>
    </row>
    <row r="233619" spans="21:21" x14ac:dyDescent="0.3">
      <c r="U233619" s="25"/>
    </row>
    <row r="233641" spans="21:21" x14ac:dyDescent="0.3">
      <c r="U233641" s="25"/>
    </row>
    <row r="233663" spans="21:21" x14ac:dyDescent="0.3">
      <c r="U233663" s="25"/>
    </row>
    <row r="233685" spans="21:21" x14ac:dyDescent="0.3">
      <c r="U233685" s="25"/>
    </row>
    <row r="233707" spans="21:21" x14ac:dyDescent="0.3">
      <c r="U233707" s="25"/>
    </row>
    <row r="233729" spans="21:21" x14ac:dyDescent="0.3">
      <c r="U233729" s="25"/>
    </row>
    <row r="233751" spans="21:21" x14ac:dyDescent="0.3">
      <c r="U233751" s="25"/>
    </row>
    <row r="233773" spans="21:21" x14ac:dyDescent="0.3">
      <c r="U233773" s="25"/>
    </row>
    <row r="233795" spans="21:21" x14ac:dyDescent="0.3">
      <c r="U233795" s="25"/>
    </row>
    <row r="233817" spans="21:21" x14ac:dyDescent="0.3">
      <c r="U233817" s="25"/>
    </row>
    <row r="233839" spans="21:21" x14ac:dyDescent="0.3">
      <c r="U233839" s="25"/>
    </row>
    <row r="233861" spans="21:21" x14ac:dyDescent="0.3">
      <c r="U233861" s="25"/>
    </row>
    <row r="233883" spans="21:21" x14ac:dyDescent="0.3">
      <c r="U233883" s="25"/>
    </row>
    <row r="233905" spans="21:21" x14ac:dyDescent="0.3">
      <c r="U233905" s="25"/>
    </row>
    <row r="233927" spans="21:21" x14ac:dyDescent="0.3">
      <c r="U233927" s="25"/>
    </row>
    <row r="233949" spans="21:21" x14ac:dyDescent="0.3">
      <c r="U233949" s="25"/>
    </row>
    <row r="233971" spans="21:21" x14ac:dyDescent="0.3">
      <c r="U233971" s="25"/>
    </row>
    <row r="233993" spans="21:21" x14ac:dyDescent="0.3">
      <c r="U233993" s="25"/>
    </row>
    <row r="234015" spans="21:21" x14ac:dyDescent="0.3">
      <c r="U234015" s="25"/>
    </row>
    <row r="234037" spans="21:21" x14ac:dyDescent="0.3">
      <c r="U234037" s="25"/>
    </row>
    <row r="234059" spans="21:21" x14ac:dyDescent="0.3">
      <c r="U234059" s="25"/>
    </row>
    <row r="234081" spans="21:21" x14ac:dyDescent="0.3">
      <c r="U234081" s="25"/>
    </row>
    <row r="234103" spans="21:21" x14ac:dyDescent="0.3">
      <c r="U234103" s="25"/>
    </row>
    <row r="234125" spans="21:21" x14ac:dyDescent="0.3">
      <c r="U234125" s="25"/>
    </row>
    <row r="234147" spans="21:21" x14ac:dyDescent="0.3">
      <c r="U234147" s="25"/>
    </row>
    <row r="234169" spans="21:21" x14ac:dyDescent="0.3">
      <c r="U234169" s="25"/>
    </row>
    <row r="234191" spans="21:21" x14ac:dyDescent="0.3">
      <c r="U234191" s="25"/>
    </row>
    <row r="234213" spans="21:21" x14ac:dyDescent="0.3">
      <c r="U234213" s="25"/>
    </row>
    <row r="234235" spans="21:21" x14ac:dyDescent="0.3">
      <c r="U234235" s="25"/>
    </row>
    <row r="234257" spans="21:21" x14ac:dyDescent="0.3">
      <c r="U234257" s="25"/>
    </row>
    <row r="234279" spans="21:21" x14ac:dyDescent="0.3">
      <c r="U234279" s="25"/>
    </row>
    <row r="234301" spans="21:21" x14ac:dyDescent="0.3">
      <c r="U234301" s="25"/>
    </row>
    <row r="234323" spans="21:21" x14ac:dyDescent="0.3">
      <c r="U234323" s="25"/>
    </row>
    <row r="234345" spans="21:21" x14ac:dyDescent="0.3">
      <c r="U234345" s="25"/>
    </row>
    <row r="234367" spans="21:21" x14ac:dyDescent="0.3">
      <c r="U234367" s="25"/>
    </row>
    <row r="234389" spans="21:21" x14ac:dyDescent="0.3">
      <c r="U234389" s="25"/>
    </row>
    <row r="234411" spans="21:21" x14ac:dyDescent="0.3">
      <c r="U234411" s="25"/>
    </row>
    <row r="234433" spans="21:21" x14ac:dyDescent="0.3">
      <c r="U234433" s="25"/>
    </row>
    <row r="234455" spans="21:21" x14ac:dyDescent="0.3">
      <c r="U234455" s="25"/>
    </row>
    <row r="234477" spans="21:21" x14ac:dyDescent="0.3">
      <c r="U234477" s="25"/>
    </row>
    <row r="234499" spans="21:21" x14ac:dyDescent="0.3">
      <c r="U234499" s="25"/>
    </row>
    <row r="234521" spans="21:21" x14ac:dyDescent="0.3">
      <c r="U234521" s="25"/>
    </row>
    <row r="234543" spans="21:21" x14ac:dyDescent="0.3">
      <c r="U234543" s="25"/>
    </row>
    <row r="234565" spans="21:21" x14ac:dyDescent="0.3">
      <c r="U234565" s="25"/>
    </row>
    <row r="234587" spans="21:21" x14ac:dyDescent="0.3">
      <c r="U234587" s="25"/>
    </row>
    <row r="234609" spans="21:21" x14ac:dyDescent="0.3">
      <c r="U234609" s="25"/>
    </row>
    <row r="234631" spans="21:21" x14ac:dyDescent="0.3">
      <c r="U234631" s="25"/>
    </row>
    <row r="234653" spans="21:21" x14ac:dyDescent="0.3">
      <c r="U234653" s="25"/>
    </row>
    <row r="234675" spans="21:21" x14ac:dyDescent="0.3">
      <c r="U234675" s="25"/>
    </row>
    <row r="234697" spans="21:21" x14ac:dyDescent="0.3">
      <c r="U234697" s="25"/>
    </row>
    <row r="234719" spans="21:21" x14ac:dyDescent="0.3">
      <c r="U234719" s="25"/>
    </row>
    <row r="234741" spans="21:21" x14ac:dyDescent="0.3">
      <c r="U234741" s="25"/>
    </row>
    <row r="234763" spans="21:21" x14ac:dyDescent="0.3">
      <c r="U234763" s="25"/>
    </row>
    <row r="234785" spans="21:21" x14ac:dyDescent="0.3">
      <c r="U234785" s="25"/>
    </row>
    <row r="234807" spans="21:21" x14ac:dyDescent="0.3">
      <c r="U234807" s="25"/>
    </row>
    <row r="234829" spans="21:21" x14ac:dyDescent="0.3">
      <c r="U234829" s="25"/>
    </row>
    <row r="234851" spans="21:21" x14ac:dyDescent="0.3">
      <c r="U234851" s="25"/>
    </row>
    <row r="234873" spans="21:21" x14ac:dyDescent="0.3">
      <c r="U234873" s="25"/>
    </row>
    <row r="234895" spans="21:21" x14ac:dyDescent="0.3">
      <c r="U234895" s="25"/>
    </row>
    <row r="234917" spans="21:21" x14ac:dyDescent="0.3">
      <c r="U234917" s="25"/>
    </row>
    <row r="234939" spans="21:21" x14ac:dyDescent="0.3">
      <c r="U234939" s="25"/>
    </row>
    <row r="234961" spans="21:21" x14ac:dyDescent="0.3">
      <c r="U234961" s="25"/>
    </row>
    <row r="234983" spans="21:21" x14ac:dyDescent="0.3">
      <c r="U234983" s="25"/>
    </row>
    <row r="235005" spans="21:21" x14ac:dyDescent="0.3">
      <c r="U235005" s="25"/>
    </row>
    <row r="235027" spans="21:21" x14ac:dyDescent="0.3">
      <c r="U235027" s="25"/>
    </row>
    <row r="235049" spans="21:21" x14ac:dyDescent="0.3">
      <c r="U235049" s="25"/>
    </row>
    <row r="235071" spans="21:21" x14ac:dyDescent="0.3">
      <c r="U235071" s="25"/>
    </row>
    <row r="235093" spans="21:21" x14ac:dyDescent="0.3">
      <c r="U235093" s="25"/>
    </row>
    <row r="235115" spans="21:21" x14ac:dyDescent="0.3">
      <c r="U235115" s="25"/>
    </row>
    <row r="235137" spans="21:21" x14ac:dyDescent="0.3">
      <c r="U235137" s="25"/>
    </row>
    <row r="235159" spans="21:21" x14ac:dyDescent="0.3">
      <c r="U235159" s="25"/>
    </row>
    <row r="235181" spans="21:21" x14ac:dyDescent="0.3">
      <c r="U235181" s="25"/>
    </row>
    <row r="235203" spans="21:21" x14ac:dyDescent="0.3">
      <c r="U235203" s="25"/>
    </row>
    <row r="235225" spans="21:21" x14ac:dyDescent="0.3">
      <c r="U235225" s="25"/>
    </row>
    <row r="235247" spans="21:21" x14ac:dyDescent="0.3">
      <c r="U235247" s="25"/>
    </row>
    <row r="235269" spans="21:21" x14ac:dyDescent="0.3">
      <c r="U235269" s="25"/>
    </row>
    <row r="235291" spans="21:21" x14ac:dyDescent="0.3">
      <c r="U235291" s="25"/>
    </row>
    <row r="235313" spans="21:21" x14ac:dyDescent="0.3">
      <c r="U235313" s="25"/>
    </row>
    <row r="235335" spans="21:21" x14ac:dyDescent="0.3">
      <c r="U235335" s="25"/>
    </row>
    <row r="235357" spans="21:21" x14ac:dyDescent="0.3">
      <c r="U235357" s="25"/>
    </row>
    <row r="235379" spans="21:21" x14ac:dyDescent="0.3">
      <c r="U235379" s="25"/>
    </row>
    <row r="235401" spans="21:21" x14ac:dyDescent="0.3">
      <c r="U235401" s="25"/>
    </row>
    <row r="235423" spans="21:21" x14ac:dyDescent="0.3">
      <c r="U235423" s="25"/>
    </row>
    <row r="235445" spans="21:21" x14ac:dyDescent="0.3">
      <c r="U235445" s="25"/>
    </row>
    <row r="235467" spans="21:21" x14ac:dyDescent="0.3">
      <c r="U235467" s="25"/>
    </row>
    <row r="235489" spans="21:21" x14ac:dyDescent="0.3">
      <c r="U235489" s="25"/>
    </row>
    <row r="235511" spans="21:21" x14ac:dyDescent="0.3">
      <c r="U235511" s="25"/>
    </row>
    <row r="235533" spans="21:21" x14ac:dyDescent="0.3">
      <c r="U235533" s="25"/>
    </row>
    <row r="235555" spans="21:21" x14ac:dyDescent="0.3">
      <c r="U235555" s="25"/>
    </row>
    <row r="235577" spans="21:21" x14ac:dyDescent="0.3">
      <c r="U235577" s="25"/>
    </row>
    <row r="235599" spans="21:21" x14ac:dyDescent="0.3">
      <c r="U235599" s="25"/>
    </row>
    <row r="235621" spans="21:21" x14ac:dyDescent="0.3">
      <c r="U235621" s="25"/>
    </row>
    <row r="235643" spans="21:21" x14ac:dyDescent="0.3">
      <c r="U235643" s="25"/>
    </row>
    <row r="235665" spans="21:21" x14ac:dyDescent="0.3">
      <c r="U235665" s="25"/>
    </row>
    <row r="235687" spans="21:21" x14ac:dyDescent="0.3">
      <c r="U235687" s="25"/>
    </row>
    <row r="235709" spans="21:21" x14ac:dyDescent="0.3">
      <c r="U235709" s="25"/>
    </row>
    <row r="235731" spans="21:21" x14ac:dyDescent="0.3">
      <c r="U235731" s="25"/>
    </row>
    <row r="235753" spans="21:21" x14ac:dyDescent="0.3">
      <c r="U235753" s="25"/>
    </row>
    <row r="235775" spans="21:21" x14ac:dyDescent="0.3">
      <c r="U235775" s="25"/>
    </row>
    <row r="235797" spans="21:21" x14ac:dyDescent="0.3">
      <c r="U235797" s="25"/>
    </row>
    <row r="235819" spans="21:21" x14ac:dyDescent="0.3">
      <c r="U235819" s="25"/>
    </row>
    <row r="235841" spans="21:21" x14ac:dyDescent="0.3">
      <c r="U235841" s="25"/>
    </row>
    <row r="235863" spans="21:21" x14ac:dyDescent="0.3">
      <c r="U235863" s="25"/>
    </row>
    <row r="235885" spans="21:21" x14ac:dyDescent="0.3">
      <c r="U235885" s="25"/>
    </row>
    <row r="235907" spans="21:21" x14ac:dyDescent="0.3">
      <c r="U235907" s="25"/>
    </row>
    <row r="235929" spans="21:21" x14ac:dyDescent="0.3">
      <c r="U235929" s="25"/>
    </row>
    <row r="235951" spans="21:21" x14ac:dyDescent="0.3">
      <c r="U235951" s="25"/>
    </row>
    <row r="235973" spans="21:21" x14ac:dyDescent="0.3">
      <c r="U235973" s="25"/>
    </row>
    <row r="235995" spans="21:21" x14ac:dyDescent="0.3">
      <c r="U235995" s="25"/>
    </row>
    <row r="236017" spans="21:21" x14ac:dyDescent="0.3">
      <c r="U236017" s="25"/>
    </row>
    <row r="236039" spans="21:21" x14ac:dyDescent="0.3">
      <c r="U236039" s="25"/>
    </row>
    <row r="236061" spans="21:21" x14ac:dyDescent="0.3">
      <c r="U236061" s="25"/>
    </row>
    <row r="236083" spans="21:21" x14ac:dyDescent="0.3">
      <c r="U236083" s="25"/>
    </row>
    <row r="236105" spans="21:21" x14ac:dyDescent="0.3">
      <c r="U236105" s="25"/>
    </row>
    <row r="236127" spans="21:21" x14ac:dyDescent="0.3">
      <c r="U236127" s="25"/>
    </row>
    <row r="236149" spans="21:21" x14ac:dyDescent="0.3">
      <c r="U236149" s="25"/>
    </row>
    <row r="236171" spans="21:21" x14ac:dyDescent="0.3">
      <c r="U236171" s="25"/>
    </row>
    <row r="236193" spans="21:21" x14ac:dyDescent="0.3">
      <c r="U236193" s="25"/>
    </row>
    <row r="236215" spans="21:21" x14ac:dyDescent="0.3">
      <c r="U236215" s="25"/>
    </row>
    <row r="236237" spans="21:21" x14ac:dyDescent="0.3">
      <c r="U236237" s="25"/>
    </row>
    <row r="236259" spans="21:21" x14ac:dyDescent="0.3">
      <c r="U236259" s="25"/>
    </row>
    <row r="236281" spans="21:21" x14ac:dyDescent="0.3">
      <c r="U236281" s="25"/>
    </row>
    <row r="236303" spans="21:21" x14ac:dyDescent="0.3">
      <c r="U236303" s="25"/>
    </row>
    <row r="236325" spans="21:21" x14ac:dyDescent="0.3">
      <c r="U236325" s="25"/>
    </row>
    <row r="236347" spans="21:21" x14ac:dyDescent="0.3">
      <c r="U236347" s="25"/>
    </row>
    <row r="236369" spans="21:21" x14ac:dyDescent="0.3">
      <c r="U236369" s="25"/>
    </row>
    <row r="236391" spans="21:21" x14ac:dyDescent="0.3">
      <c r="U236391" s="25"/>
    </row>
    <row r="236413" spans="21:21" x14ac:dyDescent="0.3">
      <c r="U236413" s="25"/>
    </row>
    <row r="236435" spans="21:21" x14ac:dyDescent="0.3">
      <c r="U236435" s="25"/>
    </row>
    <row r="236457" spans="21:21" x14ac:dyDescent="0.3">
      <c r="U236457" s="25"/>
    </row>
    <row r="236479" spans="21:21" x14ac:dyDescent="0.3">
      <c r="U236479" s="25"/>
    </row>
    <row r="236501" spans="21:21" x14ac:dyDescent="0.3">
      <c r="U236501" s="25"/>
    </row>
    <row r="236523" spans="21:21" x14ac:dyDescent="0.3">
      <c r="U236523" s="25"/>
    </row>
    <row r="236545" spans="21:21" x14ac:dyDescent="0.3">
      <c r="U236545" s="25"/>
    </row>
    <row r="236567" spans="21:21" x14ac:dyDescent="0.3">
      <c r="U236567" s="25"/>
    </row>
    <row r="236589" spans="21:21" x14ac:dyDescent="0.3">
      <c r="U236589" s="25"/>
    </row>
    <row r="236611" spans="21:21" x14ac:dyDescent="0.3">
      <c r="U236611" s="25"/>
    </row>
    <row r="236633" spans="21:21" x14ac:dyDescent="0.3">
      <c r="U236633" s="25"/>
    </row>
    <row r="236655" spans="21:21" x14ac:dyDescent="0.3">
      <c r="U236655" s="25"/>
    </row>
    <row r="236677" spans="21:21" x14ac:dyDescent="0.3">
      <c r="U236677" s="25"/>
    </row>
    <row r="236699" spans="21:21" x14ac:dyDescent="0.3">
      <c r="U236699" s="25"/>
    </row>
    <row r="236721" spans="21:21" x14ac:dyDescent="0.3">
      <c r="U236721" s="25"/>
    </row>
    <row r="236743" spans="21:21" x14ac:dyDescent="0.3">
      <c r="U236743" s="25"/>
    </row>
    <row r="236765" spans="21:21" x14ac:dyDescent="0.3">
      <c r="U236765" s="25"/>
    </row>
    <row r="236787" spans="21:21" x14ac:dyDescent="0.3">
      <c r="U236787" s="25"/>
    </row>
    <row r="236809" spans="21:21" x14ac:dyDescent="0.3">
      <c r="U236809" s="25"/>
    </row>
    <row r="236831" spans="21:21" x14ac:dyDescent="0.3">
      <c r="U236831" s="25"/>
    </row>
    <row r="236853" spans="21:21" x14ac:dyDescent="0.3">
      <c r="U236853" s="25"/>
    </row>
    <row r="236875" spans="21:21" x14ac:dyDescent="0.3">
      <c r="U236875" s="25"/>
    </row>
    <row r="236897" spans="21:21" x14ac:dyDescent="0.3">
      <c r="U236897" s="25"/>
    </row>
    <row r="236919" spans="21:21" x14ac:dyDescent="0.3">
      <c r="U236919" s="25"/>
    </row>
    <row r="236941" spans="21:21" x14ac:dyDescent="0.3">
      <c r="U236941" s="25"/>
    </row>
    <row r="236963" spans="21:21" x14ac:dyDescent="0.3">
      <c r="U236963" s="25"/>
    </row>
    <row r="236985" spans="21:21" x14ac:dyDescent="0.3">
      <c r="U236985" s="25"/>
    </row>
    <row r="237007" spans="21:21" x14ac:dyDescent="0.3">
      <c r="U237007" s="25"/>
    </row>
    <row r="237029" spans="21:21" x14ac:dyDescent="0.3">
      <c r="U237029" s="25"/>
    </row>
    <row r="237051" spans="21:21" x14ac:dyDescent="0.3">
      <c r="U237051" s="25"/>
    </row>
    <row r="237073" spans="21:21" x14ac:dyDescent="0.3">
      <c r="U237073" s="25"/>
    </row>
    <row r="237095" spans="21:21" x14ac:dyDescent="0.3">
      <c r="U237095" s="25"/>
    </row>
    <row r="237117" spans="21:21" x14ac:dyDescent="0.3">
      <c r="U237117" s="25"/>
    </row>
    <row r="237139" spans="21:21" x14ac:dyDescent="0.3">
      <c r="U237139" s="25"/>
    </row>
    <row r="237161" spans="21:21" x14ac:dyDescent="0.3">
      <c r="U237161" s="25"/>
    </row>
    <row r="237183" spans="21:21" x14ac:dyDescent="0.3">
      <c r="U237183" s="25"/>
    </row>
    <row r="237205" spans="21:21" x14ac:dyDescent="0.3">
      <c r="U237205" s="25"/>
    </row>
    <row r="237227" spans="21:21" x14ac:dyDescent="0.3">
      <c r="U237227" s="25"/>
    </row>
    <row r="237249" spans="21:21" x14ac:dyDescent="0.3">
      <c r="U237249" s="25"/>
    </row>
    <row r="237271" spans="21:21" x14ac:dyDescent="0.3">
      <c r="U237271" s="25"/>
    </row>
    <row r="237293" spans="21:21" x14ac:dyDescent="0.3">
      <c r="U237293" s="25"/>
    </row>
    <row r="237315" spans="21:21" x14ac:dyDescent="0.3">
      <c r="U237315" s="25"/>
    </row>
    <row r="237337" spans="21:21" x14ac:dyDescent="0.3">
      <c r="U237337" s="25"/>
    </row>
    <row r="237359" spans="21:21" x14ac:dyDescent="0.3">
      <c r="U237359" s="25"/>
    </row>
    <row r="237381" spans="21:21" x14ac:dyDescent="0.3">
      <c r="U237381" s="25"/>
    </row>
    <row r="237403" spans="21:21" x14ac:dyDescent="0.3">
      <c r="U237403" s="25"/>
    </row>
    <row r="237425" spans="21:21" x14ac:dyDescent="0.3">
      <c r="U237425" s="25"/>
    </row>
    <row r="237447" spans="21:21" x14ac:dyDescent="0.3">
      <c r="U237447" s="25"/>
    </row>
    <row r="237469" spans="21:21" x14ac:dyDescent="0.3">
      <c r="U237469" s="25"/>
    </row>
    <row r="237491" spans="21:21" x14ac:dyDescent="0.3">
      <c r="U237491" s="25"/>
    </row>
    <row r="237513" spans="21:21" x14ac:dyDescent="0.3">
      <c r="U237513" s="25"/>
    </row>
    <row r="237535" spans="21:21" x14ac:dyDescent="0.3">
      <c r="U237535" s="25"/>
    </row>
    <row r="237557" spans="21:21" x14ac:dyDescent="0.3">
      <c r="U237557" s="25"/>
    </row>
    <row r="237579" spans="21:21" x14ac:dyDescent="0.3">
      <c r="U237579" s="25"/>
    </row>
    <row r="237601" spans="21:21" x14ac:dyDescent="0.3">
      <c r="U237601" s="25"/>
    </row>
    <row r="237623" spans="21:21" x14ac:dyDescent="0.3">
      <c r="U237623" s="25"/>
    </row>
    <row r="237645" spans="21:21" x14ac:dyDescent="0.3">
      <c r="U237645" s="25"/>
    </row>
    <row r="237667" spans="21:21" x14ac:dyDescent="0.3">
      <c r="U237667" s="25"/>
    </row>
    <row r="237689" spans="21:21" x14ac:dyDescent="0.3">
      <c r="U237689" s="25"/>
    </row>
    <row r="237711" spans="21:21" x14ac:dyDescent="0.3">
      <c r="U237711" s="25"/>
    </row>
    <row r="237733" spans="21:21" x14ac:dyDescent="0.3">
      <c r="U237733" s="25"/>
    </row>
    <row r="237755" spans="21:21" x14ac:dyDescent="0.3">
      <c r="U237755" s="25"/>
    </row>
    <row r="237777" spans="21:21" x14ac:dyDescent="0.3">
      <c r="U237777" s="25"/>
    </row>
    <row r="237799" spans="21:21" x14ac:dyDescent="0.3">
      <c r="U237799" s="25"/>
    </row>
    <row r="237821" spans="21:21" x14ac:dyDescent="0.3">
      <c r="U237821" s="25"/>
    </row>
    <row r="237843" spans="21:21" x14ac:dyDescent="0.3">
      <c r="U237843" s="25"/>
    </row>
    <row r="237865" spans="21:21" x14ac:dyDescent="0.3">
      <c r="U237865" s="25"/>
    </row>
    <row r="237887" spans="21:21" x14ac:dyDescent="0.3">
      <c r="U237887" s="25"/>
    </row>
    <row r="237909" spans="21:21" x14ac:dyDescent="0.3">
      <c r="U237909" s="25"/>
    </row>
    <row r="237931" spans="21:21" x14ac:dyDescent="0.3">
      <c r="U237931" s="25"/>
    </row>
    <row r="237953" spans="21:21" x14ac:dyDescent="0.3">
      <c r="U237953" s="25"/>
    </row>
    <row r="237975" spans="21:21" x14ac:dyDescent="0.3">
      <c r="U237975" s="25"/>
    </row>
    <row r="237997" spans="21:21" x14ac:dyDescent="0.3">
      <c r="U237997" s="25"/>
    </row>
    <row r="238019" spans="21:21" x14ac:dyDescent="0.3">
      <c r="U238019" s="25"/>
    </row>
    <row r="238041" spans="21:21" x14ac:dyDescent="0.3">
      <c r="U238041" s="25"/>
    </row>
    <row r="238063" spans="21:21" x14ac:dyDescent="0.3">
      <c r="U238063" s="25"/>
    </row>
    <row r="238085" spans="21:21" x14ac:dyDescent="0.3">
      <c r="U238085" s="25"/>
    </row>
    <row r="238107" spans="21:21" x14ac:dyDescent="0.3">
      <c r="U238107" s="25"/>
    </row>
    <row r="238129" spans="21:21" x14ac:dyDescent="0.3">
      <c r="U238129" s="25"/>
    </row>
    <row r="238151" spans="21:21" x14ac:dyDescent="0.3">
      <c r="U238151" s="25"/>
    </row>
    <row r="238173" spans="21:21" x14ac:dyDescent="0.3">
      <c r="U238173" s="25"/>
    </row>
    <row r="238195" spans="21:21" x14ac:dyDescent="0.3">
      <c r="U238195" s="25"/>
    </row>
    <row r="238217" spans="21:21" x14ac:dyDescent="0.3">
      <c r="U238217" s="25"/>
    </row>
    <row r="238239" spans="21:21" x14ac:dyDescent="0.3">
      <c r="U238239" s="25"/>
    </row>
    <row r="238261" spans="21:21" x14ac:dyDescent="0.3">
      <c r="U238261" s="25"/>
    </row>
    <row r="238283" spans="21:21" x14ac:dyDescent="0.3">
      <c r="U238283" s="25"/>
    </row>
    <row r="238305" spans="21:21" x14ac:dyDescent="0.3">
      <c r="U238305" s="25"/>
    </row>
    <row r="238327" spans="21:21" x14ac:dyDescent="0.3">
      <c r="U238327" s="25"/>
    </row>
    <row r="238349" spans="21:21" x14ac:dyDescent="0.3">
      <c r="U238349" s="25"/>
    </row>
    <row r="238371" spans="21:21" x14ac:dyDescent="0.3">
      <c r="U238371" s="25"/>
    </row>
    <row r="238393" spans="21:21" x14ac:dyDescent="0.3">
      <c r="U238393" s="25"/>
    </row>
    <row r="238415" spans="21:21" x14ac:dyDescent="0.3">
      <c r="U238415" s="25"/>
    </row>
    <row r="238437" spans="21:21" x14ac:dyDescent="0.3">
      <c r="U238437" s="25"/>
    </row>
    <row r="238459" spans="21:21" x14ac:dyDescent="0.3">
      <c r="U238459" s="25"/>
    </row>
    <row r="238481" spans="21:21" x14ac:dyDescent="0.3">
      <c r="U238481" s="25"/>
    </row>
    <row r="238503" spans="21:21" x14ac:dyDescent="0.3">
      <c r="U238503" s="25"/>
    </row>
    <row r="238525" spans="21:21" x14ac:dyDescent="0.3">
      <c r="U238525" s="25"/>
    </row>
    <row r="238547" spans="21:21" x14ac:dyDescent="0.3">
      <c r="U238547" s="25"/>
    </row>
    <row r="238569" spans="21:21" x14ac:dyDescent="0.3">
      <c r="U238569" s="25"/>
    </row>
    <row r="238591" spans="21:21" x14ac:dyDescent="0.3">
      <c r="U238591" s="25"/>
    </row>
    <row r="238613" spans="21:21" x14ac:dyDescent="0.3">
      <c r="U238613" s="25"/>
    </row>
    <row r="238635" spans="21:21" x14ac:dyDescent="0.3">
      <c r="U238635" s="25"/>
    </row>
    <row r="238657" spans="21:21" x14ac:dyDescent="0.3">
      <c r="U238657" s="25"/>
    </row>
    <row r="238679" spans="21:21" x14ac:dyDescent="0.3">
      <c r="U238679" s="25"/>
    </row>
    <row r="238701" spans="21:21" x14ac:dyDescent="0.3">
      <c r="U238701" s="25"/>
    </row>
    <row r="238723" spans="21:21" x14ac:dyDescent="0.3">
      <c r="U238723" s="25"/>
    </row>
    <row r="238745" spans="21:21" x14ac:dyDescent="0.3">
      <c r="U238745" s="25"/>
    </row>
    <row r="238767" spans="21:21" x14ac:dyDescent="0.3">
      <c r="U238767" s="25"/>
    </row>
    <row r="238789" spans="21:21" x14ac:dyDescent="0.3">
      <c r="U238789" s="25"/>
    </row>
    <row r="238811" spans="21:21" x14ac:dyDescent="0.3">
      <c r="U238811" s="25"/>
    </row>
    <row r="238833" spans="21:21" x14ac:dyDescent="0.3">
      <c r="U238833" s="25"/>
    </row>
    <row r="238855" spans="21:21" x14ac:dyDescent="0.3">
      <c r="U238855" s="25"/>
    </row>
    <row r="238877" spans="21:21" x14ac:dyDescent="0.3">
      <c r="U238877" s="25"/>
    </row>
    <row r="238899" spans="21:21" x14ac:dyDescent="0.3">
      <c r="U238899" s="25"/>
    </row>
    <row r="238921" spans="21:21" x14ac:dyDescent="0.3">
      <c r="U238921" s="25"/>
    </row>
    <row r="238943" spans="21:21" x14ac:dyDescent="0.3">
      <c r="U238943" s="25"/>
    </row>
    <row r="238965" spans="21:21" x14ac:dyDescent="0.3">
      <c r="U238965" s="25"/>
    </row>
    <row r="238987" spans="21:21" x14ac:dyDescent="0.3">
      <c r="U238987" s="25"/>
    </row>
    <row r="239009" spans="21:21" x14ac:dyDescent="0.3">
      <c r="U239009" s="25"/>
    </row>
    <row r="239031" spans="21:21" x14ac:dyDescent="0.3">
      <c r="U239031" s="25"/>
    </row>
    <row r="239053" spans="21:21" x14ac:dyDescent="0.3">
      <c r="U239053" s="25"/>
    </row>
    <row r="239075" spans="21:21" x14ac:dyDescent="0.3">
      <c r="U239075" s="25"/>
    </row>
    <row r="239097" spans="21:21" x14ac:dyDescent="0.3">
      <c r="U239097" s="25"/>
    </row>
    <row r="239119" spans="21:21" x14ac:dyDescent="0.3">
      <c r="U239119" s="25"/>
    </row>
    <row r="239141" spans="21:21" x14ac:dyDescent="0.3">
      <c r="U239141" s="25"/>
    </row>
    <row r="239163" spans="21:21" x14ac:dyDescent="0.3">
      <c r="U239163" s="25"/>
    </row>
    <row r="239185" spans="21:21" x14ac:dyDescent="0.3">
      <c r="U239185" s="25"/>
    </row>
    <row r="239207" spans="21:21" x14ac:dyDescent="0.3">
      <c r="U239207" s="25"/>
    </row>
    <row r="239229" spans="21:21" x14ac:dyDescent="0.3">
      <c r="U239229" s="25"/>
    </row>
    <row r="239251" spans="21:21" x14ac:dyDescent="0.3">
      <c r="U239251" s="25"/>
    </row>
    <row r="239273" spans="21:21" x14ac:dyDescent="0.3">
      <c r="U239273" s="25"/>
    </row>
    <row r="239295" spans="21:21" x14ac:dyDescent="0.3">
      <c r="U239295" s="25"/>
    </row>
    <row r="239317" spans="21:21" x14ac:dyDescent="0.3">
      <c r="U239317" s="25"/>
    </row>
    <row r="239339" spans="21:21" x14ac:dyDescent="0.3">
      <c r="U239339" s="25"/>
    </row>
    <row r="239361" spans="21:21" x14ac:dyDescent="0.3">
      <c r="U239361" s="25"/>
    </row>
    <row r="239383" spans="21:21" x14ac:dyDescent="0.3">
      <c r="U239383" s="25"/>
    </row>
    <row r="239405" spans="21:21" x14ac:dyDescent="0.3">
      <c r="U239405" s="25"/>
    </row>
    <row r="239427" spans="21:21" x14ac:dyDescent="0.3">
      <c r="U239427" s="25"/>
    </row>
    <row r="239449" spans="21:21" x14ac:dyDescent="0.3">
      <c r="U239449" s="25"/>
    </row>
    <row r="239471" spans="21:21" x14ac:dyDescent="0.3">
      <c r="U239471" s="25"/>
    </row>
    <row r="239493" spans="21:21" x14ac:dyDescent="0.3">
      <c r="U239493" s="25"/>
    </row>
    <row r="239515" spans="21:21" x14ac:dyDescent="0.3">
      <c r="U239515" s="25"/>
    </row>
    <row r="239537" spans="21:21" x14ac:dyDescent="0.3">
      <c r="U239537" s="25"/>
    </row>
    <row r="239559" spans="21:21" x14ac:dyDescent="0.3">
      <c r="U239559" s="25"/>
    </row>
    <row r="239581" spans="21:21" x14ac:dyDescent="0.3">
      <c r="U239581" s="25"/>
    </row>
    <row r="239603" spans="21:21" x14ac:dyDescent="0.3">
      <c r="U239603" s="25"/>
    </row>
    <row r="239625" spans="21:21" x14ac:dyDescent="0.3">
      <c r="U239625" s="25"/>
    </row>
    <row r="239647" spans="21:21" x14ac:dyDescent="0.3">
      <c r="U239647" s="25"/>
    </row>
    <row r="239669" spans="21:21" x14ac:dyDescent="0.3">
      <c r="U239669" s="25"/>
    </row>
    <row r="239691" spans="21:21" x14ac:dyDescent="0.3">
      <c r="U239691" s="25"/>
    </row>
    <row r="239713" spans="21:21" x14ac:dyDescent="0.3">
      <c r="U239713" s="25"/>
    </row>
    <row r="239735" spans="21:21" x14ac:dyDescent="0.3">
      <c r="U239735" s="25"/>
    </row>
    <row r="239757" spans="21:21" x14ac:dyDescent="0.3">
      <c r="U239757" s="25"/>
    </row>
    <row r="239779" spans="21:21" x14ac:dyDescent="0.3">
      <c r="U239779" s="25"/>
    </row>
    <row r="239801" spans="21:21" x14ac:dyDescent="0.3">
      <c r="U239801" s="25"/>
    </row>
    <row r="239823" spans="21:21" x14ac:dyDescent="0.3">
      <c r="U239823" s="25"/>
    </row>
    <row r="239845" spans="21:21" x14ac:dyDescent="0.3">
      <c r="U239845" s="25"/>
    </row>
    <row r="239867" spans="21:21" x14ac:dyDescent="0.3">
      <c r="U239867" s="25"/>
    </row>
    <row r="239889" spans="21:21" x14ac:dyDescent="0.3">
      <c r="U239889" s="25"/>
    </row>
    <row r="239911" spans="21:21" x14ac:dyDescent="0.3">
      <c r="U239911" s="25"/>
    </row>
    <row r="239933" spans="21:21" x14ac:dyDescent="0.3">
      <c r="U239933" s="25"/>
    </row>
    <row r="239955" spans="21:21" x14ac:dyDescent="0.3">
      <c r="U239955" s="25"/>
    </row>
    <row r="239977" spans="21:21" x14ac:dyDescent="0.3">
      <c r="U239977" s="25"/>
    </row>
    <row r="239999" spans="21:21" x14ac:dyDescent="0.3">
      <c r="U239999" s="25"/>
    </row>
    <row r="240021" spans="21:21" x14ac:dyDescent="0.3">
      <c r="U240021" s="25"/>
    </row>
    <row r="240043" spans="21:21" x14ac:dyDescent="0.3">
      <c r="U240043" s="25"/>
    </row>
    <row r="240065" spans="21:21" x14ac:dyDescent="0.3">
      <c r="U240065" s="25"/>
    </row>
    <row r="240087" spans="21:21" x14ac:dyDescent="0.3">
      <c r="U240087" s="25"/>
    </row>
    <row r="240109" spans="21:21" x14ac:dyDescent="0.3">
      <c r="U240109" s="25"/>
    </row>
    <row r="240131" spans="21:21" x14ac:dyDescent="0.3">
      <c r="U240131" s="25"/>
    </row>
    <row r="240153" spans="21:21" x14ac:dyDescent="0.3">
      <c r="U240153" s="25"/>
    </row>
    <row r="240175" spans="21:21" x14ac:dyDescent="0.3">
      <c r="U240175" s="25"/>
    </row>
    <row r="240197" spans="21:21" x14ac:dyDescent="0.3">
      <c r="U240197" s="25"/>
    </row>
    <row r="240219" spans="21:21" x14ac:dyDescent="0.3">
      <c r="U240219" s="25"/>
    </row>
    <row r="240241" spans="21:21" x14ac:dyDescent="0.3">
      <c r="U240241" s="25"/>
    </row>
    <row r="240263" spans="21:21" x14ac:dyDescent="0.3">
      <c r="U240263" s="25"/>
    </row>
    <row r="240285" spans="21:21" x14ac:dyDescent="0.3">
      <c r="U240285" s="25"/>
    </row>
    <row r="240307" spans="21:21" x14ac:dyDescent="0.3">
      <c r="U240307" s="25"/>
    </row>
    <row r="240329" spans="21:21" x14ac:dyDescent="0.3">
      <c r="U240329" s="25"/>
    </row>
    <row r="240351" spans="21:21" x14ac:dyDescent="0.3">
      <c r="U240351" s="25"/>
    </row>
    <row r="240373" spans="21:21" x14ac:dyDescent="0.3">
      <c r="U240373" s="25"/>
    </row>
    <row r="240395" spans="21:21" x14ac:dyDescent="0.3">
      <c r="U240395" s="25"/>
    </row>
    <row r="240417" spans="21:21" x14ac:dyDescent="0.3">
      <c r="U240417" s="25"/>
    </row>
    <row r="240439" spans="21:21" x14ac:dyDescent="0.3">
      <c r="U240439" s="25"/>
    </row>
    <row r="240461" spans="21:21" x14ac:dyDescent="0.3">
      <c r="U240461" s="25"/>
    </row>
    <row r="240483" spans="21:21" x14ac:dyDescent="0.3">
      <c r="U240483" s="25"/>
    </row>
    <row r="240505" spans="21:21" x14ac:dyDescent="0.3">
      <c r="U240505" s="25"/>
    </row>
    <row r="240527" spans="21:21" x14ac:dyDescent="0.3">
      <c r="U240527" s="25"/>
    </row>
    <row r="240549" spans="21:21" x14ac:dyDescent="0.3">
      <c r="U240549" s="25"/>
    </row>
    <row r="240571" spans="21:21" x14ac:dyDescent="0.3">
      <c r="U240571" s="25"/>
    </row>
    <row r="240593" spans="21:21" x14ac:dyDescent="0.3">
      <c r="U240593" s="25"/>
    </row>
    <row r="240615" spans="21:21" x14ac:dyDescent="0.3">
      <c r="U240615" s="25"/>
    </row>
    <row r="240637" spans="21:21" x14ac:dyDescent="0.3">
      <c r="U240637" s="25"/>
    </row>
    <row r="240659" spans="21:21" x14ac:dyDescent="0.3">
      <c r="U240659" s="25"/>
    </row>
    <row r="240681" spans="21:21" x14ac:dyDescent="0.3">
      <c r="U240681" s="25"/>
    </row>
    <row r="240703" spans="21:21" x14ac:dyDescent="0.3">
      <c r="U240703" s="25"/>
    </row>
    <row r="240725" spans="21:21" x14ac:dyDescent="0.3">
      <c r="U240725" s="25"/>
    </row>
    <row r="240747" spans="21:21" x14ac:dyDescent="0.3">
      <c r="U240747" s="25"/>
    </row>
    <row r="240769" spans="21:21" x14ac:dyDescent="0.3">
      <c r="U240769" s="25"/>
    </row>
    <row r="240791" spans="21:21" x14ac:dyDescent="0.3">
      <c r="U240791" s="25"/>
    </row>
    <row r="240813" spans="21:21" x14ac:dyDescent="0.3">
      <c r="U240813" s="25"/>
    </row>
    <row r="240835" spans="21:21" x14ac:dyDescent="0.3">
      <c r="U240835" s="25"/>
    </row>
    <row r="240857" spans="21:21" x14ac:dyDescent="0.3">
      <c r="U240857" s="25"/>
    </row>
    <row r="240879" spans="21:21" x14ac:dyDescent="0.3">
      <c r="U240879" s="25"/>
    </row>
    <row r="240901" spans="21:21" x14ac:dyDescent="0.3">
      <c r="U240901" s="25"/>
    </row>
    <row r="240923" spans="21:21" x14ac:dyDescent="0.3">
      <c r="U240923" s="25"/>
    </row>
    <row r="240945" spans="21:21" x14ac:dyDescent="0.3">
      <c r="U240945" s="25"/>
    </row>
    <row r="240967" spans="21:21" x14ac:dyDescent="0.3">
      <c r="U240967" s="25"/>
    </row>
    <row r="240989" spans="21:21" x14ac:dyDescent="0.3">
      <c r="U240989" s="25"/>
    </row>
    <row r="241011" spans="21:21" x14ac:dyDescent="0.3">
      <c r="U241011" s="25"/>
    </row>
    <row r="241033" spans="21:21" x14ac:dyDescent="0.3">
      <c r="U241033" s="25"/>
    </row>
    <row r="241055" spans="21:21" x14ac:dyDescent="0.3">
      <c r="U241055" s="25"/>
    </row>
    <row r="241077" spans="21:21" x14ac:dyDescent="0.3">
      <c r="U241077" s="25"/>
    </row>
    <row r="241099" spans="21:21" x14ac:dyDescent="0.3">
      <c r="U241099" s="25"/>
    </row>
    <row r="241121" spans="21:21" x14ac:dyDescent="0.3">
      <c r="U241121" s="25"/>
    </row>
    <row r="241143" spans="21:21" x14ac:dyDescent="0.3">
      <c r="U241143" s="25"/>
    </row>
    <row r="241165" spans="21:21" x14ac:dyDescent="0.3">
      <c r="U241165" s="25"/>
    </row>
    <row r="241187" spans="21:21" x14ac:dyDescent="0.3">
      <c r="U241187" s="25"/>
    </row>
    <row r="241209" spans="21:21" x14ac:dyDescent="0.3">
      <c r="U241209" s="25"/>
    </row>
    <row r="241231" spans="21:21" x14ac:dyDescent="0.3">
      <c r="U241231" s="25"/>
    </row>
    <row r="241253" spans="21:21" x14ac:dyDescent="0.3">
      <c r="U241253" s="25"/>
    </row>
    <row r="241275" spans="21:21" x14ac:dyDescent="0.3">
      <c r="U241275" s="25"/>
    </row>
    <row r="241297" spans="21:21" x14ac:dyDescent="0.3">
      <c r="U241297" s="25"/>
    </row>
    <row r="241319" spans="21:21" x14ac:dyDescent="0.3">
      <c r="U241319" s="25"/>
    </row>
    <row r="241341" spans="21:21" x14ac:dyDescent="0.3">
      <c r="U241341" s="25"/>
    </row>
    <row r="241363" spans="21:21" x14ac:dyDescent="0.3">
      <c r="U241363" s="25"/>
    </row>
    <row r="241385" spans="21:21" x14ac:dyDescent="0.3">
      <c r="U241385" s="25"/>
    </row>
    <row r="241407" spans="21:21" x14ac:dyDescent="0.3">
      <c r="U241407" s="25"/>
    </row>
    <row r="241429" spans="21:21" x14ac:dyDescent="0.3">
      <c r="U241429" s="25"/>
    </row>
    <row r="241451" spans="21:21" x14ac:dyDescent="0.3">
      <c r="U241451" s="25"/>
    </row>
    <row r="241473" spans="21:21" x14ac:dyDescent="0.3">
      <c r="U241473" s="25"/>
    </row>
    <row r="241495" spans="21:21" x14ac:dyDescent="0.3">
      <c r="U241495" s="25"/>
    </row>
    <row r="241517" spans="21:21" x14ac:dyDescent="0.3">
      <c r="U241517" s="25"/>
    </row>
    <row r="241539" spans="21:21" x14ac:dyDescent="0.3">
      <c r="U241539" s="25"/>
    </row>
    <row r="241561" spans="21:21" x14ac:dyDescent="0.3">
      <c r="U241561" s="25"/>
    </row>
    <row r="241583" spans="21:21" x14ac:dyDescent="0.3">
      <c r="U241583" s="25"/>
    </row>
    <row r="241605" spans="21:21" x14ac:dyDescent="0.3">
      <c r="U241605" s="25"/>
    </row>
    <row r="241627" spans="21:21" x14ac:dyDescent="0.3">
      <c r="U241627" s="25"/>
    </row>
    <row r="241649" spans="21:21" x14ac:dyDescent="0.3">
      <c r="U241649" s="25"/>
    </row>
    <row r="241671" spans="21:21" x14ac:dyDescent="0.3">
      <c r="U241671" s="25"/>
    </row>
    <row r="241693" spans="21:21" x14ac:dyDescent="0.3">
      <c r="U241693" s="25"/>
    </row>
    <row r="241715" spans="21:21" x14ac:dyDescent="0.3">
      <c r="U241715" s="25"/>
    </row>
    <row r="241737" spans="21:21" x14ac:dyDescent="0.3">
      <c r="U241737" s="25"/>
    </row>
    <row r="241759" spans="21:21" x14ac:dyDescent="0.3">
      <c r="U241759" s="25"/>
    </row>
    <row r="241781" spans="21:21" x14ac:dyDescent="0.3">
      <c r="U241781" s="25"/>
    </row>
    <row r="241803" spans="21:21" x14ac:dyDescent="0.3">
      <c r="U241803" s="25"/>
    </row>
    <row r="241825" spans="21:21" x14ac:dyDescent="0.3">
      <c r="U241825" s="25"/>
    </row>
    <row r="241847" spans="21:21" x14ac:dyDescent="0.3">
      <c r="U241847" s="25"/>
    </row>
    <row r="241869" spans="21:21" x14ac:dyDescent="0.3">
      <c r="U241869" s="25"/>
    </row>
    <row r="241891" spans="21:21" x14ac:dyDescent="0.3">
      <c r="U241891" s="25"/>
    </row>
    <row r="241913" spans="21:21" x14ac:dyDescent="0.3">
      <c r="U241913" s="25"/>
    </row>
    <row r="241935" spans="21:21" x14ac:dyDescent="0.3">
      <c r="U241935" s="25"/>
    </row>
    <row r="241957" spans="21:21" x14ac:dyDescent="0.3">
      <c r="U241957" s="25"/>
    </row>
    <row r="241979" spans="21:21" x14ac:dyDescent="0.3">
      <c r="U241979" s="25"/>
    </row>
    <row r="242001" spans="21:21" x14ac:dyDescent="0.3">
      <c r="U242001" s="25"/>
    </row>
    <row r="242023" spans="21:21" x14ac:dyDescent="0.3">
      <c r="U242023" s="25"/>
    </row>
    <row r="242045" spans="21:21" x14ac:dyDescent="0.3">
      <c r="U242045" s="25"/>
    </row>
    <row r="242067" spans="21:21" x14ac:dyDescent="0.3">
      <c r="U242067" s="25"/>
    </row>
    <row r="242089" spans="21:21" x14ac:dyDescent="0.3">
      <c r="U242089" s="25"/>
    </row>
    <row r="242111" spans="21:21" x14ac:dyDescent="0.3">
      <c r="U242111" s="25"/>
    </row>
    <row r="242133" spans="21:21" x14ac:dyDescent="0.3">
      <c r="U242133" s="25"/>
    </row>
    <row r="242155" spans="21:21" x14ac:dyDescent="0.3">
      <c r="U242155" s="25"/>
    </row>
    <row r="242177" spans="21:21" x14ac:dyDescent="0.3">
      <c r="U242177" s="25"/>
    </row>
    <row r="242199" spans="21:21" x14ac:dyDescent="0.3">
      <c r="U242199" s="25"/>
    </row>
    <row r="242221" spans="21:21" x14ac:dyDescent="0.3">
      <c r="U242221" s="25"/>
    </row>
    <row r="242243" spans="21:21" x14ac:dyDescent="0.3">
      <c r="U242243" s="25"/>
    </row>
    <row r="242265" spans="21:21" x14ac:dyDescent="0.3">
      <c r="U242265" s="25"/>
    </row>
    <row r="242287" spans="21:21" x14ac:dyDescent="0.3">
      <c r="U242287" s="25"/>
    </row>
    <row r="242309" spans="21:21" x14ac:dyDescent="0.3">
      <c r="U242309" s="25"/>
    </row>
    <row r="242331" spans="21:21" x14ac:dyDescent="0.3">
      <c r="U242331" s="25"/>
    </row>
    <row r="242353" spans="21:21" x14ac:dyDescent="0.3">
      <c r="U242353" s="25"/>
    </row>
    <row r="242375" spans="21:21" x14ac:dyDescent="0.3">
      <c r="U242375" s="25"/>
    </row>
    <row r="242397" spans="21:21" x14ac:dyDescent="0.3">
      <c r="U242397" s="25"/>
    </row>
    <row r="242419" spans="21:21" x14ac:dyDescent="0.3">
      <c r="U242419" s="25"/>
    </row>
    <row r="242441" spans="21:21" x14ac:dyDescent="0.3">
      <c r="U242441" s="25"/>
    </row>
    <row r="242463" spans="21:21" x14ac:dyDescent="0.3">
      <c r="U242463" s="25"/>
    </row>
    <row r="242485" spans="21:21" x14ac:dyDescent="0.3">
      <c r="U242485" s="25"/>
    </row>
    <row r="242507" spans="21:21" x14ac:dyDescent="0.3">
      <c r="U242507" s="25"/>
    </row>
    <row r="242529" spans="21:21" x14ac:dyDescent="0.3">
      <c r="U242529" s="25"/>
    </row>
    <row r="242551" spans="21:21" x14ac:dyDescent="0.3">
      <c r="U242551" s="25"/>
    </row>
    <row r="242573" spans="21:21" x14ac:dyDescent="0.3">
      <c r="U242573" s="25"/>
    </row>
    <row r="242595" spans="21:21" x14ac:dyDescent="0.3">
      <c r="U242595" s="25"/>
    </row>
    <row r="242617" spans="21:21" x14ac:dyDescent="0.3">
      <c r="U242617" s="25"/>
    </row>
    <row r="242639" spans="21:21" x14ac:dyDescent="0.3">
      <c r="U242639" s="25"/>
    </row>
    <row r="242661" spans="21:21" x14ac:dyDescent="0.3">
      <c r="U242661" s="25"/>
    </row>
    <row r="242683" spans="21:21" x14ac:dyDescent="0.3">
      <c r="U242683" s="25"/>
    </row>
    <row r="242705" spans="21:21" x14ac:dyDescent="0.3">
      <c r="U242705" s="25"/>
    </row>
    <row r="242727" spans="21:21" x14ac:dyDescent="0.3">
      <c r="U242727" s="25"/>
    </row>
    <row r="242749" spans="21:21" x14ac:dyDescent="0.3">
      <c r="U242749" s="25"/>
    </row>
    <row r="242771" spans="21:21" x14ac:dyDescent="0.3">
      <c r="U242771" s="25"/>
    </row>
    <row r="242793" spans="21:21" x14ac:dyDescent="0.3">
      <c r="U242793" s="25"/>
    </row>
    <row r="242815" spans="21:21" x14ac:dyDescent="0.3">
      <c r="U242815" s="25"/>
    </row>
    <row r="242837" spans="21:21" x14ac:dyDescent="0.3">
      <c r="U242837" s="25"/>
    </row>
    <row r="242859" spans="21:21" x14ac:dyDescent="0.3">
      <c r="U242859" s="25"/>
    </row>
    <row r="242881" spans="21:21" x14ac:dyDescent="0.3">
      <c r="U242881" s="25"/>
    </row>
    <row r="242903" spans="21:21" x14ac:dyDescent="0.3">
      <c r="U242903" s="25"/>
    </row>
    <row r="242925" spans="21:21" x14ac:dyDescent="0.3">
      <c r="U242925" s="25"/>
    </row>
    <row r="242947" spans="21:21" x14ac:dyDescent="0.3">
      <c r="U242947" s="25"/>
    </row>
    <row r="242969" spans="21:21" x14ac:dyDescent="0.3">
      <c r="U242969" s="25"/>
    </row>
    <row r="242991" spans="21:21" x14ac:dyDescent="0.3">
      <c r="U242991" s="25"/>
    </row>
    <row r="243013" spans="21:21" x14ac:dyDescent="0.3">
      <c r="U243013" s="25"/>
    </row>
    <row r="243035" spans="21:21" x14ac:dyDescent="0.3">
      <c r="U243035" s="25"/>
    </row>
    <row r="243057" spans="21:21" x14ac:dyDescent="0.3">
      <c r="U243057" s="25"/>
    </row>
    <row r="243079" spans="21:21" x14ac:dyDescent="0.3">
      <c r="U243079" s="25"/>
    </row>
    <row r="243101" spans="21:21" x14ac:dyDescent="0.3">
      <c r="U243101" s="25"/>
    </row>
    <row r="243123" spans="21:21" x14ac:dyDescent="0.3">
      <c r="U243123" s="25"/>
    </row>
    <row r="243145" spans="21:21" x14ac:dyDescent="0.3">
      <c r="U243145" s="25"/>
    </row>
    <row r="243167" spans="21:21" x14ac:dyDescent="0.3">
      <c r="U243167" s="25"/>
    </row>
    <row r="243189" spans="21:21" x14ac:dyDescent="0.3">
      <c r="U243189" s="25"/>
    </row>
    <row r="243211" spans="21:21" x14ac:dyDescent="0.3">
      <c r="U243211" s="25"/>
    </row>
    <row r="243233" spans="21:21" x14ac:dyDescent="0.3">
      <c r="U243233" s="25"/>
    </row>
    <row r="243255" spans="21:21" x14ac:dyDescent="0.3">
      <c r="U243255" s="25"/>
    </row>
    <row r="243277" spans="21:21" x14ac:dyDescent="0.3">
      <c r="U243277" s="25"/>
    </row>
    <row r="243299" spans="21:21" x14ac:dyDescent="0.3">
      <c r="U243299" s="25"/>
    </row>
    <row r="243321" spans="21:21" x14ac:dyDescent="0.3">
      <c r="U243321" s="25"/>
    </row>
    <row r="243343" spans="21:21" x14ac:dyDescent="0.3">
      <c r="U243343" s="25"/>
    </row>
    <row r="243365" spans="21:21" x14ac:dyDescent="0.3">
      <c r="U243365" s="25"/>
    </row>
    <row r="243387" spans="21:21" x14ac:dyDescent="0.3">
      <c r="U243387" s="25"/>
    </row>
    <row r="243409" spans="21:21" x14ac:dyDescent="0.3">
      <c r="U243409" s="25"/>
    </row>
    <row r="243431" spans="21:21" x14ac:dyDescent="0.3">
      <c r="U243431" s="25"/>
    </row>
    <row r="243453" spans="21:21" x14ac:dyDescent="0.3">
      <c r="U243453" s="25"/>
    </row>
    <row r="243475" spans="21:21" x14ac:dyDescent="0.3">
      <c r="U243475" s="25"/>
    </row>
    <row r="243497" spans="21:21" x14ac:dyDescent="0.3">
      <c r="U243497" s="25"/>
    </row>
    <row r="243519" spans="21:21" x14ac:dyDescent="0.3">
      <c r="U243519" s="25"/>
    </row>
    <row r="243541" spans="21:21" x14ac:dyDescent="0.3">
      <c r="U243541" s="25"/>
    </row>
    <row r="243563" spans="21:21" x14ac:dyDescent="0.3">
      <c r="U243563" s="25"/>
    </row>
    <row r="243585" spans="21:21" x14ac:dyDescent="0.3">
      <c r="U243585" s="25"/>
    </row>
    <row r="243607" spans="21:21" x14ac:dyDescent="0.3">
      <c r="U243607" s="25"/>
    </row>
    <row r="243629" spans="21:21" x14ac:dyDescent="0.3">
      <c r="U243629" s="25"/>
    </row>
    <row r="243651" spans="21:21" x14ac:dyDescent="0.3">
      <c r="U243651" s="25"/>
    </row>
    <row r="243673" spans="21:21" x14ac:dyDescent="0.3">
      <c r="U243673" s="25"/>
    </row>
    <row r="243695" spans="21:21" x14ac:dyDescent="0.3">
      <c r="U243695" s="25"/>
    </row>
    <row r="243717" spans="21:21" x14ac:dyDescent="0.3">
      <c r="U243717" s="25"/>
    </row>
    <row r="243739" spans="21:21" x14ac:dyDescent="0.3">
      <c r="U243739" s="25"/>
    </row>
    <row r="243761" spans="21:21" x14ac:dyDescent="0.3">
      <c r="U243761" s="25"/>
    </row>
    <row r="243783" spans="21:21" x14ac:dyDescent="0.3">
      <c r="U243783" s="25"/>
    </row>
    <row r="243805" spans="21:21" x14ac:dyDescent="0.3">
      <c r="U243805" s="25"/>
    </row>
    <row r="243827" spans="21:21" x14ac:dyDescent="0.3">
      <c r="U243827" s="25"/>
    </row>
    <row r="243849" spans="21:21" x14ac:dyDescent="0.3">
      <c r="U243849" s="25"/>
    </row>
    <row r="243871" spans="21:21" x14ac:dyDescent="0.3">
      <c r="U243871" s="25"/>
    </row>
    <row r="243893" spans="21:21" x14ac:dyDescent="0.3">
      <c r="U243893" s="25"/>
    </row>
    <row r="243915" spans="21:21" x14ac:dyDescent="0.3">
      <c r="U243915" s="25"/>
    </row>
    <row r="243937" spans="21:21" x14ac:dyDescent="0.3">
      <c r="U243937" s="25"/>
    </row>
    <row r="243959" spans="21:21" x14ac:dyDescent="0.3">
      <c r="U243959" s="25"/>
    </row>
    <row r="243981" spans="21:21" x14ac:dyDescent="0.3">
      <c r="U243981" s="25"/>
    </row>
    <row r="244003" spans="21:21" x14ac:dyDescent="0.3">
      <c r="U244003" s="25"/>
    </row>
    <row r="244025" spans="21:21" x14ac:dyDescent="0.3">
      <c r="U244025" s="25"/>
    </row>
    <row r="244047" spans="21:21" x14ac:dyDescent="0.3">
      <c r="U244047" s="25"/>
    </row>
    <row r="244069" spans="21:21" x14ac:dyDescent="0.3">
      <c r="U244069" s="25"/>
    </row>
    <row r="244091" spans="21:21" x14ac:dyDescent="0.3">
      <c r="U244091" s="25"/>
    </row>
    <row r="244113" spans="21:21" x14ac:dyDescent="0.3">
      <c r="U244113" s="25"/>
    </row>
    <row r="244135" spans="21:21" x14ac:dyDescent="0.3">
      <c r="U244135" s="25"/>
    </row>
    <row r="244157" spans="21:21" x14ac:dyDescent="0.3">
      <c r="U244157" s="25"/>
    </row>
    <row r="244179" spans="21:21" x14ac:dyDescent="0.3">
      <c r="U244179" s="25"/>
    </row>
    <row r="244201" spans="21:21" x14ac:dyDescent="0.3">
      <c r="U244201" s="25"/>
    </row>
    <row r="244223" spans="21:21" x14ac:dyDescent="0.3">
      <c r="U244223" s="25"/>
    </row>
    <row r="244245" spans="21:21" x14ac:dyDescent="0.3">
      <c r="U244245" s="25"/>
    </row>
    <row r="244267" spans="21:21" x14ac:dyDescent="0.3">
      <c r="U244267" s="25"/>
    </row>
    <row r="244289" spans="21:21" x14ac:dyDescent="0.3">
      <c r="U244289" s="25"/>
    </row>
    <row r="244311" spans="21:21" x14ac:dyDescent="0.3">
      <c r="U244311" s="25"/>
    </row>
    <row r="244333" spans="21:21" x14ac:dyDescent="0.3">
      <c r="U244333" s="25"/>
    </row>
    <row r="244355" spans="21:21" x14ac:dyDescent="0.3">
      <c r="U244355" s="25"/>
    </row>
    <row r="244377" spans="21:21" x14ac:dyDescent="0.3">
      <c r="U244377" s="25"/>
    </row>
    <row r="244399" spans="21:21" x14ac:dyDescent="0.3">
      <c r="U244399" s="25"/>
    </row>
    <row r="244421" spans="21:21" x14ac:dyDescent="0.3">
      <c r="U244421" s="25"/>
    </row>
    <row r="244443" spans="21:21" x14ac:dyDescent="0.3">
      <c r="U244443" s="25"/>
    </row>
    <row r="244465" spans="21:21" x14ac:dyDescent="0.3">
      <c r="U244465" s="25"/>
    </row>
    <row r="244487" spans="21:21" x14ac:dyDescent="0.3">
      <c r="U244487" s="25"/>
    </row>
    <row r="244509" spans="21:21" x14ac:dyDescent="0.3">
      <c r="U244509" s="25"/>
    </row>
    <row r="244531" spans="21:21" x14ac:dyDescent="0.3">
      <c r="U244531" s="25"/>
    </row>
    <row r="244553" spans="21:21" x14ac:dyDescent="0.3">
      <c r="U244553" s="25"/>
    </row>
    <row r="244575" spans="21:21" x14ac:dyDescent="0.3">
      <c r="U244575" s="25"/>
    </row>
    <row r="244597" spans="21:21" x14ac:dyDescent="0.3">
      <c r="U244597" s="25"/>
    </row>
    <row r="244619" spans="21:21" x14ac:dyDescent="0.3">
      <c r="U244619" s="25"/>
    </row>
    <row r="244641" spans="21:21" x14ac:dyDescent="0.3">
      <c r="U244641" s="25"/>
    </row>
    <row r="244663" spans="21:21" x14ac:dyDescent="0.3">
      <c r="U244663" s="25"/>
    </row>
    <row r="244685" spans="21:21" x14ac:dyDescent="0.3">
      <c r="U244685" s="25"/>
    </row>
    <row r="244707" spans="21:21" x14ac:dyDescent="0.3">
      <c r="U244707" s="25"/>
    </row>
    <row r="244729" spans="21:21" x14ac:dyDescent="0.3">
      <c r="U244729" s="25"/>
    </row>
    <row r="244751" spans="21:21" x14ac:dyDescent="0.3">
      <c r="U244751" s="25"/>
    </row>
    <row r="244773" spans="21:21" x14ac:dyDescent="0.3">
      <c r="U244773" s="25"/>
    </row>
    <row r="244795" spans="21:21" x14ac:dyDescent="0.3">
      <c r="U244795" s="25"/>
    </row>
    <row r="244817" spans="21:21" x14ac:dyDescent="0.3">
      <c r="U244817" s="25"/>
    </row>
    <row r="244839" spans="21:21" x14ac:dyDescent="0.3">
      <c r="U244839" s="25"/>
    </row>
    <row r="244861" spans="21:21" x14ac:dyDescent="0.3">
      <c r="U244861" s="25"/>
    </row>
    <row r="244883" spans="21:21" x14ac:dyDescent="0.3">
      <c r="U244883" s="25"/>
    </row>
    <row r="244905" spans="21:21" x14ac:dyDescent="0.3">
      <c r="U244905" s="25"/>
    </row>
    <row r="244927" spans="21:21" x14ac:dyDescent="0.3">
      <c r="U244927" s="25"/>
    </row>
    <row r="244949" spans="21:21" x14ac:dyDescent="0.3">
      <c r="U244949" s="25"/>
    </row>
    <row r="244971" spans="21:21" x14ac:dyDescent="0.3">
      <c r="U244971" s="25"/>
    </row>
    <row r="244993" spans="21:21" x14ac:dyDescent="0.3">
      <c r="U244993" s="25"/>
    </row>
    <row r="245015" spans="21:21" x14ac:dyDescent="0.3">
      <c r="U245015" s="25"/>
    </row>
    <row r="245037" spans="21:21" x14ac:dyDescent="0.3">
      <c r="U245037" s="25"/>
    </row>
    <row r="245059" spans="21:21" x14ac:dyDescent="0.3">
      <c r="U245059" s="25"/>
    </row>
    <row r="245081" spans="21:21" x14ac:dyDescent="0.3">
      <c r="U245081" s="25"/>
    </row>
    <row r="245103" spans="21:21" x14ac:dyDescent="0.3">
      <c r="U245103" s="25"/>
    </row>
    <row r="245125" spans="21:21" x14ac:dyDescent="0.3">
      <c r="U245125" s="25"/>
    </row>
    <row r="245147" spans="21:21" x14ac:dyDescent="0.3">
      <c r="U245147" s="25"/>
    </row>
    <row r="245169" spans="21:21" x14ac:dyDescent="0.3">
      <c r="U245169" s="25"/>
    </row>
    <row r="245191" spans="21:21" x14ac:dyDescent="0.3">
      <c r="U245191" s="25"/>
    </row>
    <row r="245213" spans="21:21" x14ac:dyDescent="0.3">
      <c r="U245213" s="25"/>
    </row>
    <row r="245235" spans="21:21" x14ac:dyDescent="0.3">
      <c r="U245235" s="25"/>
    </row>
    <row r="245257" spans="21:21" x14ac:dyDescent="0.3">
      <c r="U245257" s="25"/>
    </row>
    <row r="245279" spans="21:21" x14ac:dyDescent="0.3">
      <c r="U245279" s="25"/>
    </row>
    <row r="245301" spans="21:21" x14ac:dyDescent="0.3">
      <c r="U245301" s="25"/>
    </row>
    <row r="245323" spans="21:21" x14ac:dyDescent="0.3">
      <c r="U245323" s="25"/>
    </row>
    <row r="245345" spans="21:21" x14ac:dyDescent="0.3">
      <c r="U245345" s="25"/>
    </row>
    <row r="245367" spans="21:21" x14ac:dyDescent="0.3">
      <c r="U245367" s="25"/>
    </row>
    <row r="245389" spans="21:21" x14ac:dyDescent="0.3">
      <c r="U245389" s="25"/>
    </row>
    <row r="245411" spans="21:21" x14ac:dyDescent="0.3">
      <c r="U245411" s="25"/>
    </row>
    <row r="245433" spans="21:21" x14ac:dyDescent="0.3">
      <c r="U245433" s="25"/>
    </row>
    <row r="245455" spans="21:21" x14ac:dyDescent="0.3">
      <c r="U245455" s="25"/>
    </row>
    <row r="245477" spans="21:21" x14ac:dyDescent="0.3">
      <c r="U245477" s="25"/>
    </row>
    <row r="245499" spans="21:21" x14ac:dyDescent="0.3">
      <c r="U245499" s="25"/>
    </row>
    <row r="245521" spans="21:21" x14ac:dyDescent="0.3">
      <c r="U245521" s="25"/>
    </row>
    <row r="245543" spans="21:21" x14ac:dyDescent="0.3">
      <c r="U245543" s="25"/>
    </row>
    <row r="245565" spans="21:21" x14ac:dyDescent="0.3">
      <c r="U245565" s="25"/>
    </row>
    <row r="245587" spans="21:21" x14ac:dyDescent="0.3">
      <c r="U245587" s="25"/>
    </row>
    <row r="245609" spans="21:21" x14ac:dyDescent="0.3">
      <c r="U245609" s="25"/>
    </row>
    <row r="245631" spans="21:21" x14ac:dyDescent="0.3">
      <c r="U245631" s="25"/>
    </row>
    <row r="245653" spans="21:21" x14ac:dyDescent="0.3">
      <c r="U245653" s="25"/>
    </row>
    <row r="245675" spans="21:21" x14ac:dyDescent="0.3">
      <c r="U245675" s="25"/>
    </row>
    <row r="245697" spans="21:21" x14ac:dyDescent="0.3">
      <c r="U245697" s="25"/>
    </row>
    <row r="245719" spans="21:21" x14ac:dyDescent="0.3">
      <c r="U245719" s="25"/>
    </row>
    <row r="245741" spans="21:21" x14ac:dyDescent="0.3">
      <c r="U245741" s="25"/>
    </row>
    <row r="245763" spans="21:21" x14ac:dyDescent="0.3">
      <c r="U245763" s="25"/>
    </row>
    <row r="245785" spans="21:21" x14ac:dyDescent="0.3">
      <c r="U245785" s="25"/>
    </row>
    <row r="245807" spans="21:21" x14ac:dyDescent="0.3">
      <c r="U245807" s="25"/>
    </row>
    <row r="245829" spans="21:21" x14ac:dyDescent="0.3">
      <c r="U245829" s="25"/>
    </row>
    <row r="245851" spans="21:21" x14ac:dyDescent="0.3">
      <c r="U245851" s="25"/>
    </row>
    <row r="245873" spans="21:21" x14ac:dyDescent="0.3">
      <c r="U245873" s="25"/>
    </row>
    <row r="245895" spans="21:21" x14ac:dyDescent="0.3">
      <c r="U245895" s="25"/>
    </row>
    <row r="245917" spans="21:21" x14ac:dyDescent="0.3">
      <c r="U245917" s="25"/>
    </row>
    <row r="245939" spans="21:21" x14ac:dyDescent="0.3">
      <c r="U245939" s="25"/>
    </row>
    <row r="245961" spans="21:21" x14ac:dyDescent="0.3">
      <c r="U245961" s="25"/>
    </row>
    <row r="245983" spans="21:21" x14ac:dyDescent="0.3">
      <c r="U245983" s="25"/>
    </row>
    <row r="246005" spans="21:21" x14ac:dyDescent="0.3">
      <c r="U246005" s="25"/>
    </row>
    <row r="246027" spans="21:21" x14ac:dyDescent="0.3">
      <c r="U246027" s="25"/>
    </row>
    <row r="246049" spans="21:21" x14ac:dyDescent="0.3">
      <c r="U246049" s="25"/>
    </row>
    <row r="246071" spans="21:21" x14ac:dyDescent="0.3">
      <c r="U246071" s="25"/>
    </row>
    <row r="246093" spans="21:21" x14ac:dyDescent="0.3">
      <c r="U246093" s="25"/>
    </row>
    <row r="246115" spans="21:21" x14ac:dyDescent="0.3">
      <c r="U246115" s="25"/>
    </row>
    <row r="246137" spans="21:21" x14ac:dyDescent="0.3">
      <c r="U246137" s="25"/>
    </row>
    <row r="246159" spans="21:21" x14ac:dyDescent="0.3">
      <c r="U246159" s="25"/>
    </row>
    <row r="246181" spans="21:21" x14ac:dyDescent="0.3">
      <c r="U246181" s="25"/>
    </row>
    <row r="246203" spans="21:21" x14ac:dyDescent="0.3">
      <c r="U246203" s="25"/>
    </row>
    <row r="246225" spans="21:21" x14ac:dyDescent="0.3">
      <c r="U246225" s="25"/>
    </row>
    <row r="246247" spans="21:21" x14ac:dyDescent="0.3">
      <c r="U246247" s="25"/>
    </row>
    <row r="246269" spans="21:21" x14ac:dyDescent="0.3">
      <c r="U246269" s="25"/>
    </row>
    <row r="246291" spans="21:21" x14ac:dyDescent="0.3">
      <c r="U246291" s="25"/>
    </row>
    <row r="246313" spans="21:21" x14ac:dyDescent="0.3">
      <c r="U246313" s="25"/>
    </row>
    <row r="246335" spans="21:21" x14ac:dyDescent="0.3">
      <c r="U246335" s="25"/>
    </row>
    <row r="246357" spans="21:21" x14ac:dyDescent="0.3">
      <c r="U246357" s="25"/>
    </row>
    <row r="246379" spans="21:21" x14ac:dyDescent="0.3">
      <c r="U246379" s="25"/>
    </row>
    <row r="246401" spans="21:21" x14ac:dyDescent="0.3">
      <c r="U246401" s="25"/>
    </row>
    <row r="246423" spans="21:21" x14ac:dyDescent="0.3">
      <c r="U246423" s="25"/>
    </row>
    <row r="246445" spans="21:21" x14ac:dyDescent="0.3">
      <c r="U246445" s="25"/>
    </row>
    <row r="246467" spans="21:21" x14ac:dyDescent="0.3">
      <c r="U246467" s="25"/>
    </row>
    <row r="246489" spans="21:21" x14ac:dyDescent="0.3">
      <c r="U246489" s="25"/>
    </row>
    <row r="246511" spans="21:21" x14ac:dyDescent="0.3">
      <c r="U246511" s="25"/>
    </row>
    <row r="246533" spans="21:21" x14ac:dyDescent="0.3">
      <c r="U246533" s="25"/>
    </row>
    <row r="246555" spans="21:21" x14ac:dyDescent="0.3">
      <c r="U246555" s="25"/>
    </row>
    <row r="246577" spans="21:21" x14ac:dyDescent="0.3">
      <c r="U246577" s="25"/>
    </row>
    <row r="246599" spans="21:21" x14ac:dyDescent="0.3">
      <c r="U246599" s="25"/>
    </row>
    <row r="246621" spans="21:21" x14ac:dyDescent="0.3">
      <c r="U246621" s="25"/>
    </row>
    <row r="246643" spans="21:21" x14ac:dyDescent="0.3">
      <c r="U246643" s="25"/>
    </row>
    <row r="246665" spans="21:21" x14ac:dyDescent="0.3">
      <c r="U246665" s="25"/>
    </row>
    <row r="246687" spans="21:21" x14ac:dyDescent="0.3">
      <c r="U246687" s="25"/>
    </row>
    <row r="246709" spans="21:21" x14ac:dyDescent="0.3">
      <c r="U246709" s="25"/>
    </row>
    <row r="246731" spans="21:21" x14ac:dyDescent="0.3">
      <c r="U246731" s="25"/>
    </row>
    <row r="246753" spans="21:21" x14ac:dyDescent="0.3">
      <c r="U246753" s="25"/>
    </row>
    <row r="246775" spans="21:21" x14ac:dyDescent="0.3">
      <c r="U246775" s="25"/>
    </row>
    <row r="246797" spans="21:21" x14ac:dyDescent="0.3">
      <c r="U246797" s="25"/>
    </row>
    <row r="246819" spans="21:21" x14ac:dyDescent="0.3">
      <c r="U246819" s="25"/>
    </row>
    <row r="246841" spans="21:21" x14ac:dyDescent="0.3">
      <c r="U246841" s="25"/>
    </row>
    <row r="246863" spans="21:21" x14ac:dyDescent="0.3">
      <c r="U246863" s="25"/>
    </row>
    <row r="246885" spans="21:21" x14ac:dyDescent="0.3">
      <c r="U246885" s="25"/>
    </row>
    <row r="246907" spans="21:21" x14ac:dyDescent="0.3">
      <c r="U246907" s="25"/>
    </row>
    <row r="246929" spans="21:21" x14ac:dyDescent="0.3">
      <c r="U246929" s="25"/>
    </row>
    <row r="246951" spans="21:21" x14ac:dyDescent="0.3">
      <c r="U246951" s="25"/>
    </row>
    <row r="246973" spans="21:21" x14ac:dyDescent="0.3">
      <c r="U246973" s="25"/>
    </row>
    <row r="246995" spans="21:21" x14ac:dyDescent="0.3">
      <c r="U246995" s="25"/>
    </row>
    <row r="247017" spans="21:21" x14ac:dyDescent="0.3">
      <c r="U247017" s="25"/>
    </row>
    <row r="247039" spans="21:21" x14ac:dyDescent="0.3">
      <c r="U247039" s="25"/>
    </row>
    <row r="247061" spans="21:21" x14ac:dyDescent="0.3">
      <c r="U247061" s="25"/>
    </row>
    <row r="247083" spans="21:21" x14ac:dyDescent="0.3">
      <c r="U247083" s="25"/>
    </row>
    <row r="247105" spans="21:21" x14ac:dyDescent="0.3">
      <c r="U247105" s="25"/>
    </row>
    <row r="247127" spans="21:21" x14ac:dyDescent="0.3">
      <c r="U247127" s="25"/>
    </row>
    <row r="247149" spans="21:21" x14ac:dyDescent="0.3">
      <c r="U247149" s="25"/>
    </row>
    <row r="247171" spans="21:21" x14ac:dyDescent="0.3">
      <c r="U247171" s="25"/>
    </row>
    <row r="247193" spans="21:21" x14ac:dyDescent="0.3">
      <c r="U247193" s="25"/>
    </row>
    <row r="247215" spans="21:21" x14ac:dyDescent="0.3">
      <c r="U247215" s="25"/>
    </row>
    <row r="247237" spans="21:21" x14ac:dyDescent="0.3">
      <c r="U247237" s="25"/>
    </row>
    <row r="247259" spans="21:21" x14ac:dyDescent="0.3">
      <c r="U247259" s="25"/>
    </row>
    <row r="247281" spans="21:21" x14ac:dyDescent="0.3">
      <c r="U247281" s="25"/>
    </row>
    <row r="247303" spans="21:21" x14ac:dyDescent="0.3">
      <c r="U247303" s="25"/>
    </row>
    <row r="247325" spans="21:21" x14ac:dyDescent="0.3">
      <c r="U247325" s="25"/>
    </row>
    <row r="247347" spans="21:21" x14ac:dyDescent="0.3">
      <c r="U247347" s="25"/>
    </row>
    <row r="247369" spans="21:21" x14ac:dyDescent="0.3">
      <c r="U247369" s="25"/>
    </row>
    <row r="247391" spans="21:21" x14ac:dyDescent="0.3">
      <c r="U247391" s="25"/>
    </row>
    <row r="247413" spans="21:21" x14ac:dyDescent="0.3">
      <c r="U247413" s="25"/>
    </row>
    <row r="247435" spans="21:21" x14ac:dyDescent="0.3">
      <c r="U247435" s="25"/>
    </row>
    <row r="247457" spans="21:21" x14ac:dyDescent="0.3">
      <c r="U247457" s="25"/>
    </row>
    <row r="247479" spans="21:21" x14ac:dyDescent="0.3">
      <c r="U247479" s="25"/>
    </row>
    <row r="247501" spans="21:21" x14ac:dyDescent="0.3">
      <c r="U247501" s="25"/>
    </row>
    <row r="247523" spans="21:21" x14ac:dyDescent="0.3">
      <c r="U247523" s="25"/>
    </row>
    <row r="247545" spans="21:21" x14ac:dyDescent="0.3">
      <c r="U247545" s="25"/>
    </row>
    <row r="247567" spans="21:21" x14ac:dyDescent="0.3">
      <c r="U247567" s="25"/>
    </row>
    <row r="247589" spans="21:21" x14ac:dyDescent="0.3">
      <c r="U247589" s="25"/>
    </row>
    <row r="247611" spans="21:21" x14ac:dyDescent="0.3">
      <c r="U247611" s="25"/>
    </row>
    <row r="247633" spans="21:21" x14ac:dyDescent="0.3">
      <c r="U247633" s="25"/>
    </row>
    <row r="247655" spans="21:21" x14ac:dyDescent="0.3">
      <c r="U247655" s="25"/>
    </row>
    <row r="247677" spans="21:21" x14ac:dyDescent="0.3">
      <c r="U247677" s="25"/>
    </row>
    <row r="247699" spans="21:21" x14ac:dyDescent="0.3">
      <c r="U247699" s="25"/>
    </row>
    <row r="247721" spans="21:21" x14ac:dyDescent="0.3">
      <c r="U247721" s="25"/>
    </row>
    <row r="247743" spans="21:21" x14ac:dyDescent="0.3">
      <c r="U247743" s="25"/>
    </row>
    <row r="247765" spans="21:21" x14ac:dyDescent="0.3">
      <c r="U247765" s="25"/>
    </row>
    <row r="247787" spans="21:21" x14ac:dyDescent="0.3">
      <c r="U247787" s="25"/>
    </row>
    <row r="247809" spans="21:21" x14ac:dyDescent="0.3">
      <c r="U247809" s="25"/>
    </row>
    <row r="247831" spans="21:21" x14ac:dyDescent="0.3">
      <c r="U247831" s="25"/>
    </row>
    <row r="247853" spans="21:21" x14ac:dyDescent="0.3">
      <c r="U247853" s="25"/>
    </row>
    <row r="247875" spans="21:21" x14ac:dyDescent="0.3">
      <c r="U247875" s="25"/>
    </row>
    <row r="247897" spans="21:21" x14ac:dyDescent="0.3">
      <c r="U247897" s="25"/>
    </row>
    <row r="247919" spans="21:21" x14ac:dyDescent="0.3">
      <c r="U247919" s="25"/>
    </row>
    <row r="247941" spans="21:21" x14ac:dyDescent="0.3">
      <c r="U247941" s="25"/>
    </row>
    <row r="247963" spans="21:21" x14ac:dyDescent="0.3">
      <c r="U247963" s="25"/>
    </row>
    <row r="247985" spans="21:21" x14ac:dyDescent="0.3">
      <c r="U247985" s="25"/>
    </row>
    <row r="248007" spans="21:21" x14ac:dyDescent="0.3">
      <c r="U248007" s="25"/>
    </row>
    <row r="248029" spans="21:21" x14ac:dyDescent="0.3">
      <c r="U248029" s="25"/>
    </row>
    <row r="248051" spans="21:21" x14ac:dyDescent="0.3">
      <c r="U248051" s="25"/>
    </row>
    <row r="248073" spans="21:21" x14ac:dyDescent="0.3">
      <c r="U248073" s="25"/>
    </row>
    <row r="248095" spans="21:21" x14ac:dyDescent="0.3">
      <c r="U248095" s="25"/>
    </row>
    <row r="248117" spans="21:21" x14ac:dyDescent="0.3">
      <c r="U248117" s="25"/>
    </row>
    <row r="248139" spans="21:21" x14ac:dyDescent="0.3">
      <c r="U248139" s="25"/>
    </row>
    <row r="248161" spans="21:21" x14ac:dyDescent="0.3">
      <c r="U248161" s="25"/>
    </row>
    <row r="248183" spans="21:21" x14ac:dyDescent="0.3">
      <c r="U248183" s="25"/>
    </row>
    <row r="248205" spans="21:21" x14ac:dyDescent="0.3">
      <c r="U248205" s="25"/>
    </row>
    <row r="248227" spans="21:21" x14ac:dyDescent="0.3">
      <c r="U248227" s="25"/>
    </row>
    <row r="248249" spans="21:21" x14ac:dyDescent="0.3">
      <c r="U248249" s="25"/>
    </row>
    <row r="248271" spans="21:21" x14ac:dyDescent="0.3">
      <c r="U248271" s="25"/>
    </row>
    <row r="248293" spans="21:21" x14ac:dyDescent="0.3">
      <c r="U248293" s="25"/>
    </row>
    <row r="248315" spans="21:21" x14ac:dyDescent="0.3">
      <c r="U248315" s="25"/>
    </row>
    <row r="248337" spans="21:21" x14ac:dyDescent="0.3">
      <c r="U248337" s="25"/>
    </row>
    <row r="248359" spans="21:21" x14ac:dyDescent="0.3">
      <c r="U248359" s="25"/>
    </row>
    <row r="248381" spans="21:21" x14ac:dyDescent="0.3">
      <c r="U248381" s="25"/>
    </row>
    <row r="248403" spans="21:21" x14ac:dyDescent="0.3">
      <c r="U248403" s="25"/>
    </row>
    <row r="248425" spans="21:21" x14ac:dyDescent="0.3">
      <c r="U248425" s="25"/>
    </row>
    <row r="248447" spans="21:21" x14ac:dyDescent="0.3">
      <c r="U248447" s="25"/>
    </row>
    <row r="248469" spans="21:21" x14ac:dyDescent="0.3">
      <c r="U248469" s="25"/>
    </row>
    <row r="248491" spans="21:21" x14ac:dyDescent="0.3">
      <c r="U248491" s="25"/>
    </row>
    <row r="248513" spans="21:21" x14ac:dyDescent="0.3">
      <c r="U248513" s="25"/>
    </row>
    <row r="248535" spans="21:21" x14ac:dyDescent="0.3">
      <c r="U248535" s="25"/>
    </row>
    <row r="248557" spans="21:21" x14ac:dyDescent="0.3">
      <c r="U248557" s="25"/>
    </row>
    <row r="248579" spans="21:21" x14ac:dyDescent="0.3">
      <c r="U248579" s="25"/>
    </row>
    <row r="248601" spans="21:21" x14ac:dyDescent="0.3">
      <c r="U248601" s="25"/>
    </row>
    <row r="248623" spans="21:21" x14ac:dyDescent="0.3">
      <c r="U248623" s="25"/>
    </row>
    <row r="248645" spans="21:21" x14ac:dyDescent="0.3">
      <c r="U248645" s="25"/>
    </row>
    <row r="248667" spans="21:21" x14ac:dyDescent="0.3">
      <c r="U248667" s="25"/>
    </row>
    <row r="248689" spans="21:21" x14ac:dyDescent="0.3">
      <c r="U248689" s="25"/>
    </row>
    <row r="248711" spans="21:21" x14ac:dyDescent="0.3">
      <c r="U248711" s="25"/>
    </row>
    <row r="248733" spans="21:21" x14ac:dyDescent="0.3">
      <c r="U248733" s="25"/>
    </row>
    <row r="248755" spans="21:21" x14ac:dyDescent="0.3">
      <c r="U248755" s="25"/>
    </row>
    <row r="248777" spans="21:21" x14ac:dyDescent="0.3">
      <c r="U248777" s="25"/>
    </row>
    <row r="248799" spans="21:21" x14ac:dyDescent="0.3">
      <c r="U248799" s="25"/>
    </row>
    <row r="248821" spans="21:21" x14ac:dyDescent="0.3">
      <c r="U248821" s="25"/>
    </row>
    <row r="248843" spans="21:21" x14ac:dyDescent="0.3">
      <c r="U248843" s="25"/>
    </row>
    <row r="248865" spans="21:21" x14ac:dyDescent="0.3">
      <c r="U248865" s="25"/>
    </row>
    <row r="248887" spans="21:21" x14ac:dyDescent="0.3">
      <c r="U248887" s="25"/>
    </row>
    <row r="248909" spans="21:21" x14ac:dyDescent="0.3">
      <c r="U248909" s="25"/>
    </row>
    <row r="248931" spans="21:21" x14ac:dyDescent="0.3">
      <c r="U248931" s="25"/>
    </row>
    <row r="248953" spans="21:21" x14ac:dyDescent="0.3">
      <c r="U248953" s="25"/>
    </row>
    <row r="248975" spans="21:21" x14ac:dyDescent="0.3">
      <c r="U248975" s="25"/>
    </row>
    <row r="248997" spans="21:21" x14ac:dyDescent="0.3">
      <c r="U248997" s="25"/>
    </row>
    <row r="249019" spans="21:21" x14ac:dyDescent="0.3">
      <c r="U249019" s="25"/>
    </row>
    <row r="249041" spans="21:21" x14ac:dyDescent="0.3">
      <c r="U249041" s="25"/>
    </row>
    <row r="249063" spans="21:21" x14ac:dyDescent="0.3">
      <c r="U249063" s="25"/>
    </row>
    <row r="249085" spans="21:21" x14ac:dyDescent="0.3">
      <c r="U249085" s="25"/>
    </row>
    <row r="249107" spans="21:21" x14ac:dyDescent="0.3">
      <c r="U249107" s="25"/>
    </row>
    <row r="249129" spans="21:21" x14ac:dyDescent="0.3">
      <c r="U249129" s="25"/>
    </row>
    <row r="249151" spans="21:21" x14ac:dyDescent="0.3">
      <c r="U249151" s="25"/>
    </row>
    <row r="249173" spans="21:21" x14ac:dyDescent="0.3">
      <c r="U249173" s="25"/>
    </row>
    <row r="249195" spans="21:21" x14ac:dyDescent="0.3">
      <c r="U249195" s="25"/>
    </row>
    <row r="249217" spans="21:21" x14ac:dyDescent="0.3">
      <c r="U249217" s="25"/>
    </row>
    <row r="249239" spans="21:21" x14ac:dyDescent="0.3">
      <c r="U249239" s="25"/>
    </row>
    <row r="249261" spans="21:21" x14ac:dyDescent="0.3">
      <c r="U249261" s="25"/>
    </row>
    <row r="249283" spans="21:21" x14ac:dyDescent="0.3">
      <c r="U249283" s="25"/>
    </row>
    <row r="249305" spans="21:21" x14ac:dyDescent="0.3">
      <c r="U249305" s="25"/>
    </row>
    <row r="249327" spans="21:21" x14ac:dyDescent="0.3">
      <c r="U249327" s="25"/>
    </row>
    <row r="249349" spans="21:21" x14ac:dyDescent="0.3">
      <c r="U249349" s="25"/>
    </row>
    <row r="249371" spans="21:21" x14ac:dyDescent="0.3">
      <c r="U249371" s="25"/>
    </row>
    <row r="249393" spans="21:21" x14ac:dyDescent="0.3">
      <c r="U249393" s="25"/>
    </row>
    <row r="249415" spans="21:21" x14ac:dyDescent="0.3">
      <c r="U249415" s="25"/>
    </row>
    <row r="249437" spans="21:21" x14ac:dyDescent="0.3">
      <c r="U249437" s="25"/>
    </row>
    <row r="249459" spans="21:21" x14ac:dyDescent="0.3">
      <c r="U249459" s="25"/>
    </row>
    <row r="249481" spans="21:21" x14ac:dyDescent="0.3">
      <c r="U249481" s="25"/>
    </row>
    <row r="249503" spans="21:21" x14ac:dyDescent="0.3">
      <c r="U249503" s="25"/>
    </row>
    <row r="249525" spans="21:21" x14ac:dyDescent="0.3">
      <c r="U249525" s="25"/>
    </row>
    <row r="249547" spans="21:21" x14ac:dyDescent="0.3">
      <c r="U249547" s="25"/>
    </row>
    <row r="249569" spans="21:21" x14ac:dyDescent="0.3">
      <c r="U249569" s="25"/>
    </row>
    <row r="249591" spans="21:21" x14ac:dyDescent="0.3">
      <c r="U249591" s="25"/>
    </row>
    <row r="249613" spans="21:21" x14ac:dyDescent="0.3">
      <c r="U249613" s="25"/>
    </row>
    <row r="249635" spans="21:21" x14ac:dyDescent="0.3">
      <c r="U249635" s="25"/>
    </row>
    <row r="249657" spans="21:21" x14ac:dyDescent="0.3">
      <c r="U249657" s="25"/>
    </row>
    <row r="249679" spans="21:21" x14ac:dyDescent="0.3">
      <c r="U249679" s="25"/>
    </row>
    <row r="249701" spans="21:21" x14ac:dyDescent="0.3">
      <c r="U249701" s="25"/>
    </row>
    <row r="249723" spans="21:21" x14ac:dyDescent="0.3">
      <c r="U249723" s="25"/>
    </row>
    <row r="249745" spans="21:21" x14ac:dyDescent="0.3">
      <c r="U249745" s="25"/>
    </row>
    <row r="249767" spans="21:21" x14ac:dyDescent="0.3">
      <c r="U249767" s="25"/>
    </row>
    <row r="249789" spans="21:21" x14ac:dyDescent="0.3">
      <c r="U249789" s="25"/>
    </row>
    <row r="249811" spans="21:21" x14ac:dyDescent="0.3">
      <c r="U249811" s="25"/>
    </row>
    <row r="249833" spans="21:21" x14ac:dyDescent="0.3">
      <c r="U249833" s="25"/>
    </row>
    <row r="249855" spans="21:21" x14ac:dyDescent="0.3">
      <c r="U249855" s="25"/>
    </row>
    <row r="249877" spans="21:21" x14ac:dyDescent="0.3">
      <c r="U249877" s="25"/>
    </row>
    <row r="249899" spans="21:21" x14ac:dyDescent="0.3">
      <c r="U249899" s="25"/>
    </row>
    <row r="249921" spans="21:21" x14ac:dyDescent="0.3">
      <c r="U249921" s="25"/>
    </row>
    <row r="249943" spans="21:21" x14ac:dyDescent="0.3">
      <c r="U249943" s="25"/>
    </row>
    <row r="249965" spans="21:21" x14ac:dyDescent="0.3">
      <c r="U249965" s="25"/>
    </row>
    <row r="249987" spans="21:21" x14ac:dyDescent="0.3">
      <c r="U249987" s="25"/>
    </row>
    <row r="250009" spans="21:21" x14ac:dyDescent="0.3">
      <c r="U250009" s="25"/>
    </row>
    <row r="250031" spans="21:21" x14ac:dyDescent="0.3">
      <c r="U250031" s="25"/>
    </row>
    <row r="250053" spans="21:21" x14ac:dyDescent="0.3">
      <c r="U250053" s="25"/>
    </row>
    <row r="250075" spans="21:21" x14ac:dyDescent="0.3">
      <c r="U250075" s="25"/>
    </row>
    <row r="250097" spans="21:21" x14ac:dyDescent="0.3">
      <c r="U250097" s="25"/>
    </row>
    <row r="250119" spans="21:21" x14ac:dyDescent="0.3">
      <c r="U250119" s="25"/>
    </row>
    <row r="250141" spans="21:21" x14ac:dyDescent="0.3">
      <c r="U250141" s="25"/>
    </row>
    <row r="250163" spans="21:21" x14ac:dyDescent="0.3">
      <c r="U250163" s="25"/>
    </row>
    <row r="250185" spans="21:21" x14ac:dyDescent="0.3">
      <c r="U250185" s="25"/>
    </row>
    <row r="250207" spans="21:21" x14ac:dyDescent="0.3">
      <c r="U250207" s="25"/>
    </row>
    <row r="250229" spans="21:21" x14ac:dyDescent="0.3">
      <c r="U250229" s="25"/>
    </row>
    <row r="250251" spans="21:21" x14ac:dyDescent="0.3">
      <c r="U250251" s="25"/>
    </row>
    <row r="250273" spans="21:21" x14ac:dyDescent="0.3">
      <c r="U250273" s="25"/>
    </row>
    <row r="250295" spans="21:21" x14ac:dyDescent="0.3">
      <c r="U250295" s="25"/>
    </row>
    <row r="250317" spans="21:21" x14ac:dyDescent="0.3">
      <c r="U250317" s="25"/>
    </row>
    <row r="250339" spans="21:21" x14ac:dyDescent="0.3">
      <c r="U250339" s="25"/>
    </row>
    <row r="250361" spans="21:21" x14ac:dyDescent="0.3">
      <c r="U250361" s="25"/>
    </row>
    <row r="250383" spans="21:21" x14ac:dyDescent="0.3">
      <c r="U250383" s="25"/>
    </row>
    <row r="250405" spans="21:21" x14ac:dyDescent="0.3">
      <c r="U250405" s="25"/>
    </row>
    <row r="250427" spans="21:21" x14ac:dyDescent="0.3">
      <c r="U250427" s="25"/>
    </row>
    <row r="250449" spans="21:21" x14ac:dyDescent="0.3">
      <c r="U250449" s="25"/>
    </row>
    <row r="250471" spans="21:21" x14ac:dyDescent="0.3">
      <c r="U250471" s="25"/>
    </row>
    <row r="250493" spans="21:21" x14ac:dyDescent="0.3">
      <c r="U250493" s="25"/>
    </row>
    <row r="250515" spans="21:21" x14ac:dyDescent="0.3">
      <c r="U250515" s="25"/>
    </row>
    <row r="250537" spans="21:21" x14ac:dyDescent="0.3">
      <c r="U250537" s="25"/>
    </row>
    <row r="250559" spans="21:21" x14ac:dyDescent="0.3">
      <c r="U250559" s="25"/>
    </row>
    <row r="250581" spans="21:21" x14ac:dyDescent="0.3">
      <c r="U250581" s="25"/>
    </row>
    <row r="250603" spans="21:21" x14ac:dyDescent="0.3">
      <c r="U250603" s="25"/>
    </row>
    <row r="250625" spans="21:21" x14ac:dyDescent="0.3">
      <c r="U250625" s="25"/>
    </row>
    <row r="250647" spans="21:21" x14ac:dyDescent="0.3">
      <c r="U250647" s="25"/>
    </row>
    <row r="250669" spans="21:21" x14ac:dyDescent="0.3">
      <c r="U250669" s="25"/>
    </row>
    <row r="250691" spans="21:21" x14ac:dyDescent="0.3">
      <c r="U250691" s="25"/>
    </row>
    <row r="250713" spans="21:21" x14ac:dyDescent="0.3">
      <c r="U250713" s="25"/>
    </row>
    <row r="250735" spans="21:21" x14ac:dyDescent="0.3">
      <c r="U250735" s="25"/>
    </row>
    <row r="250757" spans="21:21" x14ac:dyDescent="0.3">
      <c r="U250757" s="25"/>
    </row>
    <row r="250779" spans="21:21" x14ac:dyDescent="0.3">
      <c r="U250779" s="25"/>
    </row>
    <row r="250801" spans="21:21" x14ac:dyDescent="0.3">
      <c r="U250801" s="25"/>
    </row>
    <row r="250823" spans="21:21" x14ac:dyDescent="0.3">
      <c r="U250823" s="25"/>
    </row>
    <row r="250845" spans="21:21" x14ac:dyDescent="0.3">
      <c r="U250845" s="25"/>
    </row>
    <row r="250867" spans="21:21" x14ac:dyDescent="0.3">
      <c r="U250867" s="25"/>
    </row>
    <row r="250889" spans="21:21" x14ac:dyDescent="0.3">
      <c r="U250889" s="25"/>
    </row>
    <row r="250911" spans="21:21" x14ac:dyDescent="0.3">
      <c r="U250911" s="25"/>
    </row>
    <row r="250933" spans="21:21" x14ac:dyDescent="0.3">
      <c r="U250933" s="25"/>
    </row>
    <row r="250955" spans="21:21" x14ac:dyDescent="0.3">
      <c r="U250955" s="25"/>
    </row>
    <row r="250977" spans="21:21" x14ac:dyDescent="0.3">
      <c r="U250977" s="25"/>
    </row>
    <row r="250999" spans="21:21" x14ac:dyDescent="0.3">
      <c r="U250999" s="25"/>
    </row>
    <row r="251021" spans="21:21" x14ac:dyDescent="0.3">
      <c r="U251021" s="25"/>
    </row>
    <row r="251043" spans="21:21" x14ac:dyDescent="0.3">
      <c r="U251043" s="25"/>
    </row>
    <row r="251065" spans="21:21" x14ac:dyDescent="0.3">
      <c r="U251065" s="25"/>
    </row>
    <row r="251087" spans="21:21" x14ac:dyDescent="0.3">
      <c r="U251087" s="25"/>
    </row>
    <row r="251109" spans="21:21" x14ac:dyDescent="0.3">
      <c r="U251109" s="25"/>
    </row>
    <row r="251131" spans="21:21" x14ac:dyDescent="0.3">
      <c r="U251131" s="25"/>
    </row>
    <row r="251153" spans="21:21" x14ac:dyDescent="0.3">
      <c r="U251153" s="25"/>
    </row>
    <row r="251175" spans="21:21" x14ac:dyDescent="0.3">
      <c r="U251175" s="25"/>
    </row>
    <row r="251197" spans="21:21" x14ac:dyDescent="0.3">
      <c r="U251197" s="25"/>
    </row>
    <row r="251219" spans="21:21" x14ac:dyDescent="0.3">
      <c r="U251219" s="25"/>
    </row>
    <row r="251241" spans="21:21" x14ac:dyDescent="0.3">
      <c r="U251241" s="25"/>
    </row>
    <row r="251263" spans="21:21" x14ac:dyDescent="0.3">
      <c r="U251263" s="25"/>
    </row>
    <row r="251285" spans="21:21" x14ac:dyDescent="0.3">
      <c r="U251285" s="25"/>
    </row>
    <row r="251307" spans="21:21" x14ac:dyDescent="0.3">
      <c r="U251307" s="25"/>
    </row>
    <row r="251329" spans="21:21" x14ac:dyDescent="0.3">
      <c r="U251329" s="25"/>
    </row>
    <row r="251351" spans="21:21" x14ac:dyDescent="0.3">
      <c r="U251351" s="25"/>
    </row>
    <row r="251373" spans="21:21" x14ac:dyDescent="0.3">
      <c r="U251373" s="25"/>
    </row>
    <row r="251395" spans="21:21" x14ac:dyDescent="0.3">
      <c r="U251395" s="25"/>
    </row>
    <row r="251417" spans="21:21" x14ac:dyDescent="0.3">
      <c r="U251417" s="25"/>
    </row>
    <row r="251439" spans="21:21" x14ac:dyDescent="0.3">
      <c r="U251439" s="25"/>
    </row>
    <row r="251461" spans="21:21" x14ac:dyDescent="0.3">
      <c r="U251461" s="25"/>
    </row>
    <row r="251483" spans="21:21" x14ac:dyDescent="0.3">
      <c r="U251483" s="25"/>
    </row>
    <row r="251505" spans="21:21" x14ac:dyDescent="0.3">
      <c r="U251505" s="25"/>
    </row>
    <row r="251527" spans="21:21" x14ac:dyDescent="0.3">
      <c r="U251527" s="25"/>
    </row>
    <row r="251549" spans="21:21" x14ac:dyDescent="0.3">
      <c r="U251549" s="25"/>
    </row>
    <row r="251571" spans="21:21" x14ac:dyDescent="0.3">
      <c r="U251571" s="25"/>
    </row>
    <row r="251593" spans="21:21" x14ac:dyDescent="0.3">
      <c r="U251593" s="25"/>
    </row>
    <row r="251615" spans="21:21" x14ac:dyDescent="0.3">
      <c r="U251615" s="25"/>
    </row>
    <row r="251637" spans="21:21" x14ac:dyDescent="0.3">
      <c r="U251637" s="25"/>
    </row>
    <row r="251659" spans="21:21" x14ac:dyDescent="0.3">
      <c r="U251659" s="25"/>
    </row>
    <row r="251681" spans="21:21" x14ac:dyDescent="0.3">
      <c r="U251681" s="25"/>
    </row>
    <row r="251703" spans="21:21" x14ac:dyDescent="0.3">
      <c r="U251703" s="25"/>
    </row>
    <row r="251725" spans="21:21" x14ac:dyDescent="0.3">
      <c r="U251725" s="25"/>
    </row>
    <row r="251747" spans="21:21" x14ac:dyDescent="0.3">
      <c r="U251747" s="25"/>
    </row>
    <row r="251769" spans="21:21" x14ac:dyDescent="0.3">
      <c r="U251769" s="25"/>
    </row>
    <row r="251791" spans="21:21" x14ac:dyDescent="0.3">
      <c r="U251791" s="25"/>
    </row>
    <row r="251813" spans="21:21" x14ac:dyDescent="0.3">
      <c r="U251813" s="25"/>
    </row>
    <row r="251835" spans="21:21" x14ac:dyDescent="0.3">
      <c r="U251835" s="25"/>
    </row>
    <row r="251857" spans="21:21" x14ac:dyDescent="0.3">
      <c r="U251857" s="25"/>
    </row>
    <row r="251879" spans="21:21" x14ac:dyDescent="0.3">
      <c r="U251879" s="25"/>
    </row>
    <row r="251901" spans="21:21" x14ac:dyDescent="0.3">
      <c r="U251901" s="25"/>
    </row>
    <row r="251923" spans="21:21" x14ac:dyDescent="0.3">
      <c r="U251923" s="25"/>
    </row>
    <row r="251945" spans="21:21" x14ac:dyDescent="0.3">
      <c r="U251945" s="25"/>
    </row>
    <row r="251967" spans="21:21" x14ac:dyDescent="0.3">
      <c r="U251967" s="25"/>
    </row>
    <row r="251989" spans="21:21" x14ac:dyDescent="0.3">
      <c r="U251989" s="25"/>
    </row>
    <row r="252011" spans="21:21" x14ac:dyDescent="0.3">
      <c r="U252011" s="25"/>
    </row>
    <row r="252033" spans="21:21" x14ac:dyDescent="0.3">
      <c r="U252033" s="25"/>
    </row>
    <row r="252055" spans="21:21" x14ac:dyDescent="0.3">
      <c r="U252055" s="25"/>
    </row>
    <row r="252077" spans="21:21" x14ac:dyDescent="0.3">
      <c r="U252077" s="25"/>
    </row>
    <row r="252099" spans="21:21" x14ac:dyDescent="0.3">
      <c r="U252099" s="25"/>
    </row>
    <row r="252121" spans="21:21" x14ac:dyDescent="0.3">
      <c r="U252121" s="25"/>
    </row>
    <row r="252143" spans="21:21" x14ac:dyDescent="0.3">
      <c r="U252143" s="25"/>
    </row>
    <row r="252165" spans="21:21" x14ac:dyDescent="0.3">
      <c r="U252165" s="25"/>
    </row>
    <row r="252187" spans="21:21" x14ac:dyDescent="0.3">
      <c r="U252187" s="25"/>
    </row>
    <row r="252209" spans="21:21" x14ac:dyDescent="0.3">
      <c r="U252209" s="25"/>
    </row>
    <row r="252231" spans="21:21" x14ac:dyDescent="0.3">
      <c r="U252231" s="25"/>
    </row>
    <row r="252253" spans="21:21" x14ac:dyDescent="0.3">
      <c r="U252253" s="25"/>
    </row>
    <row r="252275" spans="21:21" x14ac:dyDescent="0.3">
      <c r="U252275" s="25"/>
    </row>
    <row r="252297" spans="21:21" x14ac:dyDescent="0.3">
      <c r="U252297" s="25"/>
    </row>
    <row r="252319" spans="21:21" x14ac:dyDescent="0.3">
      <c r="U252319" s="25"/>
    </row>
    <row r="252341" spans="21:21" x14ac:dyDescent="0.3">
      <c r="U252341" s="25"/>
    </row>
    <row r="252363" spans="21:21" x14ac:dyDescent="0.3">
      <c r="U252363" s="25"/>
    </row>
    <row r="252385" spans="21:21" x14ac:dyDescent="0.3">
      <c r="U252385" s="25"/>
    </row>
    <row r="252407" spans="21:21" x14ac:dyDescent="0.3">
      <c r="U252407" s="25"/>
    </row>
    <row r="252429" spans="21:21" x14ac:dyDescent="0.3">
      <c r="U252429" s="25"/>
    </row>
    <row r="252451" spans="21:21" x14ac:dyDescent="0.3">
      <c r="U252451" s="25"/>
    </row>
    <row r="252473" spans="21:21" x14ac:dyDescent="0.3">
      <c r="U252473" s="25"/>
    </row>
    <row r="252495" spans="21:21" x14ac:dyDescent="0.3">
      <c r="U252495" s="25"/>
    </row>
    <row r="252517" spans="21:21" x14ac:dyDescent="0.3">
      <c r="U252517" s="25"/>
    </row>
    <row r="252539" spans="21:21" x14ac:dyDescent="0.3">
      <c r="U252539" s="25"/>
    </row>
    <row r="252561" spans="21:21" x14ac:dyDescent="0.3">
      <c r="U252561" s="25"/>
    </row>
    <row r="252583" spans="21:21" x14ac:dyDescent="0.3">
      <c r="U252583" s="25"/>
    </row>
    <row r="252605" spans="21:21" x14ac:dyDescent="0.3">
      <c r="U252605" s="25"/>
    </row>
    <row r="252627" spans="21:21" x14ac:dyDescent="0.3">
      <c r="U252627" s="25"/>
    </row>
    <row r="252649" spans="21:21" x14ac:dyDescent="0.3">
      <c r="U252649" s="25"/>
    </row>
    <row r="252671" spans="21:21" x14ac:dyDescent="0.3">
      <c r="U252671" s="25"/>
    </row>
    <row r="252693" spans="21:21" x14ac:dyDescent="0.3">
      <c r="U252693" s="25"/>
    </row>
    <row r="252715" spans="21:21" x14ac:dyDescent="0.3">
      <c r="U252715" s="25"/>
    </row>
    <row r="252737" spans="21:21" x14ac:dyDescent="0.3">
      <c r="U252737" s="25"/>
    </row>
    <row r="252759" spans="21:21" x14ac:dyDescent="0.3">
      <c r="U252759" s="25"/>
    </row>
    <row r="252781" spans="21:21" x14ac:dyDescent="0.3">
      <c r="U252781" s="25"/>
    </row>
    <row r="252803" spans="21:21" x14ac:dyDescent="0.3">
      <c r="U252803" s="25"/>
    </row>
    <row r="252825" spans="21:21" x14ac:dyDescent="0.3">
      <c r="U252825" s="25"/>
    </row>
    <row r="252847" spans="21:21" x14ac:dyDescent="0.3">
      <c r="U252847" s="25"/>
    </row>
    <row r="252869" spans="21:21" x14ac:dyDescent="0.3">
      <c r="U252869" s="25"/>
    </row>
    <row r="252891" spans="21:21" x14ac:dyDescent="0.3">
      <c r="U252891" s="25"/>
    </row>
    <row r="252913" spans="21:21" x14ac:dyDescent="0.3">
      <c r="U252913" s="25"/>
    </row>
    <row r="252935" spans="21:21" x14ac:dyDescent="0.3">
      <c r="U252935" s="25"/>
    </row>
    <row r="252957" spans="21:21" x14ac:dyDescent="0.3">
      <c r="U252957" s="25"/>
    </row>
    <row r="252979" spans="21:21" x14ac:dyDescent="0.3">
      <c r="U252979" s="25"/>
    </row>
    <row r="253001" spans="21:21" x14ac:dyDescent="0.3">
      <c r="U253001" s="25"/>
    </row>
    <row r="253023" spans="21:21" x14ac:dyDescent="0.3">
      <c r="U253023" s="25"/>
    </row>
    <row r="253045" spans="21:21" x14ac:dyDescent="0.3">
      <c r="U253045" s="25"/>
    </row>
    <row r="253067" spans="21:21" x14ac:dyDescent="0.3">
      <c r="U253067" s="25"/>
    </row>
    <row r="253089" spans="21:21" x14ac:dyDescent="0.3">
      <c r="U253089" s="25"/>
    </row>
    <row r="253111" spans="21:21" x14ac:dyDescent="0.3">
      <c r="U253111" s="25"/>
    </row>
    <row r="253133" spans="21:21" x14ac:dyDescent="0.3">
      <c r="U253133" s="25"/>
    </row>
    <row r="253155" spans="21:21" x14ac:dyDescent="0.3">
      <c r="U253155" s="25"/>
    </row>
    <row r="253177" spans="21:21" x14ac:dyDescent="0.3">
      <c r="U253177" s="25"/>
    </row>
    <row r="253199" spans="21:21" x14ac:dyDescent="0.3">
      <c r="U253199" s="25"/>
    </row>
    <row r="253221" spans="21:21" x14ac:dyDescent="0.3">
      <c r="U253221" s="25"/>
    </row>
    <row r="253243" spans="21:21" x14ac:dyDescent="0.3">
      <c r="U253243" s="25"/>
    </row>
    <row r="253265" spans="21:21" x14ac:dyDescent="0.3">
      <c r="U253265" s="25"/>
    </row>
    <row r="253287" spans="21:21" x14ac:dyDescent="0.3">
      <c r="U253287" s="25"/>
    </row>
    <row r="253309" spans="21:21" x14ac:dyDescent="0.3">
      <c r="U253309" s="25"/>
    </row>
    <row r="253331" spans="21:21" x14ac:dyDescent="0.3">
      <c r="U253331" s="25"/>
    </row>
    <row r="253353" spans="21:21" x14ac:dyDescent="0.3">
      <c r="U253353" s="25"/>
    </row>
    <row r="253375" spans="21:21" x14ac:dyDescent="0.3">
      <c r="U253375" s="25"/>
    </row>
    <row r="253397" spans="21:21" x14ac:dyDescent="0.3">
      <c r="U253397" s="25"/>
    </row>
    <row r="253419" spans="21:21" x14ac:dyDescent="0.3">
      <c r="U253419" s="25"/>
    </row>
    <row r="253441" spans="21:21" x14ac:dyDescent="0.3">
      <c r="U253441" s="25"/>
    </row>
    <row r="253463" spans="21:21" x14ac:dyDescent="0.3">
      <c r="U253463" s="25"/>
    </row>
    <row r="253485" spans="21:21" x14ac:dyDescent="0.3">
      <c r="U253485" s="25"/>
    </row>
    <row r="253507" spans="21:21" x14ac:dyDescent="0.3">
      <c r="U253507" s="25"/>
    </row>
    <row r="253529" spans="21:21" x14ac:dyDescent="0.3">
      <c r="U253529" s="25"/>
    </row>
    <row r="253551" spans="21:21" x14ac:dyDescent="0.3">
      <c r="U253551" s="25"/>
    </row>
    <row r="253573" spans="21:21" x14ac:dyDescent="0.3">
      <c r="U253573" s="25"/>
    </row>
    <row r="253595" spans="21:21" x14ac:dyDescent="0.3">
      <c r="U253595" s="25"/>
    </row>
    <row r="253617" spans="21:21" x14ac:dyDescent="0.3">
      <c r="U253617" s="25"/>
    </row>
    <row r="253639" spans="21:21" x14ac:dyDescent="0.3">
      <c r="U253639" s="25"/>
    </row>
    <row r="253661" spans="21:21" x14ac:dyDescent="0.3">
      <c r="U253661" s="25"/>
    </row>
    <row r="253683" spans="21:21" x14ac:dyDescent="0.3">
      <c r="U253683" s="25"/>
    </row>
    <row r="253705" spans="21:21" x14ac:dyDescent="0.3">
      <c r="U253705" s="25"/>
    </row>
    <row r="253727" spans="21:21" x14ac:dyDescent="0.3">
      <c r="U253727" s="25"/>
    </row>
    <row r="253749" spans="21:21" x14ac:dyDescent="0.3">
      <c r="U253749" s="25"/>
    </row>
    <row r="253771" spans="21:21" x14ac:dyDescent="0.3">
      <c r="U253771" s="25"/>
    </row>
    <row r="253793" spans="21:21" x14ac:dyDescent="0.3">
      <c r="U253793" s="25"/>
    </row>
    <row r="253815" spans="21:21" x14ac:dyDescent="0.3">
      <c r="U253815" s="25"/>
    </row>
    <row r="253837" spans="21:21" x14ac:dyDescent="0.3">
      <c r="U253837" s="25"/>
    </row>
    <row r="253859" spans="21:21" x14ac:dyDescent="0.3">
      <c r="U253859" s="25"/>
    </row>
    <row r="253881" spans="21:21" x14ac:dyDescent="0.3">
      <c r="U253881" s="25"/>
    </row>
    <row r="253903" spans="21:21" x14ac:dyDescent="0.3">
      <c r="U253903" s="25"/>
    </row>
    <row r="253925" spans="21:21" x14ac:dyDescent="0.3">
      <c r="U253925" s="25"/>
    </row>
    <row r="253947" spans="21:21" x14ac:dyDescent="0.3">
      <c r="U253947" s="25"/>
    </row>
    <row r="253969" spans="21:21" x14ac:dyDescent="0.3">
      <c r="U253969" s="25"/>
    </row>
    <row r="253991" spans="21:21" x14ac:dyDescent="0.3">
      <c r="U253991" s="25"/>
    </row>
    <row r="254013" spans="21:21" x14ac:dyDescent="0.3">
      <c r="U254013" s="25"/>
    </row>
    <row r="254035" spans="21:21" x14ac:dyDescent="0.3">
      <c r="U254035" s="25"/>
    </row>
    <row r="254057" spans="21:21" x14ac:dyDescent="0.3">
      <c r="U254057" s="25"/>
    </row>
    <row r="254079" spans="21:21" x14ac:dyDescent="0.3">
      <c r="U254079" s="25"/>
    </row>
    <row r="254101" spans="21:21" x14ac:dyDescent="0.3">
      <c r="U254101" s="25"/>
    </row>
    <row r="254123" spans="21:21" x14ac:dyDescent="0.3">
      <c r="U254123" s="25"/>
    </row>
    <row r="254145" spans="21:21" x14ac:dyDescent="0.3">
      <c r="U254145" s="25"/>
    </row>
    <row r="254167" spans="21:21" x14ac:dyDescent="0.3">
      <c r="U254167" s="25"/>
    </row>
    <row r="254189" spans="21:21" x14ac:dyDescent="0.3">
      <c r="U254189" s="25"/>
    </row>
    <row r="254211" spans="21:21" x14ac:dyDescent="0.3">
      <c r="U254211" s="25"/>
    </row>
    <row r="254233" spans="21:21" x14ac:dyDescent="0.3">
      <c r="U254233" s="25"/>
    </row>
    <row r="254255" spans="21:21" x14ac:dyDescent="0.3">
      <c r="U254255" s="25"/>
    </row>
    <row r="254277" spans="21:21" x14ac:dyDescent="0.3">
      <c r="U254277" s="25"/>
    </row>
    <row r="254299" spans="21:21" x14ac:dyDescent="0.3">
      <c r="U254299" s="25"/>
    </row>
    <row r="254321" spans="21:21" x14ac:dyDescent="0.3">
      <c r="U254321" s="25"/>
    </row>
    <row r="254343" spans="21:21" x14ac:dyDescent="0.3">
      <c r="U254343" s="25"/>
    </row>
    <row r="254365" spans="21:21" x14ac:dyDescent="0.3">
      <c r="U254365" s="25"/>
    </row>
    <row r="254387" spans="21:21" x14ac:dyDescent="0.3">
      <c r="U254387" s="25"/>
    </row>
    <row r="254409" spans="21:21" x14ac:dyDescent="0.3">
      <c r="U254409" s="25"/>
    </row>
    <row r="254431" spans="21:21" x14ac:dyDescent="0.3">
      <c r="U254431" s="25"/>
    </row>
    <row r="254453" spans="21:21" x14ac:dyDescent="0.3">
      <c r="U254453" s="25"/>
    </row>
    <row r="254475" spans="21:21" x14ac:dyDescent="0.3">
      <c r="U254475" s="25"/>
    </row>
    <row r="254497" spans="21:21" x14ac:dyDescent="0.3">
      <c r="U254497" s="25"/>
    </row>
    <row r="254519" spans="21:21" x14ac:dyDescent="0.3">
      <c r="U254519" s="25"/>
    </row>
    <row r="254541" spans="21:21" x14ac:dyDescent="0.3">
      <c r="U254541" s="25"/>
    </row>
    <row r="254563" spans="21:21" x14ac:dyDescent="0.3">
      <c r="U254563" s="25"/>
    </row>
    <row r="254585" spans="21:21" x14ac:dyDescent="0.3">
      <c r="U254585" s="25"/>
    </row>
    <row r="254607" spans="21:21" x14ac:dyDescent="0.3">
      <c r="U254607" s="25"/>
    </row>
    <row r="254629" spans="21:21" x14ac:dyDescent="0.3">
      <c r="U254629" s="25"/>
    </row>
    <row r="254651" spans="21:21" x14ac:dyDescent="0.3">
      <c r="U254651" s="25"/>
    </row>
    <row r="254673" spans="21:21" x14ac:dyDescent="0.3">
      <c r="U254673" s="25"/>
    </row>
    <row r="254695" spans="21:21" x14ac:dyDescent="0.3">
      <c r="U254695" s="25"/>
    </row>
    <row r="254717" spans="21:21" x14ac:dyDescent="0.3">
      <c r="U254717" s="25"/>
    </row>
    <row r="254739" spans="21:21" x14ac:dyDescent="0.3">
      <c r="U254739" s="25"/>
    </row>
    <row r="254761" spans="21:21" x14ac:dyDescent="0.3">
      <c r="U254761" s="25"/>
    </row>
    <row r="254783" spans="21:21" x14ac:dyDescent="0.3">
      <c r="U254783" s="25"/>
    </row>
    <row r="254805" spans="21:21" x14ac:dyDescent="0.3">
      <c r="U254805" s="25"/>
    </row>
    <row r="254827" spans="21:21" x14ac:dyDescent="0.3">
      <c r="U254827" s="25"/>
    </row>
    <row r="254849" spans="21:21" x14ac:dyDescent="0.3">
      <c r="U254849" s="25"/>
    </row>
    <row r="254871" spans="21:21" x14ac:dyDescent="0.3">
      <c r="U254871" s="25"/>
    </row>
    <row r="254893" spans="21:21" x14ac:dyDescent="0.3">
      <c r="U254893" s="25"/>
    </row>
    <row r="254915" spans="21:21" x14ac:dyDescent="0.3">
      <c r="U254915" s="25"/>
    </row>
    <row r="254937" spans="21:21" x14ac:dyDescent="0.3">
      <c r="U254937" s="25"/>
    </row>
    <row r="254959" spans="21:21" x14ac:dyDescent="0.3">
      <c r="U254959" s="25"/>
    </row>
    <row r="254981" spans="21:21" x14ac:dyDescent="0.3">
      <c r="U254981" s="25"/>
    </row>
    <row r="255003" spans="21:21" x14ac:dyDescent="0.3">
      <c r="U255003" s="25"/>
    </row>
    <row r="255025" spans="21:21" x14ac:dyDescent="0.3">
      <c r="U255025" s="25"/>
    </row>
    <row r="255047" spans="21:21" x14ac:dyDescent="0.3">
      <c r="U255047" s="25"/>
    </row>
    <row r="255069" spans="21:21" x14ac:dyDescent="0.3">
      <c r="U255069" s="25"/>
    </row>
    <row r="255091" spans="21:21" x14ac:dyDescent="0.3">
      <c r="U255091" s="25"/>
    </row>
    <row r="255113" spans="21:21" x14ac:dyDescent="0.3">
      <c r="U255113" s="25"/>
    </row>
    <row r="255135" spans="21:21" x14ac:dyDescent="0.3">
      <c r="U255135" s="25"/>
    </row>
    <row r="255157" spans="21:21" x14ac:dyDescent="0.3">
      <c r="U255157" s="25"/>
    </row>
    <row r="255179" spans="21:21" x14ac:dyDescent="0.3">
      <c r="U255179" s="25"/>
    </row>
    <row r="255201" spans="21:21" x14ac:dyDescent="0.3">
      <c r="U255201" s="25"/>
    </row>
    <row r="255223" spans="21:21" x14ac:dyDescent="0.3">
      <c r="U255223" s="25"/>
    </row>
    <row r="255245" spans="21:21" x14ac:dyDescent="0.3">
      <c r="U255245" s="25"/>
    </row>
    <row r="255267" spans="21:21" x14ac:dyDescent="0.3">
      <c r="U255267" s="25"/>
    </row>
    <row r="255289" spans="21:21" x14ac:dyDescent="0.3">
      <c r="U255289" s="25"/>
    </row>
    <row r="255311" spans="21:21" x14ac:dyDescent="0.3">
      <c r="U255311" s="25"/>
    </row>
    <row r="255333" spans="21:21" x14ac:dyDescent="0.3">
      <c r="U255333" s="25"/>
    </row>
    <row r="255355" spans="21:21" x14ac:dyDescent="0.3">
      <c r="U255355" s="25"/>
    </row>
    <row r="255377" spans="21:21" x14ac:dyDescent="0.3">
      <c r="U255377" s="25"/>
    </row>
    <row r="255399" spans="21:21" x14ac:dyDescent="0.3">
      <c r="U255399" s="25"/>
    </row>
    <row r="255421" spans="21:21" x14ac:dyDescent="0.3">
      <c r="U255421" s="25"/>
    </row>
    <row r="255443" spans="21:21" x14ac:dyDescent="0.3">
      <c r="U255443" s="25"/>
    </row>
    <row r="255465" spans="21:21" x14ac:dyDescent="0.3">
      <c r="U255465" s="25"/>
    </row>
    <row r="255487" spans="21:21" x14ac:dyDescent="0.3">
      <c r="U255487" s="25"/>
    </row>
    <row r="255509" spans="21:21" x14ac:dyDescent="0.3">
      <c r="U255509" s="25"/>
    </row>
    <row r="255531" spans="21:21" x14ac:dyDescent="0.3">
      <c r="U255531" s="25"/>
    </row>
    <row r="255553" spans="21:21" x14ac:dyDescent="0.3">
      <c r="U255553" s="25"/>
    </row>
    <row r="255575" spans="21:21" x14ac:dyDescent="0.3">
      <c r="U255575" s="25"/>
    </row>
    <row r="255597" spans="21:21" x14ac:dyDescent="0.3">
      <c r="U255597" s="25"/>
    </row>
    <row r="255619" spans="21:21" x14ac:dyDescent="0.3">
      <c r="U255619" s="25"/>
    </row>
    <row r="255641" spans="21:21" x14ac:dyDescent="0.3">
      <c r="U255641" s="25"/>
    </row>
    <row r="255663" spans="21:21" x14ac:dyDescent="0.3">
      <c r="U255663" s="25"/>
    </row>
    <row r="255685" spans="21:21" x14ac:dyDescent="0.3">
      <c r="U255685" s="25"/>
    </row>
    <row r="255707" spans="21:21" x14ac:dyDescent="0.3">
      <c r="U255707" s="25"/>
    </row>
    <row r="255729" spans="21:21" x14ac:dyDescent="0.3">
      <c r="U255729" s="25"/>
    </row>
    <row r="255751" spans="21:21" x14ac:dyDescent="0.3">
      <c r="U255751" s="25"/>
    </row>
    <row r="255773" spans="21:21" x14ac:dyDescent="0.3">
      <c r="U255773" s="25"/>
    </row>
    <row r="255795" spans="21:21" x14ac:dyDescent="0.3">
      <c r="U255795" s="25"/>
    </row>
    <row r="255817" spans="21:21" x14ac:dyDescent="0.3">
      <c r="U255817" s="25"/>
    </row>
    <row r="255839" spans="21:21" x14ac:dyDescent="0.3">
      <c r="U255839" s="25"/>
    </row>
    <row r="255861" spans="21:21" x14ac:dyDescent="0.3">
      <c r="U255861" s="25"/>
    </row>
    <row r="255883" spans="21:21" x14ac:dyDescent="0.3">
      <c r="U255883" s="25"/>
    </row>
    <row r="255905" spans="21:21" x14ac:dyDescent="0.3">
      <c r="U255905" s="25"/>
    </row>
    <row r="255927" spans="21:21" x14ac:dyDescent="0.3">
      <c r="U255927" s="25"/>
    </row>
    <row r="255949" spans="21:21" x14ac:dyDescent="0.3">
      <c r="U255949" s="25"/>
    </row>
    <row r="255971" spans="21:21" x14ac:dyDescent="0.3">
      <c r="U255971" s="25"/>
    </row>
    <row r="255993" spans="21:21" x14ac:dyDescent="0.3">
      <c r="U255993" s="25"/>
    </row>
    <row r="256015" spans="21:21" x14ac:dyDescent="0.3">
      <c r="U256015" s="25"/>
    </row>
    <row r="256037" spans="21:21" x14ac:dyDescent="0.3">
      <c r="U256037" s="25"/>
    </row>
    <row r="256059" spans="21:21" x14ac:dyDescent="0.3">
      <c r="U256059" s="25"/>
    </row>
    <row r="256081" spans="21:21" x14ac:dyDescent="0.3">
      <c r="U256081" s="25"/>
    </row>
    <row r="256103" spans="21:21" x14ac:dyDescent="0.3">
      <c r="U256103" s="25"/>
    </row>
    <row r="256125" spans="21:21" x14ac:dyDescent="0.3">
      <c r="U256125" s="25"/>
    </row>
    <row r="256147" spans="21:21" x14ac:dyDescent="0.3">
      <c r="U256147" s="25"/>
    </row>
    <row r="256169" spans="21:21" x14ac:dyDescent="0.3">
      <c r="U256169" s="25"/>
    </row>
    <row r="256191" spans="21:21" x14ac:dyDescent="0.3">
      <c r="U256191" s="25"/>
    </row>
    <row r="256213" spans="21:21" x14ac:dyDescent="0.3">
      <c r="U256213" s="25"/>
    </row>
    <row r="256235" spans="21:21" x14ac:dyDescent="0.3">
      <c r="U256235" s="25"/>
    </row>
    <row r="256257" spans="21:21" x14ac:dyDescent="0.3">
      <c r="U256257" s="25"/>
    </row>
    <row r="256279" spans="21:21" x14ac:dyDescent="0.3">
      <c r="U256279" s="25"/>
    </row>
    <row r="256301" spans="21:21" x14ac:dyDescent="0.3">
      <c r="U256301" s="25"/>
    </row>
    <row r="256323" spans="21:21" x14ac:dyDescent="0.3">
      <c r="U256323" s="25"/>
    </row>
    <row r="256345" spans="21:21" x14ac:dyDescent="0.3">
      <c r="U256345" s="25"/>
    </row>
    <row r="256367" spans="21:21" x14ac:dyDescent="0.3">
      <c r="U256367" s="25"/>
    </row>
    <row r="256389" spans="21:21" x14ac:dyDescent="0.3">
      <c r="U256389" s="25"/>
    </row>
    <row r="256411" spans="21:21" x14ac:dyDescent="0.3">
      <c r="U256411" s="25"/>
    </row>
    <row r="256433" spans="21:21" x14ac:dyDescent="0.3">
      <c r="U256433" s="25"/>
    </row>
    <row r="256455" spans="21:21" x14ac:dyDescent="0.3">
      <c r="U256455" s="25"/>
    </row>
    <row r="256477" spans="21:21" x14ac:dyDescent="0.3">
      <c r="U256477" s="25"/>
    </row>
    <row r="256499" spans="21:21" x14ac:dyDescent="0.3">
      <c r="U256499" s="25"/>
    </row>
    <row r="256521" spans="21:21" x14ac:dyDescent="0.3">
      <c r="U256521" s="25"/>
    </row>
    <row r="256543" spans="21:21" x14ac:dyDescent="0.3">
      <c r="U256543" s="25"/>
    </row>
    <row r="256565" spans="21:21" x14ac:dyDescent="0.3">
      <c r="U256565" s="25"/>
    </row>
    <row r="256587" spans="21:21" x14ac:dyDescent="0.3">
      <c r="U256587" s="25"/>
    </row>
    <row r="256609" spans="21:21" x14ac:dyDescent="0.3">
      <c r="U256609" s="25"/>
    </row>
    <row r="256631" spans="21:21" x14ac:dyDescent="0.3">
      <c r="U256631" s="25"/>
    </row>
    <row r="256653" spans="21:21" x14ac:dyDescent="0.3">
      <c r="U256653" s="25"/>
    </row>
    <row r="256675" spans="21:21" x14ac:dyDescent="0.3">
      <c r="U256675" s="25"/>
    </row>
    <row r="256697" spans="21:21" x14ac:dyDescent="0.3">
      <c r="U256697" s="25"/>
    </row>
    <row r="256719" spans="21:21" x14ac:dyDescent="0.3">
      <c r="U256719" s="25"/>
    </row>
    <row r="256741" spans="21:21" x14ac:dyDescent="0.3">
      <c r="U256741" s="25"/>
    </row>
    <row r="256763" spans="21:21" x14ac:dyDescent="0.3">
      <c r="U256763" s="25"/>
    </row>
    <row r="256785" spans="21:21" x14ac:dyDescent="0.3">
      <c r="U256785" s="25"/>
    </row>
    <row r="256807" spans="21:21" x14ac:dyDescent="0.3">
      <c r="U256807" s="25"/>
    </row>
    <row r="256829" spans="21:21" x14ac:dyDescent="0.3">
      <c r="U256829" s="25"/>
    </row>
    <row r="256851" spans="21:21" x14ac:dyDescent="0.3">
      <c r="U256851" s="25"/>
    </row>
    <row r="256873" spans="21:21" x14ac:dyDescent="0.3">
      <c r="U256873" s="25"/>
    </row>
    <row r="256895" spans="21:21" x14ac:dyDescent="0.3">
      <c r="U256895" s="25"/>
    </row>
    <row r="256917" spans="21:21" x14ac:dyDescent="0.3">
      <c r="U256917" s="25"/>
    </row>
    <row r="256939" spans="21:21" x14ac:dyDescent="0.3">
      <c r="U256939" s="25"/>
    </row>
    <row r="256961" spans="21:21" x14ac:dyDescent="0.3">
      <c r="U256961" s="25"/>
    </row>
    <row r="256983" spans="21:21" x14ac:dyDescent="0.3">
      <c r="U256983" s="25"/>
    </row>
    <row r="257005" spans="21:21" x14ac:dyDescent="0.3">
      <c r="U257005" s="25"/>
    </row>
    <row r="257027" spans="21:21" x14ac:dyDescent="0.3">
      <c r="U257027" s="25"/>
    </row>
    <row r="257049" spans="21:21" x14ac:dyDescent="0.3">
      <c r="U257049" s="25"/>
    </row>
    <row r="257071" spans="21:21" x14ac:dyDescent="0.3">
      <c r="U257071" s="25"/>
    </row>
    <row r="257093" spans="21:21" x14ac:dyDescent="0.3">
      <c r="U257093" s="25"/>
    </row>
    <row r="257115" spans="21:21" x14ac:dyDescent="0.3">
      <c r="U257115" s="25"/>
    </row>
    <row r="257137" spans="21:21" x14ac:dyDescent="0.3">
      <c r="U257137" s="25"/>
    </row>
    <row r="257159" spans="21:21" x14ac:dyDescent="0.3">
      <c r="U257159" s="25"/>
    </row>
    <row r="257181" spans="21:21" x14ac:dyDescent="0.3">
      <c r="U257181" s="25"/>
    </row>
    <row r="257203" spans="21:21" x14ac:dyDescent="0.3">
      <c r="U257203" s="25"/>
    </row>
    <row r="257225" spans="21:21" x14ac:dyDescent="0.3">
      <c r="U257225" s="25"/>
    </row>
    <row r="257247" spans="21:21" x14ac:dyDescent="0.3">
      <c r="U257247" s="25"/>
    </row>
    <row r="257269" spans="21:21" x14ac:dyDescent="0.3">
      <c r="U257269" s="25"/>
    </row>
    <row r="257291" spans="21:21" x14ac:dyDescent="0.3">
      <c r="U257291" s="25"/>
    </row>
    <row r="257313" spans="21:21" x14ac:dyDescent="0.3">
      <c r="U257313" s="25"/>
    </row>
    <row r="257335" spans="21:21" x14ac:dyDescent="0.3">
      <c r="U257335" s="25"/>
    </row>
    <row r="257357" spans="21:21" x14ac:dyDescent="0.3">
      <c r="U257357" s="25"/>
    </row>
    <row r="257379" spans="21:21" x14ac:dyDescent="0.3">
      <c r="U257379" s="25"/>
    </row>
    <row r="257401" spans="21:21" x14ac:dyDescent="0.3">
      <c r="U257401" s="25"/>
    </row>
    <row r="257423" spans="21:21" x14ac:dyDescent="0.3">
      <c r="U257423" s="25"/>
    </row>
    <row r="257445" spans="21:21" x14ac:dyDescent="0.3">
      <c r="U257445" s="25"/>
    </row>
    <row r="257467" spans="21:21" x14ac:dyDescent="0.3">
      <c r="U257467" s="25"/>
    </row>
    <row r="257489" spans="21:21" x14ac:dyDescent="0.3">
      <c r="U257489" s="25"/>
    </row>
    <row r="257511" spans="21:21" x14ac:dyDescent="0.3">
      <c r="U257511" s="25"/>
    </row>
    <row r="257533" spans="21:21" x14ac:dyDescent="0.3">
      <c r="U257533" s="25"/>
    </row>
    <row r="257555" spans="21:21" x14ac:dyDescent="0.3">
      <c r="U257555" s="25"/>
    </row>
    <row r="257577" spans="21:21" x14ac:dyDescent="0.3">
      <c r="U257577" s="25"/>
    </row>
    <row r="257599" spans="21:21" x14ac:dyDescent="0.3">
      <c r="U257599" s="25"/>
    </row>
    <row r="257621" spans="21:21" x14ac:dyDescent="0.3">
      <c r="U257621" s="25"/>
    </row>
    <row r="257643" spans="21:21" x14ac:dyDescent="0.3">
      <c r="U257643" s="25"/>
    </row>
    <row r="257665" spans="21:21" x14ac:dyDescent="0.3">
      <c r="U257665" s="25"/>
    </row>
    <row r="257687" spans="21:21" x14ac:dyDescent="0.3">
      <c r="U257687" s="25"/>
    </row>
    <row r="257709" spans="21:21" x14ac:dyDescent="0.3">
      <c r="U257709" s="25"/>
    </row>
    <row r="257731" spans="21:21" x14ac:dyDescent="0.3">
      <c r="U257731" s="25"/>
    </row>
    <row r="257753" spans="21:21" x14ac:dyDescent="0.3">
      <c r="U257753" s="25"/>
    </row>
    <row r="257775" spans="21:21" x14ac:dyDescent="0.3">
      <c r="U257775" s="25"/>
    </row>
    <row r="257797" spans="21:21" x14ac:dyDescent="0.3">
      <c r="U257797" s="25"/>
    </row>
    <row r="257819" spans="21:21" x14ac:dyDescent="0.3">
      <c r="U257819" s="25"/>
    </row>
    <row r="257841" spans="21:21" x14ac:dyDescent="0.3">
      <c r="U257841" s="25"/>
    </row>
    <row r="257863" spans="21:21" x14ac:dyDescent="0.3">
      <c r="U257863" s="25"/>
    </row>
    <row r="257885" spans="21:21" x14ac:dyDescent="0.3">
      <c r="U257885" s="25"/>
    </row>
    <row r="257907" spans="21:21" x14ac:dyDescent="0.3">
      <c r="U257907" s="25"/>
    </row>
    <row r="257929" spans="21:21" x14ac:dyDescent="0.3">
      <c r="U257929" s="25"/>
    </row>
    <row r="257951" spans="21:21" x14ac:dyDescent="0.3">
      <c r="U257951" s="25"/>
    </row>
    <row r="257973" spans="21:21" x14ac:dyDescent="0.3">
      <c r="U257973" s="25"/>
    </row>
    <row r="257995" spans="21:21" x14ac:dyDescent="0.3">
      <c r="U257995" s="25"/>
    </row>
    <row r="258017" spans="21:21" x14ac:dyDescent="0.3">
      <c r="U258017" s="25"/>
    </row>
    <row r="258039" spans="21:21" x14ac:dyDescent="0.3">
      <c r="U258039" s="25"/>
    </row>
    <row r="258061" spans="21:21" x14ac:dyDescent="0.3">
      <c r="U258061" s="25"/>
    </row>
    <row r="258083" spans="21:21" x14ac:dyDescent="0.3">
      <c r="U258083" s="25"/>
    </row>
    <row r="258105" spans="21:21" x14ac:dyDescent="0.3">
      <c r="U258105" s="25"/>
    </row>
    <row r="258127" spans="21:21" x14ac:dyDescent="0.3">
      <c r="U258127" s="25"/>
    </row>
    <row r="258149" spans="21:21" x14ac:dyDescent="0.3">
      <c r="U258149" s="25"/>
    </row>
    <row r="258171" spans="21:21" x14ac:dyDescent="0.3">
      <c r="U258171" s="25"/>
    </row>
    <row r="258193" spans="21:21" x14ac:dyDescent="0.3">
      <c r="U258193" s="25"/>
    </row>
    <row r="258215" spans="21:21" x14ac:dyDescent="0.3">
      <c r="U258215" s="25"/>
    </row>
    <row r="258237" spans="21:21" x14ac:dyDescent="0.3">
      <c r="U258237" s="25"/>
    </row>
    <row r="258259" spans="21:21" x14ac:dyDescent="0.3">
      <c r="U258259" s="25"/>
    </row>
    <row r="258281" spans="21:21" x14ac:dyDescent="0.3">
      <c r="U258281" s="25"/>
    </row>
    <row r="258303" spans="21:21" x14ac:dyDescent="0.3">
      <c r="U258303" s="25"/>
    </row>
    <row r="258325" spans="21:21" x14ac:dyDescent="0.3">
      <c r="U258325" s="25"/>
    </row>
    <row r="258347" spans="21:21" x14ac:dyDescent="0.3">
      <c r="U258347" s="25"/>
    </row>
    <row r="258369" spans="21:21" x14ac:dyDescent="0.3">
      <c r="U258369" s="25"/>
    </row>
    <row r="258391" spans="21:21" x14ac:dyDescent="0.3">
      <c r="U258391" s="25"/>
    </row>
    <row r="258413" spans="21:21" x14ac:dyDescent="0.3">
      <c r="U258413" s="25"/>
    </row>
    <row r="258435" spans="21:21" x14ac:dyDescent="0.3">
      <c r="U258435" s="25"/>
    </row>
    <row r="258457" spans="21:21" x14ac:dyDescent="0.3">
      <c r="U258457" s="25"/>
    </row>
    <row r="258479" spans="21:21" x14ac:dyDescent="0.3">
      <c r="U258479" s="25"/>
    </row>
    <row r="258501" spans="21:21" x14ac:dyDescent="0.3">
      <c r="U258501" s="25"/>
    </row>
    <row r="258523" spans="21:21" x14ac:dyDescent="0.3">
      <c r="U258523" s="25"/>
    </row>
    <row r="258545" spans="21:21" x14ac:dyDescent="0.3">
      <c r="U258545" s="25"/>
    </row>
    <row r="258567" spans="21:21" x14ac:dyDescent="0.3">
      <c r="U258567" s="25"/>
    </row>
    <row r="258589" spans="21:21" x14ac:dyDescent="0.3">
      <c r="U258589" s="25"/>
    </row>
    <row r="258611" spans="21:21" x14ac:dyDescent="0.3">
      <c r="U258611" s="25"/>
    </row>
    <row r="258633" spans="21:21" x14ac:dyDescent="0.3">
      <c r="U258633" s="25"/>
    </row>
    <row r="258655" spans="21:21" x14ac:dyDescent="0.3">
      <c r="U258655" s="25"/>
    </row>
    <row r="258677" spans="21:21" x14ac:dyDescent="0.3">
      <c r="U258677" s="25"/>
    </row>
    <row r="258699" spans="21:21" x14ac:dyDescent="0.3">
      <c r="U258699" s="25"/>
    </row>
    <row r="258721" spans="21:21" x14ac:dyDescent="0.3">
      <c r="U258721" s="25"/>
    </row>
    <row r="258743" spans="21:21" x14ac:dyDescent="0.3">
      <c r="U258743" s="25"/>
    </row>
    <row r="258765" spans="21:21" x14ac:dyDescent="0.3">
      <c r="U258765" s="25"/>
    </row>
    <row r="258787" spans="21:21" x14ac:dyDescent="0.3">
      <c r="U258787" s="25"/>
    </row>
    <row r="258809" spans="21:21" x14ac:dyDescent="0.3">
      <c r="U258809" s="25"/>
    </row>
    <row r="258831" spans="21:21" x14ac:dyDescent="0.3">
      <c r="U258831" s="25"/>
    </row>
    <row r="258853" spans="21:21" x14ac:dyDescent="0.3">
      <c r="U258853" s="25"/>
    </row>
    <row r="258875" spans="21:21" x14ac:dyDescent="0.3">
      <c r="U258875" s="25"/>
    </row>
    <row r="258897" spans="21:21" x14ac:dyDescent="0.3">
      <c r="U258897" s="25"/>
    </row>
    <row r="258919" spans="21:21" x14ac:dyDescent="0.3">
      <c r="U258919" s="25"/>
    </row>
    <row r="258941" spans="21:21" x14ac:dyDescent="0.3">
      <c r="U258941" s="25"/>
    </row>
    <row r="258963" spans="21:21" x14ac:dyDescent="0.3">
      <c r="U258963" s="25"/>
    </row>
    <row r="258985" spans="21:21" x14ac:dyDescent="0.3">
      <c r="U258985" s="25"/>
    </row>
    <row r="259007" spans="21:21" x14ac:dyDescent="0.3">
      <c r="U259007" s="25"/>
    </row>
    <row r="259029" spans="21:21" x14ac:dyDescent="0.3">
      <c r="U259029" s="25"/>
    </row>
    <row r="259051" spans="21:21" x14ac:dyDescent="0.3">
      <c r="U259051" s="25"/>
    </row>
    <row r="259073" spans="21:21" x14ac:dyDescent="0.3">
      <c r="U259073" s="25"/>
    </row>
    <row r="259095" spans="21:21" x14ac:dyDescent="0.3">
      <c r="U259095" s="25"/>
    </row>
    <row r="259117" spans="21:21" x14ac:dyDescent="0.3">
      <c r="U259117" s="25"/>
    </row>
    <row r="259139" spans="21:21" x14ac:dyDescent="0.3">
      <c r="U259139" s="25"/>
    </row>
    <row r="259161" spans="21:21" x14ac:dyDescent="0.3">
      <c r="U259161" s="25"/>
    </row>
    <row r="259183" spans="21:21" x14ac:dyDescent="0.3">
      <c r="U259183" s="25"/>
    </row>
    <row r="259205" spans="21:21" x14ac:dyDescent="0.3">
      <c r="U259205" s="25"/>
    </row>
    <row r="259227" spans="21:21" x14ac:dyDescent="0.3">
      <c r="U259227" s="25"/>
    </row>
    <row r="259249" spans="21:21" x14ac:dyDescent="0.3">
      <c r="U259249" s="25"/>
    </row>
    <row r="259271" spans="21:21" x14ac:dyDescent="0.3">
      <c r="U259271" s="25"/>
    </row>
    <row r="259293" spans="21:21" x14ac:dyDescent="0.3">
      <c r="U259293" s="25"/>
    </row>
    <row r="259315" spans="21:21" x14ac:dyDescent="0.3">
      <c r="U259315" s="25"/>
    </row>
    <row r="259337" spans="21:21" x14ac:dyDescent="0.3">
      <c r="U259337" s="25"/>
    </row>
    <row r="259359" spans="21:21" x14ac:dyDescent="0.3">
      <c r="U259359" s="25"/>
    </row>
    <row r="259381" spans="21:21" x14ac:dyDescent="0.3">
      <c r="U259381" s="25"/>
    </row>
    <row r="259403" spans="21:21" x14ac:dyDescent="0.3">
      <c r="U259403" s="25"/>
    </row>
    <row r="259425" spans="21:21" x14ac:dyDescent="0.3">
      <c r="U259425" s="25"/>
    </row>
    <row r="259447" spans="21:21" x14ac:dyDescent="0.3">
      <c r="U259447" s="25"/>
    </row>
    <row r="259469" spans="21:21" x14ac:dyDescent="0.3">
      <c r="U259469" s="25"/>
    </row>
    <row r="259491" spans="21:21" x14ac:dyDescent="0.3">
      <c r="U259491" s="25"/>
    </row>
    <row r="259513" spans="21:21" x14ac:dyDescent="0.3">
      <c r="U259513" s="25"/>
    </row>
    <row r="259535" spans="21:21" x14ac:dyDescent="0.3">
      <c r="U259535" s="25"/>
    </row>
    <row r="259557" spans="21:21" x14ac:dyDescent="0.3">
      <c r="U259557" s="25"/>
    </row>
    <row r="259579" spans="21:21" x14ac:dyDescent="0.3">
      <c r="U259579" s="25"/>
    </row>
    <row r="259601" spans="21:21" x14ac:dyDescent="0.3">
      <c r="U259601" s="25"/>
    </row>
    <row r="259623" spans="21:21" x14ac:dyDescent="0.3">
      <c r="U259623" s="25"/>
    </row>
    <row r="259645" spans="21:21" x14ac:dyDescent="0.3">
      <c r="U259645" s="25"/>
    </row>
    <row r="259667" spans="21:21" x14ac:dyDescent="0.3">
      <c r="U259667" s="25"/>
    </row>
    <row r="259689" spans="21:21" x14ac:dyDescent="0.3">
      <c r="U259689" s="25"/>
    </row>
    <row r="259711" spans="21:21" x14ac:dyDescent="0.3">
      <c r="U259711" s="25"/>
    </row>
    <row r="259733" spans="21:21" x14ac:dyDescent="0.3">
      <c r="U259733" s="25"/>
    </row>
    <row r="259755" spans="21:21" x14ac:dyDescent="0.3">
      <c r="U259755" s="25"/>
    </row>
    <row r="259777" spans="21:21" x14ac:dyDescent="0.3">
      <c r="U259777" s="25"/>
    </row>
    <row r="259799" spans="21:21" x14ac:dyDescent="0.3">
      <c r="U259799" s="25"/>
    </row>
    <row r="259821" spans="21:21" x14ac:dyDescent="0.3">
      <c r="U259821" s="25"/>
    </row>
    <row r="259843" spans="21:21" x14ac:dyDescent="0.3">
      <c r="U259843" s="25"/>
    </row>
    <row r="259865" spans="21:21" x14ac:dyDescent="0.3">
      <c r="U259865" s="25"/>
    </row>
    <row r="259887" spans="21:21" x14ac:dyDescent="0.3">
      <c r="U259887" s="25"/>
    </row>
    <row r="259909" spans="21:21" x14ac:dyDescent="0.3">
      <c r="U259909" s="25"/>
    </row>
    <row r="259931" spans="21:21" x14ac:dyDescent="0.3">
      <c r="U259931" s="25"/>
    </row>
    <row r="259953" spans="21:21" x14ac:dyDescent="0.3">
      <c r="U259953" s="25"/>
    </row>
    <row r="259975" spans="21:21" x14ac:dyDescent="0.3">
      <c r="U259975" s="25"/>
    </row>
    <row r="259997" spans="21:21" x14ac:dyDescent="0.3">
      <c r="U259997" s="25"/>
    </row>
    <row r="260019" spans="21:21" x14ac:dyDescent="0.3">
      <c r="U260019" s="25"/>
    </row>
    <row r="260041" spans="21:21" x14ac:dyDescent="0.3">
      <c r="U260041" s="25"/>
    </row>
    <row r="260063" spans="21:21" x14ac:dyDescent="0.3">
      <c r="U260063" s="25"/>
    </row>
    <row r="260085" spans="21:21" x14ac:dyDescent="0.3">
      <c r="U260085" s="25"/>
    </row>
    <row r="260107" spans="21:21" x14ac:dyDescent="0.3">
      <c r="U260107" s="25"/>
    </row>
    <row r="260129" spans="21:21" x14ac:dyDescent="0.3">
      <c r="U260129" s="25"/>
    </row>
    <row r="260151" spans="21:21" x14ac:dyDescent="0.3">
      <c r="U260151" s="25"/>
    </row>
    <row r="260173" spans="21:21" x14ac:dyDescent="0.3">
      <c r="U260173" s="25"/>
    </row>
    <row r="260195" spans="21:21" x14ac:dyDescent="0.3">
      <c r="U260195" s="25"/>
    </row>
    <row r="260217" spans="21:21" x14ac:dyDescent="0.3">
      <c r="U260217" s="25"/>
    </row>
    <row r="260239" spans="21:21" x14ac:dyDescent="0.3">
      <c r="U260239" s="25"/>
    </row>
    <row r="260261" spans="21:21" x14ac:dyDescent="0.3">
      <c r="U260261" s="25"/>
    </row>
    <row r="260283" spans="21:21" x14ac:dyDescent="0.3">
      <c r="U260283" s="25"/>
    </row>
    <row r="260305" spans="21:21" x14ac:dyDescent="0.3">
      <c r="U260305" s="25"/>
    </row>
    <row r="260327" spans="21:21" x14ac:dyDescent="0.3">
      <c r="U260327" s="25"/>
    </row>
    <row r="260349" spans="21:21" x14ac:dyDescent="0.3">
      <c r="U260349" s="25"/>
    </row>
    <row r="260371" spans="21:21" x14ac:dyDescent="0.3">
      <c r="U260371" s="25"/>
    </row>
    <row r="260393" spans="21:21" x14ac:dyDescent="0.3">
      <c r="U260393" s="25"/>
    </row>
    <row r="260415" spans="21:21" x14ac:dyDescent="0.3">
      <c r="U260415" s="25"/>
    </row>
    <row r="260437" spans="21:21" x14ac:dyDescent="0.3">
      <c r="U260437" s="25"/>
    </row>
    <row r="260459" spans="21:21" x14ac:dyDescent="0.3">
      <c r="U260459" s="25"/>
    </row>
    <row r="260481" spans="21:21" x14ac:dyDescent="0.3">
      <c r="U260481" s="25"/>
    </row>
    <row r="260503" spans="21:21" x14ac:dyDescent="0.3">
      <c r="U260503" s="25"/>
    </row>
    <row r="260525" spans="21:21" x14ac:dyDescent="0.3">
      <c r="U260525" s="25"/>
    </row>
    <row r="260547" spans="21:21" x14ac:dyDescent="0.3">
      <c r="U260547" s="25"/>
    </row>
    <row r="260569" spans="21:21" x14ac:dyDescent="0.3">
      <c r="U260569" s="25"/>
    </row>
    <row r="260591" spans="21:21" x14ac:dyDescent="0.3">
      <c r="U260591" s="25"/>
    </row>
    <row r="260613" spans="21:21" x14ac:dyDescent="0.3">
      <c r="U260613" s="25"/>
    </row>
    <row r="260635" spans="21:21" x14ac:dyDescent="0.3">
      <c r="U260635" s="25"/>
    </row>
    <row r="260657" spans="21:21" x14ac:dyDescent="0.3">
      <c r="U260657" s="25"/>
    </row>
    <row r="260679" spans="21:21" x14ac:dyDescent="0.3">
      <c r="U260679" s="25"/>
    </row>
    <row r="260701" spans="21:21" x14ac:dyDescent="0.3">
      <c r="U260701" s="25"/>
    </row>
    <row r="260723" spans="21:21" x14ac:dyDescent="0.3">
      <c r="U260723" s="25"/>
    </row>
    <row r="260745" spans="21:21" x14ac:dyDescent="0.3">
      <c r="U260745" s="25"/>
    </row>
    <row r="260767" spans="21:21" x14ac:dyDescent="0.3">
      <c r="U260767" s="25"/>
    </row>
    <row r="260789" spans="21:21" x14ac:dyDescent="0.3">
      <c r="U260789" s="25"/>
    </row>
    <row r="260811" spans="21:21" x14ac:dyDescent="0.3">
      <c r="U260811" s="25"/>
    </row>
    <row r="260833" spans="21:21" x14ac:dyDescent="0.3">
      <c r="U260833" s="25"/>
    </row>
    <row r="260855" spans="21:21" x14ac:dyDescent="0.3">
      <c r="U260855" s="25"/>
    </row>
    <row r="260877" spans="21:21" x14ac:dyDescent="0.3">
      <c r="U260877" s="25"/>
    </row>
    <row r="260899" spans="21:21" x14ac:dyDescent="0.3">
      <c r="U260899" s="25"/>
    </row>
    <row r="260921" spans="21:21" x14ac:dyDescent="0.3">
      <c r="U260921" s="25"/>
    </row>
    <row r="260943" spans="21:21" x14ac:dyDescent="0.3">
      <c r="U260943" s="25"/>
    </row>
    <row r="260965" spans="21:21" x14ac:dyDescent="0.3">
      <c r="U260965" s="25"/>
    </row>
    <row r="260987" spans="21:21" x14ac:dyDescent="0.3">
      <c r="U260987" s="25"/>
    </row>
    <row r="261009" spans="21:21" x14ac:dyDescent="0.3">
      <c r="U261009" s="25"/>
    </row>
    <row r="261031" spans="21:21" x14ac:dyDescent="0.3">
      <c r="U261031" s="25"/>
    </row>
    <row r="261053" spans="21:21" x14ac:dyDescent="0.3">
      <c r="U261053" s="25"/>
    </row>
    <row r="261075" spans="21:21" x14ac:dyDescent="0.3">
      <c r="U261075" s="25"/>
    </row>
    <row r="261097" spans="21:21" x14ac:dyDescent="0.3">
      <c r="U261097" s="25"/>
    </row>
    <row r="261119" spans="21:21" x14ac:dyDescent="0.3">
      <c r="U261119" s="25"/>
    </row>
    <row r="261141" spans="21:21" x14ac:dyDescent="0.3">
      <c r="U261141" s="25"/>
    </row>
    <row r="261163" spans="21:21" x14ac:dyDescent="0.3">
      <c r="U261163" s="25"/>
    </row>
    <row r="261185" spans="21:21" x14ac:dyDescent="0.3">
      <c r="U261185" s="25"/>
    </row>
    <row r="261207" spans="21:21" x14ac:dyDescent="0.3">
      <c r="U261207" s="25"/>
    </row>
    <row r="261229" spans="21:21" x14ac:dyDescent="0.3">
      <c r="U261229" s="25"/>
    </row>
    <row r="261251" spans="21:21" x14ac:dyDescent="0.3">
      <c r="U261251" s="25"/>
    </row>
    <row r="261273" spans="21:21" x14ac:dyDescent="0.3">
      <c r="U261273" s="25"/>
    </row>
    <row r="261295" spans="21:21" x14ac:dyDescent="0.3">
      <c r="U261295" s="25"/>
    </row>
    <row r="261317" spans="21:21" x14ac:dyDescent="0.3">
      <c r="U261317" s="25"/>
    </row>
    <row r="261339" spans="21:21" x14ac:dyDescent="0.3">
      <c r="U261339" s="25"/>
    </row>
    <row r="261361" spans="21:21" x14ac:dyDescent="0.3">
      <c r="U261361" s="25"/>
    </row>
    <row r="261383" spans="21:21" x14ac:dyDescent="0.3">
      <c r="U261383" s="25"/>
    </row>
    <row r="261405" spans="21:21" x14ac:dyDescent="0.3">
      <c r="U261405" s="25"/>
    </row>
    <row r="261427" spans="21:21" x14ac:dyDescent="0.3">
      <c r="U261427" s="25"/>
    </row>
    <row r="261449" spans="21:21" x14ac:dyDescent="0.3">
      <c r="U261449" s="25"/>
    </row>
    <row r="261471" spans="21:21" x14ac:dyDescent="0.3">
      <c r="U261471" s="25"/>
    </row>
    <row r="261493" spans="21:21" x14ac:dyDescent="0.3">
      <c r="U261493" s="25"/>
    </row>
    <row r="261515" spans="21:21" x14ac:dyDescent="0.3">
      <c r="U261515" s="25"/>
    </row>
    <row r="261537" spans="21:21" x14ac:dyDescent="0.3">
      <c r="U261537" s="25"/>
    </row>
    <row r="261559" spans="21:21" x14ac:dyDescent="0.3">
      <c r="U261559" s="25"/>
    </row>
    <row r="261581" spans="21:21" x14ac:dyDescent="0.3">
      <c r="U261581" s="25"/>
    </row>
    <row r="261603" spans="21:21" x14ac:dyDescent="0.3">
      <c r="U261603" s="25"/>
    </row>
    <row r="261625" spans="21:21" x14ac:dyDescent="0.3">
      <c r="U261625" s="25"/>
    </row>
    <row r="261647" spans="21:21" x14ac:dyDescent="0.3">
      <c r="U261647" s="25"/>
    </row>
    <row r="261669" spans="21:21" x14ac:dyDescent="0.3">
      <c r="U261669" s="25"/>
    </row>
    <row r="261691" spans="21:21" x14ac:dyDescent="0.3">
      <c r="U261691" s="25"/>
    </row>
    <row r="261713" spans="21:21" x14ac:dyDescent="0.3">
      <c r="U261713" s="25"/>
    </row>
    <row r="261735" spans="21:21" x14ac:dyDescent="0.3">
      <c r="U261735" s="25"/>
    </row>
    <row r="261757" spans="21:21" x14ac:dyDescent="0.3">
      <c r="U261757" s="25"/>
    </row>
    <row r="261779" spans="21:21" x14ac:dyDescent="0.3">
      <c r="U261779" s="25"/>
    </row>
    <row r="261801" spans="21:21" x14ac:dyDescent="0.3">
      <c r="U261801" s="25"/>
    </row>
    <row r="261823" spans="21:21" x14ac:dyDescent="0.3">
      <c r="U261823" s="25"/>
    </row>
    <row r="261845" spans="21:21" x14ac:dyDescent="0.3">
      <c r="U261845" s="25"/>
    </row>
    <row r="261867" spans="21:21" x14ac:dyDescent="0.3">
      <c r="U261867" s="25"/>
    </row>
    <row r="261889" spans="21:21" x14ac:dyDescent="0.3">
      <c r="U261889" s="25"/>
    </row>
    <row r="261911" spans="21:21" x14ac:dyDescent="0.3">
      <c r="U261911" s="25"/>
    </row>
    <row r="261933" spans="21:21" x14ac:dyDescent="0.3">
      <c r="U261933" s="25"/>
    </row>
    <row r="261955" spans="21:21" x14ac:dyDescent="0.3">
      <c r="U261955" s="25"/>
    </row>
    <row r="261977" spans="21:21" x14ac:dyDescent="0.3">
      <c r="U261977" s="25"/>
    </row>
    <row r="261999" spans="21:21" x14ac:dyDescent="0.3">
      <c r="U261999" s="25"/>
    </row>
    <row r="262021" spans="21:21" x14ac:dyDescent="0.3">
      <c r="U262021" s="25"/>
    </row>
    <row r="262043" spans="21:21" x14ac:dyDescent="0.3">
      <c r="U262043" s="25"/>
    </row>
    <row r="262065" spans="21:21" x14ac:dyDescent="0.3">
      <c r="U262065" s="25"/>
    </row>
    <row r="262087" spans="21:21" x14ac:dyDescent="0.3">
      <c r="U262087" s="25"/>
    </row>
    <row r="262109" spans="21:21" x14ac:dyDescent="0.3">
      <c r="U262109" s="25"/>
    </row>
    <row r="262131" spans="21:21" x14ac:dyDescent="0.3">
      <c r="U262131" s="25"/>
    </row>
    <row r="262153" spans="21:21" x14ac:dyDescent="0.3">
      <c r="U262153" s="25"/>
    </row>
    <row r="262175" spans="21:21" x14ac:dyDescent="0.3">
      <c r="U262175" s="25"/>
    </row>
    <row r="262197" spans="21:21" x14ac:dyDescent="0.3">
      <c r="U262197" s="25"/>
    </row>
    <row r="262219" spans="21:21" x14ac:dyDescent="0.3">
      <c r="U262219" s="25"/>
    </row>
    <row r="262241" spans="21:21" x14ac:dyDescent="0.3">
      <c r="U262241" s="25"/>
    </row>
    <row r="262263" spans="21:21" x14ac:dyDescent="0.3">
      <c r="U262263" s="25"/>
    </row>
    <row r="262285" spans="21:21" x14ac:dyDescent="0.3">
      <c r="U262285" s="25"/>
    </row>
    <row r="262307" spans="21:21" x14ac:dyDescent="0.3">
      <c r="U262307" s="25"/>
    </row>
    <row r="262329" spans="21:21" x14ac:dyDescent="0.3">
      <c r="U262329" s="25"/>
    </row>
    <row r="262351" spans="21:21" x14ac:dyDescent="0.3">
      <c r="U262351" s="25"/>
    </row>
    <row r="262373" spans="21:21" x14ac:dyDescent="0.3">
      <c r="U262373" s="25"/>
    </row>
    <row r="262395" spans="21:21" x14ac:dyDescent="0.3">
      <c r="U262395" s="25"/>
    </row>
    <row r="262417" spans="21:21" x14ac:dyDescent="0.3">
      <c r="U262417" s="25"/>
    </row>
    <row r="262439" spans="21:21" x14ac:dyDescent="0.3">
      <c r="U262439" s="25"/>
    </row>
    <row r="262461" spans="21:21" x14ac:dyDescent="0.3">
      <c r="U262461" s="25"/>
    </row>
    <row r="262483" spans="21:21" x14ac:dyDescent="0.3">
      <c r="U262483" s="25"/>
    </row>
    <row r="262505" spans="21:21" x14ac:dyDescent="0.3">
      <c r="U262505" s="25"/>
    </row>
    <row r="262527" spans="21:21" x14ac:dyDescent="0.3">
      <c r="U262527" s="25"/>
    </row>
    <row r="262549" spans="21:21" x14ac:dyDescent="0.3">
      <c r="U262549" s="25"/>
    </row>
    <row r="262571" spans="21:21" x14ac:dyDescent="0.3">
      <c r="U262571" s="25"/>
    </row>
    <row r="262593" spans="21:21" x14ac:dyDescent="0.3">
      <c r="U262593" s="25"/>
    </row>
    <row r="262615" spans="21:21" x14ac:dyDescent="0.3">
      <c r="U262615" s="25"/>
    </row>
    <row r="262637" spans="21:21" x14ac:dyDescent="0.3">
      <c r="U262637" s="25"/>
    </row>
    <row r="262659" spans="21:21" x14ac:dyDescent="0.3">
      <c r="U262659" s="25"/>
    </row>
    <row r="262681" spans="21:21" x14ac:dyDescent="0.3">
      <c r="U262681" s="25"/>
    </row>
    <row r="262703" spans="21:21" x14ac:dyDescent="0.3">
      <c r="U262703" s="25"/>
    </row>
    <row r="262725" spans="21:21" x14ac:dyDescent="0.3">
      <c r="U262725" s="25"/>
    </row>
    <row r="262747" spans="21:21" x14ac:dyDescent="0.3">
      <c r="U262747" s="25"/>
    </row>
    <row r="262769" spans="21:21" x14ac:dyDescent="0.3">
      <c r="U262769" s="25"/>
    </row>
    <row r="262791" spans="21:21" x14ac:dyDescent="0.3">
      <c r="U262791" s="25"/>
    </row>
    <row r="262813" spans="21:21" x14ac:dyDescent="0.3">
      <c r="U262813" s="25"/>
    </row>
    <row r="262835" spans="21:21" x14ac:dyDescent="0.3">
      <c r="U262835" s="25"/>
    </row>
    <row r="262857" spans="21:21" x14ac:dyDescent="0.3">
      <c r="U262857" s="25"/>
    </row>
    <row r="262879" spans="21:21" x14ac:dyDescent="0.3">
      <c r="U262879" s="25"/>
    </row>
    <row r="262901" spans="21:21" x14ac:dyDescent="0.3">
      <c r="U262901" s="25"/>
    </row>
    <row r="262923" spans="21:21" x14ac:dyDescent="0.3">
      <c r="U262923" s="25"/>
    </row>
    <row r="262945" spans="21:21" x14ac:dyDescent="0.3">
      <c r="U262945" s="25"/>
    </row>
    <row r="262967" spans="21:21" x14ac:dyDescent="0.3">
      <c r="U262967" s="25"/>
    </row>
    <row r="262989" spans="21:21" x14ac:dyDescent="0.3">
      <c r="U262989" s="25"/>
    </row>
    <row r="263011" spans="21:21" x14ac:dyDescent="0.3">
      <c r="U263011" s="25"/>
    </row>
    <row r="263033" spans="21:21" x14ac:dyDescent="0.3">
      <c r="U263033" s="25"/>
    </row>
    <row r="263055" spans="21:21" x14ac:dyDescent="0.3">
      <c r="U263055" s="25"/>
    </row>
    <row r="263077" spans="21:21" x14ac:dyDescent="0.3">
      <c r="U263077" s="25"/>
    </row>
    <row r="263099" spans="21:21" x14ac:dyDescent="0.3">
      <c r="U263099" s="25"/>
    </row>
    <row r="263121" spans="21:21" x14ac:dyDescent="0.3">
      <c r="U263121" s="25"/>
    </row>
    <row r="263143" spans="21:21" x14ac:dyDescent="0.3">
      <c r="U263143" s="25"/>
    </row>
    <row r="263165" spans="21:21" x14ac:dyDescent="0.3">
      <c r="U263165" s="25"/>
    </row>
    <row r="263187" spans="21:21" x14ac:dyDescent="0.3">
      <c r="U263187" s="25"/>
    </row>
    <row r="263209" spans="21:21" x14ac:dyDescent="0.3">
      <c r="U263209" s="25"/>
    </row>
    <row r="263231" spans="21:21" x14ac:dyDescent="0.3">
      <c r="U263231" s="25"/>
    </row>
    <row r="263253" spans="21:21" x14ac:dyDescent="0.3">
      <c r="U263253" s="25"/>
    </row>
    <row r="263275" spans="21:21" x14ac:dyDescent="0.3">
      <c r="U263275" s="25"/>
    </row>
    <row r="263297" spans="21:21" x14ac:dyDescent="0.3">
      <c r="U263297" s="25"/>
    </row>
    <row r="263319" spans="21:21" x14ac:dyDescent="0.3">
      <c r="U263319" s="25"/>
    </row>
    <row r="263341" spans="21:21" x14ac:dyDescent="0.3">
      <c r="U263341" s="25"/>
    </row>
    <row r="263363" spans="21:21" x14ac:dyDescent="0.3">
      <c r="U263363" s="25"/>
    </row>
    <row r="263385" spans="21:21" x14ac:dyDescent="0.3">
      <c r="U263385" s="25"/>
    </row>
    <row r="263407" spans="21:21" x14ac:dyDescent="0.3">
      <c r="U263407" s="25"/>
    </row>
    <row r="263429" spans="21:21" x14ac:dyDescent="0.3">
      <c r="U263429" s="25"/>
    </row>
    <row r="263451" spans="21:21" x14ac:dyDescent="0.3">
      <c r="U263451" s="25"/>
    </row>
    <row r="263473" spans="21:21" x14ac:dyDescent="0.3">
      <c r="U263473" s="25"/>
    </row>
    <row r="263495" spans="21:21" x14ac:dyDescent="0.3">
      <c r="U263495" s="25"/>
    </row>
    <row r="263517" spans="21:21" x14ac:dyDescent="0.3">
      <c r="U263517" s="25"/>
    </row>
    <row r="263539" spans="21:21" x14ac:dyDescent="0.3">
      <c r="U263539" s="25"/>
    </row>
    <row r="263561" spans="21:21" x14ac:dyDescent="0.3">
      <c r="U263561" s="25"/>
    </row>
    <row r="263583" spans="21:21" x14ac:dyDescent="0.3">
      <c r="U263583" s="25"/>
    </row>
    <row r="263605" spans="21:21" x14ac:dyDescent="0.3">
      <c r="U263605" s="25"/>
    </row>
    <row r="263627" spans="21:21" x14ac:dyDescent="0.3">
      <c r="U263627" s="25"/>
    </row>
    <row r="263649" spans="21:21" x14ac:dyDescent="0.3">
      <c r="U263649" s="25"/>
    </row>
    <row r="263671" spans="21:21" x14ac:dyDescent="0.3">
      <c r="U263671" s="25"/>
    </row>
    <row r="263693" spans="21:21" x14ac:dyDescent="0.3">
      <c r="U263693" s="25"/>
    </row>
    <row r="263715" spans="21:21" x14ac:dyDescent="0.3">
      <c r="U263715" s="25"/>
    </row>
    <row r="263737" spans="21:21" x14ac:dyDescent="0.3">
      <c r="U263737" s="25"/>
    </row>
    <row r="263759" spans="21:21" x14ac:dyDescent="0.3">
      <c r="U263759" s="25"/>
    </row>
    <row r="263781" spans="21:21" x14ac:dyDescent="0.3">
      <c r="U263781" s="25"/>
    </row>
    <row r="263803" spans="21:21" x14ac:dyDescent="0.3">
      <c r="U263803" s="25"/>
    </row>
    <row r="263825" spans="21:21" x14ac:dyDescent="0.3">
      <c r="U263825" s="25"/>
    </row>
    <row r="263847" spans="21:21" x14ac:dyDescent="0.3">
      <c r="U263847" s="25"/>
    </row>
    <row r="263869" spans="21:21" x14ac:dyDescent="0.3">
      <c r="U263869" s="25"/>
    </row>
    <row r="263891" spans="21:21" x14ac:dyDescent="0.3">
      <c r="U263891" s="25"/>
    </row>
    <row r="263913" spans="21:21" x14ac:dyDescent="0.3">
      <c r="U263913" s="25"/>
    </row>
    <row r="263935" spans="21:21" x14ac:dyDescent="0.3">
      <c r="U263935" s="25"/>
    </row>
    <row r="263957" spans="21:21" x14ac:dyDescent="0.3">
      <c r="U263957" s="25"/>
    </row>
    <row r="263979" spans="21:21" x14ac:dyDescent="0.3">
      <c r="U263979" s="25"/>
    </row>
    <row r="264001" spans="21:21" x14ac:dyDescent="0.3">
      <c r="U264001" s="25"/>
    </row>
    <row r="264023" spans="21:21" x14ac:dyDescent="0.3">
      <c r="U264023" s="25"/>
    </row>
    <row r="264045" spans="21:21" x14ac:dyDescent="0.3">
      <c r="U264045" s="25"/>
    </row>
    <row r="264067" spans="21:21" x14ac:dyDescent="0.3">
      <c r="U264067" s="25"/>
    </row>
    <row r="264089" spans="21:21" x14ac:dyDescent="0.3">
      <c r="U264089" s="25"/>
    </row>
    <row r="264111" spans="21:21" x14ac:dyDescent="0.3">
      <c r="U264111" s="25"/>
    </row>
    <row r="264133" spans="21:21" x14ac:dyDescent="0.3">
      <c r="U264133" s="25"/>
    </row>
    <row r="264155" spans="21:21" x14ac:dyDescent="0.3">
      <c r="U264155" s="25"/>
    </row>
    <row r="264177" spans="21:21" x14ac:dyDescent="0.3">
      <c r="U264177" s="25"/>
    </row>
    <row r="264199" spans="21:21" x14ac:dyDescent="0.3">
      <c r="U264199" s="25"/>
    </row>
    <row r="264221" spans="21:21" x14ac:dyDescent="0.3">
      <c r="U264221" s="25"/>
    </row>
    <row r="264243" spans="21:21" x14ac:dyDescent="0.3">
      <c r="U264243" s="25"/>
    </row>
    <row r="264265" spans="21:21" x14ac:dyDescent="0.3">
      <c r="U264265" s="25"/>
    </row>
    <row r="264287" spans="21:21" x14ac:dyDescent="0.3">
      <c r="U264287" s="25"/>
    </row>
    <row r="264309" spans="21:21" x14ac:dyDescent="0.3">
      <c r="U264309" s="25"/>
    </row>
    <row r="264331" spans="21:21" x14ac:dyDescent="0.3">
      <c r="U264331" s="25"/>
    </row>
    <row r="264353" spans="21:21" x14ac:dyDescent="0.3">
      <c r="U264353" s="25"/>
    </row>
    <row r="264375" spans="21:21" x14ac:dyDescent="0.3">
      <c r="U264375" s="25"/>
    </row>
    <row r="264397" spans="21:21" x14ac:dyDescent="0.3">
      <c r="U264397" s="25"/>
    </row>
    <row r="264419" spans="21:21" x14ac:dyDescent="0.3">
      <c r="U264419" s="25"/>
    </row>
    <row r="264441" spans="21:21" x14ac:dyDescent="0.3">
      <c r="U264441" s="25"/>
    </row>
    <row r="264463" spans="21:21" x14ac:dyDescent="0.3">
      <c r="U264463" s="25"/>
    </row>
    <row r="264485" spans="21:21" x14ac:dyDescent="0.3">
      <c r="U264485" s="25"/>
    </row>
    <row r="264507" spans="21:21" x14ac:dyDescent="0.3">
      <c r="U264507" s="25"/>
    </row>
    <row r="264529" spans="21:21" x14ac:dyDescent="0.3">
      <c r="U264529" s="25"/>
    </row>
    <row r="264551" spans="21:21" x14ac:dyDescent="0.3">
      <c r="U264551" s="25"/>
    </row>
    <row r="264573" spans="21:21" x14ac:dyDescent="0.3">
      <c r="U264573" s="25"/>
    </row>
    <row r="264595" spans="21:21" x14ac:dyDescent="0.3">
      <c r="U264595" s="25"/>
    </row>
    <row r="264617" spans="21:21" x14ac:dyDescent="0.3">
      <c r="U264617" s="25"/>
    </row>
    <row r="264639" spans="21:21" x14ac:dyDescent="0.3">
      <c r="U264639" s="25"/>
    </row>
    <row r="264661" spans="21:21" x14ac:dyDescent="0.3">
      <c r="U264661" s="25"/>
    </row>
    <row r="264683" spans="21:21" x14ac:dyDescent="0.3">
      <c r="U264683" s="25"/>
    </row>
    <row r="264705" spans="21:21" x14ac:dyDescent="0.3">
      <c r="U264705" s="25"/>
    </row>
    <row r="264727" spans="21:21" x14ac:dyDescent="0.3">
      <c r="U264727" s="25"/>
    </row>
    <row r="264749" spans="21:21" x14ac:dyDescent="0.3">
      <c r="U264749" s="25"/>
    </row>
    <row r="264771" spans="21:21" x14ac:dyDescent="0.3">
      <c r="U264771" s="25"/>
    </row>
    <row r="264793" spans="21:21" x14ac:dyDescent="0.3">
      <c r="U264793" s="25"/>
    </row>
    <row r="264815" spans="21:21" x14ac:dyDescent="0.3">
      <c r="U264815" s="25"/>
    </row>
    <row r="264837" spans="21:21" x14ac:dyDescent="0.3">
      <c r="U264837" s="25"/>
    </row>
    <row r="264859" spans="21:21" x14ac:dyDescent="0.3">
      <c r="U264859" s="25"/>
    </row>
    <row r="264881" spans="21:21" x14ac:dyDescent="0.3">
      <c r="U264881" s="25"/>
    </row>
    <row r="264903" spans="21:21" x14ac:dyDescent="0.3">
      <c r="U264903" s="25"/>
    </row>
    <row r="264925" spans="21:21" x14ac:dyDescent="0.3">
      <c r="U264925" s="25"/>
    </row>
    <row r="264947" spans="21:21" x14ac:dyDescent="0.3">
      <c r="U264947" s="25"/>
    </row>
    <row r="264969" spans="21:21" x14ac:dyDescent="0.3">
      <c r="U264969" s="25"/>
    </row>
    <row r="264991" spans="21:21" x14ac:dyDescent="0.3">
      <c r="U264991" s="25"/>
    </row>
    <row r="265013" spans="21:21" x14ac:dyDescent="0.3">
      <c r="U265013" s="25"/>
    </row>
    <row r="265035" spans="21:21" x14ac:dyDescent="0.3">
      <c r="U265035" s="25"/>
    </row>
    <row r="265057" spans="21:21" x14ac:dyDescent="0.3">
      <c r="U265057" s="25"/>
    </row>
    <row r="265079" spans="21:21" x14ac:dyDescent="0.3">
      <c r="U265079" s="25"/>
    </row>
    <row r="265101" spans="21:21" x14ac:dyDescent="0.3">
      <c r="U265101" s="25"/>
    </row>
    <row r="265123" spans="21:21" x14ac:dyDescent="0.3">
      <c r="U265123" s="25"/>
    </row>
    <row r="265145" spans="21:21" x14ac:dyDescent="0.3">
      <c r="U265145" s="25"/>
    </row>
    <row r="265167" spans="21:21" x14ac:dyDescent="0.3">
      <c r="U265167" s="25"/>
    </row>
    <row r="265189" spans="21:21" x14ac:dyDescent="0.3">
      <c r="U265189" s="25"/>
    </row>
    <row r="265211" spans="21:21" x14ac:dyDescent="0.3">
      <c r="U265211" s="25"/>
    </row>
    <row r="265233" spans="21:21" x14ac:dyDescent="0.3">
      <c r="U265233" s="25"/>
    </row>
    <row r="265255" spans="21:21" x14ac:dyDescent="0.3">
      <c r="U265255" s="25"/>
    </row>
    <row r="265277" spans="21:21" x14ac:dyDescent="0.3">
      <c r="U265277" s="25"/>
    </row>
    <row r="265299" spans="21:21" x14ac:dyDescent="0.3">
      <c r="U265299" s="25"/>
    </row>
    <row r="265321" spans="21:21" x14ac:dyDescent="0.3">
      <c r="U265321" s="25"/>
    </row>
    <row r="265343" spans="21:21" x14ac:dyDescent="0.3">
      <c r="U265343" s="25"/>
    </row>
    <row r="265365" spans="21:21" x14ac:dyDescent="0.3">
      <c r="U265365" s="25"/>
    </row>
    <row r="265387" spans="21:21" x14ac:dyDescent="0.3">
      <c r="U265387" s="25"/>
    </row>
    <row r="265409" spans="21:21" x14ac:dyDescent="0.3">
      <c r="U265409" s="25"/>
    </row>
    <row r="265431" spans="21:21" x14ac:dyDescent="0.3">
      <c r="U265431" s="25"/>
    </row>
    <row r="265453" spans="21:21" x14ac:dyDescent="0.3">
      <c r="U265453" s="25"/>
    </row>
    <row r="265475" spans="21:21" x14ac:dyDescent="0.3">
      <c r="U265475" s="25"/>
    </row>
    <row r="265497" spans="21:21" x14ac:dyDescent="0.3">
      <c r="U265497" s="25"/>
    </row>
    <row r="265519" spans="21:21" x14ac:dyDescent="0.3">
      <c r="U265519" s="25"/>
    </row>
    <row r="265541" spans="21:21" x14ac:dyDescent="0.3">
      <c r="U265541" s="25"/>
    </row>
    <row r="265563" spans="21:21" x14ac:dyDescent="0.3">
      <c r="U265563" s="25"/>
    </row>
    <row r="265585" spans="21:21" x14ac:dyDescent="0.3">
      <c r="U265585" s="25"/>
    </row>
    <row r="265607" spans="21:21" x14ac:dyDescent="0.3">
      <c r="U265607" s="25"/>
    </row>
    <row r="265629" spans="21:21" x14ac:dyDescent="0.3">
      <c r="U265629" s="25"/>
    </row>
    <row r="265651" spans="21:21" x14ac:dyDescent="0.3">
      <c r="U265651" s="25"/>
    </row>
    <row r="265673" spans="21:21" x14ac:dyDescent="0.3">
      <c r="U265673" s="25"/>
    </row>
    <row r="265695" spans="21:21" x14ac:dyDescent="0.3">
      <c r="U265695" s="25"/>
    </row>
    <row r="265717" spans="21:21" x14ac:dyDescent="0.3">
      <c r="U265717" s="25"/>
    </row>
    <row r="265739" spans="21:21" x14ac:dyDescent="0.3">
      <c r="U265739" s="25"/>
    </row>
    <row r="265761" spans="21:21" x14ac:dyDescent="0.3">
      <c r="U265761" s="25"/>
    </row>
    <row r="265783" spans="21:21" x14ac:dyDescent="0.3">
      <c r="U265783" s="25"/>
    </row>
    <row r="265805" spans="21:21" x14ac:dyDescent="0.3">
      <c r="U265805" s="25"/>
    </row>
    <row r="265827" spans="21:21" x14ac:dyDescent="0.3">
      <c r="U265827" s="25"/>
    </row>
    <row r="265849" spans="21:21" x14ac:dyDescent="0.3">
      <c r="U265849" s="25"/>
    </row>
    <row r="265871" spans="21:21" x14ac:dyDescent="0.3">
      <c r="U265871" s="25"/>
    </row>
    <row r="265893" spans="21:21" x14ac:dyDescent="0.3">
      <c r="U265893" s="25"/>
    </row>
    <row r="265915" spans="21:21" x14ac:dyDescent="0.3">
      <c r="U265915" s="25"/>
    </row>
    <row r="265937" spans="21:21" x14ac:dyDescent="0.3">
      <c r="U265937" s="25"/>
    </row>
    <row r="265959" spans="21:21" x14ac:dyDescent="0.3">
      <c r="U265959" s="25"/>
    </row>
    <row r="265981" spans="21:21" x14ac:dyDescent="0.3">
      <c r="U265981" s="25"/>
    </row>
    <row r="266003" spans="21:21" x14ac:dyDescent="0.3">
      <c r="U266003" s="25"/>
    </row>
    <row r="266025" spans="21:21" x14ac:dyDescent="0.3">
      <c r="U266025" s="25"/>
    </row>
    <row r="266047" spans="21:21" x14ac:dyDescent="0.3">
      <c r="U266047" s="25"/>
    </row>
    <row r="266069" spans="21:21" x14ac:dyDescent="0.3">
      <c r="U266069" s="25"/>
    </row>
    <row r="266091" spans="21:21" x14ac:dyDescent="0.3">
      <c r="U266091" s="25"/>
    </row>
    <row r="266113" spans="21:21" x14ac:dyDescent="0.3">
      <c r="U266113" s="25"/>
    </row>
    <row r="266135" spans="21:21" x14ac:dyDescent="0.3">
      <c r="U266135" s="25"/>
    </row>
    <row r="266157" spans="21:21" x14ac:dyDescent="0.3">
      <c r="U266157" s="25"/>
    </row>
    <row r="266179" spans="21:21" x14ac:dyDescent="0.3">
      <c r="U266179" s="25"/>
    </row>
    <row r="266201" spans="21:21" x14ac:dyDescent="0.3">
      <c r="U266201" s="25"/>
    </row>
    <row r="266223" spans="21:21" x14ac:dyDescent="0.3">
      <c r="U266223" s="25"/>
    </row>
    <row r="266245" spans="21:21" x14ac:dyDescent="0.3">
      <c r="U266245" s="25"/>
    </row>
    <row r="266267" spans="21:21" x14ac:dyDescent="0.3">
      <c r="U266267" s="25"/>
    </row>
    <row r="266289" spans="21:21" x14ac:dyDescent="0.3">
      <c r="U266289" s="25"/>
    </row>
    <row r="266311" spans="21:21" x14ac:dyDescent="0.3">
      <c r="U266311" s="25"/>
    </row>
    <row r="266333" spans="21:21" x14ac:dyDescent="0.3">
      <c r="U266333" s="25"/>
    </row>
    <row r="266355" spans="21:21" x14ac:dyDescent="0.3">
      <c r="U266355" s="25"/>
    </row>
    <row r="266377" spans="21:21" x14ac:dyDescent="0.3">
      <c r="U266377" s="25"/>
    </row>
    <row r="266399" spans="21:21" x14ac:dyDescent="0.3">
      <c r="U266399" s="25"/>
    </row>
    <row r="266421" spans="21:21" x14ac:dyDescent="0.3">
      <c r="U266421" s="25"/>
    </row>
    <row r="266443" spans="21:21" x14ac:dyDescent="0.3">
      <c r="U266443" s="25"/>
    </row>
    <row r="266465" spans="21:21" x14ac:dyDescent="0.3">
      <c r="U266465" s="25"/>
    </row>
    <row r="266487" spans="21:21" x14ac:dyDescent="0.3">
      <c r="U266487" s="25"/>
    </row>
    <row r="266509" spans="21:21" x14ac:dyDescent="0.3">
      <c r="U266509" s="25"/>
    </row>
    <row r="266531" spans="21:21" x14ac:dyDescent="0.3">
      <c r="U266531" s="25"/>
    </row>
    <row r="266553" spans="21:21" x14ac:dyDescent="0.3">
      <c r="U266553" s="25"/>
    </row>
    <row r="266575" spans="21:21" x14ac:dyDescent="0.3">
      <c r="U266575" s="25"/>
    </row>
    <row r="266597" spans="21:21" x14ac:dyDescent="0.3">
      <c r="U266597" s="25"/>
    </row>
    <row r="266619" spans="21:21" x14ac:dyDescent="0.3">
      <c r="U266619" s="25"/>
    </row>
    <row r="266641" spans="21:21" x14ac:dyDescent="0.3">
      <c r="U266641" s="25"/>
    </row>
    <row r="266663" spans="21:21" x14ac:dyDescent="0.3">
      <c r="U266663" s="25"/>
    </row>
    <row r="266685" spans="21:21" x14ac:dyDescent="0.3">
      <c r="U266685" s="25"/>
    </row>
    <row r="266707" spans="21:21" x14ac:dyDescent="0.3">
      <c r="U266707" s="25"/>
    </row>
    <row r="266729" spans="21:21" x14ac:dyDescent="0.3">
      <c r="U266729" s="25"/>
    </row>
    <row r="266751" spans="21:21" x14ac:dyDescent="0.3">
      <c r="U266751" s="25"/>
    </row>
    <row r="266773" spans="21:21" x14ac:dyDescent="0.3">
      <c r="U266773" s="25"/>
    </row>
    <row r="266795" spans="21:21" x14ac:dyDescent="0.3">
      <c r="U266795" s="25"/>
    </row>
    <row r="266817" spans="21:21" x14ac:dyDescent="0.3">
      <c r="U266817" s="25"/>
    </row>
    <row r="266839" spans="21:21" x14ac:dyDescent="0.3">
      <c r="U266839" s="25"/>
    </row>
    <row r="266861" spans="21:21" x14ac:dyDescent="0.3">
      <c r="U266861" s="25"/>
    </row>
    <row r="266883" spans="21:21" x14ac:dyDescent="0.3">
      <c r="U266883" s="25"/>
    </row>
    <row r="266905" spans="21:21" x14ac:dyDescent="0.3">
      <c r="U266905" s="25"/>
    </row>
    <row r="266927" spans="21:21" x14ac:dyDescent="0.3">
      <c r="U266927" s="25"/>
    </row>
    <row r="266949" spans="21:21" x14ac:dyDescent="0.3">
      <c r="U266949" s="25"/>
    </row>
    <row r="266971" spans="21:21" x14ac:dyDescent="0.3">
      <c r="U266971" s="25"/>
    </row>
    <row r="266993" spans="21:21" x14ac:dyDescent="0.3">
      <c r="U266993" s="25"/>
    </row>
    <row r="267015" spans="21:21" x14ac:dyDescent="0.3">
      <c r="U267015" s="25"/>
    </row>
    <row r="267037" spans="21:21" x14ac:dyDescent="0.3">
      <c r="U267037" s="25"/>
    </row>
    <row r="267059" spans="21:21" x14ac:dyDescent="0.3">
      <c r="U267059" s="25"/>
    </row>
    <row r="267081" spans="21:21" x14ac:dyDescent="0.3">
      <c r="U267081" s="25"/>
    </row>
    <row r="267103" spans="21:21" x14ac:dyDescent="0.3">
      <c r="U267103" s="25"/>
    </row>
    <row r="267125" spans="21:21" x14ac:dyDescent="0.3">
      <c r="U267125" s="25"/>
    </row>
    <row r="267147" spans="21:21" x14ac:dyDescent="0.3">
      <c r="U267147" s="25"/>
    </row>
    <row r="267169" spans="21:21" x14ac:dyDescent="0.3">
      <c r="U267169" s="25"/>
    </row>
    <row r="267191" spans="21:21" x14ac:dyDescent="0.3">
      <c r="U267191" s="25"/>
    </row>
    <row r="267213" spans="21:21" x14ac:dyDescent="0.3">
      <c r="U267213" s="25"/>
    </row>
    <row r="267235" spans="21:21" x14ac:dyDescent="0.3">
      <c r="U267235" s="25"/>
    </row>
    <row r="267257" spans="21:21" x14ac:dyDescent="0.3">
      <c r="U267257" s="25"/>
    </row>
    <row r="267279" spans="21:21" x14ac:dyDescent="0.3">
      <c r="U267279" s="25"/>
    </row>
    <row r="267301" spans="21:21" x14ac:dyDescent="0.3">
      <c r="U267301" s="25"/>
    </row>
    <row r="267323" spans="21:21" x14ac:dyDescent="0.3">
      <c r="U267323" s="25"/>
    </row>
    <row r="267345" spans="21:21" x14ac:dyDescent="0.3">
      <c r="U267345" s="25"/>
    </row>
    <row r="267367" spans="21:21" x14ac:dyDescent="0.3">
      <c r="U267367" s="25"/>
    </row>
    <row r="267389" spans="21:21" x14ac:dyDescent="0.3">
      <c r="U267389" s="25"/>
    </row>
    <row r="267411" spans="21:21" x14ac:dyDescent="0.3">
      <c r="U267411" s="25"/>
    </row>
    <row r="267433" spans="21:21" x14ac:dyDescent="0.3">
      <c r="U267433" s="25"/>
    </row>
    <row r="267455" spans="21:21" x14ac:dyDescent="0.3">
      <c r="U267455" s="25"/>
    </row>
    <row r="267477" spans="21:21" x14ac:dyDescent="0.3">
      <c r="U267477" s="25"/>
    </row>
    <row r="267499" spans="21:21" x14ac:dyDescent="0.3">
      <c r="U267499" s="25"/>
    </row>
    <row r="267521" spans="21:21" x14ac:dyDescent="0.3">
      <c r="U267521" s="25"/>
    </row>
    <row r="267543" spans="21:21" x14ac:dyDescent="0.3">
      <c r="U267543" s="25"/>
    </row>
    <row r="267565" spans="21:21" x14ac:dyDescent="0.3">
      <c r="U267565" s="25"/>
    </row>
    <row r="267587" spans="21:21" x14ac:dyDescent="0.3">
      <c r="U267587" s="25"/>
    </row>
    <row r="267609" spans="21:21" x14ac:dyDescent="0.3">
      <c r="U267609" s="25"/>
    </row>
    <row r="267631" spans="21:21" x14ac:dyDescent="0.3">
      <c r="U267631" s="25"/>
    </row>
    <row r="267653" spans="21:21" x14ac:dyDescent="0.3">
      <c r="U267653" s="25"/>
    </row>
    <row r="267675" spans="21:21" x14ac:dyDescent="0.3">
      <c r="U267675" s="25"/>
    </row>
    <row r="267697" spans="21:21" x14ac:dyDescent="0.3">
      <c r="U267697" s="25"/>
    </row>
    <row r="267719" spans="21:21" x14ac:dyDescent="0.3">
      <c r="U267719" s="25"/>
    </row>
    <row r="267741" spans="21:21" x14ac:dyDescent="0.3">
      <c r="U267741" s="25"/>
    </row>
    <row r="267763" spans="21:21" x14ac:dyDescent="0.3">
      <c r="U267763" s="25"/>
    </row>
    <row r="267785" spans="21:21" x14ac:dyDescent="0.3">
      <c r="U267785" s="25"/>
    </row>
    <row r="267807" spans="21:21" x14ac:dyDescent="0.3">
      <c r="U267807" s="25"/>
    </row>
    <row r="267829" spans="21:21" x14ac:dyDescent="0.3">
      <c r="U267829" s="25"/>
    </row>
    <row r="267851" spans="21:21" x14ac:dyDescent="0.3">
      <c r="U267851" s="25"/>
    </row>
    <row r="267873" spans="21:21" x14ac:dyDescent="0.3">
      <c r="U267873" s="25"/>
    </row>
    <row r="267895" spans="21:21" x14ac:dyDescent="0.3">
      <c r="U267895" s="25"/>
    </row>
    <row r="267917" spans="21:21" x14ac:dyDescent="0.3">
      <c r="U267917" s="25"/>
    </row>
    <row r="267939" spans="21:21" x14ac:dyDescent="0.3">
      <c r="U267939" s="25"/>
    </row>
    <row r="267961" spans="21:21" x14ac:dyDescent="0.3">
      <c r="U267961" s="25"/>
    </row>
    <row r="267983" spans="21:21" x14ac:dyDescent="0.3">
      <c r="U267983" s="25"/>
    </row>
    <row r="268005" spans="21:21" x14ac:dyDescent="0.3">
      <c r="U268005" s="25"/>
    </row>
    <row r="268027" spans="21:21" x14ac:dyDescent="0.3">
      <c r="U268027" s="25"/>
    </row>
    <row r="268049" spans="21:21" x14ac:dyDescent="0.3">
      <c r="U268049" s="25"/>
    </row>
    <row r="268071" spans="21:21" x14ac:dyDescent="0.3">
      <c r="U268071" s="25"/>
    </row>
    <row r="268093" spans="21:21" x14ac:dyDescent="0.3">
      <c r="U268093" s="25"/>
    </row>
    <row r="268115" spans="21:21" x14ac:dyDescent="0.3">
      <c r="U268115" s="25"/>
    </row>
    <row r="268137" spans="21:21" x14ac:dyDescent="0.3">
      <c r="U268137" s="25"/>
    </row>
    <row r="268159" spans="21:21" x14ac:dyDescent="0.3">
      <c r="U268159" s="25"/>
    </row>
    <row r="268181" spans="21:21" x14ac:dyDescent="0.3">
      <c r="U268181" s="25"/>
    </row>
    <row r="268203" spans="21:21" x14ac:dyDescent="0.3">
      <c r="U268203" s="25"/>
    </row>
    <row r="268225" spans="21:21" x14ac:dyDescent="0.3">
      <c r="U268225" s="25"/>
    </row>
    <row r="268247" spans="21:21" x14ac:dyDescent="0.3">
      <c r="U268247" s="25"/>
    </row>
    <row r="268269" spans="21:21" x14ac:dyDescent="0.3">
      <c r="U268269" s="25"/>
    </row>
    <row r="268291" spans="21:21" x14ac:dyDescent="0.3">
      <c r="U268291" s="25"/>
    </row>
    <row r="268313" spans="21:21" x14ac:dyDescent="0.3">
      <c r="U268313" s="25"/>
    </row>
    <row r="268335" spans="21:21" x14ac:dyDescent="0.3">
      <c r="U268335" s="25"/>
    </row>
    <row r="268357" spans="21:21" x14ac:dyDescent="0.3">
      <c r="U268357" s="25"/>
    </row>
    <row r="268379" spans="21:21" x14ac:dyDescent="0.3">
      <c r="U268379" s="25"/>
    </row>
    <row r="268401" spans="21:21" x14ac:dyDescent="0.3">
      <c r="U268401" s="25"/>
    </row>
    <row r="268423" spans="21:21" x14ac:dyDescent="0.3">
      <c r="U268423" s="25"/>
    </row>
    <row r="268445" spans="21:21" x14ac:dyDescent="0.3">
      <c r="U268445" s="25"/>
    </row>
    <row r="268467" spans="21:21" x14ac:dyDescent="0.3">
      <c r="U268467" s="25"/>
    </row>
    <row r="268489" spans="21:21" x14ac:dyDescent="0.3">
      <c r="U268489" s="25"/>
    </row>
    <row r="268511" spans="21:21" x14ac:dyDescent="0.3">
      <c r="U268511" s="25"/>
    </row>
    <row r="268533" spans="21:21" x14ac:dyDescent="0.3">
      <c r="U268533" s="25"/>
    </row>
    <row r="268555" spans="21:21" x14ac:dyDescent="0.3">
      <c r="U268555" s="25"/>
    </row>
    <row r="268577" spans="21:21" x14ac:dyDescent="0.3">
      <c r="U268577" s="25"/>
    </row>
    <row r="268599" spans="21:21" x14ac:dyDescent="0.3">
      <c r="U268599" s="25"/>
    </row>
    <row r="268621" spans="21:21" x14ac:dyDescent="0.3">
      <c r="U268621" s="25"/>
    </row>
    <row r="268643" spans="21:21" x14ac:dyDescent="0.3">
      <c r="U268643" s="25"/>
    </row>
    <row r="268665" spans="21:21" x14ac:dyDescent="0.3">
      <c r="U268665" s="25"/>
    </row>
    <row r="268687" spans="21:21" x14ac:dyDescent="0.3">
      <c r="U268687" s="25"/>
    </row>
    <row r="268709" spans="21:21" x14ac:dyDescent="0.3">
      <c r="U268709" s="25"/>
    </row>
    <row r="268731" spans="21:21" x14ac:dyDescent="0.3">
      <c r="U268731" s="25"/>
    </row>
    <row r="268753" spans="21:21" x14ac:dyDescent="0.3">
      <c r="U268753" s="25"/>
    </row>
    <row r="268775" spans="21:21" x14ac:dyDescent="0.3">
      <c r="U268775" s="25"/>
    </row>
    <row r="268797" spans="21:21" x14ac:dyDescent="0.3">
      <c r="U268797" s="25"/>
    </row>
    <row r="268819" spans="21:21" x14ac:dyDescent="0.3">
      <c r="U268819" s="25"/>
    </row>
    <row r="268841" spans="21:21" x14ac:dyDescent="0.3">
      <c r="U268841" s="25"/>
    </row>
    <row r="268863" spans="21:21" x14ac:dyDescent="0.3">
      <c r="U268863" s="25"/>
    </row>
    <row r="268885" spans="21:21" x14ac:dyDescent="0.3">
      <c r="U268885" s="25"/>
    </row>
    <row r="268907" spans="21:21" x14ac:dyDescent="0.3">
      <c r="U268907" s="25"/>
    </row>
    <row r="268929" spans="21:21" x14ac:dyDescent="0.3">
      <c r="U268929" s="25"/>
    </row>
    <row r="268951" spans="21:21" x14ac:dyDescent="0.3">
      <c r="U268951" s="25"/>
    </row>
    <row r="268973" spans="21:21" x14ac:dyDescent="0.3">
      <c r="U268973" s="25"/>
    </row>
    <row r="268995" spans="21:21" x14ac:dyDescent="0.3">
      <c r="U268995" s="25"/>
    </row>
    <row r="269017" spans="21:21" x14ac:dyDescent="0.3">
      <c r="U269017" s="25"/>
    </row>
    <row r="269039" spans="21:21" x14ac:dyDescent="0.3">
      <c r="U269039" s="25"/>
    </row>
    <row r="269061" spans="21:21" x14ac:dyDescent="0.3">
      <c r="U269061" s="25"/>
    </row>
    <row r="269083" spans="21:21" x14ac:dyDescent="0.3">
      <c r="U269083" s="25"/>
    </row>
    <row r="269105" spans="21:21" x14ac:dyDescent="0.3">
      <c r="U269105" s="25"/>
    </row>
    <row r="269127" spans="21:21" x14ac:dyDescent="0.3">
      <c r="U269127" s="25"/>
    </row>
    <row r="269149" spans="21:21" x14ac:dyDescent="0.3">
      <c r="U269149" s="25"/>
    </row>
    <row r="269171" spans="21:21" x14ac:dyDescent="0.3">
      <c r="U269171" s="25"/>
    </row>
    <row r="269193" spans="21:21" x14ac:dyDescent="0.3">
      <c r="U269193" s="25"/>
    </row>
    <row r="269215" spans="21:21" x14ac:dyDescent="0.3">
      <c r="U269215" s="25"/>
    </row>
    <row r="269237" spans="21:21" x14ac:dyDescent="0.3">
      <c r="U269237" s="25"/>
    </row>
    <row r="269259" spans="21:21" x14ac:dyDescent="0.3">
      <c r="U269259" s="25"/>
    </row>
    <row r="269281" spans="21:21" x14ac:dyDescent="0.3">
      <c r="U269281" s="25"/>
    </row>
    <row r="269303" spans="21:21" x14ac:dyDescent="0.3">
      <c r="U269303" s="25"/>
    </row>
    <row r="269325" spans="21:21" x14ac:dyDescent="0.3">
      <c r="U269325" s="25"/>
    </row>
    <row r="269347" spans="21:21" x14ac:dyDescent="0.3">
      <c r="U269347" s="25"/>
    </row>
    <row r="269369" spans="21:21" x14ac:dyDescent="0.3">
      <c r="U269369" s="25"/>
    </row>
    <row r="269391" spans="21:21" x14ac:dyDescent="0.3">
      <c r="U269391" s="25"/>
    </row>
    <row r="269413" spans="21:21" x14ac:dyDescent="0.3">
      <c r="U269413" s="25"/>
    </row>
    <row r="269435" spans="21:21" x14ac:dyDescent="0.3">
      <c r="U269435" s="25"/>
    </row>
    <row r="269457" spans="21:21" x14ac:dyDescent="0.3">
      <c r="U269457" s="25"/>
    </row>
    <row r="269479" spans="21:21" x14ac:dyDescent="0.3">
      <c r="U269479" s="25"/>
    </row>
    <row r="269501" spans="21:21" x14ac:dyDescent="0.3">
      <c r="U269501" s="25"/>
    </row>
    <row r="269523" spans="21:21" x14ac:dyDescent="0.3">
      <c r="U269523" s="25"/>
    </row>
    <row r="269545" spans="21:21" x14ac:dyDescent="0.3">
      <c r="U269545" s="25"/>
    </row>
    <row r="269567" spans="21:21" x14ac:dyDescent="0.3">
      <c r="U269567" s="25"/>
    </row>
    <row r="269589" spans="21:21" x14ac:dyDescent="0.3">
      <c r="U269589" s="25"/>
    </row>
    <row r="269611" spans="21:21" x14ac:dyDescent="0.3">
      <c r="U269611" s="25"/>
    </row>
    <row r="269633" spans="21:21" x14ac:dyDescent="0.3">
      <c r="U269633" s="25"/>
    </row>
    <row r="269655" spans="21:21" x14ac:dyDescent="0.3">
      <c r="U269655" s="25"/>
    </row>
    <row r="269677" spans="21:21" x14ac:dyDescent="0.3">
      <c r="U269677" s="25"/>
    </row>
    <row r="269699" spans="21:21" x14ac:dyDescent="0.3">
      <c r="U269699" s="25"/>
    </row>
    <row r="269721" spans="21:21" x14ac:dyDescent="0.3">
      <c r="U269721" s="25"/>
    </row>
    <row r="269743" spans="21:21" x14ac:dyDescent="0.3">
      <c r="U269743" s="25"/>
    </row>
    <row r="269765" spans="21:21" x14ac:dyDescent="0.3">
      <c r="U269765" s="25"/>
    </row>
    <row r="269787" spans="21:21" x14ac:dyDescent="0.3">
      <c r="U269787" s="25"/>
    </row>
    <row r="269809" spans="21:21" x14ac:dyDescent="0.3">
      <c r="U269809" s="25"/>
    </row>
    <row r="269831" spans="21:21" x14ac:dyDescent="0.3">
      <c r="U269831" s="25"/>
    </row>
    <row r="269853" spans="21:21" x14ac:dyDescent="0.3">
      <c r="U269853" s="25"/>
    </row>
    <row r="269875" spans="21:21" x14ac:dyDescent="0.3">
      <c r="U269875" s="25"/>
    </row>
    <row r="269897" spans="21:21" x14ac:dyDescent="0.3">
      <c r="U269897" s="25"/>
    </row>
    <row r="269919" spans="21:21" x14ac:dyDescent="0.3">
      <c r="U269919" s="25"/>
    </row>
    <row r="269941" spans="21:21" x14ac:dyDescent="0.3">
      <c r="U269941" s="25"/>
    </row>
    <row r="269963" spans="21:21" x14ac:dyDescent="0.3">
      <c r="U269963" s="25"/>
    </row>
    <row r="269985" spans="21:21" x14ac:dyDescent="0.3">
      <c r="U269985" s="25"/>
    </row>
    <row r="270007" spans="21:21" x14ac:dyDescent="0.3">
      <c r="U270007" s="25"/>
    </row>
    <row r="270029" spans="21:21" x14ac:dyDescent="0.3">
      <c r="U270029" s="25"/>
    </row>
    <row r="270051" spans="21:21" x14ac:dyDescent="0.3">
      <c r="U270051" s="25"/>
    </row>
    <row r="270073" spans="21:21" x14ac:dyDescent="0.3">
      <c r="U270073" s="25"/>
    </row>
    <row r="270095" spans="21:21" x14ac:dyDescent="0.3">
      <c r="U270095" s="25"/>
    </row>
    <row r="270117" spans="21:21" x14ac:dyDescent="0.3">
      <c r="U270117" s="25"/>
    </row>
    <row r="270139" spans="21:21" x14ac:dyDescent="0.3">
      <c r="U270139" s="25"/>
    </row>
    <row r="270161" spans="21:21" x14ac:dyDescent="0.3">
      <c r="U270161" s="25"/>
    </row>
    <row r="270183" spans="21:21" x14ac:dyDescent="0.3">
      <c r="U270183" s="25"/>
    </row>
    <row r="270205" spans="21:21" x14ac:dyDescent="0.3">
      <c r="U270205" s="25"/>
    </row>
    <row r="270227" spans="21:21" x14ac:dyDescent="0.3">
      <c r="U270227" s="25"/>
    </row>
    <row r="270249" spans="21:21" x14ac:dyDescent="0.3">
      <c r="U270249" s="25"/>
    </row>
    <row r="270271" spans="21:21" x14ac:dyDescent="0.3">
      <c r="U270271" s="25"/>
    </row>
    <row r="270293" spans="21:21" x14ac:dyDescent="0.3">
      <c r="U270293" s="25"/>
    </row>
    <row r="270315" spans="21:21" x14ac:dyDescent="0.3">
      <c r="U270315" s="25"/>
    </row>
    <row r="270337" spans="21:21" x14ac:dyDescent="0.3">
      <c r="U270337" s="25"/>
    </row>
    <row r="270359" spans="21:21" x14ac:dyDescent="0.3">
      <c r="U270359" s="25"/>
    </row>
    <row r="270381" spans="21:21" x14ac:dyDescent="0.3">
      <c r="U270381" s="25"/>
    </row>
    <row r="270403" spans="21:21" x14ac:dyDescent="0.3">
      <c r="U270403" s="25"/>
    </row>
    <row r="270425" spans="21:21" x14ac:dyDescent="0.3">
      <c r="U270425" s="25"/>
    </row>
    <row r="270447" spans="21:21" x14ac:dyDescent="0.3">
      <c r="U270447" s="25"/>
    </row>
    <row r="270469" spans="21:21" x14ac:dyDescent="0.3">
      <c r="U270469" s="25"/>
    </row>
    <row r="270491" spans="21:21" x14ac:dyDescent="0.3">
      <c r="U270491" s="25"/>
    </row>
    <row r="270513" spans="21:21" x14ac:dyDescent="0.3">
      <c r="U270513" s="25"/>
    </row>
    <row r="270535" spans="21:21" x14ac:dyDescent="0.3">
      <c r="U270535" s="25"/>
    </row>
    <row r="270557" spans="21:21" x14ac:dyDescent="0.3">
      <c r="U270557" s="25"/>
    </row>
    <row r="270579" spans="21:21" x14ac:dyDescent="0.3">
      <c r="U270579" s="25"/>
    </row>
    <row r="270601" spans="21:21" x14ac:dyDescent="0.3">
      <c r="U270601" s="25"/>
    </row>
    <row r="270623" spans="21:21" x14ac:dyDescent="0.3">
      <c r="U270623" s="25"/>
    </row>
    <row r="270645" spans="21:21" x14ac:dyDescent="0.3">
      <c r="U270645" s="25"/>
    </row>
    <row r="270667" spans="21:21" x14ac:dyDescent="0.3">
      <c r="U270667" s="25"/>
    </row>
    <row r="270689" spans="21:21" x14ac:dyDescent="0.3">
      <c r="U270689" s="25"/>
    </row>
    <row r="270711" spans="21:21" x14ac:dyDescent="0.3">
      <c r="U270711" s="25"/>
    </row>
    <row r="270733" spans="21:21" x14ac:dyDescent="0.3">
      <c r="U270733" s="25"/>
    </row>
    <row r="270755" spans="21:21" x14ac:dyDescent="0.3">
      <c r="U270755" s="25"/>
    </row>
    <row r="270777" spans="21:21" x14ac:dyDescent="0.3">
      <c r="U270777" s="25"/>
    </row>
    <row r="270799" spans="21:21" x14ac:dyDescent="0.3">
      <c r="U270799" s="25"/>
    </row>
    <row r="270821" spans="21:21" x14ac:dyDescent="0.3">
      <c r="U270821" s="25"/>
    </row>
    <row r="270843" spans="21:21" x14ac:dyDescent="0.3">
      <c r="U270843" s="25"/>
    </row>
    <row r="270865" spans="21:21" x14ac:dyDescent="0.3">
      <c r="U270865" s="25"/>
    </row>
    <row r="270887" spans="21:21" x14ac:dyDescent="0.3">
      <c r="U270887" s="25"/>
    </row>
    <row r="270909" spans="21:21" x14ac:dyDescent="0.3">
      <c r="U270909" s="25"/>
    </row>
    <row r="270931" spans="21:21" x14ac:dyDescent="0.3">
      <c r="U270931" s="25"/>
    </row>
    <row r="270953" spans="21:21" x14ac:dyDescent="0.3">
      <c r="U270953" s="25"/>
    </row>
    <row r="270975" spans="21:21" x14ac:dyDescent="0.3">
      <c r="U270975" s="25"/>
    </row>
    <row r="270997" spans="21:21" x14ac:dyDescent="0.3">
      <c r="U270997" s="25"/>
    </row>
    <row r="271019" spans="21:21" x14ac:dyDescent="0.3">
      <c r="U271019" s="25"/>
    </row>
    <row r="271041" spans="21:21" x14ac:dyDescent="0.3">
      <c r="U271041" s="25"/>
    </row>
    <row r="271063" spans="21:21" x14ac:dyDescent="0.3">
      <c r="U271063" s="25"/>
    </row>
    <row r="271085" spans="21:21" x14ac:dyDescent="0.3">
      <c r="U271085" s="25"/>
    </row>
    <row r="271107" spans="21:21" x14ac:dyDescent="0.3">
      <c r="U271107" s="25"/>
    </row>
    <row r="271129" spans="21:21" x14ac:dyDescent="0.3">
      <c r="U271129" s="25"/>
    </row>
    <row r="271151" spans="21:21" x14ac:dyDescent="0.3">
      <c r="U271151" s="25"/>
    </row>
    <row r="271173" spans="21:21" x14ac:dyDescent="0.3">
      <c r="U271173" s="25"/>
    </row>
    <row r="271195" spans="21:21" x14ac:dyDescent="0.3">
      <c r="U271195" s="25"/>
    </row>
    <row r="271217" spans="21:21" x14ac:dyDescent="0.3">
      <c r="U271217" s="25"/>
    </row>
    <row r="271239" spans="21:21" x14ac:dyDescent="0.3">
      <c r="U271239" s="25"/>
    </row>
    <row r="271261" spans="21:21" x14ac:dyDescent="0.3">
      <c r="U271261" s="25"/>
    </row>
    <row r="271283" spans="21:21" x14ac:dyDescent="0.3">
      <c r="U271283" s="25"/>
    </row>
    <row r="271305" spans="21:21" x14ac:dyDescent="0.3">
      <c r="U271305" s="25"/>
    </row>
    <row r="271327" spans="21:21" x14ac:dyDescent="0.3">
      <c r="U271327" s="25"/>
    </row>
    <row r="271349" spans="21:21" x14ac:dyDescent="0.3">
      <c r="U271349" s="25"/>
    </row>
    <row r="271371" spans="21:21" x14ac:dyDescent="0.3">
      <c r="U271371" s="25"/>
    </row>
    <row r="271393" spans="21:21" x14ac:dyDescent="0.3">
      <c r="U271393" s="25"/>
    </row>
    <row r="271415" spans="21:21" x14ac:dyDescent="0.3">
      <c r="U271415" s="25"/>
    </row>
    <row r="271437" spans="21:21" x14ac:dyDescent="0.3">
      <c r="U271437" s="25"/>
    </row>
    <row r="271459" spans="21:21" x14ac:dyDescent="0.3">
      <c r="U271459" s="25"/>
    </row>
    <row r="271481" spans="21:21" x14ac:dyDescent="0.3">
      <c r="U271481" s="25"/>
    </row>
    <row r="271503" spans="21:21" x14ac:dyDescent="0.3">
      <c r="U271503" s="25"/>
    </row>
    <row r="271525" spans="21:21" x14ac:dyDescent="0.3">
      <c r="U271525" s="25"/>
    </row>
    <row r="271547" spans="21:21" x14ac:dyDescent="0.3">
      <c r="U271547" s="25"/>
    </row>
    <row r="271569" spans="21:21" x14ac:dyDescent="0.3">
      <c r="U271569" s="25"/>
    </row>
    <row r="271591" spans="21:21" x14ac:dyDescent="0.3">
      <c r="U271591" s="25"/>
    </row>
    <row r="271613" spans="21:21" x14ac:dyDescent="0.3">
      <c r="U271613" s="25"/>
    </row>
    <row r="271635" spans="21:21" x14ac:dyDescent="0.3">
      <c r="U271635" s="25"/>
    </row>
    <row r="271657" spans="21:21" x14ac:dyDescent="0.3">
      <c r="U271657" s="25"/>
    </row>
    <row r="271679" spans="21:21" x14ac:dyDescent="0.3">
      <c r="U271679" s="25"/>
    </row>
    <row r="271701" spans="21:21" x14ac:dyDescent="0.3">
      <c r="U271701" s="25"/>
    </row>
    <row r="271723" spans="21:21" x14ac:dyDescent="0.3">
      <c r="U271723" s="25"/>
    </row>
    <row r="271745" spans="21:21" x14ac:dyDescent="0.3">
      <c r="U271745" s="25"/>
    </row>
    <row r="271767" spans="21:21" x14ac:dyDescent="0.3">
      <c r="U271767" s="25"/>
    </row>
    <row r="271789" spans="21:21" x14ac:dyDescent="0.3">
      <c r="U271789" s="25"/>
    </row>
    <row r="271811" spans="21:21" x14ac:dyDescent="0.3">
      <c r="U271811" s="25"/>
    </row>
    <row r="271833" spans="21:21" x14ac:dyDescent="0.3">
      <c r="U271833" s="25"/>
    </row>
    <row r="271855" spans="21:21" x14ac:dyDescent="0.3">
      <c r="U271855" s="25"/>
    </row>
    <row r="271877" spans="21:21" x14ac:dyDescent="0.3">
      <c r="U271877" s="25"/>
    </row>
    <row r="271899" spans="21:21" x14ac:dyDescent="0.3">
      <c r="U271899" s="25"/>
    </row>
    <row r="271921" spans="21:21" x14ac:dyDescent="0.3">
      <c r="U271921" s="25"/>
    </row>
    <row r="271943" spans="21:21" x14ac:dyDescent="0.3">
      <c r="U271943" s="25"/>
    </row>
    <row r="271965" spans="21:21" x14ac:dyDescent="0.3">
      <c r="U271965" s="25"/>
    </row>
    <row r="271987" spans="21:21" x14ac:dyDescent="0.3">
      <c r="U271987" s="25"/>
    </row>
    <row r="272009" spans="21:21" x14ac:dyDescent="0.3">
      <c r="U272009" s="25"/>
    </row>
    <row r="272031" spans="21:21" x14ac:dyDescent="0.3">
      <c r="U272031" s="25"/>
    </row>
    <row r="272053" spans="21:21" x14ac:dyDescent="0.3">
      <c r="U272053" s="25"/>
    </row>
    <row r="272075" spans="21:21" x14ac:dyDescent="0.3">
      <c r="U272075" s="25"/>
    </row>
    <row r="272097" spans="21:21" x14ac:dyDescent="0.3">
      <c r="U272097" s="25"/>
    </row>
    <row r="272119" spans="21:21" x14ac:dyDescent="0.3">
      <c r="U272119" s="25"/>
    </row>
    <row r="272141" spans="21:21" x14ac:dyDescent="0.3">
      <c r="U272141" s="25"/>
    </row>
    <row r="272163" spans="21:21" x14ac:dyDescent="0.3">
      <c r="U272163" s="25"/>
    </row>
    <row r="272185" spans="21:21" x14ac:dyDescent="0.3">
      <c r="U272185" s="25"/>
    </row>
    <row r="272207" spans="21:21" x14ac:dyDescent="0.3">
      <c r="U272207" s="25"/>
    </row>
    <row r="272229" spans="21:21" x14ac:dyDescent="0.3">
      <c r="U272229" s="25"/>
    </row>
    <row r="272251" spans="21:21" x14ac:dyDescent="0.3">
      <c r="U272251" s="25"/>
    </row>
    <row r="272273" spans="21:21" x14ac:dyDescent="0.3">
      <c r="U272273" s="25"/>
    </row>
    <row r="272295" spans="21:21" x14ac:dyDescent="0.3">
      <c r="U272295" s="25"/>
    </row>
    <row r="272317" spans="21:21" x14ac:dyDescent="0.3">
      <c r="U272317" s="25"/>
    </row>
    <row r="272339" spans="21:21" x14ac:dyDescent="0.3">
      <c r="U272339" s="25"/>
    </row>
    <row r="272361" spans="21:21" x14ac:dyDescent="0.3">
      <c r="U272361" s="25"/>
    </row>
    <row r="272383" spans="21:21" x14ac:dyDescent="0.3">
      <c r="U272383" s="25"/>
    </row>
    <row r="272405" spans="21:21" x14ac:dyDescent="0.3">
      <c r="U272405" s="25"/>
    </row>
    <row r="272427" spans="21:21" x14ac:dyDescent="0.3">
      <c r="U272427" s="25"/>
    </row>
    <row r="272449" spans="21:21" x14ac:dyDescent="0.3">
      <c r="U272449" s="25"/>
    </row>
    <row r="272471" spans="21:21" x14ac:dyDescent="0.3">
      <c r="U272471" s="25"/>
    </row>
    <row r="272493" spans="21:21" x14ac:dyDescent="0.3">
      <c r="U272493" s="25"/>
    </row>
    <row r="272515" spans="21:21" x14ac:dyDescent="0.3">
      <c r="U272515" s="25"/>
    </row>
    <row r="272537" spans="21:21" x14ac:dyDescent="0.3">
      <c r="U272537" s="25"/>
    </row>
    <row r="272559" spans="21:21" x14ac:dyDescent="0.3">
      <c r="U272559" s="25"/>
    </row>
    <row r="272581" spans="21:21" x14ac:dyDescent="0.3">
      <c r="U272581" s="25"/>
    </row>
    <row r="272603" spans="21:21" x14ac:dyDescent="0.3">
      <c r="U272603" s="25"/>
    </row>
    <row r="272625" spans="21:21" x14ac:dyDescent="0.3">
      <c r="U272625" s="25"/>
    </row>
    <row r="272647" spans="21:21" x14ac:dyDescent="0.3">
      <c r="U272647" s="25"/>
    </row>
    <row r="272669" spans="21:21" x14ac:dyDescent="0.3">
      <c r="U272669" s="25"/>
    </row>
    <row r="272691" spans="21:21" x14ac:dyDescent="0.3">
      <c r="U272691" s="25"/>
    </row>
    <row r="272713" spans="21:21" x14ac:dyDescent="0.3">
      <c r="U272713" s="25"/>
    </row>
    <row r="272735" spans="21:21" x14ac:dyDescent="0.3">
      <c r="U272735" s="25"/>
    </row>
    <row r="272757" spans="21:21" x14ac:dyDescent="0.3">
      <c r="U272757" s="25"/>
    </row>
    <row r="272779" spans="21:21" x14ac:dyDescent="0.3">
      <c r="U272779" s="25"/>
    </row>
    <row r="272801" spans="21:21" x14ac:dyDescent="0.3">
      <c r="U272801" s="25"/>
    </row>
    <row r="272823" spans="21:21" x14ac:dyDescent="0.3">
      <c r="U272823" s="25"/>
    </row>
    <row r="272845" spans="21:21" x14ac:dyDescent="0.3">
      <c r="U272845" s="25"/>
    </row>
    <row r="272867" spans="21:21" x14ac:dyDescent="0.3">
      <c r="U272867" s="25"/>
    </row>
    <row r="272889" spans="21:21" x14ac:dyDescent="0.3">
      <c r="U272889" s="25"/>
    </row>
    <row r="272911" spans="21:21" x14ac:dyDescent="0.3">
      <c r="U272911" s="25"/>
    </row>
    <row r="272933" spans="21:21" x14ac:dyDescent="0.3">
      <c r="U272933" s="25"/>
    </row>
    <row r="272955" spans="21:21" x14ac:dyDescent="0.3">
      <c r="U272955" s="25"/>
    </row>
    <row r="272977" spans="21:21" x14ac:dyDescent="0.3">
      <c r="U272977" s="25"/>
    </row>
    <row r="272999" spans="21:21" x14ac:dyDescent="0.3">
      <c r="U272999" s="25"/>
    </row>
    <row r="273021" spans="21:21" x14ac:dyDescent="0.3">
      <c r="U273021" s="25"/>
    </row>
    <row r="273043" spans="21:21" x14ac:dyDescent="0.3">
      <c r="U273043" s="25"/>
    </row>
    <row r="273065" spans="21:21" x14ac:dyDescent="0.3">
      <c r="U273065" s="25"/>
    </row>
    <row r="273087" spans="21:21" x14ac:dyDescent="0.3">
      <c r="U273087" s="25"/>
    </row>
    <row r="273109" spans="21:21" x14ac:dyDescent="0.3">
      <c r="U273109" s="25"/>
    </row>
    <row r="273131" spans="21:21" x14ac:dyDescent="0.3">
      <c r="U273131" s="25"/>
    </row>
    <row r="273153" spans="21:21" x14ac:dyDescent="0.3">
      <c r="U273153" s="25"/>
    </row>
    <row r="273175" spans="21:21" x14ac:dyDescent="0.3">
      <c r="U273175" s="25"/>
    </row>
    <row r="273197" spans="21:21" x14ac:dyDescent="0.3">
      <c r="U273197" s="25"/>
    </row>
    <row r="273219" spans="21:21" x14ac:dyDescent="0.3">
      <c r="U273219" s="25"/>
    </row>
    <row r="273241" spans="21:21" x14ac:dyDescent="0.3">
      <c r="U273241" s="25"/>
    </row>
    <row r="273263" spans="21:21" x14ac:dyDescent="0.3">
      <c r="U273263" s="25"/>
    </row>
    <row r="273285" spans="21:21" x14ac:dyDescent="0.3">
      <c r="U273285" s="25"/>
    </row>
    <row r="273307" spans="21:21" x14ac:dyDescent="0.3">
      <c r="U273307" s="25"/>
    </row>
    <row r="273329" spans="21:21" x14ac:dyDescent="0.3">
      <c r="U273329" s="25"/>
    </row>
    <row r="273351" spans="21:21" x14ac:dyDescent="0.3">
      <c r="U273351" s="25"/>
    </row>
    <row r="273373" spans="21:21" x14ac:dyDescent="0.3">
      <c r="U273373" s="25"/>
    </row>
    <row r="273395" spans="21:21" x14ac:dyDescent="0.3">
      <c r="U273395" s="25"/>
    </row>
    <row r="273417" spans="21:21" x14ac:dyDescent="0.3">
      <c r="U273417" s="25"/>
    </row>
    <row r="273439" spans="21:21" x14ac:dyDescent="0.3">
      <c r="U273439" s="25"/>
    </row>
    <row r="273461" spans="21:21" x14ac:dyDescent="0.3">
      <c r="U273461" s="25"/>
    </row>
    <row r="273483" spans="21:21" x14ac:dyDescent="0.3">
      <c r="U273483" s="25"/>
    </row>
    <row r="273505" spans="21:21" x14ac:dyDescent="0.3">
      <c r="U273505" s="25"/>
    </row>
    <row r="273527" spans="21:21" x14ac:dyDescent="0.3">
      <c r="U273527" s="25"/>
    </row>
    <row r="273549" spans="21:21" x14ac:dyDescent="0.3">
      <c r="U273549" s="25"/>
    </row>
    <row r="273571" spans="21:21" x14ac:dyDescent="0.3">
      <c r="U273571" s="25"/>
    </row>
    <row r="273593" spans="21:21" x14ac:dyDescent="0.3">
      <c r="U273593" s="25"/>
    </row>
    <row r="273615" spans="21:21" x14ac:dyDescent="0.3">
      <c r="U273615" s="25"/>
    </row>
    <row r="273637" spans="21:21" x14ac:dyDescent="0.3">
      <c r="U273637" s="25"/>
    </row>
    <row r="273659" spans="21:21" x14ac:dyDescent="0.3">
      <c r="U273659" s="25"/>
    </row>
    <row r="273681" spans="21:21" x14ac:dyDescent="0.3">
      <c r="U273681" s="25"/>
    </row>
    <row r="273703" spans="21:21" x14ac:dyDescent="0.3">
      <c r="U273703" s="25"/>
    </row>
    <row r="273725" spans="21:21" x14ac:dyDescent="0.3">
      <c r="U273725" s="25"/>
    </row>
    <row r="273747" spans="21:21" x14ac:dyDescent="0.3">
      <c r="U273747" s="25"/>
    </row>
    <row r="273769" spans="21:21" x14ac:dyDescent="0.3">
      <c r="U273769" s="25"/>
    </row>
    <row r="273791" spans="21:21" x14ac:dyDescent="0.3">
      <c r="U273791" s="25"/>
    </row>
    <row r="273813" spans="21:21" x14ac:dyDescent="0.3">
      <c r="U273813" s="25"/>
    </row>
    <row r="273835" spans="21:21" x14ac:dyDescent="0.3">
      <c r="U273835" s="25"/>
    </row>
    <row r="273857" spans="21:21" x14ac:dyDescent="0.3">
      <c r="U273857" s="25"/>
    </row>
    <row r="273879" spans="21:21" x14ac:dyDescent="0.3">
      <c r="U273879" s="25"/>
    </row>
    <row r="273901" spans="21:21" x14ac:dyDescent="0.3">
      <c r="U273901" s="25"/>
    </row>
    <row r="273923" spans="21:21" x14ac:dyDescent="0.3">
      <c r="U273923" s="25"/>
    </row>
    <row r="273945" spans="21:21" x14ac:dyDescent="0.3">
      <c r="U273945" s="25"/>
    </row>
    <row r="273967" spans="21:21" x14ac:dyDescent="0.3">
      <c r="U273967" s="25"/>
    </row>
    <row r="273989" spans="21:21" x14ac:dyDescent="0.3">
      <c r="U273989" s="25"/>
    </row>
    <row r="274011" spans="21:21" x14ac:dyDescent="0.3">
      <c r="U274011" s="25"/>
    </row>
    <row r="274033" spans="21:21" x14ac:dyDescent="0.3">
      <c r="U274033" s="25"/>
    </row>
    <row r="274055" spans="21:21" x14ac:dyDescent="0.3">
      <c r="U274055" s="25"/>
    </row>
    <row r="274077" spans="21:21" x14ac:dyDescent="0.3">
      <c r="U274077" s="25"/>
    </row>
    <row r="274099" spans="21:21" x14ac:dyDescent="0.3">
      <c r="U274099" s="25"/>
    </row>
    <row r="274121" spans="21:21" x14ac:dyDescent="0.3">
      <c r="U274121" s="25"/>
    </row>
    <row r="274143" spans="21:21" x14ac:dyDescent="0.3">
      <c r="U274143" s="25"/>
    </row>
    <row r="274165" spans="21:21" x14ac:dyDescent="0.3">
      <c r="U274165" s="25"/>
    </row>
    <row r="274187" spans="21:21" x14ac:dyDescent="0.3">
      <c r="U274187" s="25"/>
    </row>
    <row r="274209" spans="21:21" x14ac:dyDescent="0.3">
      <c r="U274209" s="25"/>
    </row>
    <row r="274231" spans="21:21" x14ac:dyDescent="0.3">
      <c r="U274231" s="25"/>
    </row>
    <row r="274253" spans="21:21" x14ac:dyDescent="0.3">
      <c r="U274253" s="25"/>
    </row>
    <row r="274275" spans="21:21" x14ac:dyDescent="0.3">
      <c r="U274275" s="25"/>
    </row>
    <row r="274297" spans="21:21" x14ac:dyDescent="0.3">
      <c r="U274297" s="25"/>
    </row>
    <row r="274319" spans="21:21" x14ac:dyDescent="0.3">
      <c r="U274319" s="25"/>
    </row>
    <row r="274341" spans="21:21" x14ac:dyDescent="0.3">
      <c r="U274341" s="25"/>
    </row>
    <row r="274363" spans="21:21" x14ac:dyDescent="0.3">
      <c r="U274363" s="25"/>
    </row>
    <row r="274385" spans="21:21" x14ac:dyDescent="0.3">
      <c r="U274385" s="25"/>
    </row>
    <row r="274407" spans="21:21" x14ac:dyDescent="0.3">
      <c r="U274407" s="25"/>
    </row>
    <row r="274429" spans="21:21" x14ac:dyDescent="0.3">
      <c r="U274429" s="25"/>
    </row>
    <row r="274451" spans="21:21" x14ac:dyDescent="0.3">
      <c r="U274451" s="25"/>
    </row>
    <row r="274473" spans="21:21" x14ac:dyDescent="0.3">
      <c r="U274473" s="25"/>
    </row>
    <row r="274495" spans="21:21" x14ac:dyDescent="0.3">
      <c r="U274495" s="25"/>
    </row>
    <row r="274517" spans="21:21" x14ac:dyDescent="0.3">
      <c r="U274517" s="25"/>
    </row>
    <row r="274539" spans="21:21" x14ac:dyDescent="0.3">
      <c r="U274539" s="25"/>
    </row>
    <row r="274561" spans="21:21" x14ac:dyDescent="0.3">
      <c r="U274561" s="25"/>
    </row>
    <row r="274583" spans="21:21" x14ac:dyDescent="0.3">
      <c r="U274583" s="25"/>
    </row>
    <row r="274605" spans="21:21" x14ac:dyDescent="0.3">
      <c r="U274605" s="25"/>
    </row>
    <row r="274627" spans="21:21" x14ac:dyDescent="0.3">
      <c r="U274627" s="25"/>
    </row>
    <row r="274649" spans="21:21" x14ac:dyDescent="0.3">
      <c r="U274649" s="25"/>
    </row>
    <row r="274671" spans="21:21" x14ac:dyDescent="0.3">
      <c r="U274671" s="25"/>
    </row>
    <row r="274693" spans="21:21" x14ac:dyDescent="0.3">
      <c r="U274693" s="25"/>
    </row>
    <row r="274715" spans="21:21" x14ac:dyDescent="0.3">
      <c r="U274715" s="25"/>
    </row>
    <row r="274737" spans="21:21" x14ac:dyDescent="0.3">
      <c r="U274737" s="25"/>
    </row>
    <row r="274759" spans="21:21" x14ac:dyDescent="0.3">
      <c r="U274759" s="25"/>
    </row>
    <row r="274781" spans="21:21" x14ac:dyDescent="0.3">
      <c r="U274781" s="25"/>
    </row>
    <row r="274803" spans="21:21" x14ac:dyDescent="0.3">
      <c r="U274803" s="25"/>
    </row>
    <row r="274825" spans="21:21" x14ac:dyDescent="0.3">
      <c r="U274825" s="25"/>
    </row>
    <row r="274847" spans="21:21" x14ac:dyDescent="0.3">
      <c r="U274847" s="25"/>
    </row>
    <row r="274869" spans="21:21" x14ac:dyDescent="0.3">
      <c r="U274869" s="25"/>
    </row>
    <row r="274891" spans="21:21" x14ac:dyDescent="0.3">
      <c r="U274891" s="25"/>
    </row>
    <row r="274913" spans="21:21" x14ac:dyDescent="0.3">
      <c r="U274913" s="25"/>
    </row>
    <row r="274935" spans="21:21" x14ac:dyDescent="0.3">
      <c r="U274935" s="25"/>
    </row>
    <row r="274957" spans="21:21" x14ac:dyDescent="0.3">
      <c r="U274957" s="25"/>
    </row>
    <row r="274979" spans="21:21" x14ac:dyDescent="0.3">
      <c r="U274979" s="25"/>
    </row>
    <row r="275001" spans="21:21" x14ac:dyDescent="0.3">
      <c r="U275001" s="25"/>
    </row>
    <row r="275023" spans="21:21" x14ac:dyDescent="0.3">
      <c r="U275023" s="25"/>
    </row>
    <row r="275045" spans="21:21" x14ac:dyDescent="0.3">
      <c r="U275045" s="25"/>
    </row>
    <row r="275067" spans="21:21" x14ac:dyDescent="0.3">
      <c r="U275067" s="25"/>
    </row>
    <row r="275089" spans="21:21" x14ac:dyDescent="0.3">
      <c r="U275089" s="25"/>
    </row>
    <row r="275111" spans="21:21" x14ac:dyDescent="0.3">
      <c r="U275111" s="25"/>
    </row>
    <row r="275133" spans="21:21" x14ac:dyDescent="0.3">
      <c r="U275133" s="25"/>
    </row>
    <row r="275155" spans="21:21" x14ac:dyDescent="0.3">
      <c r="U275155" s="25"/>
    </row>
    <row r="275177" spans="21:21" x14ac:dyDescent="0.3">
      <c r="U275177" s="25"/>
    </row>
    <row r="275199" spans="21:21" x14ac:dyDescent="0.3">
      <c r="U275199" s="25"/>
    </row>
    <row r="275221" spans="21:21" x14ac:dyDescent="0.3">
      <c r="U275221" s="25"/>
    </row>
    <row r="275243" spans="21:21" x14ac:dyDescent="0.3">
      <c r="U275243" s="25"/>
    </row>
    <row r="275265" spans="21:21" x14ac:dyDescent="0.3">
      <c r="U275265" s="25"/>
    </row>
    <row r="275287" spans="21:21" x14ac:dyDescent="0.3">
      <c r="U275287" s="25"/>
    </row>
    <row r="275309" spans="21:21" x14ac:dyDescent="0.3">
      <c r="U275309" s="25"/>
    </row>
    <row r="275331" spans="21:21" x14ac:dyDescent="0.3">
      <c r="U275331" s="25"/>
    </row>
    <row r="275353" spans="21:21" x14ac:dyDescent="0.3">
      <c r="U275353" s="25"/>
    </row>
    <row r="275375" spans="21:21" x14ac:dyDescent="0.3">
      <c r="U275375" s="25"/>
    </row>
    <row r="275397" spans="21:21" x14ac:dyDescent="0.3">
      <c r="U275397" s="25"/>
    </row>
    <row r="275419" spans="21:21" x14ac:dyDescent="0.3">
      <c r="U275419" s="25"/>
    </row>
    <row r="275441" spans="21:21" x14ac:dyDescent="0.3">
      <c r="U275441" s="25"/>
    </row>
    <row r="275463" spans="21:21" x14ac:dyDescent="0.3">
      <c r="U275463" s="25"/>
    </row>
    <row r="275485" spans="21:21" x14ac:dyDescent="0.3">
      <c r="U275485" s="25"/>
    </row>
    <row r="275507" spans="21:21" x14ac:dyDescent="0.3">
      <c r="U275507" s="25"/>
    </row>
    <row r="275529" spans="21:21" x14ac:dyDescent="0.3">
      <c r="U275529" s="25"/>
    </row>
    <row r="275551" spans="21:21" x14ac:dyDescent="0.3">
      <c r="U275551" s="25"/>
    </row>
    <row r="275573" spans="21:21" x14ac:dyDescent="0.3">
      <c r="U275573" s="25"/>
    </row>
    <row r="275595" spans="21:21" x14ac:dyDescent="0.3">
      <c r="U275595" s="25"/>
    </row>
    <row r="275617" spans="21:21" x14ac:dyDescent="0.3">
      <c r="U275617" s="25"/>
    </row>
    <row r="275639" spans="21:21" x14ac:dyDescent="0.3">
      <c r="U275639" s="25"/>
    </row>
    <row r="275661" spans="21:21" x14ac:dyDescent="0.3">
      <c r="U275661" s="25"/>
    </row>
    <row r="275683" spans="21:21" x14ac:dyDescent="0.3">
      <c r="U275683" s="25"/>
    </row>
    <row r="275705" spans="21:21" x14ac:dyDescent="0.3">
      <c r="U275705" s="25"/>
    </row>
    <row r="275727" spans="21:21" x14ac:dyDescent="0.3">
      <c r="U275727" s="25"/>
    </row>
    <row r="275749" spans="21:21" x14ac:dyDescent="0.3">
      <c r="U275749" s="25"/>
    </row>
    <row r="275771" spans="21:21" x14ac:dyDescent="0.3">
      <c r="U275771" s="25"/>
    </row>
    <row r="275793" spans="21:21" x14ac:dyDescent="0.3">
      <c r="U275793" s="25"/>
    </row>
    <row r="275815" spans="21:21" x14ac:dyDescent="0.3">
      <c r="U275815" s="25"/>
    </row>
    <row r="275837" spans="21:21" x14ac:dyDescent="0.3">
      <c r="U275837" s="25"/>
    </row>
    <row r="275859" spans="21:21" x14ac:dyDescent="0.3">
      <c r="U275859" s="25"/>
    </row>
    <row r="275881" spans="21:21" x14ac:dyDescent="0.3">
      <c r="U275881" s="25"/>
    </row>
    <row r="275903" spans="21:21" x14ac:dyDescent="0.3">
      <c r="U275903" s="25"/>
    </row>
    <row r="275925" spans="21:21" x14ac:dyDescent="0.3">
      <c r="U275925" s="25"/>
    </row>
    <row r="275947" spans="21:21" x14ac:dyDescent="0.3">
      <c r="U275947" s="25"/>
    </row>
    <row r="275969" spans="21:21" x14ac:dyDescent="0.3">
      <c r="U275969" s="25"/>
    </row>
    <row r="275991" spans="21:21" x14ac:dyDescent="0.3">
      <c r="U275991" s="25"/>
    </row>
    <row r="276013" spans="21:21" x14ac:dyDescent="0.3">
      <c r="U276013" s="25"/>
    </row>
    <row r="276035" spans="21:21" x14ac:dyDescent="0.3">
      <c r="U276035" s="25"/>
    </row>
    <row r="276057" spans="21:21" x14ac:dyDescent="0.3">
      <c r="U276057" s="25"/>
    </row>
    <row r="276079" spans="21:21" x14ac:dyDescent="0.3">
      <c r="U276079" s="25"/>
    </row>
    <row r="276101" spans="21:21" x14ac:dyDescent="0.3">
      <c r="U276101" s="25"/>
    </row>
    <row r="276123" spans="21:21" x14ac:dyDescent="0.3">
      <c r="U276123" s="25"/>
    </row>
    <row r="276145" spans="21:21" x14ac:dyDescent="0.3">
      <c r="U276145" s="25"/>
    </row>
    <row r="276167" spans="21:21" x14ac:dyDescent="0.3">
      <c r="U276167" s="25"/>
    </row>
    <row r="276189" spans="21:21" x14ac:dyDescent="0.3">
      <c r="U276189" s="25"/>
    </row>
    <row r="276211" spans="21:21" x14ac:dyDescent="0.3">
      <c r="U276211" s="25"/>
    </row>
    <row r="276233" spans="21:21" x14ac:dyDescent="0.3">
      <c r="U276233" s="25"/>
    </row>
    <row r="276255" spans="21:21" x14ac:dyDescent="0.3">
      <c r="U276255" s="25"/>
    </row>
    <row r="276277" spans="21:21" x14ac:dyDescent="0.3">
      <c r="U276277" s="25"/>
    </row>
    <row r="276299" spans="21:21" x14ac:dyDescent="0.3">
      <c r="U276299" s="25"/>
    </row>
    <row r="276321" spans="21:21" x14ac:dyDescent="0.3">
      <c r="U276321" s="25"/>
    </row>
    <row r="276343" spans="21:21" x14ac:dyDescent="0.3">
      <c r="U276343" s="25"/>
    </row>
    <row r="276365" spans="21:21" x14ac:dyDescent="0.3">
      <c r="U276365" s="25"/>
    </row>
    <row r="276387" spans="21:21" x14ac:dyDescent="0.3">
      <c r="U276387" s="25"/>
    </row>
    <row r="276409" spans="21:21" x14ac:dyDescent="0.3">
      <c r="U276409" s="25"/>
    </row>
    <row r="276431" spans="21:21" x14ac:dyDescent="0.3">
      <c r="U276431" s="25"/>
    </row>
    <row r="276453" spans="21:21" x14ac:dyDescent="0.3">
      <c r="U276453" s="25"/>
    </row>
    <row r="276475" spans="21:21" x14ac:dyDescent="0.3">
      <c r="U276475" s="25"/>
    </row>
    <row r="276497" spans="21:21" x14ac:dyDescent="0.3">
      <c r="U276497" s="25"/>
    </row>
    <row r="276519" spans="21:21" x14ac:dyDescent="0.3">
      <c r="U276519" s="25"/>
    </row>
    <row r="276541" spans="21:21" x14ac:dyDescent="0.3">
      <c r="U276541" s="25"/>
    </row>
    <row r="276563" spans="21:21" x14ac:dyDescent="0.3">
      <c r="U276563" s="25"/>
    </row>
    <row r="276585" spans="21:21" x14ac:dyDescent="0.3">
      <c r="U276585" s="25"/>
    </row>
    <row r="276607" spans="21:21" x14ac:dyDescent="0.3">
      <c r="U276607" s="25"/>
    </row>
    <row r="276629" spans="21:21" x14ac:dyDescent="0.3">
      <c r="U276629" s="25"/>
    </row>
    <row r="276651" spans="21:21" x14ac:dyDescent="0.3">
      <c r="U276651" s="25"/>
    </row>
    <row r="276673" spans="21:21" x14ac:dyDescent="0.3">
      <c r="U276673" s="25"/>
    </row>
    <row r="276695" spans="21:21" x14ac:dyDescent="0.3">
      <c r="U276695" s="25"/>
    </row>
    <row r="276717" spans="21:21" x14ac:dyDescent="0.3">
      <c r="U276717" s="25"/>
    </row>
    <row r="276739" spans="21:21" x14ac:dyDescent="0.3">
      <c r="U276739" s="25"/>
    </row>
    <row r="276761" spans="21:21" x14ac:dyDescent="0.3">
      <c r="U276761" s="25"/>
    </row>
    <row r="276783" spans="21:21" x14ac:dyDescent="0.3">
      <c r="U276783" s="25"/>
    </row>
    <row r="276805" spans="21:21" x14ac:dyDescent="0.3">
      <c r="U276805" s="25"/>
    </row>
    <row r="276827" spans="21:21" x14ac:dyDescent="0.3">
      <c r="U276827" s="25"/>
    </row>
    <row r="276849" spans="21:21" x14ac:dyDescent="0.3">
      <c r="U276849" s="25"/>
    </row>
    <row r="276871" spans="21:21" x14ac:dyDescent="0.3">
      <c r="U276871" s="25"/>
    </row>
    <row r="276893" spans="21:21" x14ac:dyDescent="0.3">
      <c r="U276893" s="25"/>
    </row>
    <row r="276915" spans="21:21" x14ac:dyDescent="0.3">
      <c r="U276915" s="25"/>
    </row>
    <row r="276937" spans="21:21" x14ac:dyDescent="0.3">
      <c r="U276937" s="25"/>
    </row>
    <row r="276959" spans="21:21" x14ac:dyDescent="0.3">
      <c r="U276959" s="25"/>
    </row>
    <row r="276981" spans="21:21" x14ac:dyDescent="0.3">
      <c r="U276981" s="25"/>
    </row>
    <row r="277003" spans="21:21" x14ac:dyDescent="0.3">
      <c r="U277003" s="25"/>
    </row>
    <row r="277025" spans="21:21" x14ac:dyDescent="0.3">
      <c r="U277025" s="25"/>
    </row>
    <row r="277047" spans="21:21" x14ac:dyDescent="0.3">
      <c r="U277047" s="25"/>
    </row>
    <row r="277069" spans="21:21" x14ac:dyDescent="0.3">
      <c r="U277069" s="25"/>
    </row>
    <row r="277091" spans="21:21" x14ac:dyDescent="0.3">
      <c r="U277091" s="25"/>
    </row>
    <row r="277113" spans="21:21" x14ac:dyDescent="0.3">
      <c r="U277113" s="25"/>
    </row>
    <row r="277135" spans="21:21" x14ac:dyDescent="0.3">
      <c r="U277135" s="25"/>
    </row>
    <row r="277157" spans="21:21" x14ac:dyDescent="0.3">
      <c r="U277157" s="25"/>
    </row>
    <row r="277179" spans="21:21" x14ac:dyDescent="0.3">
      <c r="U277179" s="25"/>
    </row>
    <row r="277201" spans="21:21" x14ac:dyDescent="0.3">
      <c r="U277201" s="25"/>
    </row>
    <row r="277223" spans="21:21" x14ac:dyDescent="0.3">
      <c r="U277223" s="25"/>
    </row>
    <row r="277245" spans="21:21" x14ac:dyDescent="0.3">
      <c r="U277245" s="25"/>
    </row>
    <row r="277267" spans="21:21" x14ac:dyDescent="0.3">
      <c r="U277267" s="25"/>
    </row>
    <row r="277289" spans="21:21" x14ac:dyDescent="0.3">
      <c r="U277289" s="25"/>
    </row>
    <row r="277311" spans="21:21" x14ac:dyDescent="0.3">
      <c r="U277311" s="25"/>
    </row>
    <row r="277333" spans="21:21" x14ac:dyDescent="0.3">
      <c r="U277333" s="25"/>
    </row>
    <row r="277355" spans="21:21" x14ac:dyDescent="0.3">
      <c r="U277355" s="25"/>
    </row>
    <row r="277377" spans="21:21" x14ac:dyDescent="0.3">
      <c r="U277377" s="25"/>
    </row>
    <row r="277399" spans="21:21" x14ac:dyDescent="0.3">
      <c r="U277399" s="25"/>
    </row>
    <row r="277421" spans="21:21" x14ac:dyDescent="0.3">
      <c r="U277421" s="25"/>
    </row>
    <row r="277443" spans="21:21" x14ac:dyDescent="0.3">
      <c r="U277443" s="25"/>
    </row>
    <row r="277465" spans="21:21" x14ac:dyDescent="0.3">
      <c r="U277465" s="25"/>
    </row>
    <row r="277487" spans="21:21" x14ac:dyDescent="0.3">
      <c r="U277487" s="25"/>
    </row>
    <row r="277509" spans="21:21" x14ac:dyDescent="0.3">
      <c r="U277509" s="25"/>
    </row>
    <row r="277531" spans="21:21" x14ac:dyDescent="0.3">
      <c r="U277531" s="25"/>
    </row>
    <row r="277553" spans="21:21" x14ac:dyDescent="0.3">
      <c r="U277553" s="25"/>
    </row>
    <row r="277575" spans="21:21" x14ac:dyDescent="0.3">
      <c r="U277575" s="25"/>
    </row>
    <row r="277597" spans="21:21" x14ac:dyDescent="0.3">
      <c r="U277597" s="25"/>
    </row>
    <row r="277619" spans="21:21" x14ac:dyDescent="0.3">
      <c r="U277619" s="25"/>
    </row>
    <row r="277641" spans="21:21" x14ac:dyDescent="0.3">
      <c r="U277641" s="25"/>
    </row>
    <row r="277663" spans="21:21" x14ac:dyDescent="0.3">
      <c r="U277663" s="25"/>
    </row>
    <row r="277685" spans="21:21" x14ac:dyDescent="0.3">
      <c r="U277685" s="25"/>
    </row>
    <row r="277707" spans="21:21" x14ac:dyDescent="0.3">
      <c r="U277707" s="25"/>
    </row>
    <row r="277729" spans="21:21" x14ac:dyDescent="0.3">
      <c r="U277729" s="25"/>
    </row>
    <row r="277751" spans="21:21" x14ac:dyDescent="0.3">
      <c r="U277751" s="25"/>
    </row>
    <row r="277773" spans="21:21" x14ac:dyDescent="0.3">
      <c r="U277773" s="25"/>
    </row>
    <row r="277795" spans="21:21" x14ac:dyDescent="0.3">
      <c r="U277795" s="25"/>
    </row>
    <row r="277817" spans="21:21" x14ac:dyDescent="0.3">
      <c r="U277817" s="25"/>
    </row>
    <row r="277839" spans="21:21" x14ac:dyDescent="0.3">
      <c r="U277839" s="25"/>
    </row>
    <row r="277861" spans="21:21" x14ac:dyDescent="0.3">
      <c r="U277861" s="25"/>
    </row>
    <row r="277883" spans="21:21" x14ac:dyDescent="0.3">
      <c r="U277883" s="25"/>
    </row>
    <row r="277905" spans="21:21" x14ac:dyDescent="0.3">
      <c r="U277905" s="25"/>
    </row>
    <row r="277927" spans="21:21" x14ac:dyDescent="0.3">
      <c r="U277927" s="25"/>
    </row>
    <row r="277949" spans="21:21" x14ac:dyDescent="0.3">
      <c r="U277949" s="25"/>
    </row>
    <row r="277971" spans="21:21" x14ac:dyDescent="0.3">
      <c r="U277971" s="25"/>
    </row>
    <row r="277993" spans="21:21" x14ac:dyDescent="0.3">
      <c r="U277993" s="25"/>
    </row>
    <row r="278015" spans="21:21" x14ac:dyDescent="0.3">
      <c r="U278015" s="25"/>
    </row>
    <row r="278037" spans="21:21" x14ac:dyDescent="0.3">
      <c r="U278037" s="25"/>
    </row>
    <row r="278059" spans="21:21" x14ac:dyDescent="0.3">
      <c r="U278059" s="25"/>
    </row>
    <row r="278081" spans="21:21" x14ac:dyDescent="0.3">
      <c r="U278081" s="25"/>
    </row>
    <row r="278103" spans="21:21" x14ac:dyDescent="0.3">
      <c r="U278103" s="25"/>
    </row>
    <row r="278125" spans="21:21" x14ac:dyDescent="0.3">
      <c r="U278125" s="25"/>
    </row>
    <row r="278147" spans="21:21" x14ac:dyDescent="0.3">
      <c r="U278147" s="25"/>
    </row>
    <row r="278169" spans="21:21" x14ac:dyDescent="0.3">
      <c r="U278169" s="25"/>
    </row>
    <row r="278191" spans="21:21" x14ac:dyDescent="0.3">
      <c r="U278191" s="25"/>
    </row>
    <row r="278213" spans="21:21" x14ac:dyDescent="0.3">
      <c r="U278213" s="25"/>
    </row>
    <row r="278235" spans="21:21" x14ac:dyDescent="0.3">
      <c r="U278235" s="25"/>
    </row>
    <row r="278257" spans="21:21" x14ac:dyDescent="0.3">
      <c r="U278257" s="25"/>
    </row>
    <row r="278279" spans="21:21" x14ac:dyDescent="0.3">
      <c r="U278279" s="25"/>
    </row>
    <row r="278301" spans="21:21" x14ac:dyDescent="0.3">
      <c r="U278301" s="25"/>
    </row>
    <row r="278323" spans="21:21" x14ac:dyDescent="0.3">
      <c r="U278323" s="25"/>
    </row>
    <row r="278345" spans="21:21" x14ac:dyDescent="0.3">
      <c r="U278345" s="25"/>
    </row>
    <row r="278367" spans="21:21" x14ac:dyDescent="0.3">
      <c r="U278367" s="25"/>
    </row>
    <row r="278389" spans="21:21" x14ac:dyDescent="0.3">
      <c r="U278389" s="25"/>
    </row>
    <row r="278411" spans="21:21" x14ac:dyDescent="0.3">
      <c r="U278411" s="25"/>
    </row>
    <row r="278433" spans="21:21" x14ac:dyDescent="0.3">
      <c r="U278433" s="25"/>
    </row>
    <row r="278455" spans="21:21" x14ac:dyDescent="0.3">
      <c r="U278455" s="25"/>
    </row>
    <row r="278477" spans="21:21" x14ac:dyDescent="0.3">
      <c r="U278477" s="25"/>
    </row>
    <row r="278499" spans="21:21" x14ac:dyDescent="0.3">
      <c r="U278499" s="25"/>
    </row>
    <row r="278521" spans="21:21" x14ac:dyDescent="0.3">
      <c r="U278521" s="25"/>
    </row>
    <row r="278543" spans="21:21" x14ac:dyDescent="0.3">
      <c r="U278543" s="25"/>
    </row>
    <row r="278565" spans="21:21" x14ac:dyDescent="0.3">
      <c r="U278565" s="25"/>
    </row>
    <row r="278587" spans="21:21" x14ac:dyDescent="0.3">
      <c r="U278587" s="25"/>
    </row>
    <row r="278609" spans="21:21" x14ac:dyDescent="0.3">
      <c r="U278609" s="25"/>
    </row>
    <row r="278631" spans="21:21" x14ac:dyDescent="0.3">
      <c r="U278631" s="25"/>
    </row>
    <row r="278653" spans="21:21" x14ac:dyDescent="0.3">
      <c r="U278653" s="25"/>
    </row>
    <row r="278675" spans="21:21" x14ac:dyDescent="0.3">
      <c r="U278675" s="25"/>
    </row>
    <row r="278697" spans="21:21" x14ac:dyDescent="0.3">
      <c r="U278697" s="25"/>
    </row>
    <row r="278719" spans="21:21" x14ac:dyDescent="0.3">
      <c r="U278719" s="25"/>
    </row>
    <row r="278741" spans="21:21" x14ac:dyDescent="0.3">
      <c r="U278741" s="25"/>
    </row>
    <row r="278763" spans="21:21" x14ac:dyDescent="0.3">
      <c r="U278763" s="25"/>
    </row>
    <row r="278785" spans="21:21" x14ac:dyDescent="0.3">
      <c r="U278785" s="25"/>
    </row>
    <row r="278807" spans="21:21" x14ac:dyDescent="0.3">
      <c r="U278807" s="25"/>
    </row>
    <row r="278829" spans="21:21" x14ac:dyDescent="0.3">
      <c r="U278829" s="25"/>
    </row>
    <row r="278851" spans="21:21" x14ac:dyDescent="0.3">
      <c r="U278851" s="25"/>
    </row>
    <row r="278873" spans="21:21" x14ac:dyDescent="0.3">
      <c r="U278873" s="25"/>
    </row>
    <row r="278895" spans="21:21" x14ac:dyDescent="0.3">
      <c r="U278895" s="25"/>
    </row>
    <row r="278917" spans="21:21" x14ac:dyDescent="0.3">
      <c r="U278917" s="25"/>
    </row>
    <row r="278939" spans="21:21" x14ac:dyDescent="0.3">
      <c r="U278939" s="25"/>
    </row>
    <row r="278961" spans="21:21" x14ac:dyDescent="0.3">
      <c r="U278961" s="25"/>
    </row>
    <row r="278983" spans="21:21" x14ac:dyDescent="0.3">
      <c r="U278983" s="25"/>
    </row>
    <row r="279005" spans="21:21" x14ac:dyDescent="0.3">
      <c r="U279005" s="25"/>
    </row>
    <row r="279027" spans="21:21" x14ac:dyDescent="0.3">
      <c r="U279027" s="25"/>
    </row>
    <row r="279049" spans="21:21" x14ac:dyDescent="0.3">
      <c r="U279049" s="25"/>
    </row>
    <row r="279071" spans="21:21" x14ac:dyDescent="0.3">
      <c r="U279071" s="25"/>
    </row>
    <row r="279093" spans="21:21" x14ac:dyDescent="0.3">
      <c r="U279093" s="25"/>
    </row>
    <row r="279115" spans="21:21" x14ac:dyDescent="0.3">
      <c r="U279115" s="25"/>
    </row>
    <row r="279137" spans="21:21" x14ac:dyDescent="0.3">
      <c r="U279137" s="25"/>
    </row>
    <row r="279159" spans="21:21" x14ac:dyDescent="0.3">
      <c r="U279159" s="25"/>
    </row>
    <row r="279181" spans="21:21" x14ac:dyDescent="0.3">
      <c r="U279181" s="25"/>
    </row>
    <row r="279203" spans="21:21" x14ac:dyDescent="0.3">
      <c r="U279203" s="25"/>
    </row>
    <row r="279225" spans="21:21" x14ac:dyDescent="0.3">
      <c r="U279225" s="25"/>
    </row>
    <row r="279247" spans="21:21" x14ac:dyDescent="0.3">
      <c r="U279247" s="25"/>
    </row>
    <row r="279269" spans="21:21" x14ac:dyDescent="0.3">
      <c r="U279269" s="25"/>
    </row>
    <row r="279291" spans="21:21" x14ac:dyDescent="0.3">
      <c r="U279291" s="25"/>
    </row>
    <row r="279313" spans="21:21" x14ac:dyDescent="0.3">
      <c r="U279313" s="25"/>
    </row>
    <row r="279335" spans="21:21" x14ac:dyDescent="0.3">
      <c r="U279335" s="25"/>
    </row>
    <row r="279357" spans="21:21" x14ac:dyDescent="0.3">
      <c r="U279357" s="25"/>
    </row>
    <row r="279379" spans="21:21" x14ac:dyDescent="0.3">
      <c r="U279379" s="25"/>
    </row>
    <row r="279401" spans="21:21" x14ac:dyDescent="0.3">
      <c r="U279401" s="25"/>
    </row>
    <row r="279423" spans="21:21" x14ac:dyDescent="0.3">
      <c r="U279423" s="25"/>
    </row>
    <row r="279445" spans="21:21" x14ac:dyDescent="0.3">
      <c r="U279445" s="25"/>
    </row>
    <row r="279467" spans="21:21" x14ac:dyDescent="0.3">
      <c r="U279467" s="25"/>
    </row>
    <row r="279489" spans="21:21" x14ac:dyDescent="0.3">
      <c r="U279489" s="25"/>
    </row>
    <row r="279511" spans="21:21" x14ac:dyDescent="0.3">
      <c r="U279511" s="25"/>
    </row>
    <row r="279533" spans="21:21" x14ac:dyDescent="0.3">
      <c r="U279533" s="25"/>
    </row>
    <row r="279555" spans="21:21" x14ac:dyDescent="0.3">
      <c r="U279555" s="25"/>
    </row>
    <row r="279577" spans="21:21" x14ac:dyDescent="0.3">
      <c r="U279577" s="25"/>
    </row>
    <row r="279599" spans="21:21" x14ac:dyDescent="0.3">
      <c r="U279599" s="25"/>
    </row>
    <row r="279621" spans="21:21" x14ac:dyDescent="0.3">
      <c r="U279621" s="25"/>
    </row>
    <row r="279643" spans="21:21" x14ac:dyDescent="0.3">
      <c r="U279643" s="25"/>
    </row>
    <row r="279665" spans="21:21" x14ac:dyDescent="0.3">
      <c r="U279665" s="25"/>
    </row>
    <row r="279687" spans="21:21" x14ac:dyDescent="0.3">
      <c r="U279687" s="25"/>
    </row>
    <row r="279709" spans="21:21" x14ac:dyDescent="0.3">
      <c r="U279709" s="25"/>
    </row>
    <row r="279731" spans="21:21" x14ac:dyDescent="0.3">
      <c r="U279731" s="25"/>
    </row>
    <row r="279753" spans="21:21" x14ac:dyDescent="0.3">
      <c r="U279753" s="25"/>
    </row>
    <row r="279775" spans="21:21" x14ac:dyDescent="0.3">
      <c r="U279775" s="25"/>
    </row>
    <row r="279797" spans="21:21" x14ac:dyDescent="0.3">
      <c r="U279797" s="25"/>
    </row>
    <row r="279819" spans="21:21" x14ac:dyDescent="0.3">
      <c r="U279819" s="25"/>
    </row>
    <row r="279841" spans="21:21" x14ac:dyDescent="0.3">
      <c r="U279841" s="25"/>
    </row>
    <row r="279863" spans="21:21" x14ac:dyDescent="0.3">
      <c r="U279863" s="25"/>
    </row>
    <row r="279885" spans="21:21" x14ac:dyDescent="0.3">
      <c r="U279885" s="25"/>
    </row>
    <row r="279907" spans="21:21" x14ac:dyDescent="0.3">
      <c r="U279907" s="25"/>
    </row>
    <row r="279929" spans="21:21" x14ac:dyDescent="0.3">
      <c r="U279929" s="25"/>
    </row>
    <row r="279951" spans="21:21" x14ac:dyDescent="0.3">
      <c r="U279951" s="25"/>
    </row>
    <row r="279973" spans="21:21" x14ac:dyDescent="0.3">
      <c r="U279973" s="25"/>
    </row>
    <row r="279995" spans="21:21" x14ac:dyDescent="0.3">
      <c r="U279995" s="25"/>
    </row>
    <row r="280017" spans="21:21" x14ac:dyDescent="0.3">
      <c r="U280017" s="25"/>
    </row>
    <row r="280039" spans="21:21" x14ac:dyDescent="0.3">
      <c r="U280039" s="25"/>
    </row>
    <row r="280061" spans="21:21" x14ac:dyDescent="0.3">
      <c r="U280061" s="25"/>
    </row>
    <row r="280083" spans="21:21" x14ac:dyDescent="0.3">
      <c r="U280083" s="25"/>
    </row>
    <row r="280105" spans="21:21" x14ac:dyDescent="0.3">
      <c r="U280105" s="25"/>
    </row>
    <row r="280127" spans="21:21" x14ac:dyDescent="0.3">
      <c r="U280127" s="25"/>
    </row>
    <row r="280149" spans="21:21" x14ac:dyDescent="0.3">
      <c r="U280149" s="25"/>
    </row>
    <row r="280171" spans="21:21" x14ac:dyDescent="0.3">
      <c r="U280171" s="25"/>
    </row>
    <row r="280193" spans="21:21" x14ac:dyDescent="0.3">
      <c r="U280193" s="25"/>
    </row>
    <row r="280215" spans="21:21" x14ac:dyDescent="0.3">
      <c r="U280215" s="25"/>
    </row>
    <row r="280237" spans="21:21" x14ac:dyDescent="0.3">
      <c r="U280237" s="25"/>
    </row>
    <row r="280259" spans="21:21" x14ac:dyDescent="0.3">
      <c r="U280259" s="25"/>
    </row>
    <row r="280281" spans="21:21" x14ac:dyDescent="0.3">
      <c r="U280281" s="25"/>
    </row>
    <row r="280303" spans="21:21" x14ac:dyDescent="0.3">
      <c r="U280303" s="25"/>
    </row>
    <row r="280325" spans="21:21" x14ac:dyDescent="0.3">
      <c r="U280325" s="25"/>
    </row>
    <row r="280347" spans="21:21" x14ac:dyDescent="0.3">
      <c r="U280347" s="25"/>
    </row>
    <row r="280369" spans="21:21" x14ac:dyDescent="0.3">
      <c r="U280369" s="25"/>
    </row>
    <row r="280391" spans="21:21" x14ac:dyDescent="0.3">
      <c r="U280391" s="25"/>
    </row>
    <row r="280413" spans="21:21" x14ac:dyDescent="0.3">
      <c r="U280413" s="25"/>
    </row>
    <row r="280435" spans="21:21" x14ac:dyDescent="0.3">
      <c r="U280435" s="25"/>
    </row>
    <row r="280457" spans="21:21" x14ac:dyDescent="0.3">
      <c r="U280457" s="25"/>
    </row>
    <row r="280479" spans="21:21" x14ac:dyDescent="0.3">
      <c r="U280479" s="25"/>
    </row>
    <row r="280501" spans="21:21" x14ac:dyDescent="0.3">
      <c r="U280501" s="25"/>
    </row>
    <row r="280523" spans="21:21" x14ac:dyDescent="0.3">
      <c r="U280523" s="25"/>
    </row>
    <row r="280545" spans="21:21" x14ac:dyDescent="0.3">
      <c r="U280545" s="25"/>
    </row>
    <row r="280567" spans="21:21" x14ac:dyDescent="0.3">
      <c r="U280567" s="25"/>
    </row>
    <row r="280589" spans="21:21" x14ac:dyDescent="0.3">
      <c r="U280589" s="25"/>
    </row>
    <row r="280611" spans="21:21" x14ac:dyDescent="0.3">
      <c r="U280611" s="25"/>
    </row>
    <row r="280633" spans="21:21" x14ac:dyDescent="0.3">
      <c r="U280633" s="25"/>
    </row>
    <row r="280655" spans="21:21" x14ac:dyDescent="0.3">
      <c r="U280655" s="25"/>
    </row>
    <row r="280677" spans="21:21" x14ac:dyDescent="0.3">
      <c r="U280677" s="25"/>
    </row>
    <row r="280699" spans="21:21" x14ac:dyDescent="0.3">
      <c r="U280699" s="25"/>
    </row>
    <row r="280721" spans="21:21" x14ac:dyDescent="0.3">
      <c r="U280721" s="25"/>
    </row>
    <row r="280743" spans="21:21" x14ac:dyDescent="0.3">
      <c r="U280743" s="25"/>
    </row>
    <row r="280765" spans="21:21" x14ac:dyDescent="0.3">
      <c r="U280765" s="25"/>
    </row>
    <row r="280787" spans="21:21" x14ac:dyDescent="0.3">
      <c r="U280787" s="25"/>
    </row>
    <row r="280809" spans="21:21" x14ac:dyDescent="0.3">
      <c r="U280809" s="25"/>
    </row>
    <row r="280831" spans="21:21" x14ac:dyDescent="0.3">
      <c r="U280831" s="25"/>
    </row>
    <row r="280853" spans="21:21" x14ac:dyDescent="0.3">
      <c r="U280853" s="25"/>
    </row>
    <row r="280875" spans="21:21" x14ac:dyDescent="0.3">
      <c r="U280875" s="25"/>
    </row>
    <row r="280897" spans="21:21" x14ac:dyDescent="0.3">
      <c r="U280897" s="25"/>
    </row>
    <row r="280919" spans="21:21" x14ac:dyDescent="0.3">
      <c r="U280919" s="25"/>
    </row>
    <row r="280941" spans="21:21" x14ac:dyDescent="0.3">
      <c r="U280941" s="25"/>
    </row>
    <row r="280963" spans="21:21" x14ac:dyDescent="0.3">
      <c r="U280963" s="25"/>
    </row>
    <row r="280985" spans="21:21" x14ac:dyDescent="0.3">
      <c r="U280985" s="25"/>
    </row>
    <row r="281007" spans="21:21" x14ac:dyDescent="0.3">
      <c r="U281007" s="25"/>
    </row>
    <row r="281029" spans="21:21" x14ac:dyDescent="0.3">
      <c r="U281029" s="25"/>
    </row>
    <row r="281051" spans="21:21" x14ac:dyDescent="0.3">
      <c r="U281051" s="25"/>
    </row>
    <row r="281073" spans="21:21" x14ac:dyDescent="0.3">
      <c r="U281073" s="25"/>
    </row>
    <row r="281095" spans="21:21" x14ac:dyDescent="0.3">
      <c r="U281095" s="25"/>
    </row>
    <row r="281117" spans="21:21" x14ac:dyDescent="0.3">
      <c r="U281117" s="25"/>
    </row>
    <row r="281139" spans="21:21" x14ac:dyDescent="0.3">
      <c r="U281139" s="25"/>
    </row>
    <row r="281161" spans="21:21" x14ac:dyDescent="0.3">
      <c r="U281161" s="25"/>
    </row>
    <row r="281183" spans="21:21" x14ac:dyDescent="0.3">
      <c r="U281183" s="25"/>
    </row>
    <row r="281205" spans="21:21" x14ac:dyDescent="0.3">
      <c r="U281205" s="25"/>
    </row>
    <row r="281227" spans="21:21" x14ac:dyDescent="0.3">
      <c r="U281227" s="25"/>
    </row>
    <row r="281249" spans="21:21" x14ac:dyDescent="0.3">
      <c r="U281249" s="25"/>
    </row>
    <row r="281271" spans="21:21" x14ac:dyDescent="0.3">
      <c r="U281271" s="25"/>
    </row>
    <row r="281293" spans="21:21" x14ac:dyDescent="0.3">
      <c r="U281293" s="25"/>
    </row>
    <row r="281315" spans="21:21" x14ac:dyDescent="0.3">
      <c r="U281315" s="25"/>
    </row>
    <row r="281337" spans="21:21" x14ac:dyDescent="0.3">
      <c r="U281337" s="25"/>
    </row>
    <row r="281359" spans="21:21" x14ac:dyDescent="0.3">
      <c r="U281359" s="25"/>
    </row>
    <row r="281381" spans="21:21" x14ac:dyDescent="0.3">
      <c r="U281381" s="25"/>
    </row>
    <row r="281403" spans="21:21" x14ac:dyDescent="0.3">
      <c r="U281403" s="25"/>
    </row>
    <row r="281425" spans="21:21" x14ac:dyDescent="0.3">
      <c r="U281425" s="25"/>
    </row>
    <row r="281447" spans="21:21" x14ac:dyDescent="0.3">
      <c r="U281447" s="25"/>
    </row>
    <row r="281469" spans="21:21" x14ac:dyDescent="0.3">
      <c r="U281469" s="25"/>
    </row>
    <row r="281491" spans="21:21" x14ac:dyDescent="0.3">
      <c r="U281491" s="25"/>
    </row>
    <row r="281513" spans="21:21" x14ac:dyDescent="0.3">
      <c r="U281513" s="25"/>
    </row>
    <row r="281535" spans="21:21" x14ac:dyDescent="0.3">
      <c r="U281535" s="25"/>
    </row>
    <row r="281557" spans="21:21" x14ac:dyDescent="0.3">
      <c r="U281557" s="25"/>
    </row>
    <row r="281579" spans="21:21" x14ac:dyDescent="0.3">
      <c r="U281579" s="25"/>
    </row>
    <row r="281601" spans="21:21" x14ac:dyDescent="0.3">
      <c r="U281601" s="25"/>
    </row>
    <row r="281623" spans="21:21" x14ac:dyDescent="0.3">
      <c r="U281623" s="25"/>
    </row>
    <row r="281645" spans="21:21" x14ac:dyDescent="0.3">
      <c r="U281645" s="25"/>
    </row>
    <row r="281667" spans="21:21" x14ac:dyDescent="0.3">
      <c r="U281667" s="25"/>
    </row>
    <row r="281689" spans="21:21" x14ac:dyDescent="0.3">
      <c r="U281689" s="25"/>
    </row>
    <row r="281711" spans="21:21" x14ac:dyDescent="0.3">
      <c r="U281711" s="25"/>
    </row>
    <row r="281733" spans="21:21" x14ac:dyDescent="0.3">
      <c r="U281733" s="25"/>
    </row>
    <row r="281755" spans="21:21" x14ac:dyDescent="0.3">
      <c r="U281755" s="25"/>
    </row>
    <row r="281777" spans="21:21" x14ac:dyDescent="0.3">
      <c r="U281777" s="25"/>
    </row>
    <row r="281799" spans="21:21" x14ac:dyDescent="0.3">
      <c r="U281799" s="25"/>
    </row>
    <row r="281821" spans="21:21" x14ac:dyDescent="0.3">
      <c r="U281821" s="25"/>
    </row>
    <row r="281843" spans="21:21" x14ac:dyDescent="0.3">
      <c r="U281843" s="25"/>
    </row>
    <row r="281865" spans="21:21" x14ac:dyDescent="0.3">
      <c r="U281865" s="25"/>
    </row>
    <row r="281887" spans="21:21" x14ac:dyDescent="0.3">
      <c r="U281887" s="25"/>
    </row>
    <row r="281909" spans="21:21" x14ac:dyDescent="0.3">
      <c r="U281909" s="25"/>
    </row>
    <row r="281931" spans="21:21" x14ac:dyDescent="0.3">
      <c r="U281931" s="25"/>
    </row>
    <row r="281953" spans="21:21" x14ac:dyDescent="0.3">
      <c r="U281953" s="25"/>
    </row>
    <row r="281975" spans="21:21" x14ac:dyDescent="0.3">
      <c r="U281975" s="25"/>
    </row>
    <row r="281997" spans="21:21" x14ac:dyDescent="0.3">
      <c r="U281997" s="25"/>
    </row>
    <row r="282019" spans="21:21" x14ac:dyDescent="0.3">
      <c r="U282019" s="25"/>
    </row>
    <row r="282041" spans="21:21" x14ac:dyDescent="0.3">
      <c r="U282041" s="25"/>
    </row>
    <row r="282063" spans="21:21" x14ac:dyDescent="0.3">
      <c r="U282063" s="25"/>
    </row>
    <row r="282085" spans="21:21" x14ac:dyDescent="0.3">
      <c r="U282085" s="25"/>
    </row>
    <row r="282107" spans="21:21" x14ac:dyDescent="0.3">
      <c r="U282107" s="25"/>
    </row>
    <row r="282129" spans="21:21" x14ac:dyDescent="0.3">
      <c r="U282129" s="25"/>
    </row>
    <row r="282151" spans="21:21" x14ac:dyDescent="0.3">
      <c r="U282151" s="25"/>
    </row>
    <row r="282173" spans="21:21" x14ac:dyDescent="0.3">
      <c r="U282173" s="25"/>
    </row>
    <row r="282195" spans="21:21" x14ac:dyDescent="0.3">
      <c r="U282195" s="25"/>
    </row>
    <row r="282217" spans="21:21" x14ac:dyDescent="0.3">
      <c r="U282217" s="25"/>
    </row>
    <row r="282239" spans="21:21" x14ac:dyDescent="0.3">
      <c r="U282239" s="25"/>
    </row>
    <row r="282261" spans="21:21" x14ac:dyDescent="0.3">
      <c r="U282261" s="25"/>
    </row>
    <row r="282283" spans="21:21" x14ac:dyDescent="0.3">
      <c r="U282283" s="25"/>
    </row>
    <row r="282305" spans="21:21" x14ac:dyDescent="0.3">
      <c r="U282305" s="25"/>
    </row>
    <row r="282327" spans="21:21" x14ac:dyDescent="0.3">
      <c r="U282327" s="25"/>
    </row>
    <row r="282349" spans="21:21" x14ac:dyDescent="0.3">
      <c r="U282349" s="25"/>
    </row>
    <row r="282371" spans="21:21" x14ac:dyDescent="0.3">
      <c r="U282371" s="25"/>
    </row>
    <row r="282393" spans="21:21" x14ac:dyDescent="0.3">
      <c r="U282393" s="25"/>
    </row>
    <row r="282415" spans="21:21" x14ac:dyDescent="0.3">
      <c r="U282415" s="25"/>
    </row>
    <row r="282437" spans="21:21" x14ac:dyDescent="0.3">
      <c r="U282437" s="25"/>
    </row>
    <row r="282459" spans="21:21" x14ac:dyDescent="0.3">
      <c r="U282459" s="25"/>
    </row>
    <row r="282481" spans="21:21" x14ac:dyDescent="0.3">
      <c r="U282481" s="25"/>
    </row>
    <row r="282503" spans="21:21" x14ac:dyDescent="0.3">
      <c r="U282503" s="25"/>
    </row>
    <row r="282525" spans="21:21" x14ac:dyDescent="0.3">
      <c r="U282525" s="25"/>
    </row>
    <row r="282547" spans="21:21" x14ac:dyDescent="0.3">
      <c r="U282547" s="25"/>
    </row>
    <row r="282569" spans="21:21" x14ac:dyDescent="0.3">
      <c r="U282569" s="25"/>
    </row>
    <row r="282591" spans="21:21" x14ac:dyDescent="0.3">
      <c r="U282591" s="25"/>
    </row>
    <row r="282613" spans="21:21" x14ac:dyDescent="0.3">
      <c r="U282613" s="25"/>
    </row>
    <row r="282635" spans="21:21" x14ac:dyDescent="0.3">
      <c r="U282635" s="25"/>
    </row>
    <row r="282657" spans="21:21" x14ac:dyDescent="0.3">
      <c r="U282657" s="25"/>
    </row>
    <row r="282679" spans="21:21" x14ac:dyDescent="0.3">
      <c r="U282679" s="25"/>
    </row>
    <row r="282701" spans="21:21" x14ac:dyDescent="0.3">
      <c r="U282701" s="25"/>
    </row>
    <row r="282723" spans="21:21" x14ac:dyDescent="0.3">
      <c r="U282723" s="25"/>
    </row>
    <row r="282745" spans="21:21" x14ac:dyDescent="0.3">
      <c r="U282745" s="25"/>
    </row>
    <row r="282767" spans="21:21" x14ac:dyDescent="0.3">
      <c r="U282767" s="25"/>
    </row>
    <row r="282789" spans="21:21" x14ac:dyDescent="0.3">
      <c r="U282789" s="25"/>
    </row>
    <row r="282811" spans="21:21" x14ac:dyDescent="0.3">
      <c r="U282811" s="25"/>
    </row>
    <row r="282833" spans="21:21" x14ac:dyDescent="0.3">
      <c r="U282833" s="25"/>
    </row>
    <row r="282855" spans="21:21" x14ac:dyDescent="0.3">
      <c r="U282855" s="25"/>
    </row>
    <row r="282877" spans="21:21" x14ac:dyDescent="0.3">
      <c r="U282877" s="25"/>
    </row>
    <row r="282899" spans="21:21" x14ac:dyDescent="0.3">
      <c r="U282899" s="25"/>
    </row>
    <row r="282921" spans="21:21" x14ac:dyDescent="0.3">
      <c r="U282921" s="25"/>
    </row>
    <row r="282943" spans="21:21" x14ac:dyDescent="0.3">
      <c r="U282943" s="25"/>
    </row>
    <row r="282965" spans="21:21" x14ac:dyDescent="0.3">
      <c r="U282965" s="25"/>
    </row>
    <row r="282987" spans="21:21" x14ac:dyDescent="0.3">
      <c r="U282987" s="25"/>
    </row>
    <row r="283009" spans="21:21" x14ac:dyDescent="0.3">
      <c r="U283009" s="25"/>
    </row>
    <row r="283031" spans="21:21" x14ac:dyDescent="0.3">
      <c r="U283031" s="25"/>
    </row>
    <row r="283053" spans="21:21" x14ac:dyDescent="0.3">
      <c r="U283053" s="25"/>
    </row>
    <row r="283075" spans="21:21" x14ac:dyDescent="0.3">
      <c r="U283075" s="25"/>
    </row>
    <row r="283097" spans="21:21" x14ac:dyDescent="0.3">
      <c r="U283097" s="25"/>
    </row>
    <row r="283119" spans="21:21" x14ac:dyDescent="0.3">
      <c r="U283119" s="25"/>
    </row>
    <row r="283141" spans="21:21" x14ac:dyDescent="0.3">
      <c r="U283141" s="25"/>
    </row>
    <row r="283163" spans="21:21" x14ac:dyDescent="0.3">
      <c r="U283163" s="25"/>
    </row>
    <row r="283185" spans="21:21" x14ac:dyDescent="0.3">
      <c r="U283185" s="25"/>
    </row>
    <row r="283207" spans="21:21" x14ac:dyDescent="0.3">
      <c r="U283207" s="25"/>
    </row>
    <row r="283229" spans="21:21" x14ac:dyDescent="0.3">
      <c r="U283229" s="25"/>
    </row>
    <row r="283251" spans="21:21" x14ac:dyDescent="0.3">
      <c r="U283251" s="25"/>
    </row>
    <row r="283273" spans="21:21" x14ac:dyDescent="0.3">
      <c r="U283273" s="25"/>
    </row>
    <row r="283295" spans="21:21" x14ac:dyDescent="0.3">
      <c r="U283295" s="25"/>
    </row>
    <row r="283317" spans="21:21" x14ac:dyDescent="0.3">
      <c r="U283317" s="25"/>
    </row>
    <row r="283339" spans="21:21" x14ac:dyDescent="0.3">
      <c r="U283339" s="25"/>
    </row>
    <row r="283361" spans="21:21" x14ac:dyDescent="0.3">
      <c r="U283361" s="25"/>
    </row>
    <row r="283383" spans="21:21" x14ac:dyDescent="0.3">
      <c r="U283383" s="25"/>
    </row>
    <row r="283405" spans="21:21" x14ac:dyDescent="0.3">
      <c r="U283405" s="25"/>
    </row>
    <row r="283427" spans="21:21" x14ac:dyDescent="0.3">
      <c r="U283427" s="25"/>
    </row>
    <row r="283449" spans="21:21" x14ac:dyDescent="0.3">
      <c r="U283449" s="25"/>
    </row>
    <row r="283471" spans="21:21" x14ac:dyDescent="0.3">
      <c r="U283471" s="25"/>
    </row>
    <row r="283493" spans="21:21" x14ac:dyDescent="0.3">
      <c r="U283493" s="25"/>
    </row>
    <row r="283515" spans="21:21" x14ac:dyDescent="0.3">
      <c r="U283515" s="25"/>
    </row>
    <row r="283537" spans="21:21" x14ac:dyDescent="0.3">
      <c r="U283537" s="25"/>
    </row>
    <row r="283559" spans="21:21" x14ac:dyDescent="0.3">
      <c r="U283559" s="25"/>
    </row>
    <row r="283581" spans="21:21" x14ac:dyDescent="0.3">
      <c r="U283581" s="25"/>
    </row>
    <row r="283603" spans="21:21" x14ac:dyDescent="0.3">
      <c r="U283603" s="25"/>
    </row>
    <row r="283625" spans="21:21" x14ac:dyDescent="0.3">
      <c r="U283625" s="25"/>
    </row>
    <row r="283647" spans="21:21" x14ac:dyDescent="0.3">
      <c r="U283647" s="25"/>
    </row>
    <row r="283669" spans="21:21" x14ac:dyDescent="0.3">
      <c r="U283669" s="25"/>
    </row>
    <row r="283691" spans="21:21" x14ac:dyDescent="0.3">
      <c r="U283691" s="25"/>
    </row>
    <row r="283713" spans="21:21" x14ac:dyDescent="0.3">
      <c r="U283713" s="25"/>
    </row>
    <row r="283735" spans="21:21" x14ac:dyDescent="0.3">
      <c r="U283735" s="25"/>
    </row>
    <row r="283757" spans="21:21" x14ac:dyDescent="0.3">
      <c r="U283757" s="25"/>
    </row>
    <row r="283779" spans="21:21" x14ac:dyDescent="0.3">
      <c r="U283779" s="25"/>
    </row>
    <row r="283801" spans="21:21" x14ac:dyDescent="0.3">
      <c r="U283801" s="25"/>
    </row>
    <row r="283823" spans="21:21" x14ac:dyDescent="0.3">
      <c r="U283823" s="25"/>
    </row>
    <row r="283845" spans="21:21" x14ac:dyDescent="0.3">
      <c r="U283845" s="25"/>
    </row>
    <row r="283867" spans="21:21" x14ac:dyDescent="0.3">
      <c r="U283867" s="25"/>
    </row>
    <row r="283889" spans="21:21" x14ac:dyDescent="0.3">
      <c r="U283889" s="25"/>
    </row>
    <row r="283911" spans="21:21" x14ac:dyDescent="0.3">
      <c r="U283911" s="25"/>
    </row>
    <row r="283933" spans="21:21" x14ac:dyDescent="0.3">
      <c r="U283933" s="25"/>
    </row>
    <row r="283955" spans="21:21" x14ac:dyDescent="0.3">
      <c r="U283955" s="25"/>
    </row>
    <row r="283977" spans="21:21" x14ac:dyDescent="0.3">
      <c r="U283977" s="25"/>
    </row>
    <row r="283999" spans="21:21" x14ac:dyDescent="0.3">
      <c r="U283999" s="25"/>
    </row>
    <row r="284021" spans="21:21" x14ac:dyDescent="0.3">
      <c r="U284021" s="25"/>
    </row>
    <row r="284043" spans="21:21" x14ac:dyDescent="0.3">
      <c r="U284043" s="25"/>
    </row>
    <row r="284065" spans="21:21" x14ac:dyDescent="0.3">
      <c r="U284065" s="25"/>
    </row>
    <row r="284087" spans="21:21" x14ac:dyDescent="0.3">
      <c r="U284087" s="25"/>
    </row>
    <row r="284109" spans="21:21" x14ac:dyDescent="0.3">
      <c r="U284109" s="25"/>
    </row>
    <row r="284131" spans="21:21" x14ac:dyDescent="0.3">
      <c r="U284131" s="25"/>
    </row>
    <row r="284153" spans="21:21" x14ac:dyDescent="0.3">
      <c r="U284153" s="25"/>
    </row>
    <row r="284175" spans="21:21" x14ac:dyDescent="0.3">
      <c r="U284175" s="25"/>
    </row>
    <row r="284197" spans="21:21" x14ac:dyDescent="0.3">
      <c r="U284197" s="25"/>
    </row>
    <row r="284219" spans="21:21" x14ac:dyDescent="0.3">
      <c r="U284219" s="25"/>
    </row>
    <row r="284241" spans="21:21" x14ac:dyDescent="0.3">
      <c r="U284241" s="25"/>
    </row>
    <row r="284263" spans="21:21" x14ac:dyDescent="0.3">
      <c r="U284263" s="25"/>
    </row>
    <row r="284285" spans="21:21" x14ac:dyDescent="0.3">
      <c r="U284285" s="25"/>
    </row>
    <row r="284307" spans="21:21" x14ac:dyDescent="0.3">
      <c r="U284307" s="25"/>
    </row>
    <row r="284329" spans="21:21" x14ac:dyDescent="0.3">
      <c r="U284329" s="25"/>
    </row>
    <row r="284351" spans="21:21" x14ac:dyDescent="0.3">
      <c r="U284351" s="25"/>
    </row>
    <row r="284373" spans="21:21" x14ac:dyDescent="0.3">
      <c r="U284373" s="25"/>
    </row>
    <row r="284395" spans="21:21" x14ac:dyDescent="0.3">
      <c r="U284395" s="25"/>
    </row>
    <row r="284417" spans="21:21" x14ac:dyDescent="0.3">
      <c r="U284417" s="25"/>
    </row>
    <row r="284439" spans="21:21" x14ac:dyDescent="0.3">
      <c r="U284439" s="25"/>
    </row>
    <row r="284461" spans="21:21" x14ac:dyDescent="0.3">
      <c r="U284461" s="25"/>
    </row>
    <row r="284483" spans="21:21" x14ac:dyDescent="0.3">
      <c r="U284483" s="25"/>
    </row>
    <row r="284505" spans="21:21" x14ac:dyDescent="0.3">
      <c r="U284505" s="25"/>
    </row>
    <row r="284527" spans="21:21" x14ac:dyDescent="0.3">
      <c r="U284527" s="25"/>
    </row>
    <row r="284549" spans="21:21" x14ac:dyDescent="0.3">
      <c r="U284549" s="25"/>
    </row>
    <row r="284571" spans="21:21" x14ac:dyDescent="0.3">
      <c r="U284571" s="25"/>
    </row>
    <row r="284593" spans="21:21" x14ac:dyDescent="0.3">
      <c r="U284593" s="25"/>
    </row>
    <row r="284615" spans="21:21" x14ac:dyDescent="0.3">
      <c r="U284615" s="25"/>
    </row>
    <row r="284637" spans="21:21" x14ac:dyDescent="0.3">
      <c r="U284637" s="25"/>
    </row>
    <row r="284659" spans="21:21" x14ac:dyDescent="0.3">
      <c r="U284659" s="25"/>
    </row>
    <row r="284681" spans="21:21" x14ac:dyDescent="0.3">
      <c r="U284681" s="25"/>
    </row>
    <row r="284703" spans="21:21" x14ac:dyDescent="0.3">
      <c r="U284703" s="25"/>
    </row>
    <row r="284725" spans="21:21" x14ac:dyDescent="0.3">
      <c r="U284725" s="25"/>
    </row>
    <row r="284747" spans="21:21" x14ac:dyDescent="0.3">
      <c r="U284747" s="25"/>
    </row>
    <row r="284769" spans="21:21" x14ac:dyDescent="0.3">
      <c r="U284769" s="25"/>
    </row>
    <row r="284791" spans="21:21" x14ac:dyDescent="0.3">
      <c r="U284791" s="25"/>
    </row>
    <row r="284813" spans="21:21" x14ac:dyDescent="0.3">
      <c r="U284813" s="25"/>
    </row>
    <row r="284835" spans="21:21" x14ac:dyDescent="0.3">
      <c r="U284835" s="25"/>
    </row>
    <row r="284857" spans="21:21" x14ac:dyDescent="0.3">
      <c r="U284857" s="25"/>
    </row>
    <row r="284879" spans="21:21" x14ac:dyDescent="0.3">
      <c r="U284879" s="25"/>
    </row>
    <row r="284901" spans="21:21" x14ac:dyDescent="0.3">
      <c r="U284901" s="25"/>
    </row>
    <row r="284923" spans="21:21" x14ac:dyDescent="0.3">
      <c r="U284923" s="25"/>
    </row>
    <row r="284945" spans="21:21" x14ac:dyDescent="0.3">
      <c r="U284945" s="25"/>
    </row>
    <row r="284967" spans="21:21" x14ac:dyDescent="0.3">
      <c r="U284967" s="25"/>
    </row>
    <row r="284989" spans="21:21" x14ac:dyDescent="0.3">
      <c r="U284989" s="25"/>
    </row>
    <row r="285011" spans="21:21" x14ac:dyDescent="0.3">
      <c r="U285011" s="25"/>
    </row>
    <row r="285033" spans="21:21" x14ac:dyDescent="0.3">
      <c r="U285033" s="25"/>
    </row>
    <row r="285055" spans="21:21" x14ac:dyDescent="0.3">
      <c r="U285055" s="25"/>
    </row>
    <row r="285077" spans="21:21" x14ac:dyDescent="0.3">
      <c r="U285077" s="25"/>
    </row>
    <row r="285099" spans="21:21" x14ac:dyDescent="0.3">
      <c r="U285099" s="25"/>
    </row>
    <row r="285121" spans="21:21" x14ac:dyDescent="0.3">
      <c r="U285121" s="25"/>
    </row>
    <row r="285143" spans="21:21" x14ac:dyDescent="0.3">
      <c r="U285143" s="25"/>
    </row>
    <row r="285165" spans="21:21" x14ac:dyDescent="0.3">
      <c r="U285165" s="25"/>
    </row>
    <row r="285187" spans="21:21" x14ac:dyDescent="0.3">
      <c r="U285187" s="25"/>
    </row>
    <row r="285209" spans="21:21" x14ac:dyDescent="0.3">
      <c r="U285209" s="25"/>
    </row>
    <row r="285231" spans="21:21" x14ac:dyDescent="0.3">
      <c r="U285231" s="25"/>
    </row>
    <row r="285253" spans="21:21" x14ac:dyDescent="0.3">
      <c r="U285253" s="25"/>
    </row>
    <row r="285275" spans="21:21" x14ac:dyDescent="0.3">
      <c r="U285275" s="25"/>
    </row>
    <row r="285297" spans="21:21" x14ac:dyDescent="0.3">
      <c r="U285297" s="25"/>
    </row>
    <row r="285319" spans="21:21" x14ac:dyDescent="0.3">
      <c r="U285319" s="25"/>
    </row>
    <row r="285341" spans="21:21" x14ac:dyDescent="0.3">
      <c r="U285341" s="25"/>
    </row>
    <row r="285363" spans="21:21" x14ac:dyDescent="0.3">
      <c r="U285363" s="25"/>
    </row>
    <row r="285385" spans="21:21" x14ac:dyDescent="0.3">
      <c r="U285385" s="25"/>
    </row>
    <row r="285407" spans="21:21" x14ac:dyDescent="0.3">
      <c r="U285407" s="25"/>
    </row>
    <row r="285429" spans="21:21" x14ac:dyDescent="0.3">
      <c r="U285429" s="25"/>
    </row>
    <row r="285451" spans="21:21" x14ac:dyDescent="0.3">
      <c r="U285451" s="25"/>
    </row>
    <row r="285473" spans="21:21" x14ac:dyDescent="0.3">
      <c r="U285473" s="25"/>
    </row>
    <row r="285495" spans="21:21" x14ac:dyDescent="0.3">
      <c r="U285495" s="25"/>
    </row>
    <row r="285517" spans="21:21" x14ac:dyDescent="0.3">
      <c r="U285517" s="25"/>
    </row>
    <row r="285539" spans="21:21" x14ac:dyDescent="0.3">
      <c r="U285539" s="25"/>
    </row>
    <row r="285561" spans="21:21" x14ac:dyDescent="0.3">
      <c r="U285561" s="25"/>
    </row>
    <row r="285583" spans="21:21" x14ac:dyDescent="0.3">
      <c r="U285583" s="25"/>
    </row>
    <row r="285605" spans="21:21" x14ac:dyDescent="0.3">
      <c r="U285605" s="25"/>
    </row>
    <row r="285627" spans="21:21" x14ac:dyDescent="0.3">
      <c r="U285627" s="25"/>
    </row>
    <row r="285649" spans="21:21" x14ac:dyDescent="0.3">
      <c r="U285649" s="25"/>
    </row>
    <row r="285671" spans="21:21" x14ac:dyDescent="0.3">
      <c r="U285671" s="25"/>
    </row>
    <row r="285693" spans="21:21" x14ac:dyDescent="0.3">
      <c r="U285693" s="25"/>
    </row>
    <row r="285715" spans="21:21" x14ac:dyDescent="0.3">
      <c r="U285715" s="25"/>
    </row>
    <row r="285737" spans="21:21" x14ac:dyDescent="0.3">
      <c r="U285737" s="25"/>
    </row>
    <row r="285759" spans="21:21" x14ac:dyDescent="0.3">
      <c r="U285759" s="25"/>
    </row>
    <row r="285781" spans="21:21" x14ac:dyDescent="0.3">
      <c r="U285781" s="25"/>
    </row>
    <row r="285803" spans="21:21" x14ac:dyDescent="0.3">
      <c r="U285803" s="25"/>
    </row>
    <row r="285825" spans="21:21" x14ac:dyDescent="0.3">
      <c r="U285825" s="25"/>
    </row>
    <row r="285847" spans="21:21" x14ac:dyDescent="0.3">
      <c r="U285847" s="25"/>
    </row>
    <row r="285869" spans="21:21" x14ac:dyDescent="0.3">
      <c r="U285869" s="25"/>
    </row>
    <row r="285891" spans="21:21" x14ac:dyDescent="0.3">
      <c r="U285891" s="25"/>
    </row>
    <row r="285913" spans="21:21" x14ac:dyDescent="0.3">
      <c r="U285913" s="25"/>
    </row>
    <row r="285935" spans="21:21" x14ac:dyDescent="0.3">
      <c r="U285935" s="25"/>
    </row>
    <row r="285957" spans="21:21" x14ac:dyDescent="0.3">
      <c r="U285957" s="25"/>
    </row>
    <row r="285979" spans="21:21" x14ac:dyDescent="0.3">
      <c r="U285979" s="25"/>
    </row>
    <row r="286001" spans="21:21" x14ac:dyDescent="0.3">
      <c r="U286001" s="25"/>
    </row>
    <row r="286023" spans="21:21" x14ac:dyDescent="0.3">
      <c r="U286023" s="25"/>
    </row>
    <row r="286045" spans="21:21" x14ac:dyDescent="0.3">
      <c r="U286045" s="25"/>
    </row>
    <row r="286067" spans="21:21" x14ac:dyDescent="0.3">
      <c r="U286067" s="25"/>
    </row>
    <row r="286089" spans="21:21" x14ac:dyDescent="0.3">
      <c r="U286089" s="25"/>
    </row>
    <row r="286111" spans="21:21" x14ac:dyDescent="0.3">
      <c r="U286111" s="25"/>
    </row>
    <row r="286133" spans="21:21" x14ac:dyDescent="0.3">
      <c r="U286133" s="25"/>
    </row>
    <row r="286155" spans="21:21" x14ac:dyDescent="0.3">
      <c r="U286155" s="25"/>
    </row>
    <row r="286177" spans="21:21" x14ac:dyDescent="0.3">
      <c r="U286177" s="25"/>
    </row>
    <row r="286199" spans="21:21" x14ac:dyDescent="0.3">
      <c r="U286199" s="25"/>
    </row>
    <row r="286221" spans="21:21" x14ac:dyDescent="0.3">
      <c r="U286221" s="25"/>
    </row>
    <row r="286243" spans="21:21" x14ac:dyDescent="0.3">
      <c r="U286243" s="25"/>
    </row>
    <row r="286265" spans="21:21" x14ac:dyDescent="0.3">
      <c r="U286265" s="25"/>
    </row>
    <row r="286287" spans="21:21" x14ac:dyDescent="0.3">
      <c r="U286287" s="25"/>
    </row>
    <row r="286309" spans="21:21" x14ac:dyDescent="0.3">
      <c r="U286309" s="25"/>
    </row>
    <row r="286331" spans="21:21" x14ac:dyDescent="0.3">
      <c r="U286331" s="25"/>
    </row>
    <row r="286353" spans="21:21" x14ac:dyDescent="0.3">
      <c r="U286353" s="25"/>
    </row>
    <row r="286375" spans="21:21" x14ac:dyDescent="0.3">
      <c r="U286375" s="25"/>
    </row>
    <row r="286397" spans="21:21" x14ac:dyDescent="0.3">
      <c r="U286397" s="25"/>
    </row>
    <row r="286419" spans="21:21" x14ac:dyDescent="0.3">
      <c r="U286419" s="25"/>
    </row>
    <row r="286441" spans="21:21" x14ac:dyDescent="0.3">
      <c r="U286441" s="25"/>
    </row>
    <row r="286463" spans="21:21" x14ac:dyDescent="0.3">
      <c r="U286463" s="25"/>
    </row>
    <row r="286485" spans="21:21" x14ac:dyDescent="0.3">
      <c r="U286485" s="25"/>
    </row>
    <row r="286507" spans="21:21" x14ac:dyDescent="0.3">
      <c r="U286507" s="25"/>
    </row>
    <row r="286529" spans="21:21" x14ac:dyDescent="0.3">
      <c r="U286529" s="25"/>
    </row>
    <row r="286551" spans="21:21" x14ac:dyDescent="0.3">
      <c r="U286551" s="25"/>
    </row>
    <row r="286573" spans="21:21" x14ac:dyDescent="0.3">
      <c r="U286573" s="25"/>
    </row>
    <row r="286595" spans="21:21" x14ac:dyDescent="0.3">
      <c r="U286595" s="25"/>
    </row>
    <row r="286617" spans="21:21" x14ac:dyDescent="0.3">
      <c r="U286617" s="25"/>
    </row>
    <row r="286639" spans="21:21" x14ac:dyDescent="0.3">
      <c r="U286639" s="25"/>
    </row>
    <row r="286661" spans="21:21" x14ac:dyDescent="0.3">
      <c r="U286661" s="25"/>
    </row>
    <row r="286683" spans="21:21" x14ac:dyDescent="0.3">
      <c r="U286683" s="25"/>
    </row>
    <row r="286705" spans="21:21" x14ac:dyDescent="0.3">
      <c r="U286705" s="25"/>
    </row>
    <row r="286727" spans="21:21" x14ac:dyDescent="0.3">
      <c r="U286727" s="25"/>
    </row>
    <row r="286749" spans="21:21" x14ac:dyDescent="0.3">
      <c r="U286749" s="25"/>
    </row>
    <row r="286771" spans="21:21" x14ac:dyDescent="0.3">
      <c r="U286771" s="25"/>
    </row>
    <row r="286793" spans="21:21" x14ac:dyDescent="0.3">
      <c r="U286793" s="25"/>
    </row>
    <row r="286815" spans="21:21" x14ac:dyDescent="0.3">
      <c r="U286815" s="25"/>
    </row>
    <row r="286837" spans="21:21" x14ac:dyDescent="0.3">
      <c r="U286837" s="25"/>
    </row>
    <row r="286859" spans="21:21" x14ac:dyDescent="0.3">
      <c r="U286859" s="25"/>
    </row>
    <row r="286881" spans="21:21" x14ac:dyDescent="0.3">
      <c r="U286881" s="25"/>
    </row>
    <row r="286903" spans="21:21" x14ac:dyDescent="0.3">
      <c r="U286903" s="25"/>
    </row>
    <row r="286925" spans="21:21" x14ac:dyDescent="0.3">
      <c r="U286925" s="25"/>
    </row>
    <row r="286947" spans="21:21" x14ac:dyDescent="0.3">
      <c r="U286947" s="25"/>
    </row>
    <row r="286969" spans="21:21" x14ac:dyDescent="0.3">
      <c r="U286969" s="25"/>
    </row>
    <row r="286991" spans="21:21" x14ac:dyDescent="0.3">
      <c r="U286991" s="25"/>
    </row>
    <row r="287013" spans="21:21" x14ac:dyDescent="0.3">
      <c r="U287013" s="25"/>
    </row>
    <row r="287035" spans="21:21" x14ac:dyDescent="0.3">
      <c r="U287035" s="25"/>
    </row>
    <row r="287057" spans="21:21" x14ac:dyDescent="0.3">
      <c r="U287057" s="25"/>
    </row>
    <row r="287079" spans="21:21" x14ac:dyDescent="0.3">
      <c r="U287079" s="25"/>
    </row>
    <row r="287101" spans="21:21" x14ac:dyDescent="0.3">
      <c r="U287101" s="25"/>
    </row>
    <row r="287123" spans="21:21" x14ac:dyDescent="0.3">
      <c r="U287123" s="25"/>
    </row>
    <row r="287145" spans="21:21" x14ac:dyDescent="0.3">
      <c r="U287145" s="25"/>
    </row>
    <row r="287167" spans="21:21" x14ac:dyDescent="0.3">
      <c r="U287167" s="25"/>
    </row>
    <row r="287189" spans="21:21" x14ac:dyDescent="0.3">
      <c r="U287189" s="25"/>
    </row>
    <row r="287211" spans="21:21" x14ac:dyDescent="0.3">
      <c r="U287211" s="25"/>
    </row>
    <row r="287233" spans="21:21" x14ac:dyDescent="0.3">
      <c r="U287233" s="25"/>
    </row>
    <row r="287255" spans="21:21" x14ac:dyDescent="0.3">
      <c r="U287255" s="25"/>
    </row>
    <row r="287277" spans="21:21" x14ac:dyDescent="0.3">
      <c r="U287277" s="25"/>
    </row>
    <row r="287299" spans="21:21" x14ac:dyDescent="0.3">
      <c r="U287299" s="25"/>
    </row>
    <row r="287321" spans="21:21" x14ac:dyDescent="0.3">
      <c r="U287321" s="25"/>
    </row>
    <row r="287343" spans="21:21" x14ac:dyDescent="0.3">
      <c r="U287343" s="25"/>
    </row>
    <row r="287365" spans="21:21" x14ac:dyDescent="0.3">
      <c r="U287365" s="25"/>
    </row>
    <row r="287387" spans="21:21" x14ac:dyDescent="0.3">
      <c r="U287387" s="25"/>
    </row>
    <row r="287409" spans="21:21" x14ac:dyDescent="0.3">
      <c r="U287409" s="25"/>
    </row>
    <row r="287431" spans="21:21" x14ac:dyDescent="0.3">
      <c r="U287431" s="25"/>
    </row>
    <row r="287453" spans="21:21" x14ac:dyDescent="0.3">
      <c r="U287453" s="25"/>
    </row>
    <row r="287475" spans="21:21" x14ac:dyDescent="0.3">
      <c r="U287475" s="25"/>
    </row>
    <row r="287497" spans="21:21" x14ac:dyDescent="0.3">
      <c r="U287497" s="25"/>
    </row>
    <row r="287519" spans="21:21" x14ac:dyDescent="0.3">
      <c r="U287519" s="25"/>
    </row>
    <row r="287541" spans="21:21" x14ac:dyDescent="0.3">
      <c r="U287541" s="25"/>
    </row>
    <row r="287563" spans="21:21" x14ac:dyDescent="0.3">
      <c r="U287563" s="25"/>
    </row>
    <row r="287585" spans="21:21" x14ac:dyDescent="0.3">
      <c r="U287585" s="25"/>
    </row>
    <row r="287607" spans="21:21" x14ac:dyDescent="0.3">
      <c r="U287607" s="25"/>
    </row>
    <row r="287629" spans="21:21" x14ac:dyDescent="0.3">
      <c r="U287629" s="25"/>
    </row>
    <row r="287651" spans="21:21" x14ac:dyDescent="0.3">
      <c r="U287651" s="25"/>
    </row>
    <row r="287673" spans="21:21" x14ac:dyDescent="0.3">
      <c r="U287673" s="25"/>
    </row>
    <row r="287695" spans="21:21" x14ac:dyDescent="0.3">
      <c r="U287695" s="25"/>
    </row>
    <row r="287717" spans="21:21" x14ac:dyDescent="0.3">
      <c r="U287717" s="25"/>
    </row>
    <row r="287739" spans="21:21" x14ac:dyDescent="0.3">
      <c r="U287739" s="25"/>
    </row>
    <row r="287761" spans="21:21" x14ac:dyDescent="0.3">
      <c r="U287761" s="25"/>
    </row>
    <row r="287783" spans="21:21" x14ac:dyDescent="0.3">
      <c r="U287783" s="25"/>
    </row>
    <row r="287805" spans="21:21" x14ac:dyDescent="0.3">
      <c r="U287805" s="25"/>
    </row>
    <row r="287827" spans="21:21" x14ac:dyDescent="0.3">
      <c r="U287827" s="25"/>
    </row>
    <row r="287849" spans="21:21" x14ac:dyDescent="0.3">
      <c r="U287849" s="25"/>
    </row>
    <row r="287871" spans="21:21" x14ac:dyDescent="0.3">
      <c r="U287871" s="25"/>
    </row>
    <row r="287893" spans="21:21" x14ac:dyDescent="0.3">
      <c r="U287893" s="25"/>
    </row>
    <row r="287915" spans="21:21" x14ac:dyDescent="0.3">
      <c r="U287915" s="25"/>
    </row>
    <row r="287937" spans="21:21" x14ac:dyDescent="0.3">
      <c r="U287937" s="25"/>
    </row>
    <row r="287959" spans="21:21" x14ac:dyDescent="0.3">
      <c r="U287959" s="25"/>
    </row>
    <row r="287981" spans="21:21" x14ac:dyDescent="0.3">
      <c r="U287981" s="25"/>
    </row>
    <row r="288003" spans="21:21" x14ac:dyDescent="0.3">
      <c r="U288003" s="25"/>
    </row>
    <row r="288025" spans="21:21" x14ac:dyDescent="0.3">
      <c r="U288025" s="25"/>
    </row>
    <row r="288047" spans="21:21" x14ac:dyDescent="0.3">
      <c r="U288047" s="25"/>
    </row>
    <row r="288069" spans="21:21" x14ac:dyDescent="0.3">
      <c r="U288069" s="25"/>
    </row>
    <row r="288091" spans="21:21" x14ac:dyDescent="0.3">
      <c r="U288091" s="25"/>
    </row>
    <row r="288113" spans="21:21" x14ac:dyDescent="0.3">
      <c r="U288113" s="25"/>
    </row>
    <row r="288135" spans="21:21" x14ac:dyDescent="0.3">
      <c r="U288135" s="25"/>
    </row>
    <row r="288157" spans="21:21" x14ac:dyDescent="0.3">
      <c r="U288157" s="25"/>
    </row>
    <row r="288179" spans="21:21" x14ac:dyDescent="0.3">
      <c r="U288179" s="25"/>
    </row>
    <row r="288201" spans="21:21" x14ac:dyDescent="0.3">
      <c r="U288201" s="25"/>
    </row>
    <row r="288223" spans="21:21" x14ac:dyDescent="0.3">
      <c r="U288223" s="25"/>
    </row>
    <row r="288245" spans="21:21" x14ac:dyDescent="0.3">
      <c r="U288245" s="25"/>
    </row>
    <row r="288267" spans="21:21" x14ac:dyDescent="0.3">
      <c r="U288267" s="25"/>
    </row>
    <row r="288289" spans="21:21" x14ac:dyDescent="0.3">
      <c r="U288289" s="25"/>
    </row>
    <row r="288311" spans="21:21" x14ac:dyDescent="0.3">
      <c r="U288311" s="25"/>
    </row>
    <row r="288333" spans="21:21" x14ac:dyDescent="0.3">
      <c r="U288333" s="25"/>
    </row>
    <row r="288355" spans="21:21" x14ac:dyDescent="0.3">
      <c r="U288355" s="25"/>
    </row>
    <row r="288377" spans="21:21" x14ac:dyDescent="0.3">
      <c r="U288377" s="25"/>
    </row>
    <row r="288399" spans="21:21" x14ac:dyDescent="0.3">
      <c r="U288399" s="25"/>
    </row>
    <row r="288421" spans="21:21" x14ac:dyDescent="0.3">
      <c r="U288421" s="25"/>
    </row>
    <row r="288443" spans="21:21" x14ac:dyDescent="0.3">
      <c r="U288443" s="25"/>
    </row>
    <row r="288465" spans="21:21" x14ac:dyDescent="0.3">
      <c r="U288465" s="25"/>
    </row>
    <row r="288487" spans="21:21" x14ac:dyDescent="0.3">
      <c r="U288487" s="25"/>
    </row>
    <row r="288509" spans="21:21" x14ac:dyDescent="0.3">
      <c r="U288509" s="25"/>
    </row>
    <row r="288531" spans="21:21" x14ac:dyDescent="0.3">
      <c r="U288531" s="25"/>
    </row>
    <row r="288553" spans="21:21" x14ac:dyDescent="0.3">
      <c r="U288553" s="25"/>
    </row>
    <row r="288575" spans="21:21" x14ac:dyDescent="0.3">
      <c r="U288575" s="25"/>
    </row>
    <row r="288597" spans="21:21" x14ac:dyDescent="0.3">
      <c r="U288597" s="25"/>
    </row>
    <row r="288619" spans="21:21" x14ac:dyDescent="0.3">
      <c r="U288619" s="25"/>
    </row>
    <row r="288641" spans="21:21" x14ac:dyDescent="0.3">
      <c r="U288641" s="25"/>
    </row>
    <row r="288663" spans="21:21" x14ac:dyDescent="0.3">
      <c r="U288663" s="25"/>
    </row>
    <row r="288685" spans="21:21" x14ac:dyDescent="0.3">
      <c r="U288685" s="25"/>
    </row>
    <row r="288707" spans="21:21" x14ac:dyDescent="0.3">
      <c r="U288707" s="25"/>
    </row>
    <row r="288729" spans="21:21" x14ac:dyDescent="0.3">
      <c r="U288729" s="25"/>
    </row>
    <row r="288751" spans="21:21" x14ac:dyDescent="0.3">
      <c r="U288751" s="25"/>
    </row>
    <row r="288773" spans="21:21" x14ac:dyDescent="0.3">
      <c r="U288773" s="25"/>
    </row>
    <row r="288795" spans="21:21" x14ac:dyDescent="0.3">
      <c r="U288795" s="25"/>
    </row>
    <row r="288817" spans="21:21" x14ac:dyDescent="0.3">
      <c r="U288817" s="25"/>
    </row>
    <row r="288839" spans="21:21" x14ac:dyDescent="0.3">
      <c r="U288839" s="25"/>
    </row>
    <row r="288861" spans="21:21" x14ac:dyDescent="0.3">
      <c r="U288861" s="25"/>
    </row>
    <row r="288883" spans="21:21" x14ac:dyDescent="0.3">
      <c r="U288883" s="25"/>
    </row>
    <row r="288905" spans="21:21" x14ac:dyDescent="0.3">
      <c r="U288905" s="25"/>
    </row>
    <row r="288927" spans="21:21" x14ac:dyDescent="0.3">
      <c r="U288927" s="25"/>
    </row>
    <row r="288949" spans="21:21" x14ac:dyDescent="0.3">
      <c r="U288949" s="25"/>
    </row>
    <row r="288971" spans="21:21" x14ac:dyDescent="0.3">
      <c r="U288971" s="25"/>
    </row>
    <row r="288993" spans="21:21" x14ac:dyDescent="0.3">
      <c r="U288993" s="25"/>
    </row>
    <row r="289015" spans="21:21" x14ac:dyDescent="0.3">
      <c r="U289015" s="25"/>
    </row>
    <row r="289037" spans="21:21" x14ac:dyDescent="0.3">
      <c r="U289037" s="25"/>
    </row>
    <row r="289059" spans="21:21" x14ac:dyDescent="0.3">
      <c r="U289059" s="25"/>
    </row>
    <row r="289081" spans="21:21" x14ac:dyDescent="0.3">
      <c r="U289081" s="25"/>
    </row>
    <row r="289103" spans="21:21" x14ac:dyDescent="0.3">
      <c r="U289103" s="25"/>
    </row>
    <row r="289125" spans="21:21" x14ac:dyDescent="0.3">
      <c r="U289125" s="25"/>
    </row>
    <row r="289147" spans="21:21" x14ac:dyDescent="0.3">
      <c r="U289147" s="25"/>
    </row>
    <row r="289169" spans="21:21" x14ac:dyDescent="0.3">
      <c r="U289169" s="25"/>
    </row>
    <row r="289191" spans="21:21" x14ac:dyDescent="0.3">
      <c r="U289191" s="25"/>
    </row>
    <row r="289213" spans="21:21" x14ac:dyDescent="0.3">
      <c r="U289213" s="25"/>
    </row>
    <row r="289235" spans="21:21" x14ac:dyDescent="0.3">
      <c r="U289235" s="25"/>
    </row>
    <row r="289257" spans="21:21" x14ac:dyDescent="0.3">
      <c r="U289257" s="25"/>
    </row>
    <row r="289279" spans="21:21" x14ac:dyDescent="0.3">
      <c r="U289279" s="25"/>
    </row>
    <row r="289301" spans="21:21" x14ac:dyDescent="0.3">
      <c r="U289301" s="25"/>
    </row>
    <row r="289323" spans="21:21" x14ac:dyDescent="0.3">
      <c r="U289323" s="25"/>
    </row>
    <row r="289345" spans="21:21" x14ac:dyDescent="0.3">
      <c r="U289345" s="25"/>
    </row>
    <row r="289367" spans="21:21" x14ac:dyDescent="0.3">
      <c r="U289367" s="25"/>
    </row>
    <row r="289389" spans="21:21" x14ac:dyDescent="0.3">
      <c r="U289389" s="25"/>
    </row>
    <row r="289411" spans="21:21" x14ac:dyDescent="0.3">
      <c r="U289411" s="25"/>
    </row>
    <row r="289433" spans="21:21" x14ac:dyDescent="0.3">
      <c r="U289433" s="25"/>
    </row>
    <row r="289455" spans="21:21" x14ac:dyDescent="0.3">
      <c r="U289455" s="25"/>
    </row>
    <row r="289477" spans="21:21" x14ac:dyDescent="0.3">
      <c r="U289477" s="25"/>
    </row>
    <row r="289499" spans="21:21" x14ac:dyDescent="0.3">
      <c r="U289499" s="25"/>
    </row>
    <row r="289521" spans="21:21" x14ac:dyDescent="0.3">
      <c r="U289521" s="25"/>
    </row>
    <row r="289543" spans="21:21" x14ac:dyDescent="0.3">
      <c r="U289543" s="25"/>
    </row>
    <row r="289565" spans="21:21" x14ac:dyDescent="0.3">
      <c r="U289565" s="25"/>
    </row>
    <row r="289587" spans="21:21" x14ac:dyDescent="0.3">
      <c r="U289587" s="25"/>
    </row>
    <row r="289609" spans="21:21" x14ac:dyDescent="0.3">
      <c r="U289609" s="25"/>
    </row>
    <row r="289631" spans="21:21" x14ac:dyDescent="0.3">
      <c r="U289631" s="25"/>
    </row>
    <row r="289653" spans="21:21" x14ac:dyDescent="0.3">
      <c r="U289653" s="25"/>
    </row>
    <row r="289675" spans="21:21" x14ac:dyDescent="0.3">
      <c r="U289675" s="25"/>
    </row>
    <row r="289697" spans="21:21" x14ac:dyDescent="0.3">
      <c r="U289697" s="25"/>
    </row>
    <row r="289719" spans="21:21" x14ac:dyDescent="0.3">
      <c r="U289719" s="25"/>
    </row>
    <row r="289741" spans="21:21" x14ac:dyDescent="0.3">
      <c r="U289741" s="25"/>
    </row>
    <row r="289763" spans="21:21" x14ac:dyDescent="0.3">
      <c r="U289763" s="25"/>
    </row>
    <row r="289785" spans="21:21" x14ac:dyDescent="0.3">
      <c r="U289785" s="25"/>
    </row>
    <row r="289807" spans="21:21" x14ac:dyDescent="0.3">
      <c r="U289807" s="25"/>
    </row>
    <row r="289829" spans="21:21" x14ac:dyDescent="0.3">
      <c r="U289829" s="25"/>
    </row>
    <row r="289851" spans="21:21" x14ac:dyDescent="0.3">
      <c r="U289851" s="25"/>
    </row>
    <row r="289873" spans="21:21" x14ac:dyDescent="0.3">
      <c r="U289873" s="25"/>
    </row>
    <row r="289895" spans="21:21" x14ac:dyDescent="0.3">
      <c r="U289895" s="25"/>
    </row>
    <row r="289917" spans="21:21" x14ac:dyDescent="0.3">
      <c r="U289917" s="25"/>
    </row>
    <row r="289939" spans="21:21" x14ac:dyDescent="0.3">
      <c r="U289939" s="25"/>
    </row>
    <row r="289961" spans="21:21" x14ac:dyDescent="0.3">
      <c r="U289961" s="25"/>
    </row>
    <row r="289983" spans="21:21" x14ac:dyDescent="0.3">
      <c r="U289983" s="25"/>
    </row>
    <row r="290005" spans="21:21" x14ac:dyDescent="0.3">
      <c r="U290005" s="25"/>
    </row>
    <row r="290027" spans="21:21" x14ac:dyDescent="0.3">
      <c r="U290027" s="25"/>
    </row>
    <row r="290049" spans="21:21" x14ac:dyDescent="0.3">
      <c r="U290049" s="25"/>
    </row>
    <row r="290071" spans="21:21" x14ac:dyDescent="0.3">
      <c r="U290071" s="25"/>
    </row>
    <row r="290093" spans="21:21" x14ac:dyDescent="0.3">
      <c r="U290093" s="25"/>
    </row>
    <row r="290115" spans="21:21" x14ac:dyDescent="0.3">
      <c r="U290115" s="25"/>
    </row>
    <row r="290137" spans="21:21" x14ac:dyDescent="0.3">
      <c r="U290137" s="25"/>
    </row>
    <row r="290159" spans="21:21" x14ac:dyDescent="0.3">
      <c r="U290159" s="25"/>
    </row>
    <row r="290181" spans="21:21" x14ac:dyDescent="0.3">
      <c r="U290181" s="25"/>
    </row>
    <row r="290203" spans="21:21" x14ac:dyDescent="0.3">
      <c r="U290203" s="25"/>
    </row>
    <row r="290225" spans="21:21" x14ac:dyDescent="0.3">
      <c r="U290225" s="25"/>
    </row>
    <row r="290247" spans="21:21" x14ac:dyDescent="0.3">
      <c r="U290247" s="25"/>
    </row>
    <row r="290269" spans="21:21" x14ac:dyDescent="0.3">
      <c r="U290269" s="25"/>
    </row>
    <row r="290291" spans="21:21" x14ac:dyDescent="0.3">
      <c r="U290291" s="25"/>
    </row>
    <row r="290313" spans="21:21" x14ac:dyDescent="0.3">
      <c r="U290313" s="25"/>
    </row>
    <row r="290335" spans="21:21" x14ac:dyDescent="0.3">
      <c r="U290335" s="25"/>
    </row>
    <row r="290357" spans="21:21" x14ac:dyDescent="0.3">
      <c r="U290357" s="25"/>
    </row>
    <row r="290379" spans="21:21" x14ac:dyDescent="0.3">
      <c r="U290379" s="25"/>
    </row>
    <row r="290401" spans="21:21" x14ac:dyDescent="0.3">
      <c r="U290401" s="25"/>
    </row>
    <row r="290423" spans="21:21" x14ac:dyDescent="0.3">
      <c r="U290423" s="25"/>
    </row>
    <row r="290445" spans="21:21" x14ac:dyDescent="0.3">
      <c r="U290445" s="25"/>
    </row>
    <row r="290467" spans="21:21" x14ac:dyDescent="0.3">
      <c r="U290467" s="25"/>
    </row>
    <row r="290489" spans="21:21" x14ac:dyDescent="0.3">
      <c r="U290489" s="25"/>
    </row>
    <row r="290511" spans="21:21" x14ac:dyDescent="0.3">
      <c r="U290511" s="25"/>
    </row>
    <row r="290533" spans="21:21" x14ac:dyDescent="0.3">
      <c r="U290533" s="25"/>
    </row>
    <row r="290555" spans="21:21" x14ac:dyDescent="0.3">
      <c r="U290555" s="25"/>
    </row>
    <row r="290577" spans="21:21" x14ac:dyDescent="0.3">
      <c r="U290577" s="25"/>
    </row>
    <row r="290599" spans="21:21" x14ac:dyDescent="0.3">
      <c r="U290599" s="25"/>
    </row>
    <row r="290621" spans="21:21" x14ac:dyDescent="0.3">
      <c r="U290621" s="25"/>
    </row>
    <row r="290643" spans="21:21" x14ac:dyDescent="0.3">
      <c r="U290643" s="25"/>
    </row>
    <row r="290665" spans="21:21" x14ac:dyDescent="0.3">
      <c r="U290665" s="25"/>
    </row>
    <row r="290687" spans="21:21" x14ac:dyDescent="0.3">
      <c r="U290687" s="25"/>
    </row>
    <row r="290709" spans="21:21" x14ac:dyDescent="0.3">
      <c r="U290709" s="25"/>
    </row>
    <row r="290731" spans="21:21" x14ac:dyDescent="0.3">
      <c r="U290731" s="25"/>
    </row>
    <row r="290753" spans="21:21" x14ac:dyDescent="0.3">
      <c r="U290753" s="25"/>
    </row>
    <row r="290775" spans="21:21" x14ac:dyDescent="0.3">
      <c r="U290775" s="25"/>
    </row>
    <row r="290797" spans="21:21" x14ac:dyDescent="0.3">
      <c r="U290797" s="25"/>
    </row>
    <row r="290819" spans="21:21" x14ac:dyDescent="0.3">
      <c r="U290819" s="25"/>
    </row>
    <row r="290841" spans="21:21" x14ac:dyDescent="0.3">
      <c r="U290841" s="25"/>
    </row>
    <row r="290863" spans="21:21" x14ac:dyDescent="0.3">
      <c r="U290863" s="25"/>
    </row>
    <row r="290885" spans="21:21" x14ac:dyDescent="0.3">
      <c r="U290885" s="25"/>
    </row>
    <row r="290907" spans="21:21" x14ac:dyDescent="0.3">
      <c r="U290907" s="25"/>
    </row>
    <row r="290929" spans="21:21" x14ac:dyDescent="0.3">
      <c r="U290929" s="25"/>
    </row>
    <row r="290951" spans="21:21" x14ac:dyDescent="0.3">
      <c r="U290951" s="25"/>
    </row>
    <row r="290973" spans="21:21" x14ac:dyDescent="0.3">
      <c r="U290973" s="25"/>
    </row>
    <row r="290995" spans="21:21" x14ac:dyDescent="0.3">
      <c r="U290995" s="25"/>
    </row>
    <row r="291017" spans="21:21" x14ac:dyDescent="0.3">
      <c r="U291017" s="25"/>
    </row>
    <row r="291039" spans="21:21" x14ac:dyDescent="0.3">
      <c r="U291039" s="25"/>
    </row>
    <row r="291061" spans="21:21" x14ac:dyDescent="0.3">
      <c r="U291061" s="25"/>
    </row>
    <row r="291083" spans="21:21" x14ac:dyDescent="0.3">
      <c r="U291083" s="25"/>
    </row>
    <row r="291105" spans="21:21" x14ac:dyDescent="0.3">
      <c r="U291105" s="25"/>
    </row>
    <row r="291127" spans="21:21" x14ac:dyDescent="0.3">
      <c r="U291127" s="25"/>
    </row>
    <row r="291149" spans="21:21" x14ac:dyDescent="0.3">
      <c r="U291149" s="25"/>
    </row>
    <row r="291171" spans="21:21" x14ac:dyDescent="0.3">
      <c r="U291171" s="25"/>
    </row>
    <row r="291193" spans="21:21" x14ac:dyDescent="0.3">
      <c r="U291193" s="25"/>
    </row>
    <row r="291215" spans="21:21" x14ac:dyDescent="0.3">
      <c r="U291215" s="25"/>
    </row>
    <row r="291237" spans="21:21" x14ac:dyDescent="0.3">
      <c r="U291237" s="25"/>
    </row>
    <row r="291259" spans="21:21" x14ac:dyDescent="0.3">
      <c r="U291259" s="25"/>
    </row>
    <row r="291281" spans="21:21" x14ac:dyDescent="0.3">
      <c r="U291281" s="25"/>
    </row>
    <row r="291303" spans="21:21" x14ac:dyDescent="0.3">
      <c r="U291303" s="25"/>
    </row>
    <row r="291325" spans="21:21" x14ac:dyDescent="0.3">
      <c r="U291325" s="25"/>
    </row>
    <row r="291347" spans="21:21" x14ac:dyDescent="0.3">
      <c r="U291347" s="25"/>
    </row>
    <row r="291369" spans="21:21" x14ac:dyDescent="0.3">
      <c r="U291369" s="25"/>
    </row>
    <row r="291391" spans="21:21" x14ac:dyDescent="0.3">
      <c r="U291391" s="25"/>
    </row>
    <row r="291413" spans="21:21" x14ac:dyDescent="0.3">
      <c r="U291413" s="25"/>
    </row>
    <row r="291435" spans="21:21" x14ac:dyDescent="0.3">
      <c r="U291435" s="25"/>
    </row>
    <row r="291457" spans="21:21" x14ac:dyDescent="0.3">
      <c r="U291457" s="25"/>
    </row>
    <row r="291479" spans="21:21" x14ac:dyDescent="0.3">
      <c r="U291479" s="25"/>
    </row>
    <row r="291501" spans="21:21" x14ac:dyDescent="0.3">
      <c r="U291501" s="25"/>
    </row>
    <row r="291523" spans="21:21" x14ac:dyDescent="0.3">
      <c r="U291523" s="25"/>
    </row>
    <row r="291545" spans="21:21" x14ac:dyDescent="0.3">
      <c r="U291545" s="25"/>
    </row>
    <row r="291567" spans="21:21" x14ac:dyDescent="0.3">
      <c r="U291567" s="25"/>
    </row>
    <row r="291589" spans="21:21" x14ac:dyDescent="0.3">
      <c r="U291589" s="25"/>
    </row>
    <row r="291611" spans="21:21" x14ac:dyDescent="0.3">
      <c r="U291611" s="25"/>
    </row>
    <row r="291633" spans="21:21" x14ac:dyDescent="0.3">
      <c r="U291633" s="25"/>
    </row>
    <row r="291655" spans="21:21" x14ac:dyDescent="0.3">
      <c r="U291655" s="25"/>
    </row>
    <row r="291677" spans="21:21" x14ac:dyDescent="0.3">
      <c r="U291677" s="25"/>
    </row>
    <row r="291699" spans="21:21" x14ac:dyDescent="0.3">
      <c r="U291699" s="25"/>
    </row>
    <row r="291721" spans="21:21" x14ac:dyDescent="0.3">
      <c r="U291721" s="25"/>
    </row>
    <row r="291743" spans="21:21" x14ac:dyDescent="0.3">
      <c r="U291743" s="25"/>
    </row>
    <row r="291765" spans="21:21" x14ac:dyDescent="0.3">
      <c r="U291765" s="25"/>
    </row>
    <row r="291787" spans="21:21" x14ac:dyDescent="0.3">
      <c r="U291787" s="25"/>
    </row>
    <row r="291809" spans="21:21" x14ac:dyDescent="0.3">
      <c r="U291809" s="25"/>
    </row>
    <row r="291831" spans="21:21" x14ac:dyDescent="0.3">
      <c r="U291831" s="25"/>
    </row>
    <row r="291853" spans="21:21" x14ac:dyDescent="0.3">
      <c r="U291853" s="25"/>
    </row>
    <row r="291875" spans="21:21" x14ac:dyDescent="0.3">
      <c r="U291875" s="25"/>
    </row>
    <row r="291897" spans="21:21" x14ac:dyDescent="0.3">
      <c r="U291897" s="25"/>
    </row>
    <row r="291919" spans="21:21" x14ac:dyDescent="0.3">
      <c r="U291919" s="25"/>
    </row>
    <row r="291941" spans="21:21" x14ac:dyDescent="0.3">
      <c r="U291941" s="25"/>
    </row>
    <row r="291963" spans="21:21" x14ac:dyDescent="0.3">
      <c r="U291963" s="25"/>
    </row>
    <row r="291985" spans="21:21" x14ac:dyDescent="0.3">
      <c r="U291985" s="25"/>
    </row>
    <row r="292007" spans="21:21" x14ac:dyDescent="0.3">
      <c r="U292007" s="25"/>
    </row>
    <row r="292029" spans="21:21" x14ac:dyDescent="0.3">
      <c r="U292029" s="25"/>
    </row>
    <row r="292051" spans="21:21" x14ac:dyDescent="0.3">
      <c r="U292051" s="25"/>
    </row>
    <row r="292073" spans="21:21" x14ac:dyDescent="0.3">
      <c r="U292073" s="25"/>
    </row>
    <row r="292095" spans="21:21" x14ac:dyDescent="0.3">
      <c r="U292095" s="25"/>
    </row>
    <row r="292117" spans="21:21" x14ac:dyDescent="0.3">
      <c r="U292117" s="25"/>
    </row>
    <row r="292139" spans="21:21" x14ac:dyDescent="0.3">
      <c r="U292139" s="25"/>
    </row>
    <row r="292161" spans="21:21" x14ac:dyDescent="0.3">
      <c r="U292161" s="25"/>
    </row>
    <row r="292183" spans="21:21" x14ac:dyDescent="0.3">
      <c r="U292183" s="25"/>
    </row>
    <row r="292205" spans="21:21" x14ac:dyDescent="0.3">
      <c r="U292205" s="25"/>
    </row>
    <row r="292227" spans="21:21" x14ac:dyDescent="0.3">
      <c r="U292227" s="25"/>
    </row>
    <row r="292249" spans="21:21" x14ac:dyDescent="0.3">
      <c r="U292249" s="25"/>
    </row>
    <row r="292271" spans="21:21" x14ac:dyDescent="0.3">
      <c r="U292271" s="25"/>
    </row>
    <row r="292293" spans="21:21" x14ac:dyDescent="0.3">
      <c r="U292293" s="25"/>
    </row>
    <row r="292315" spans="21:21" x14ac:dyDescent="0.3">
      <c r="U292315" s="25"/>
    </row>
    <row r="292337" spans="21:21" x14ac:dyDescent="0.3">
      <c r="U292337" s="25"/>
    </row>
    <row r="292359" spans="21:21" x14ac:dyDescent="0.3">
      <c r="U292359" s="25"/>
    </row>
    <row r="292381" spans="21:21" x14ac:dyDescent="0.3">
      <c r="U292381" s="25"/>
    </row>
    <row r="292403" spans="21:21" x14ac:dyDescent="0.3">
      <c r="U292403" s="25"/>
    </row>
    <row r="292425" spans="21:21" x14ac:dyDescent="0.3">
      <c r="U292425" s="25"/>
    </row>
    <row r="292447" spans="21:21" x14ac:dyDescent="0.3">
      <c r="U292447" s="25"/>
    </row>
    <row r="292469" spans="21:21" x14ac:dyDescent="0.3">
      <c r="U292469" s="25"/>
    </row>
    <row r="292491" spans="21:21" x14ac:dyDescent="0.3">
      <c r="U292491" s="25"/>
    </row>
    <row r="292513" spans="21:21" x14ac:dyDescent="0.3">
      <c r="U292513" s="25"/>
    </row>
    <row r="292535" spans="21:21" x14ac:dyDescent="0.3">
      <c r="U292535" s="25"/>
    </row>
    <row r="292557" spans="21:21" x14ac:dyDescent="0.3">
      <c r="U292557" s="25"/>
    </row>
    <row r="292579" spans="21:21" x14ac:dyDescent="0.3">
      <c r="U292579" s="25"/>
    </row>
    <row r="292601" spans="21:21" x14ac:dyDescent="0.3">
      <c r="U292601" s="25"/>
    </row>
    <row r="292623" spans="21:21" x14ac:dyDescent="0.3">
      <c r="U292623" s="25"/>
    </row>
    <row r="292645" spans="21:21" x14ac:dyDescent="0.3">
      <c r="U292645" s="25"/>
    </row>
    <row r="292667" spans="21:21" x14ac:dyDescent="0.3">
      <c r="U292667" s="25"/>
    </row>
    <row r="292689" spans="21:21" x14ac:dyDescent="0.3">
      <c r="U292689" s="25"/>
    </row>
    <row r="292711" spans="21:21" x14ac:dyDescent="0.3">
      <c r="U292711" s="25"/>
    </row>
    <row r="292733" spans="21:21" x14ac:dyDescent="0.3">
      <c r="U292733" s="25"/>
    </row>
    <row r="292755" spans="21:21" x14ac:dyDescent="0.3">
      <c r="U292755" s="25"/>
    </row>
    <row r="292777" spans="21:21" x14ac:dyDescent="0.3">
      <c r="U292777" s="25"/>
    </row>
    <row r="292799" spans="21:21" x14ac:dyDescent="0.3">
      <c r="U292799" s="25"/>
    </row>
    <row r="292821" spans="21:21" x14ac:dyDescent="0.3">
      <c r="U292821" s="25"/>
    </row>
    <row r="292843" spans="21:21" x14ac:dyDescent="0.3">
      <c r="U292843" s="25"/>
    </row>
    <row r="292865" spans="21:21" x14ac:dyDescent="0.3">
      <c r="U292865" s="25"/>
    </row>
    <row r="292887" spans="21:21" x14ac:dyDescent="0.3">
      <c r="U292887" s="25"/>
    </row>
    <row r="292909" spans="21:21" x14ac:dyDescent="0.3">
      <c r="U292909" s="25"/>
    </row>
    <row r="292931" spans="21:21" x14ac:dyDescent="0.3">
      <c r="U292931" s="25"/>
    </row>
    <row r="292953" spans="21:21" x14ac:dyDescent="0.3">
      <c r="U292953" s="25"/>
    </row>
    <row r="292975" spans="21:21" x14ac:dyDescent="0.3">
      <c r="U292975" s="25"/>
    </row>
    <row r="292997" spans="21:21" x14ac:dyDescent="0.3">
      <c r="U292997" s="25"/>
    </row>
    <row r="293019" spans="21:21" x14ac:dyDescent="0.3">
      <c r="U293019" s="25"/>
    </row>
    <row r="293041" spans="21:21" x14ac:dyDescent="0.3">
      <c r="U293041" s="25"/>
    </row>
    <row r="293063" spans="21:21" x14ac:dyDescent="0.3">
      <c r="U293063" s="25"/>
    </row>
    <row r="293085" spans="21:21" x14ac:dyDescent="0.3">
      <c r="U293085" s="25"/>
    </row>
    <row r="293107" spans="21:21" x14ac:dyDescent="0.3">
      <c r="U293107" s="25"/>
    </row>
    <row r="293129" spans="21:21" x14ac:dyDescent="0.3">
      <c r="U293129" s="25"/>
    </row>
    <row r="293151" spans="21:21" x14ac:dyDescent="0.3">
      <c r="U293151" s="25"/>
    </row>
    <row r="293173" spans="21:21" x14ac:dyDescent="0.3">
      <c r="U293173" s="25"/>
    </row>
    <row r="293195" spans="21:21" x14ac:dyDescent="0.3">
      <c r="U293195" s="25"/>
    </row>
    <row r="293217" spans="21:21" x14ac:dyDescent="0.3">
      <c r="U293217" s="25"/>
    </row>
    <row r="293239" spans="21:21" x14ac:dyDescent="0.3">
      <c r="U293239" s="25"/>
    </row>
    <row r="293261" spans="21:21" x14ac:dyDescent="0.3">
      <c r="U293261" s="25"/>
    </row>
    <row r="293283" spans="21:21" x14ac:dyDescent="0.3">
      <c r="U293283" s="25"/>
    </row>
    <row r="293305" spans="21:21" x14ac:dyDescent="0.3">
      <c r="U293305" s="25"/>
    </row>
    <row r="293327" spans="21:21" x14ac:dyDescent="0.3">
      <c r="U293327" s="25"/>
    </row>
    <row r="293349" spans="21:21" x14ac:dyDescent="0.3">
      <c r="U293349" s="25"/>
    </row>
    <row r="293371" spans="21:21" x14ac:dyDescent="0.3">
      <c r="U293371" s="25"/>
    </row>
    <row r="293393" spans="21:21" x14ac:dyDescent="0.3">
      <c r="U293393" s="25"/>
    </row>
    <row r="293415" spans="21:21" x14ac:dyDescent="0.3">
      <c r="U293415" s="25"/>
    </row>
    <row r="293437" spans="21:21" x14ac:dyDescent="0.3">
      <c r="U293437" s="25"/>
    </row>
    <row r="293459" spans="21:21" x14ac:dyDescent="0.3">
      <c r="U293459" s="25"/>
    </row>
    <row r="293481" spans="21:21" x14ac:dyDescent="0.3">
      <c r="U293481" s="25"/>
    </row>
    <row r="293503" spans="21:21" x14ac:dyDescent="0.3">
      <c r="U293503" s="25"/>
    </row>
    <row r="293525" spans="21:21" x14ac:dyDescent="0.3">
      <c r="U293525" s="25"/>
    </row>
    <row r="293547" spans="21:21" x14ac:dyDescent="0.3">
      <c r="U293547" s="25"/>
    </row>
    <row r="293569" spans="21:21" x14ac:dyDescent="0.3">
      <c r="U293569" s="25"/>
    </row>
    <row r="293591" spans="21:21" x14ac:dyDescent="0.3">
      <c r="U293591" s="25"/>
    </row>
    <row r="293613" spans="21:21" x14ac:dyDescent="0.3">
      <c r="U293613" s="25"/>
    </row>
    <row r="293635" spans="21:21" x14ac:dyDescent="0.3">
      <c r="U293635" s="25"/>
    </row>
    <row r="293657" spans="21:21" x14ac:dyDescent="0.3">
      <c r="U293657" s="25"/>
    </row>
    <row r="293679" spans="21:21" x14ac:dyDescent="0.3">
      <c r="U293679" s="25"/>
    </row>
    <row r="293701" spans="21:21" x14ac:dyDescent="0.3">
      <c r="U293701" s="25"/>
    </row>
    <row r="293723" spans="21:21" x14ac:dyDescent="0.3">
      <c r="U293723" s="25"/>
    </row>
    <row r="293745" spans="21:21" x14ac:dyDescent="0.3">
      <c r="U293745" s="25"/>
    </row>
    <row r="293767" spans="21:21" x14ac:dyDescent="0.3">
      <c r="U293767" s="25"/>
    </row>
    <row r="293789" spans="21:21" x14ac:dyDescent="0.3">
      <c r="U293789" s="25"/>
    </row>
    <row r="293811" spans="21:21" x14ac:dyDescent="0.3">
      <c r="U293811" s="25"/>
    </row>
    <row r="293833" spans="21:21" x14ac:dyDescent="0.3">
      <c r="U293833" s="25"/>
    </row>
    <row r="293855" spans="21:21" x14ac:dyDescent="0.3">
      <c r="U293855" s="25"/>
    </row>
    <row r="293877" spans="21:21" x14ac:dyDescent="0.3">
      <c r="U293877" s="25"/>
    </row>
    <row r="293899" spans="21:21" x14ac:dyDescent="0.3">
      <c r="U293899" s="25"/>
    </row>
    <row r="293921" spans="21:21" x14ac:dyDescent="0.3">
      <c r="U293921" s="25"/>
    </row>
    <row r="293943" spans="21:21" x14ac:dyDescent="0.3">
      <c r="U293943" s="25"/>
    </row>
    <row r="293965" spans="21:21" x14ac:dyDescent="0.3">
      <c r="U293965" s="25"/>
    </row>
    <row r="293987" spans="21:21" x14ac:dyDescent="0.3">
      <c r="U293987" s="25"/>
    </row>
    <row r="294009" spans="21:21" x14ac:dyDescent="0.3">
      <c r="U294009" s="25"/>
    </row>
    <row r="294031" spans="21:21" x14ac:dyDescent="0.3">
      <c r="U294031" s="25"/>
    </row>
    <row r="294053" spans="21:21" x14ac:dyDescent="0.3">
      <c r="U294053" s="25"/>
    </row>
    <row r="294075" spans="21:21" x14ac:dyDescent="0.3">
      <c r="U294075" s="25"/>
    </row>
    <row r="294097" spans="21:21" x14ac:dyDescent="0.3">
      <c r="U294097" s="25"/>
    </row>
    <row r="294119" spans="21:21" x14ac:dyDescent="0.3">
      <c r="U294119" s="25"/>
    </row>
    <row r="294141" spans="21:21" x14ac:dyDescent="0.3">
      <c r="U294141" s="25"/>
    </row>
    <row r="294163" spans="21:21" x14ac:dyDescent="0.3">
      <c r="U294163" s="25"/>
    </row>
    <row r="294185" spans="21:21" x14ac:dyDescent="0.3">
      <c r="U294185" s="25"/>
    </row>
    <row r="294207" spans="21:21" x14ac:dyDescent="0.3">
      <c r="U294207" s="25"/>
    </row>
    <row r="294229" spans="21:21" x14ac:dyDescent="0.3">
      <c r="U294229" s="25"/>
    </row>
    <row r="294251" spans="21:21" x14ac:dyDescent="0.3">
      <c r="U294251" s="25"/>
    </row>
    <row r="294273" spans="21:21" x14ac:dyDescent="0.3">
      <c r="U294273" s="25"/>
    </row>
    <row r="294295" spans="21:21" x14ac:dyDescent="0.3">
      <c r="U294295" s="25"/>
    </row>
    <row r="294317" spans="21:21" x14ac:dyDescent="0.3">
      <c r="U294317" s="25"/>
    </row>
    <row r="294339" spans="21:21" x14ac:dyDescent="0.3">
      <c r="U294339" s="25"/>
    </row>
    <row r="294361" spans="21:21" x14ac:dyDescent="0.3">
      <c r="U294361" s="25"/>
    </row>
    <row r="294383" spans="21:21" x14ac:dyDescent="0.3">
      <c r="U294383" s="25"/>
    </row>
    <row r="294405" spans="21:21" x14ac:dyDescent="0.3">
      <c r="U294405" s="25"/>
    </row>
    <row r="294427" spans="21:21" x14ac:dyDescent="0.3">
      <c r="U294427" s="25"/>
    </row>
    <row r="294449" spans="21:21" x14ac:dyDescent="0.3">
      <c r="U294449" s="25"/>
    </row>
    <row r="294471" spans="21:21" x14ac:dyDescent="0.3">
      <c r="U294471" s="25"/>
    </row>
    <row r="294493" spans="21:21" x14ac:dyDescent="0.3">
      <c r="U294493" s="25"/>
    </row>
    <row r="294515" spans="21:21" x14ac:dyDescent="0.3">
      <c r="U294515" s="25"/>
    </row>
    <row r="294537" spans="21:21" x14ac:dyDescent="0.3">
      <c r="U294537" s="25"/>
    </row>
    <row r="294559" spans="21:21" x14ac:dyDescent="0.3">
      <c r="U294559" s="25"/>
    </row>
    <row r="294581" spans="21:21" x14ac:dyDescent="0.3">
      <c r="U294581" s="25"/>
    </row>
    <row r="294603" spans="21:21" x14ac:dyDescent="0.3">
      <c r="U294603" s="25"/>
    </row>
    <row r="294625" spans="21:21" x14ac:dyDescent="0.3">
      <c r="U294625" s="25"/>
    </row>
    <row r="294647" spans="21:21" x14ac:dyDescent="0.3">
      <c r="U294647" s="25"/>
    </row>
    <row r="294669" spans="21:21" x14ac:dyDescent="0.3">
      <c r="U294669" s="25"/>
    </row>
    <row r="294691" spans="21:21" x14ac:dyDescent="0.3">
      <c r="U294691" s="25"/>
    </row>
    <row r="294713" spans="21:21" x14ac:dyDescent="0.3">
      <c r="U294713" s="25"/>
    </row>
    <row r="294735" spans="21:21" x14ac:dyDescent="0.3">
      <c r="U294735" s="25"/>
    </row>
    <row r="294757" spans="21:21" x14ac:dyDescent="0.3">
      <c r="U294757" s="25"/>
    </row>
    <row r="294779" spans="21:21" x14ac:dyDescent="0.3">
      <c r="U294779" s="25"/>
    </row>
    <row r="294801" spans="21:21" x14ac:dyDescent="0.3">
      <c r="U294801" s="25"/>
    </row>
    <row r="294823" spans="21:21" x14ac:dyDescent="0.3">
      <c r="U294823" s="25"/>
    </row>
    <row r="294845" spans="21:21" x14ac:dyDescent="0.3">
      <c r="U294845" s="25"/>
    </row>
    <row r="294867" spans="21:21" x14ac:dyDescent="0.3">
      <c r="U294867" s="25"/>
    </row>
    <row r="294889" spans="21:21" x14ac:dyDescent="0.3">
      <c r="U294889" s="25"/>
    </row>
    <row r="294911" spans="21:21" x14ac:dyDescent="0.3">
      <c r="U294911" s="25"/>
    </row>
    <row r="294933" spans="21:21" x14ac:dyDescent="0.3">
      <c r="U294933" s="25"/>
    </row>
    <row r="294955" spans="21:21" x14ac:dyDescent="0.3">
      <c r="U294955" s="25"/>
    </row>
    <row r="294977" spans="21:21" x14ac:dyDescent="0.3">
      <c r="U294977" s="25"/>
    </row>
    <row r="294999" spans="21:21" x14ac:dyDescent="0.3">
      <c r="U294999" s="25"/>
    </row>
    <row r="295021" spans="21:21" x14ac:dyDescent="0.3">
      <c r="U295021" s="25"/>
    </row>
    <row r="295043" spans="21:21" x14ac:dyDescent="0.3">
      <c r="U295043" s="25"/>
    </row>
    <row r="295065" spans="21:21" x14ac:dyDescent="0.3">
      <c r="U295065" s="25"/>
    </row>
    <row r="295087" spans="21:21" x14ac:dyDescent="0.3">
      <c r="U295087" s="25"/>
    </row>
    <row r="295109" spans="21:21" x14ac:dyDescent="0.3">
      <c r="U295109" s="25"/>
    </row>
    <row r="295131" spans="21:21" x14ac:dyDescent="0.3">
      <c r="U295131" s="25"/>
    </row>
    <row r="295153" spans="21:21" x14ac:dyDescent="0.3">
      <c r="U295153" s="25"/>
    </row>
    <row r="295175" spans="21:21" x14ac:dyDescent="0.3">
      <c r="U295175" s="25"/>
    </row>
    <row r="295197" spans="21:21" x14ac:dyDescent="0.3">
      <c r="U295197" s="25"/>
    </row>
    <row r="295219" spans="21:21" x14ac:dyDescent="0.3">
      <c r="U295219" s="25"/>
    </row>
    <row r="295241" spans="21:21" x14ac:dyDescent="0.3">
      <c r="U295241" s="25"/>
    </row>
    <row r="295263" spans="21:21" x14ac:dyDescent="0.3">
      <c r="U295263" s="25"/>
    </row>
    <row r="295285" spans="21:21" x14ac:dyDescent="0.3">
      <c r="U295285" s="25"/>
    </row>
    <row r="295307" spans="21:21" x14ac:dyDescent="0.3">
      <c r="U295307" s="25"/>
    </row>
    <row r="295329" spans="21:21" x14ac:dyDescent="0.3">
      <c r="U295329" s="25"/>
    </row>
    <row r="295351" spans="21:21" x14ac:dyDescent="0.3">
      <c r="U295351" s="25"/>
    </row>
    <row r="295373" spans="21:21" x14ac:dyDescent="0.3">
      <c r="U295373" s="25"/>
    </row>
    <row r="295395" spans="21:21" x14ac:dyDescent="0.3">
      <c r="U295395" s="25"/>
    </row>
    <row r="295417" spans="21:21" x14ac:dyDescent="0.3">
      <c r="U295417" s="25"/>
    </row>
    <row r="295439" spans="21:21" x14ac:dyDescent="0.3">
      <c r="U295439" s="25"/>
    </row>
    <row r="295461" spans="21:21" x14ac:dyDescent="0.3">
      <c r="U295461" s="25"/>
    </row>
    <row r="295483" spans="21:21" x14ac:dyDescent="0.3">
      <c r="U295483" s="25"/>
    </row>
    <row r="295505" spans="21:21" x14ac:dyDescent="0.3">
      <c r="U295505" s="25"/>
    </row>
    <row r="295527" spans="21:21" x14ac:dyDescent="0.3">
      <c r="U295527" s="25"/>
    </row>
    <row r="295549" spans="21:21" x14ac:dyDescent="0.3">
      <c r="U295549" s="25"/>
    </row>
    <row r="295571" spans="21:21" x14ac:dyDescent="0.3">
      <c r="U295571" s="25"/>
    </row>
    <row r="295593" spans="21:21" x14ac:dyDescent="0.3">
      <c r="U295593" s="25"/>
    </row>
    <row r="295615" spans="21:21" x14ac:dyDescent="0.3">
      <c r="U295615" s="25"/>
    </row>
    <row r="295637" spans="21:21" x14ac:dyDescent="0.3">
      <c r="U295637" s="25"/>
    </row>
    <row r="295659" spans="21:21" x14ac:dyDescent="0.3">
      <c r="U295659" s="25"/>
    </row>
    <row r="295681" spans="21:21" x14ac:dyDescent="0.3">
      <c r="U295681" s="25"/>
    </row>
    <row r="295703" spans="21:21" x14ac:dyDescent="0.3">
      <c r="U295703" s="25"/>
    </row>
    <row r="295725" spans="21:21" x14ac:dyDescent="0.3">
      <c r="U295725" s="25"/>
    </row>
    <row r="295747" spans="21:21" x14ac:dyDescent="0.3">
      <c r="U295747" s="25"/>
    </row>
    <row r="295769" spans="21:21" x14ac:dyDescent="0.3">
      <c r="U295769" s="25"/>
    </row>
    <row r="295791" spans="21:21" x14ac:dyDescent="0.3">
      <c r="U295791" s="25"/>
    </row>
    <row r="295813" spans="21:21" x14ac:dyDescent="0.3">
      <c r="U295813" s="25"/>
    </row>
    <row r="295835" spans="21:21" x14ac:dyDescent="0.3">
      <c r="U295835" s="25"/>
    </row>
    <row r="295857" spans="21:21" x14ac:dyDescent="0.3">
      <c r="U295857" s="25"/>
    </row>
    <row r="295879" spans="21:21" x14ac:dyDescent="0.3">
      <c r="U295879" s="25"/>
    </row>
    <row r="295901" spans="21:21" x14ac:dyDescent="0.3">
      <c r="U295901" s="25"/>
    </row>
    <row r="295923" spans="21:21" x14ac:dyDescent="0.3">
      <c r="U295923" s="25"/>
    </row>
    <row r="295945" spans="21:21" x14ac:dyDescent="0.3">
      <c r="U295945" s="25"/>
    </row>
    <row r="295967" spans="21:21" x14ac:dyDescent="0.3">
      <c r="U295967" s="25"/>
    </row>
    <row r="295989" spans="21:21" x14ac:dyDescent="0.3">
      <c r="U295989" s="25"/>
    </row>
    <row r="296011" spans="21:21" x14ac:dyDescent="0.3">
      <c r="U296011" s="25"/>
    </row>
    <row r="296033" spans="21:21" x14ac:dyDescent="0.3">
      <c r="U296033" s="25"/>
    </row>
    <row r="296055" spans="21:21" x14ac:dyDescent="0.3">
      <c r="U296055" s="25"/>
    </row>
    <row r="296077" spans="21:21" x14ac:dyDescent="0.3">
      <c r="U296077" s="25"/>
    </row>
    <row r="296099" spans="21:21" x14ac:dyDescent="0.3">
      <c r="U296099" s="25"/>
    </row>
    <row r="296121" spans="21:21" x14ac:dyDescent="0.3">
      <c r="U296121" s="25"/>
    </row>
    <row r="296143" spans="21:21" x14ac:dyDescent="0.3">
      <c r="U296143" s="25"/>
    </row>
    <row r="296165" spans="21:21" x14ac:dyDescent="0.3">
      <c r="U296165" s="25"/>
    </row>
    <row r="296187" spans="21:21" x14ac:dyDescent="0.3">
      <c r="U296187" s="25"/>
    </row>
    <row r="296209" spans="21:21" x14ac:dyDescent="0.3">
      <c r="U296209" s="25"/>
    </row>
    <row r="296231" spans="21:21" x14ac:dyDescent="0.3">
      <c r="U296231" s="25"/>
    </row>
    <row r="296253" spans="21:21" x14ac:dyDescent="0.3">
      <c r="U296253" s="25"/>
    </row>
    <row r="296275" spans="21:21" x14ac:dyDescent="0.3">
      <c r="U296275" s="25"/>
    </row>
    <row r="296297" spans="21:21" x14ac:dyDescent="0.3">
      <c r="U296297" s="25"/>
    </row>
    <row r="296319" spans="21:21" x14ac:dyDescent="0.3">
      <c r="U296319" s="25"/>
    </row>
    <row r="296341" spans="21:21" x14ac:dyDescent="0.3">
      <c r="U296341" s="25"/>
    </row>
    <row r="296363" spans="21:21" x14ac:dyDescent="0.3">
      <c r="U296363" s="25"/>
    </row>
    <row r="296385" spans="21:21" x14ac:dyDescent="0.3">
      <c r="U296385" s="25"/>
    </row>
    <row r="296407" spans="21:21" x14ac:dyDescent="0.3">
      <c r="U296407" s="25"/>
    </row>
    <row r="296429" spans="21:21" x14ac:dyDescent="0.3">
      <c r="U296429" s="25"/>
    </row>
    <row r="296451" spans="21:21" x14ac:dyDescent="0.3">
      <c r="U296451" s="25"/>
    </row>
    <row r="296473" spans="21:21" x14ac:dyDescent="0.3">
      <c r="U296473" s="25"/>
    </row>
    <row r="296495" spans="21:21" x14ac:dyDescent="0.3">
      <c r="U296495" s="25"/>
    </row>
    <row r="296517" spans="21:21" x14ac:dyDescent="0.3">
      <c r="U296517" s="25"/>
    </row>
    <row r="296539" spans="21:21" x14ac:dyDescent="0.3">
      <c r="U296539" s="25"/>
    </row>
    <row r="296561" spans="21:21" x14ac:dyDescent="0.3">
      <c r="U296561" s="25"/>
    </row>
    <row r="296583" spans="21:21" x14ac:dyDescent="0.3">
      <c r="U296583" s="25"/>
    </row>
    <row r="296605" spans="21:21" x14ac:dyDescent="0.3">
      <c r="U296605" s="25"/>
    </row>
    <row r="296627" spans="21:21" x14ac:dyDescent="0.3">
      <c r="U296627" s="25"/>
    </row>
    <row r="296649" spans="21:21" x14ac:dyDescent="0.3">
      <c r="U296649" s="25"/>
    </row>
    <row r="296671" spans="21:21" x14ac:dyDescent="0.3">
      <c r="U296671" s="25"/>
    </row>
    <row r="296693" spans="21:21" x14ac:dyDescent="0.3">
      <c r="U296693" s="25"/>
    </row>
    <row r="296715" spans="21:21" x14ac:dyDescent="0.3">
      <c r="U296715" s="25"/>
    </row>
    <row r="296737" spans="21:21" x14ac:dyDescent="0.3">
      <c r="U296737" s="25"/>
    </row>
    <row r="296759" spans="21:21" x14ac:dyDescent="0.3">
      <c r="U296759" s="25"/>
    </row>
    <row r="296781" spans="21:21" x14ac:dyDescent="0.3">
      <c r="U296781" s="25"/>
    </row>
    <row r="296803" spans="21:21" x14ac:dyDescent="0.3">
      <c r="U296803" s="25"/>
    </row>
    <row r="296825" spans="21:21" x14ac:dyDescent="0.3">
      <c r="U296825" s="25"/>
    </row>
    <row r="296847" spans="21:21" x14ac:dyDescent="0.3">
      <c r="U296847" s="25"/>
    </row>
    <row r="296869" spans="21:21" x14ac:dyDescent="0.3">
      <c r="U296869" s="25"/>
    </row>
    <row r="296891" spans="21:21" x14ac:dyDescent="0.3">
      <c r="U296891" s="25"/>
    </row>
    <row r="296913" spans="21:21" x14ac:dyDescent="0.3">
      <c r="U296913" s="25"/>
    </row>
    <row r="296935" spans="21:21" x14ac:dyDescent="0.3">
      <c r="U296935" s="25"/>
    </row>
    <row r="296957" spans="21:21" x14ac:dyDescent="0.3">
      <c r="U296957" s="25"/>
    </row>
    <row r="296979" spans="21:21" x14ac:dyDescent="0.3">
      <c r="U296979" s="25"/>
    </row>
    <row r="297001" spans="21:21" x14ac:dyDescent="0.3">
      <c r="U297001" s="25"/>
    </row>
    <row r="297023" spans="21:21" x14ac:dyDescent="0.3">
      <c r="U297023" s="25"/>
    </row>
    <row r="297045" spans="21:21" x14ac:dyDescent="0.3">
      <c r="U297045" s="25"/>
    </row>
    <row r="297067" spans="21:21" x14ac:dyDescent="0.3">
      <c r="U297067" s="25"/>
    </row>
    <row r="297089" spans="21:21" x14ac:dyDescent="0.3">
      <c r="U297089" s="25"/>
    </row>
    <row r="297111" spans="21:21" x14ac:dyDescent="0.3">
      <c r="U297111" s="25"/>
    </row>
    <row r="297133" spans="21:21" x14ac:dyDescent="0.3">
      <c r="U297133" s="25"/>
    </row>
    <row r="297155" spans="21:21" x14ac:dyDescent="0.3">
      <c r="U297155" s="25"/>
    </row>
    <row r="297177" spans="21:21" x14ac:dyDescent="0.3">
      <c r="U297177" s="25"/>
    </row>
    <row r="297199" spans="21:21" x14ac:dyDescent="0.3">
      <c r="U297199" s="25"/>
    </row>
    <row r="297221" spans="21:21" x14ac:dyDescent="0.3">
      <c r="U297221" s="25"/>
    </row>
    <row r="297243" spans="21:21" x14ac:dyDescent="0.3">
      <c r="U297243" s="25"/>
    </row>
    <row r="297265" spans="21:21" x14ac:dyDescent="0.3">
      <c r="U297265" s="25"/>
    </row>
    <row r="297287" spans="21:21" x14ac:dyDescent="0.3">
      <c r="U297287" s="25"/>
    </row>
    <row r="297309" spans="21:21" x14ac:dyDescent="0.3">
      <c r="U297309" s="25"/>
    </row>
    <row r="297331" spans="21:21" x14ac:dyDescent="0.3">
      <c r="U297331" s="25"/>
    </row>
    <row r="297353" spans="21:21" x14ac:dyDescent="0.3">
      <c r="U297353" s="25"/>
    </row>
    <row r="297375" spans="21:21" x14ac:dyDescent="0.3">
      <c r="U297375" s="25"/>
    </row>
    <row r="297397" spans="21:21" x14ac:dyDescent="0.3">
      <c r="U297397" s="25"/>
    </row>
    <row r="297419" spans="21:21" x14ac:dyDescent="0.3">
      <c r="U297419" s="25"/>
    </row>
    <row r="297441" spans="21:21" x14ac:dyDescent="0.3">
      <c r="U297441" s="25"/>
    </row>
    <row r="297463" spans="21:21" x14ac:dyDescent="0.3">
      <c r="U297463" s="25"/>
    </row>
    <row r="297485" spans="21:21" x14ac:dyDescent="0.3">
      <c r="U297485" s="25"/>
    </row>
    <row r="297507" spans="21:21" x14ac:dyDescent="0.3">
      <c r="U297507" s="25"/>
    </row>
    <row r="297529" spans="21:21" x14ac:dyDescent="0.3">
      <c r="U297529" s="25"/>
    </row>
    <row r="297551" spans="21:21" x14ac:dyDescent="0.3">
      <c r="U297551" s="25"/>
    </row>
    <row r="297573" spans="21:21" x14ac:dyDescent="0.3">
      <c r="U297573" s="25"/>
    </row>
    <row r="297595" spans="21:21" x14ac:dyDescent="0.3">
      <c r="U297595" s="25"/>
    </row>
    <row r="297617" spans="21:21" x14ac:dyDescent="0.3">
      <c r="U297617" s="25"/>
    </row>
    <row r="297639" spans="21:21" x14ac:dyDescent="0.3">
      <c r="U297639" s="25"/>
    </row>
    <row r="297661" spans="21:21" x14ac:dyDescent="0.3">
      <c r="U297661" s="25"/>
    </row>
    <row r="297683" spans="21:21" x14ac:dyDescent="0.3">
      <c r="U297683" s="25"/>
    </row>
    <row r="297705" spans="21:21" x14ac:dyDescent="0.3">
      <c r="U297705" s="25"/>
    </row>
    <row r="297727" spans="21:21" x14ac:dyDescent="0.3">
      <c r="U297727" s="25"/>
    </row>
    <row r="297749" spans="21:21" x14ac:dyDescent="0.3">
      <c r="U297749" s="25"/>
    </row>
    <row r="297771" spans="21:21" x14ac:dyDescent="0.3">
      <c r="U297771" s="25"/>
    </row>
    <row r="297793" spans="21:21" x14ac:dyDescent="0.3">
      <c r="U297793" s="25"/>
    </row>
    <row r="297815" spans="21:21" x14ac:dyDescent="0.3">
      <c r="U297815" s="25"/>
    </row>
    <row r="297837" spans="21:21" x14ac:dyDescent="0.3">
      <c r="U297837" s="25"/>
    </row>
    <row r="297859" spans="21:21" x14ac:dyDescent="0.3">
      <c r="U297859" s="25"/>
    </row>
    <row r="297881" spans="21:21" x14ac:dyDescent="0.3">
      <c r="U297881" s="25"/>
    </row>
    <row r="297903" spans="21:21" x14ac:dyDescent="0.3">
      <c r="U297903" s="25"/>
    </row>
    <row r="297925" spans="21:21" x14ac:dyDescent="0.3">
      <c r="U297925" s="25"/>
    </row>
    <row r="297947" spans="21:21" x14ac:dyDescent="0.3">
      <c r="U297947" s="25"/>
    </row>
    <row r="297969" spans="21:21" x14ac:dyDescent="0.3">
      <c r="U297969" s="25"/>
    </row>
    <row r="297991" spans="21:21" x14ac:dyDescent="0.3">
      <c r="U297991" s="25"/>
    </row>
    <row r="298013" spans="21:21" x14ac:dyDescent="0.3">
      <c r="U298013" s="25"/>
    </row>
    <row r="298035" spans="21:21" x14ac:dyDescent="0.3">
      <c r="U298035" s="25"/>
    </row>
    <row r="298057" spans="21:21" x14ac:dyDescent="0.3">
      <c r="U298057" s="25"/>
    </row>
    <row r="298079" spans="21:21" x14ac:dyDescent="0.3">
      <c r="U298079" s="25"/>
    </row>
    <row r="298101" spans="21:21" x14ac:dyDescent="0.3">
      <c r="U298101" s="25"/>
    </row>
    <row r="298123" spans="21:21" x14ac:dyDescent="0.3">
      <c r="U298123" s="25"/>
    </row>
    <row r="298145" spans="21:21" x14ac:dyDescent="0.3">
      <c r="U298145" s="25"/>
    </row>
    <row r="298167" spans="21:21" x14ac:dyDescent="0.3">
      <c r="U298167" s="25"/>
    </row>
    <row r="298189" spans="21:21" x14ac:dyDescent="0.3">
      <c r="U298189" s="25"/>
    </row>
    <row r="298211" spans="21:21" x14ac:dyDescent="0.3">
      <c r="U298211" s="25"/>
    </row>
    <row r="298233" spans="21:21" x14ac:dyDescent="0.3">
      <c r="U298233" s="25"/>
    </row>
    <row r="298255" spans="21:21" x14ac:dyDescent="0.3">
      <c r="U298255" s="25"/>
    </row>
    <row r="298277" spans="21:21" x14ac:dyDescent="0.3">
      <c r="U298277" s="25"/>
    </row>
    <row r="298299" spans="21:21" x14ac:dyDescent="0.3">
      <c r="U298299" s="25"/>
    </row>
    <row r="298321" spans="21:21" x14ac:dyDescent="0.3">
      <c r="U298321" s="25"/>
    </row>
    <row r="298343" spans="21:21" x14ac:dyDescent="0.3">
      <c r="U298343" s="25"/>
    </row>
    <row r="298365" spans="21:21" x14ac:dyDescent="0.3">
      <c r="U298365" s="25"/>
    </row>
    <row r="298387" spans="21:21" x14ac:dyDescent="0.3">
      <c r="U298387" s="25"/>
    </row>
    <row r="298409" spans="21:21" x14ac:dyDescent="0.3">
      <c r="U298409" s="25"/>
    </row>
    <row r="298431" spans="21:21" x14ac:dyDescent="0.3">
      <c r="U298431" s="25"/>
    </row>
    <row r="298453" spans="21:21" x14ac:dyDescent="0.3">
      <c r="U298453" s="25"/>
    </row>
    <row r="298475" spans="21:21" x14ac:dyDescent="0.3">
      <c r="U298475" s="25"/>
    </row>
    <row r="298497" spans="21:21" x14ac:dyDescent="0.3">
      <c r="U298497" s="25"/>
    </row>
    <row r="298519" spans="21:21" x14ac:dyDescent="0.3">
      <c r="U298519" s="25"/>
    </row>
    <row r="298541" spans="21:21" x14ac:dyDescent="0.3">
      <c r="U298541" s="25"/>
    </row>
    <row r="298563" spans="21:21" x14ac:dyDescent="0.3">
      <c r="U298563" s="25"/>
    </row>
    <row r="298585" spans="21:21" x14ac:dyDescent="0.3">
      <c r="U298585" s="25"/>
    </row>
    <row r="298607" spans="21:21" x14ac:dyDescent="0.3">
      <c r="U298607" s="25"/>
    </row>
    <row r="298629" spans="21:21" x14ac:dyDescent="0.3">
      <c r="U298629" s="25"/>
    </row>
    <row r="298651" spans="21:21" x14ac:dyDescent="0.3">
      <c r="U298651" s="25"/>
    </row>
    <row r="298673" spans="21:21" x14ac:dyDescent="0.3">
      <c r="U298673" s="25"/>
    </row>
    <row r="298695" spans="21:21" x14ac:dyDescent="0.3">
      <c r="U298695" s="25"/>
    </row>
    <row r="298717" spans="21:21" x14ac:dyDescent="0.3">
      <c r="U298717" s="25"/>
    </row>
    <row r="298739" spans="21:21" x14ac:dyDescent="0.3">
      <c r="U298739" s="25"/>
    </row>
    <row r="298761" spans="21:21" x14ac:dyDescent="0.3">
      <c r="U298761" s="25"/>
    </row>
    <row r="298783" spans="21:21" x14ac:dyDescent="0.3">
      <c r="U298783" s="25"/>
    </row>
    <row r="298805" spans="21:21" x14ac:dyDescent="0.3">
      <c r="U298805" s="25"/>
    </row>
    <row r="298827" spans="21:21" x14ac:dyDescent="0.3">
      <c r="U298827" s="25"/>
    </row>
    <row r="298849" spans="21:21" x14ac:dyDescent="0.3">
      <c r="U298849" s="25"/>
    </row>
    <row r="298871" spans="21:21" x14ac:dyDescent="0.3">
      <c r="U298871" s="25"/>
    </row>
    <row r="298893" spans="21:21" x14ac:dyDescent="0.3">
      <c r="U298893" s="25"/>
    </row>
    <row r="298915" spans="21:21" x14ac:dyDescent="0.3">
      <c r="U298915" s="25"/>
    </row>
    <row r="298937" spans="21:21" x14ac:dyDescent="0.3">
      <c r="U298937" s="25"/>
    </row>
    <row r="298959" spans="21:21" x14ac:dyDescent="0.3">
      <c r="U298959" s="25"/>
    </row>
    <row r="298981" spans="21:21" x14ac:dyDescent="0.3">
      <c r="U298981" s="25"/>
    </row>
    <row r="299003" spans="21:21" x14ac:dyDescent="0.3">
      <c r="U299003" s="25"/>
    </row>
    <row r="299025" spans="21:21" x14ac:dyDescent="0.3">
      <c r="U299025" s="25"/>
    </row>
    <row r="299047" spans="21:21" x14ac:dyDescent="0.3">
      <c r="U299047" s="25"/>
    </row>
    <row r="299069" spans="21:21" x14ac:dyDescent="0.3">
      <c r="U299069" s="25"/>
    </row>
    <row r="299091" spans="21:21" x14ac:dyDescent="0.3">
      <c r="U299091" s="25"/>
    </row>
    <row r="299113" spans="21:21" x14ac:dyDescent="0.3">
      <c r="U299113" s="25"/>
    </row>
    <row r="299135" spans="21:21" x14ac:dyDescent="0.3">
      <c r="U299135" s="25"/>
    </row>
    <row r="299157" spans="21:21" x14ac:dyDescent="0.3">
      <c r="U299157" s="25"/>
    </row>
    <row r="299179" spans="21:21" x14ac:dyDescent="0.3">
      <c r="U299179" s="25"/>
    </row>
    <row r="299201" spans="21:21" x14ac:dyDescent="0.3">
      <c r="U299201" s="25"/>
    </row>
    <row r="299223" spans="21:21" x14ac:dyDescent="0.3">
      <c r="U299223" s="25"/>
    </row>
    <row r="299245" spans="21:21" x14ac:dyDescent="0.3">
      <c r="U299245" s="25"/>
    </row>
    <row r="299267" spans="21:21" x14ac:dyDescent="0.3">
      <c r="U299267" s="25"/>
    </row>
    <row r="299289" spans="21:21" x14ac:dyDescent="0.3">
      <c r="U299289" s="25"/>
    </row>
    <row r="299311" spans="21:21" x14ac:dyDescent="0.3">
      <c r="U299311" s="25"/>
    </row>
    <row r="299333" spans="21:21" x14ac:dyDescent="0.3">
      <c r="U299333" s="25"/>
    </row>
    <row r="299355" spans="21:21" x14ac:dyDescent="0.3">
      <c r="U299355" s="25"/>
    </row>
    <row r="299377" spans="21:21" x14ac:dyDescent="0.3">
      <c r="U299377" s="25"/>
    </row>
    <row r="299399" spans="21:21" x14ac:dyDescent="0.3">
      <c r="U299399" s="25"/>
    </row>
    <row r="299421" spans="21:21" x14ac:dyDescent="0.3">
      <c r="U299421" s="25"/>
    </row>
    <row r="299443" spans="21:21" x14ac:dyDescent="0.3">
      <c r="U299443" s="25"/>
    </row>
    <row r="299465" spans="21:21" x14ac:dyDescent="0.3">
      <c r="U299465" s="25"/>
    </row>
    <row r="299487" spans="21:21" x14ac:dyDescent="0.3">
      <c r="U299487" s="25"/>
    </row>
    <row r="299509" spans="21:21" x14ac:dyDescent="0.3">
      <c r="U299509" s="25"/>
    </row>
    <row r="299531" spans="21:21" x14ac:dyDescent="0.3">
      <c r="U299531" s="25"/>
    </row>
    <row r="299553" spans="21:21" x14ac:dyDescent="0.3">
      <c r="U299553" s="25"/>
    </row>
    <row r="299575" spans="21:21" x14ac:dyDescent="0.3">
      <c r="U299575" s="25"/>
    </row>
    <row r="299597" spans="21:21" x14ac:dyDescent="0.3">
      <c r="U299597" s="25"/>
    </row>
    <row r="299619" spans="21:21" x14ac:dyDescent="0.3">
      <c r="U299619" s="25"/>
    </row>
    <row r="299641" spans="21:21" x14ac:dyDescent="0.3">
      <c r="U299641" s="25"/>
    </row>
    <row r="299663" spans="21:21" x14ac:dyDescent="0.3">
      <c r="U299663" s="25"/>
    </row>
    <row r="299685" spans="21:21" x14ac:dyDescent="0.3">
      <c r="U299685" s="25"/>
    </row>
    <row r="299707" spans="21:21" x14ac:dyDescent="0.3">
      <c r="U299707" s="25"/>
    </row>
    <row r="299729" spans="21:21" x14ac:dyDescent="0.3">
      <c r="U299729" s="25"/>
    </row>
    <row r="299751" spans="21:21" x14ac:dyDescent="0.3">
      <c r="U299751" s="25"/>
    </row>
    <row r="299773" spans="21:21" x14ac:dyDescent="0.3">
      <c r="U299773" s="25"/>
    </row>
    <row r="299795" spans="21:21" x14ac:dyDescent="0.3">
      <c r="U299795" s="25"/>
    </row>
    <row r="299817" spans="21:21" x14ac:dyDescent="0.3">
      <c r="U299817" s="25"/>
    </row>
    <row r="299839" spans="21:21" x14ac:dyDescent="0.3">
      <c r="U299839" s="25"/>
    </row>
    <row r="299861" spans="21:21" x14ac:dyDescent="0.3">
      <c r="U299861" s="25"/>
    </row>
    <row r="299883" spans="21:21" x14ac:dyDescent="0.3">
      <c r="U299883" s="25"/>
    </row>
    <row r="299905" spans="21:21" x14ac:dyDescent="0.3">
      <c r="U299905" s="25"/>
    </row>
    <row r="299927" spans="21:21" x14ac:dyDescent="0.3">
      <c r="U299927" s="25"/>
    </row>
    <row r="299949" spans="21:21" x14ac:dyDescent="0.3">
      <c r="U299949" s="25"/>
    </row>
    <row r="299971" spans="21:21" x14ac:dyDescent="0.3">
      <c r="U299971" s="25"/>
    </row>
    <row r="299993" spans="21:21" x14ac:dyDescent="0.3">
      <c r="U299993" s="25"/>
    </row>
    <row r="300015" spans="21:21" x14ac:dyDescent="0.3">
      <c r="U300015" s="25"/>
    </row>
    <row r="300037" spans="21:21" x14ac:dyDescent="0.3">
      <c r="U300037" s="25"/>
    </row>
    <row r="300059" spans="21:21" x14ac:dyDescent="0.3">
      <c r="U300059" s="25"/>
    </row>
    <row r="300081" spans="21:21" x14ac:dyDescent="0.3">
      <c r="U300081" s="25"/>
    </row>
    <row r="300103" spans="21:21" x14ac:dyDescent="0.3">
      <c r="U300103" s="25"/>
    </row>
    <row r="300125" spans="21:21" x14ac:dyDescent="0.3">
      <c r="U300125" s="25"/>
    </row>
    <row r="300147" spans="21:21" x14ac:dyDescent="0.3">
      <c r="U300147" s="25"/>
    </row>
    <row r="300169" spans="21:21" x14ac:dyDescent="0.3">
      <c r="U300169" s="25"/>
    </row>
    <row r="300191" spans="21:21" x14ac:dyDescent="0.3">
      <c r="U300191" s="25"/>
    </row>
    <row r="300213" spans="21:21" x14ac:dyDescent="0.3">
      <c r="U300213" s="25"/>
    </row>
    <row r="300235" spans="21:21" x14ac:dyDescent="0.3">
      <c r="U300235" s="25"/>
    </row>
    <row r="300257" spans="21:21" x14ac:dyDescent="0.3">
      <c r="U300257" s="25"/>
    </row>
    <row r="300279" spans="21:21" x14ac:dyDescent="0.3">
      <c r="U300279" s="25"/>
    </row>
    <row r="300301" spans="21:21" x14ac:dyDescent="0.3">
      <c r="U300301" s="25"/>
    </row>
    <row r="300323" spans="21:21" x14ac:dyDescent="0.3">
      <c r="U300323" s="25"/>
    </row>
    <row r="300345" spans="21:21" x14ac:dyDescent="0.3">
      <c r="U300345" s="25"/>
    </row>
    <row r="300367" spans="21:21" x14ac:dyDescent="0.3">
      <c r="U300367" s="25"/>
    </row>
    <row r="300389" spans="21:21" x14ac:dyDescent="0.3">
      <c r="U300389" s="25"/>
    </row>
    <row r="300411" spans="21:21" x14ac:dyDescent="0.3">
      <c r="U300411" s="25"/>
    </row>
    <row r="300433" spans="21:21" x14ac:dyDescent="0.3">
      <c r="U300433" s="25"/>
    </row>
    <row r="300455" spans="21:21" x14ac:dyDescent="0.3">
      <c r="U300455" s="25"/>
    </row>
    <row r="300477" spans="21:21" x14ac:dyDescent="0.3">
      <c r="U300477" s="25"/>
    </row>
    <row r="300499" spans="21:21" x14ac:dyDescent="0.3">
      <c r="U300499" s="25"/>
    </row>
    <row r="300521" spans="21:21" x14ac:dyDescent="0.3">
      <c r="U300521" s="25"/>
    </row>
    <row r="300543" spans="21:21" x14ac:dyDescent="0.3">
      <c r="U300543" s="25"/>
    </row>
    <row r="300565" spans="21:21" x14ac:dyDescent="0.3">
      <c r="U300565" s="25"/>
    </row>
    <row r="300587" spans="21:21" x14ac:dyDescent="0.3">
      <c r="U300587" s="25"/>
    </row>
    <row r="300609" spans="21:21" x14ac:dyDescent="0.3">
      <c r="U300609" s="25"/>
    </row>
    <row r="300631" spans="21:21" x14ac:dyDescent="0.3">
      <c r="U300631" s="25"/>
    </row>
    <row r="300653" spans="21:21" x14ac:dyDescent="0.3">
      <c r="U300653" s="25"/>
    </row>
    <row r="300675" spans="21:21" x14ac:dyDescent="0.3">
      <c r="U300675" s="25"/>
    </row>
    <row r="300697" spans="21:21" x14ac:dyDescent="0.3">
      <c r="U300697" s="25"/>
    </row>
    <row r="300719" spans="21:21" x14ac:dyDescent="0.3">
      <c r="U300719" s="25"/>
    </row>
    <row r="300741" spans="21:21" x14ac:dyDescent="0.3">
      <c r="U300741" s="25"/>
    </row>
    <row r="300763" spans="21:21" x14ac:dyDescent="0.3">
      <c r="U300763" s="25"/>
    </row>
    <row r="300785" spans="21:21" x14ac:dyDescent="0.3">
      <c r="U300785" s="25"/>
    </row>
    <row r="300807" spans="21:21" x14ac:dyDescent="0.3">
      <c r="U300807" s="25"/>
    </row>
    <row r="300829" spans="21:21" x14ac:dyDescent="0.3">
      <c r="U300829" s="25"/>
    </row>
    <row r="300851" spans="21:21" x14ac:dyDescent="0.3">
      <c r="U300851" s="25"/>
    </row>
    <row r="300873" spans="21:21" x14ac:dyDescent="0.3">
      <c r="U300873" s="25"/>
    </row>
    <row r="300895" spans="21:21" x14ac:dyDescent="0.3">
      <c r="U300895" s="25"/>
    </row>
    <row r="300917" spans="21:21" x14ac:dyDescent="0.3">
      <c r="U300917" s="25"/>
    </row>
    <row r="300939" spans="21:21" x14ac:dyDescent="0.3">
      <c r="U300939" s="25"/>
    </row>
    <row r="300961" spans="21:21" x14ac:dyDescent="0.3">
      <c r="U300961" s="25"/>
    </row>
    <row r="300983" spans="21:21" x14ac:dyDescent="0.3">
      <c r="U300983" s="25"/>
    </row>
    <row r="301005" spans="21:21" x14ac:dyDescent="0.3">
      <c r="U301005" s="25"/>
    </row>
    <row r="301027" spans="21:21" x14ac:dyDescent="0.3">
      <c r="U301027" s="25"/>
    </row>
    <row r="301049" spans="21:21" x14ac:dyDescent="0.3">
      <c r="U301049" s="25"/>
    </row>
    <row r="301071" spans="21:21" x14ac:dyDescent="0.3">
      <c r="U301071" s="25"/>
    </row>
    <row r="301093" spans="21:21" x14ac:dyDescent="0.3">
      <c r="U301093" s="25"/>
    </row>
    <row r="301115" spans="21:21" x14ac:dyDescent="0.3">
      <c r="U301115" s="25"/>
    </row>
    <row r="301137" spans="21:21" x14ac:dyDescent="0.3">
      <c r="U301137" s="25"/>
    </row>
    <row r="301159" spans="21:21" x14ac:dyDescent="0.3">
      <c r="U301159" s="25"/>
    </row>
    <row r="301181" spans="21:21" x14ac:dyDescent="0.3">
      <c r="U301181" s="25"/>
    </row>
    <row r="301203" spans="21:21" x14ac:dyDescent="0.3">
      <c r="U301203" s="25"/>
    </row>
    <row r="301225" spans="21:21" x14ac:dyDescent="0.3">
      <c r="U301225" s="25"/>
    </row>
    <row r="301247" spans="21:21" x14ac:dyDescent="0.3">
      <c r="U301247" s="25"/>
    </row>
    <row r="301269" spans="21:21" x14ac:dyDescent="0.3">
      <c r="U301269" s="25"/>
    </row>
    <row r="301291" spans="21:21" x14ac:dyDescent="0.3">
      <c r="U301291" s="25"/>
    </row>
    <row r="301313" spans="21:21" x14ac:dyDescent="0.3">
      <c r="U301313" s="25"/>
    </row>
    <row r="301335" spans="21:21" x14ac:dyDescent="0.3">
      <c r="U301335" s="25"/>
    </row>
    <row r="301357" spans="21:21" x14ac:dyDescent="0.3">
      <c r="U301357" s="25"/>
    </row>
    <row r="301379" spans="21:21" x14ac:dyDescent="0.3">
      <c r="U301379" s="25"/>
    </row>
    <row r="301401" spans="21:21" x14ac:dyDescent="0.3">
      <c r="U301401" s="25"/>
    </row>
    <row r="301423" spans="21:21" x14ac:dyDescent="0.3">
      <c r="U301423" s="25"/>
    </row>
    <row r="301445" spans="21:21" x14ac:dyDescent="0.3">
      <c r="U301445" s="25"/>
    </row>
    <row r="301467" spans="21:21" x14ac:dyDescent="0.3">
      <c r="U301467" s="25"/>
    </row>
    <row r="301489" spans="21:21" x14ac:dyDescent="0.3">
      <c r="U301489" s="25"/>
    </row>
    <row r="301511" spans="21:21" x14ac:dyDescent="0.3">
      <c r="U301511" s="25"/>
    </row>
    <row r="301533" spans="21:21" x14ac:dyDescent="0.3">
      <c r="U301533" s="25"/>
    </row>
    <row r="301555" spans="21:21" x14ac:dyDescent="0.3">
      <c r="U301555" s="25"/>
    </row>
    <row r="301577" spans="21:21" x14ac:dyDescent="0.3">
      <c r="U301577" s="25"/>
    </row>
    <row r="301599" spans="21:21" x14ac:dyDescent="0.3">
      <c r="U301599" s="25"/>
    </row>
    <row r="301621" spans="21:21" x14ac:dyDescent="0.3">
      <c r="U301621" s="25"/>
    </row>
    <row r="301643" spans="21:21" x14ac:dyDescent="0.3">
      <c r="U301643" s="25"/>
    </row>
    <row r="301665" spans="21:21" x14ac:dyDescent="0.3">
      <c r="U301665" s="25"/>
    </row>
    <row r="301687" spans="21:21" x14ac:dyDescent="0.3">
      <c r="U301687" s="25"/>
    </row>
    <row r="301709" spans="21:21" x14ac:dyDescent="0.3">
      <c r="U301709" s="25"/>
    </row>
    <row r="301731" spans="21:21" x14ac:dyDescent="0.3">
      <c r="U301731" s="25"/>
    </row>
    <row r="301753" spans="21:21" x14ac:dyDescent="0.3">
      <c r="U301753" s="25"/>
    </row>
    <row r="301775" spans="21:21" x14ac:dyDescent="0.3">
      <c r="U301775" s="25"/>
    </row>
    <row r="301797" spans="21:21" x14ac:dyDescent="0.3">
      <c r="U301797" s="25"/>
    </row>
    <row r="301819" spans="21:21" x14ac:dyDescent="0.3">
      <c r="U301819" s="25"/>
    </row>
    <row r="301841" spans="21:21" x14ac:dyDescent="0.3">
      <c r="U301841" s="25"/>
    </row>
    <row r="301863" spans="21:21" x14ac:dyDescent="0.3">
      <c r="U301863" s="25"/>
    </row>
    <row r="301885" spans="21:21" x14ac:dyDescent="0.3">
      <c r="U301885" s="25"/>
    </row>
    <row r="301907" spans="21:21" x14ac:dyDescent="0.3">
      <c r="U301907" s="25"/>
    </row>
    <row r="301929" spans="21:21" x14ac:dyDescent="0.3">
      <c r="U301929" s="25"/>
    </row>
    <row r="301951" spans="21:21" x14ac:dyDescent="0.3">
      <c r="U301951" s="25"/>
    </row>
    <row r="301973" spans="21:21" x14ac:dyDescent="0.3">
      <c r="U301973" s="25"/>
    </row>
    <row r="301995" spans="21:21" x14ac:dyDescent="0.3">
      <c r="U301995" s="25"/>
    </row>
    <row r="302017" spans="21:21" x14ac:dyDescent="0.3">
      <c r="U302017" s="25"/>
    </row>
    <row r="302039" spans="21:21" x14ac:dyDescent="0.3">
      <c r="U302039" s="25"/>
    </row>
    <row r="302061" spans="21:21" x14ac:dyDescent="0.3">
      <c r="U302061" s="25"/>
    </row>
    <row r="302083" spans="21:21" x14ac:dyDescent="0.3">
      <c r="U302083" s="25"/>
    </row>
    <row r="302105" spans="21:21" x14ac:dyDescent="0.3">
      <c r="U302105" s="25"/>
    </row>
    <row r="302127" spans="21:21" x14ac:dyDescent="0.3">
      <c r="U302127" s="25"/>
    </row>
    <row r="302149" spans="21:21" x14ac:dyDescent="0.3">
      <c r="U302149" s="25"/>
    </row>
    <row r="302171" spans="21:21" x14ac:dyDescent="0.3">
      <c r="U302171" s="25"/>
    </row>
    <row r="302193" spans="21:21" x14ac:dyDescent="0.3">
      <c r="U302193" s="25"/>
    </row>
    <row r="302215" spans="21:21" x14ac:dyDescent="0.3">
      <c r="U302215" s="25"/>
    </row>
    <row r="302237" spans="21:21" x14ac:dyDescent="0.3">
      <c r="U302237" s="25"/>
    </row>
    <row r="302259" spans="21:21" x14ac:dyDescent="0.3">
      <c r="U302259" s="25"/>
    </row>
    <row r="302281" spans="21:21" x14ac:dyDescent="0.3">
      <c r="U302281" s="25"/>
    </row>
    <row r="302303" spans="21:21" x14ac:dyDescent="0.3">
      <c r="U302303" s="25"/>
    </row>
    <row r="302325" spans="21:21" x14ac:dyDescent="0.3">
      <c r="U302325" s="25"/>
    </row>
    <row r="302347" spans="21:21" x14ac:dyDescent="0.3">
      <c r="U302347" s="25"/>
    </row>
    <row r="302369" spans="21:21" x14ac:dyDescent="0.3">
      <c r="U302369" s="25"/>
    </row>
    <row r="302391" spans="21:21" x14ac:dyDescent="0.3">
      <c r="U302391" s="25"/>
    </row>
    <row r="302413" spans="21:21" x14ac:dyDescent="0.3">
      <c r="U302413" s="25"/>
    </row>
    <row r="302435" spans="21:21" x14ac:dyDescent="0.3">
      <c r="U302435" s="25"/>
    </row>
    <row r="302457" spans="21:21" x14ac:dyDescent="0.3">
      <c r="U302457" s="25"/>
    </row>
    <row r="302479" spans="21:21" x14ac:dyDescent="0.3">
      <c r="U302479" s="25"/>
    </row>
    <row r="302501" spans="21:21" x14ac:dyDescent="0.3">
      <c r="U302501" s="25"/>
    </row>
    <row r="302523" spans="21:21" x14ac:dyDescent="0.3">
      <c r="U302523" s="25"/>
    </row>
    <row r="302545" spans="21:21" x14ac:dyDescent="0.3">
      <c r="U302545" s="25"/>
    </row>
    <row r="302567" spans="21:21" x14ac:dyDescent="0.3">
      <c r="U302567" s="25"/>
    </row>
    <row r="302589" spans="21:21" x14ac:dyDescent="0.3">
      <c r="U302589" s="25"/>
    </row>
    <row r="302611" spans="21:21" x14ac:dyDescent="0.3">
      <c r="U302611" s="25"/>
    </row>
    <row r="302633" spans="21:21" x14ac:dyDescent="0.3">
      <c r="U302633" s="25"/>
    </row>
    <row r="302655" spans="21:21" x14ac:dyDescent="0.3">
      <c r="U302655" s="25"/>
    </row>
    <row r="302677" spans="21:21" x14ac:dyDescent="0.3">
      <c r="U302677" s="25"/>
    </row>
    <row r="302699" spans="21:21" x14ac:dyDescent="0.3">
      <c r="U302699" s="25"/>
    </row>
    <row r="302721" spans="21:21" x14ac:dyDescent="0.3">
      <c r="U302721" s="25"/>
    </row>
    <row r="302743" spans="21:21" x14ac:dyDescent="0.3">
      <c r="U302743" s="25"/>
    </row>
    <row r="302765" spans="21:21" x14ac:dyDescent="0.3">
      <c r="U302765" s="25"/>
    </row>
    <row r="302787" spans="21:21" x14ac:dyDescent="0.3">
      <c r="U302787" s="25"/>
    </row>
    <row r="302809" spans="21:21" x14ac:dyDescent="0.3">
      <c r="U302809" s="25"/>
    </row>
    <row r="302831" spans="21:21" x14ac:dyDescent="0.3">
      <c r="U302831" s="25"/>
    </row>
    <row r="302853" spans="21:21" x14ac:dyDescent="0.3">
      <c r="U302853" s="25"/>
    </row>
    <row r="302875" spans="21:21" x14ac:dyDescent="0.3">
      <c r="U302875" s="25"/>
    </row>
    <row r="302897" spans="21:21" x14ac:dyDescent="0.3">
      <c r="U302897" s="25"/>
    </row>
    <row r="302919" spans="21:21" x14ac:dyDescent="0.3">
      <c r="U302919" s="25"/>
    </row>
    <row r="302941" spans="21:21" x14ac:dyDescent="0.3">
      <c r="U302941" s="25"/>
    </row>
    <row r="302963" spans="21:21" x14ac:dyDescent="0.3">
      <c r="U302963" s="25"/>
    </row>
    <row r="302985" spans="21:21" x14ac:dyDescent="0.3">
      <c r="U302985" s="25"/>
    </row>
    <row r="303007" spans="21:21" x14ac:dyDescent="0.3">
      <c r="U303007" s="25"/>
    </row>
    <row r="303029" spans="21:21" x14ac:dyDescent="0.3">
      <c r="U303029" s="25"/>
    </row>
    <row r="303051" spans="21:21" x14ac:dyDescent="0.3">
      <c r="U303051" s="25"/>
    </row>
    <row r="303073" spans="21:21" x14ac:dyDescent="0.3">
      <c r="U303073" s="25"/>
    </row>
    <row r="303095" spans="21:21" x14ac:dyDescent="0.3">
      <c r="U303095" s="25"/>
    </row>
    <row r="303117" spans="21:21" x14ac:dyDescent="0.3">
      <c r="U303117" s="25"/>
    </row>
    <row r="303139" spans="21:21" x14ac:dyDescent="0.3">
      <c r="U303139" s="25"/>
    </row>
    <row r="303161" spans="21:21" x14ac:dyDescent="0.3">
      <c r="U303161" s="25"/>
    </row>
    <row r="303183" spans="21:21" x14ac:dyDescent="0.3">
      <c r="U303183" s="25"/>
    </row>
    <row r="303205" spans="21:21" x14ac:dyDescent="0.3">
      <c r="U303205" s="25"/>
    </row>
    <row r="303227" spans="21:21" x14ac:dyDescent="0.3">
      <c r="U303227" s="25"/>
    </row>
    <row r="303249" spans="21:21" x14ac:dyDescent="0.3">
      <c r="U303249" s="25"/>
    </row>
    <row r="303271" spans="21:21" x14ac:dyDescent="0.3">
      <c r="U303271" s="25"/>
    </row>
    <row r="303293" spans="21:21" x14ac:dyDescent="0.3">
      <c r="U303293" s="25"/>
    </row>
    <row r="303315" spans="21:21" x14ac:dyDescent="0.3">
      <c r="U303315" s="25"/>
    </row>
    <row r="303337" spans="21:21" x14ac:dyDescent="0.3">
      <c r="U303337" s="25"/>
    </row>
    <row r="303359" spans="21:21" x14ac:dyDescent="0.3">
      <c r="U303359" s="25"/>
    </row>
    <row r="303381" spans="21:21" x14ac:dyDescent="0.3">
      <c r="U303381" s="25"/>
    </row>
    <row r="303403" spans="21:21" x14ac:dyDescent="0.3">
      <c r="U303403" s="25"/>
    </row>
    <row r="303425" spans="21:21" x14ac:dyDescent="0.3">
      <c r="U303425" s="25"/>
    </row>
    <row r="303447" spans="21:21" x14ac:dyDescent="0.3">
      <c r="U303447" s="25"/>
    </row>
    <row r="303469" spans="21:21" x14ac:dyDescent="0.3">
      <c r="U303469" s="25"/>
    </row>
    <row r="303491" spans="21:21" x14ac:dyDescent="0.3">
      <c r="U303491" s="25"/>
    </row>
    <row r="303513" spans="21:21" x14ac:dyDescent="0.3">
      <c r="U303513" s="25"/>
    </row>
    <row r="303535" spans="21:21" x14ac:dyDescent="0.3">
      <c r="U303535" s="25"/>
    </row>
    <row r="303557" spans="21:21" x14ac:dyDescent="0.3">
      <c r="U303557" s="25"/>
    </row>
    <row r="303579" spans="21:21" x14ac:dyDescent="0.3">
      <c r="U303579" s="25"/>
    </row>
    <row r="303601" spans="21:21" x14ac:dyDescent="0.3">
      <c r="U303601" s="25"/>
    </row>
    <row r="303623" spans="21:21" x14ac:dyDescent="0.3">
      <c r="U303623" s="25"/>
    </row>
    <row r="303645" spans="21:21" x14ac:dyDescent="0.3">
      <c r="U303645" s="25"/>
    </row>
    <row r="303667" spans="21:21" x14ac:dyDescent="0.3">
      <c r="U303667" s="25"/>
    </row>
    <row r="303689" spans="21:21" x14ac:dyDescent="0.3">
      <c r="U303689" s="25"/>
    </row>
    <row r="303711" spans="21:21" x14ac:dyDescent="0.3">
      <c r="U303711" s="25"/>
    </row>
    <row r="303733" spans="21:21" x14ac:dyDescent="0.3">
      <c r="U303733" s="25"/>
    </row>
    <row r="303755" spans="21:21" x14ac:dyDescent="0.3">
      <c r="U303755" s="25"/>
    </row>
    <row r="303777" spans="21:21" x14ac:dyDescent="0.3">
      <c r="U303777" s="25"/>
    </row>
    <row r="303799" spans="21:21" x14ac:dyDescent="0.3">
      <c r="U303799" s="25"/>
    </row>
    <row r="303821" spans="21:21" x14ac:dyDescent="0.3">
      <c r="U303821" s="25"/>
    </row>
    <row r="303843" spans="21:21" x14ac:dyDescent="0.3">
      <c r="U303843" s="25"/>
    </row>
    <row r="303865" spans="21:21" x14ac:dyDescent="0.3">
      <c r="U303865" s="25"/>
    </row>
    <row r="303887" spans="21:21" x14ac:dyDescent="0.3">
      <c r="U303887" s="25"/>
    </row>
    <row r="303909" spans="21:21" x14ac:dyDescent="0.3">
      <c r="U303909" s="25"/>
    </row>
    <row r="303931" spans="21:21" x14ac:dyDescent="0.3">
      <c r="U303931" s="25"/>
    </row>
    <row r="303953" spans="21:21" x14ac:dyDescent="0.3">
      <c r="U303953" s="25"/>
    </row>
    <row r="303975" spans="21:21" x14ac:dyDescent="0.3">
      <c r="U303975" s="25"/>
    </row>
    <row r="303997" spans="21:21" x14ac:dyDescent="0.3">
      <c r="U303997" s="25"/>
    </row>
    <row r="304019" spans="21:21" x14ac:dyDescent="0.3">
      <c r="U304019" s="25"/>
    </row>
    <row r="304041" spans="21:21" x14ac:dyDescent="0.3">
      <c r="U304041" s="25"/>
    </row>
    <row r="304063" spans="21:21" x14ac:dyDescent="0.3">
      <c r="U304063" s="25"/>
    </row>
    <row r="304085" spans="21:21" x14ac:dyDescent="0.3">
      <c r="U304085" s="25"/>
    </row>
    <row r="304107" spans="21:21" x14ac:dyDescent="0.3">
      <c r="U304107" s="25"/>
    </row>
    <row r="304129" spans="21:21" x14ac:dyDescent="0.3">
      <c r="U304129" s="25"/>
    </row>
    <row r="304151" spans="21:21" x14ac:dyDescent="0.3">
      <c r="U304151" s="25"/>
    </row>
    <row r="304173" spans="21:21" x14ac:dyDescent="0.3">
      <c r="U304173" s="25"/>
    </row>
    <row r="304195" spans="21:21" x14ac:dyDescent="0.3">
      <c r="U304195" s="25"/>
    </row>
    <row r="304217" spans="21:21" x14ac:dyDescent="0.3">
      <c r="U304217" s="25"/>
    </row>
    <row r="304239" spans="21:21" x14ac:dyDescent="0.3">
      <c r="U304239" s="25"/>
    </row>
    <row r="304261" spans="21:21" x14ac:dyDescent="0.3">
      <c r="U304261" s="25"/>
    </row>
    <row r="304283" spans="21:21" x14ac:dyDescent="0.3">
      <c r="U304283" s="25"/>
    </row>
    <row r="304305" spans="21:21" x14ac:dyDescent="0.3">
      <c r="U304305" s="25"/>
    </row>
    <row r="304327" spans="21:21" x14ac:dyDescent="0.3">
      <c r="U304327" s="25"/>
    </row>
    <row r="304349" spans="21:21" x14ac:dyDescent="0.3">
      <c r="U304349" s="25"/>
    </row>
    <row r="304371" spans="21:21" x14ac:dyDescent="0.3">
      <c r="U304371" s="25"/>
    </row>
    <row r="304393" spans="21:21" x14ac:dyDescent="0.3">
      <c r="U304393" s="25"/>
    </row>
    <row r="304415" spans="21:21" x14ac:dyDescent="0.3">
      <c r="U304415" s="25"/>
    </row>
    <row r="304437" spans="21:21" x14ac:dyDescent="0.3">
      <c r="U304437" s="25"/>
    </row>
    <row r="304459" spans="21:21" x14ac:dyDescent="0.3">
      <c r="U304459" s="25"/>
    </row>
    <row r="304481" spans="21:21" x14ac:dyDescent="0.3">
      <c r="U304481" s="25"/>
    </row>
    <row r="304503" spans="21:21" x14ac:dyDescent="0.3">
      <c r="U304503" s="25"/>
    </row>
    <row r="304525" spans="21:21" x14ac:dyDescent="0.3">
      <c r="U304525" s="25"/>
    </row>
    <row r="304547" spans="21:21" x14ac:dyDescent="0.3">
      <c r="U304547" s="25"/>
    </row>
    <row r="304569" spans="21:21" x14ac:dyDescent="0.3">
      <c r="U304569" s="25"/>
    </row>
    <row r="304591" spans="21:21" x14ac:dyDescent="0.3">
      <c r="U304591" s="25"/>
    </row>
    <row r="304613" spans="21:21" x14ac:dyDescent="0.3">
      <c r="U304613" s="25"/>
    </row>
    <row r="304635" spans="21:21" x14ac:dyDescent="0.3">
      <c r="U304635" s="25"/>
    </row>
    <row r="304657" spans="21:21" x14ac:dyDescent="0.3">
      <c r="U304657" s="25"/>
    </row>
    <row r="304679" spans="21:21" x14ac:dyDescent="0.3">
      <c r="U304679" s="25"/>
    </row>
    <row r="304701" spans="21:21" x14ac:dyDescent="0.3">
      <c r="U304701" s="25"/>
    </row>
    <row r="304723" spans="21:21" x14ac:dyDescent="0.3">
      <c r="U304723" s="25"/>
    </row>
    <row r="304745" spans="21:21" x14ac:dyDescent="0.3">
      <c r="U304745" s="25"/>
    </row>
    <row r="304767" spans="21:21" x14ac:dyDescent="0.3">
      <c r="U304767" s="25"/>
    </row>
    <row r="304789" spans="21:21" x14ac:dyDescent="0.3">
      <c r="U304789" s="25"/>
    </row>
    <row r="304811" spans="21:21" x14ac:dyDescent="0.3">
      <c r="U304811" s="25"/>
    </row>
    <row r="304833" spans="21:21" x14ac:dyDescent="0.3">
      <c r="U304833" s="25"/>
    </row>
    <row r="304855" spans="21:21" x14ac:dyDescent="0.3">
      <c r="U304855" s="25"/>
    </row>
    <row r="304877" spans="21:21" x14ac:dyDescent="0.3">
      <c r="U304877" s="25"/>
    </row>
    <row r="304899" spans="21:21" x14ac:dyDescent="0.3">
      <c r="U304899" s="25"/>
    </row>
    <row r="304921" spans="21:21" x14ac:dyDescent="0.3">
      <c r="U304921" s="25"/>
    </row>
    <row r="304943" spans="21:21" x14ac:dyDescent="0.3">
      <c r="U304943" s="25"/>
    </row>
    <row r="304965" spans="21:21" x14ac:dyDescent="0.3">
      <c r="U304965" s="25"/>
    </row>
    <row r="304987" spans="21:21" x14ac:dyDescent="0.3">
      <c r="U304987" s="25"/>
    </row>
    <row r="305009" spans="21:21" x14ac:dyDescent="0.3">
      <c r="U305009" s="25"/>
    </row>
    <row r="305031" spans="21:21" x14ac:dyDescent="0.3">
      <c r="U305031" s="25"/>
    </row>
    <row r="305053" spans="21:21" x14ac:dyDescent="0.3">
      <c r="U305053" s="25"/>
    </row>
    <row r="305075" spans="21:21" x14ac:dyDescent="0.3">
      <c r="U305075" s="25"/>
    </row>
    <row r="305097" spans="21:21" x14ac:dyDescent="0.3">
      <c r="U305097" s="25"/>
    </row>
    <row r="305119" spans="21:21" x14ac:dyDescent="0.3">
      <c r="U305119" s="25"/>
    </row>
    <row r="305141" spans="21:21" x14ac:dyDescent="0.3">
      <c r="U305141" s="25"/>
    </row>
    <row r="305163" spans="21:21" x14ac:dyDescent="0.3">
      <c r="U305163" s="25"/>
    </row>
    <row r="305185" spans="21:21" x14ac:dyDescent="0.3">
      <c r="U305185" s="25"/>
    </row>
    <row r="305207" spans="21:21" x14ac:dyDescent="0.3">
      <c r="U305207" s="25"/>
    </row>
    <row r="305229" spans="21:21" x14ac:dyDescent="0.3">
      <c r="U305229" s="25"/>
    </row>
    <row r="305251" spans="21:21" x14ac:dyDescent="0.3">
      <c r="U305251" s="25"/>
    </row>
    <row r="305273" spans="21:21" x14ac:dyDescent="0.3">
      <c r="U305273" s="25"/>
    </row>
    <row r="305295" spans="21:21" x14ac:dyDescent="0.3">
      <c r="U305295" s="25"/>
    </row>
    <row r="305317" spans="21:21" x14ac:dyDescent="0.3">
      <c r="U305317" s="25"/>
    </row>
    <row r="305339" spans="21:21" x14ac:dyDescent="0.3">
      <c r="U305339" s="25"/>
    </row>
    <row r="305361" spans="21:21" x14ac:dyDescent="0.3">
      <c r="U305361" s="25"/>
    </row>
    <row r="305383" spans="21:21" x14ac:dyDescent="0.3">
      <c r="U305383" s="25"/>
    </row>
    <row r="305405" spans="21:21" x14ac:dyDescent="0.3">
      <c r="U305405" s="25"/>
    </row>
    <row r="305427" spans="21:21" x14ac:dyDescent="0.3">
      <c r="U305427" s="25"/>
    </row>
    <row r="305449" spans="21:21" x14ac:dyDescent="0.3">
      <c r="U305449" s="25"/>
    </row>
    <row r="305471" spans="21:21" x14ac:dyDescent="0.3">
      <c r="U305471" s="25"/>
    </row>
    <row r="305493" spans="21:21" x14ac:dyDescent="0.3">
      <c r="U305493" s="25"/>
    </row>
    <row r="305515" spans="21:21" x14ac:dyDescent="0.3">
      <c r="U305515" s="25"/>
    </row>
    <row r="305537" spans="21:21" x14ac:dyDescent="0.3">
      <c r="U305537" s="25"/>
    </row>
    <row r="305559" spans="21:21" x14ac:dyDescent="0.3">
      <c r="U305559" s="25"/>
    </row>
    <row r="305581" spans="21:21" x14ac:dyDescent="0.3">
      <c r="U305581" s="25"/>
    </row>
    <row r="305603" spans="21:21" x14ac:dyDescent="0.3">
      <c r="U305603" s="25"/>
    </row>
    <row r="305625" spans="21:21" x14ac:dyDescent="0.3">
      <c r="U305625" s="25"/>
    </row>
    <row r="305647" spans="21:21" x14ac:dyDescent="0.3">
      <c r="U305647" s="25"/>
    </row>
    <row r="305669" spans="21:21" x14ac:dyDescent="0.3">
      <c r="U305669" s="25"/>
    </row>
    <row r="305691" spans="21:21" x14ac:dyDescent="0.3">
      <c r="U305691" s="25"/>
    </row>
    <row r="305713" spans="21:21" x14ac:dyDescent="0.3">
      <c r="U305713" s="25"/>
    </row>
    <row r="305735" spans="21:21" x14ac:dyDescent="0.3">
      <c r="U305735" s="25"/>
    </row>
    <row r="305757" spans="21:21" x14ac:dyDescent="0.3">
      <c r="U305757" s="25"/>
    </row>
    <row r="305779" spans="21:21" x14ac:dyDescent="0.3">
      <c r="U305779" s="25"/>
    </row>
    <row r="305801" spans="21:21" x14ac:dyDescent="0.3">
      <c r="U305801" s="25"/>
    </row>
    <row r="305823" spans="21:21" x14ac:dyDescent="0.3">
      <c r="U305823" s="25"/>
    </row>
    <row r="305845" spans="21:21" x14ac:dyDescent="0.3">
      <c r="U305845" s="25"/>
    </row>
    <row r="305867" spans="21:21" x14ac:dyDescent="0.3">
      <c r="U305867" s="25"/>
    </row>
    <row r="305889" spans="21:21" x14ac:dyDescent="0.3">
      <c r="U305889" s="25"/>
    </row>
    <row r="305911" spans="21:21" x14ac:dyDescent="0.3">
      <c r="U305911" s="25"/>
    </row>
    <row r="305933" spans="21:21" x14ac:dyDescent="0.3">
      <c r="U305933" s="25"/>
    </row>
    <row r="305955" spans="21:21" x14ac:dyDescent="0.3">
      <c r="U305955" s="25"/>
    </row>
    <row r="305977" spans="21:21" x14ac:dyDescent="0.3">
      <c r="U305977" s="25"/>
    </row>
    <row r="305999" spans="21:21" x14ac:dyDescent="0.3">
      <c r="U305999" s="25"/>
    </row>
    <row r="306021" spans="21:21" x14ac:dyDescent="0.3">
      <c r="U306021" s="25"/>
    </row>
    <row r="306043" spans="21:21" x14ac:dyDescent="0.3">
      <c r="U306043" s="25"/>
    </row>
    <row r="306065" spans="21:21" x14ac:dyDescent="0.3">
      <c r="U306065" s="25"/>
    </row>
    <row r="306087" spans="21:21" x14ac:dyDescent="0.3">
      <c r="U306087" s="25"/>
    </row>
    <row r="306109" spans="21:21" x14ac:dyDescent="0.3">
      <c r="U306109" s="25"/>
    </row>
    <row r="306131" spans="21:21" x14ac:dyDescent="0.3">
      <c r="U306131" s="25"/>
    </row>
    <row r="306153" spans="21:21" x14ac:dyDescent="0.3">
      <c r="U306153" s="25"/>
    </row>
    <row r="306175" spans="21:21" x14ac:dyDescent="0.3">
      <c r="U306175" s="25"/>
    </row>
    <row r="306197" spans="21:21" x14ac:dyDescent="0.3">
      <c r="U306197" s="25"/>
    </row>
    <row r="306219" spans="21:21" x14ac:dyDescent="0.3">
      <c r="U306219" s="25"/>
    </row>
    <row r="306241" spans="21:21" x14ac:dyDescent="0.3">
      <c r="U306241" s="25"/>
    </row>
    <row r="306263" spans="21:21" x14ac:dyDescent="0.3">
      <c r="U306263" s="25"/>
    </row>
    <row r="306285" spans="21:21" x14ac:dyDescent="0.3">
      <c r="U306285" s="25"/>
    </row>
    <row r="306307" spans="21:21" x14ac:dyDescent="0.3">
      <c r="U306307" s="25"/>
    </row>
    <row r="306329" spans="21:21" x14ac:dyDescent="0.3">
      <c r="U306329" s="25"/>
    </row>
    <row r="306351" spans="21:21" x14ac:dyDescent="0.3">
      <c r="U306351" s="25"/>
    </row>
    <row r="306373" spans="21:21" x14ac:dyDescent="0.3">
      <c r="U306373" s="25"/>
    </row>
    <row r="306395" spans="21:21" x14ac:dyDescent="0.3">
      <c r="U306395" s="25"/>
    </row>
    <row r="306417" spans="21:21" x14ac:dyDescent="0.3">
      <c r="U306417" s="25"/>
    </row>
    <row r="306439" spans="21:21" x14ac:dyDescent="0.3">
      <c r="U306439" s="25"/>
    </row>
    <row r="306461" spans="21:21" x14ac:dyDescent="0.3">
      <c r="U306461" s="25"/>
    </row>
    <row r="306483" spans="21:21" x14ac:dyDescent="0.3">
      <c r="U306483" s="25"/>
    </row>
    <row r="306505" spans="21:21" x14ac:dyDescent="0.3">
      <c r="U306505" s="25"/>
    </row>
    <row r="306527" spans="21:21" x14ac:dyDescent="0.3">
      <c r="U306527" s="25"/>
    </row>
    <row r="306549" spans="21:21" x14ac:dyDescent="0.3">
      <c r="U306549" s="25"/>
    </row>
    <row r="306571" spans="21:21" x14ac:dyDescent="0.3">
      <c r="U306571" s="25"/>
    </row>
    <row r="306593" spans="21:21" x14ac:dyDescent="0.3">
      <c r="U306593" s="25"/>
    </row>
    <row r="306615" spans="21:21" x14ac:dyDescent="0.3">
      <c r="U306615" s="25"/>
    </row>
    <row r="306637" spans="21:21" x14ac:dyDescent="0.3">
      <c r="U306637" s="25"/>
    </row>
    <row r="306659" spans="21:21" x14ac:dyDescent="0.3">
      <c r="U306659" s="25"/>
    </row>
    <row r="306681" spans="21:21" x14ac:dyDescent="0.3">
      <c r="U306681" s="25"/>
    </row>
    <row r="306703" spans="21:21" x14ac:dyDescent="0.3">
      <c r="U306703" s="25"/>
    </row>
    <row r="306725" spans="21:21" x14ac:dyDescent="0.3">
      <c r="U306725" s="25"/>
    </row>
    <row r="306747" spans="21:21" x14ac:dyDescent="0.3">
      <c r="U306747" s="25"/>
    </row>
    <row r="306769" spans="21:21" x14ac:dyDescent="0.3">
      <c r="U306769" s="25"/>
    </row>
    <row r="306791" spans="21:21" x14ac:dyDescent="0.3">
      <c r="U306791" s="25"/>
    </row>
    <row r="306813" spans="21:21" x14ac:dyDescent="0.3">
      <c r="U306813" s="25"/>
    </row>
    <row r="306835" spans="21:21" x14ac:dyDescent="0.3">
      <c r="U306835" s="25"/>
    </row>
    <row r="306857" spans="21:21" x14ac:dyDescent="0.3">
      <c r="U306857" s="25"/>
    </row>
    <row r="306879" spans="21:21" x14ac:dyDescent="0.3">
      <c r="U306879" s="25"/>
    </row>
    <row r="306901" spans="21:21" x14ac:dyDescent="0.3">
      <c r="U306901" s="25"/>
    </row>
    <row r="306923" spans="21:21" x14ac:dyDescent="0.3">
      <c r="U306923" s="25"/>
    </row>
    <row r="306945" spans="21:21" x14ac:dyDescent="0.3">
      <c r="U306945" s="25"/>
    </row>
    <row r="306967" spans="21:21" x14ac:dyDescent="0.3">
      <c r="U306967" s="25"/>
    </row>
    <row r="306989" spans="21:21" x14ac:dyDescent="0.3">
      <c r="U306989" s="25"/>
    </row>
    <row r="307011" spans="21:21" x14ac:dyDescent="0.3">
      <c r="U307011" s="25"/>
    </row>
    <row r="307033" spans="21:21" x14ac:dyDescent="0.3">
      <c r="U307033" s="25"/>
    </row>
    <row r="307055" spans="21:21" x14ac:dyDescent="0.3">
      <c r="U307055" s="25"/>
    </row>
    <row r="307077" spans="21:21" x14ac:dyDescent="0.3">
      <c r="U307077" s="25"/>
    </row>
    <row r="307099" spans="21:21" x14ac:dyDescent="0.3">
      <c r="U307099" s="25"/>
    </row>
    <row r="307121" spans="21:21" x14ac:dyDescent="0.3">
      <c r="U307121" s="25"/>
    </row>
    <row r="307143" spans="21:21" x14ac:dyDescent="0.3">
      <c r="U307143" s="25"/>
    </row>
    <row r="307165" spans="21:21" x14ac:dyDescent="0.3">
      <c r="U307165" s="25"/>
    </row>
    <row r="307187" spans="21:21" x14ac:dyDescent="0.3">
      <c r="U307187" s="25"/>
    </row>
    <row r="307209" spans="21:21" x14ac:dyDescent="0.3">
      <c r="U307209" s="25"/>
    </row>
    <row r="307231" spans="21:21" x14ac:dyDescent="0.3">
      <c r="U307231" s="25"/>
    </row>
    <row r="307253" spans="21:21" x14ac:dyDescent="0.3">
      <c r="U307253" s="25"/>
    </row>
    <row r="307275" spans="21:21" x14ac:dyDescent="0.3">
      <c r="U307275" s="25"/>
    </row>
    <row r="307297" spans="21:21" x14ac:dyDescent="0.3">
      <c r="U307297" s="25"/>
    </row>
    <row r="307319" spans="21:21" x14ac:dyDescent="0.3">
      <c r="U307319" s="25"/>
    </row>
    <row r="307341" spans="21:21" x14ac:dyDescent="0.3">
      <c r="U307341" s="25"/>
    </row>
    <row r="307363" spans="21:21" x14ac:dyDescent="0.3">
      <c r="U307363" s="25"/>
    </row>
    <row r="307385" spans="21:21" x14ac:dyDescent="0.3">
      <c r="U307385" s="25"/>
    </row>
    <row r="307407" spans="21:21" x14ac:dyDescent="0.3">
      <c r="U307407" s="25"/>
    </row>
    <row r="307429" spans="21:21" x14ac:dyDescent="0.3">
      <c r="U307429" s="25"/>
    </row>
    <row r="307451" spans="21:21" x14ac:dyDescent="0.3">
      <c r="U307451" s="25"/>
    </row>
    <row r="307473" spans="21:21" x14ac:dyDescent="0.3">
      <c r="U307473" s="25"/>
    </row>
    <row r="307495" spans="21:21" x14ac:dyDescent="0.3">
      <c r="U307495" s="25"/>
    </row>
    <row r="307517" spans="21:21" x14ac:dyDescent="0.3">
      <c r="U307517" s="25"/>
    </row>
    <row r="307539" spans="21:21" x14ac:dyDescent="0.3">
      <c r="U307539" s="25"/>
    </row>
    <row r="307561" spans="21:21" x14ac:dyDescent="0.3">
      <c r="U307561" s="25"/>
    </row>
    <row r="307583" spans="21:21" x14ac:dyDescent="0.3">
      <c r="U307583" s="25"/>
    </row>
    <row r="307605" spans="21:21" x14ac:dyDescent="0.3">
      <c r="U307605" s="25"/>
    </row>
    <row r="307627" spans="21:21" x14ac:dyDescent="0.3">
      <c r="U307627" s="25"/>
    </row>
    <row r="307649" spans="21:21" x14ac:dyDescent="0.3">
      <c r="U307649" s="25"/>
    </row>
    <row r="307671" spans="21:21" x14ac:dyDescent="0.3">
      <c r="U307671" s="25"/>
    </row>
    <row r="307693" spans="21:21" x14ac:dyDescent="0.3">
      <c r="U307693" s="25"/>
    </row>
    <row r="307715" spans="21:21" x14ac:dyDescent="0.3">
      <c r="U307715" s="25"/>
    </row>
    <row r="307737" spans="21:21" x14ac:dyDescent="0.3">
      <c r="U307737" s="25"/>
    </row>
    <row r="307759" spans="21:21" x14ac:dyDescent="0.3">
      <c r="U307759" s="25"/>
    </row>
    <row r="307781" spans="21:21" x14ac:dyDescent="0.3">
      <c r="U307781" s="25"/>
    </row>
    <row r="307803" spans="21:21" x14ac:dyDescent="0.3">
      <c r="U307803" s="25"/>
    </row>
    <row r="307825" spans="21:21" x14ac:dyDescent="0.3">
      <c r="U307825" s="25"/>
    </row>
    <row r="307847" spans="21:21" x14ac:dyDescent="0.3">
      <c r="U307847" s="25"/>
    </row>
    <row r="307869" spans="21:21" x14ac:dyDescent="0.3">
      <c r="U307869" s="25"/>
    </row>
    <row r="307891" spans="21:21" x14ac:dyDescent="0.3">
      <c r="U307891" s="25"/>
    </row>
    <row r="307913" spans="21:21" x14ac:dyDescent="0.3">
      <c r="U307913" s="25"/>
    </row>
    <row r="307935" spans="21:21" x14ac:dyDescent="0.3">
      <c r="U307935" s="25"/>
    </row>
    <row r="307957" spans="21:21" x14ac:dyDescent="0.3">
      <c r="U307957" s="25"/>
    </row>
    <row r="307979" spans="21:21" x14ac:dyDescent="0.3">
      <c r="U307979" s="25"/>
    </row>
    <row r="308001" spans="21:21" x14ac:dyDescent="0.3">
      <c r="U308001" s="25"/>
    </row>
    <row r="308023" spans="21:21" x14ac:dyDescent="0.3">
      <c r="U308023" s="25"/>
    </row>
    <row r="308045" spans="21:21" x14ac:dyDescent="0.3">
      <c r="U308045" s="25"/>
    </row>
    <row r="308067" spans="21:21" x14ac:dyDescent="0.3">
      <c r="U308067" s="25"/>
    </row>
    <row r="308089" spans="21:21" x14ac:dyDescent="0.3">
      <c r="U308089" s="25"/>
    </row>
    <row r="308111" spans="21:21" x14ac:dyDescent="0.3">
      <c r="U308111" s="25"/>
    </row>
    <row r="308133" spans="21:21" x14ac:dyDescent="0.3">
      <c r="U308133" s="25"/>
    </row>
    <row r="308155" spans="21:21" x14ac:dyDescent="0.3">
      <c r="U308155" s="25"/>
    </row>
    <row r="308177" spans="21:21" x14ac:dyDescent="0.3">
      <c r="U308177" s="25"/>
    </row>
    <row r="308199" spans="21:21" x14ac:dyDescent="0.3">
      <c r="U308199" s="25"/>
    </row>
    <row r="308221" spans="21:21" x14ac:dyDescent="0.3">
      <c r="U308221" s="25"/>
    </row>
    <row r="308243" spans="21:21" x14ac:dyDescent="0.3">
      <c r="U308243" s="25"/>
    </row>
    <row r="308265" spans="21:21" x14ac:dyDescent="0.3">
      <c r="U308265" s="25"/>
    </row>
    <row r="308287" spans="21:21" x14ac:dyDescent="0.3">
      <c r="U308287" s="25"/>
    </row>
    <row r="308309" spans="21:21" x14ac:dyDescent="0.3">
      <c r="U308309" s="25"/>
    </row>
    <row r="308331" spans="21:21" x14ac:dyDescent="0.3">
      <c r="U308331" s="25"/>
    </row>
    <row r="308353" spans="21:21" x14ac:dyDescent="0.3">
      <c r="U308353" s="25"/>
    </row>
    <row r="308375" spans="21:21" x14ac:dyDescent="0.3">
      <c r="U308375" s="25"/>
    </row>
    <row r="308397" spans="21:21" x14ac:dyDescent="0.3">
      <c r="U308397" s="25"/>
    </row>
    <row r="308419" spans="21:21" x14ac:dyDescent="0.3">
      <c r="U308419" s="25"/>
    </row>
    <row r="308441" spans="21:21" x14ac:dyDescent="0.3">
      <c r="U308441" s="25"/>
    </row>
    <row r="308463" spans="21:21" x14ac:dyDescent="0.3">
      <c r="U308463" s="25"/>
    </row>
    <row r="308485" spans="21:21" x14ac:dyDescent="0.3">
      <c r="U308485" s="25"/>
    </row>
    <row r="308507" spans="21:21" x14ac:dyDescent="0.3">
      <c r="U308507" s="25"/>
    </row>
    <row r="308529" spans="21:21" x14ac:dyDescent="0.3">
      <c r="U308529" s="25"/>
    </row>
    <row r="308551" spans="21:21" x14ac:dyDescent="0.3">
      <c r="U308551" s="25"/>
    </row>
    <row r="308573" spans="21:21" x14ac:dyDescent="0.3">
      <c r="U308573" s="25"/>
    </row>
    <row r="308595" spans="21:21" x14ac:dyDescent="0.3">
      <c r="U308595" s="25"/>
    </row>
    <row r="308617" spans="21:21" x14ac:dyDescent="0.3">
      <c r="U308617" s="25"/>
    </row>
    <row r="308639" spans="21:21" x14ac:dyDescent="0.3">
      <c r="U308639" s="25"/>
    </row>
    <row r="308661" spans="21:21" x14ac:dyDescent="0.3">
      <c r="U308661" s="25"/>
    </row>
    <row r="308683" spans="21:21" x14ac:dyDescent="0.3">
      <c r="U308683" s="25"/>
    </row>
    <row r="308705" spans="21:21" x14ac:dyDescent="0.3">
      <c r="U308705" s="25"/>
    </row>
    <row r="308727" spans="21:21" x14ac:dyDescent="0.3">
      <c r="U308727" s="25"/>
    </row>
    <row r="308749" spans="21:21" x14ac:dyDescent="0.3">
      <c r="U308749" s="25"/>
    </row>
    <row r="308771" spans="21:21" x14ac:dyDescent="0.3">
      <c r="U308771" s="25"/>
    </row>
    <row r="308793" spans="21:21" x14ac:dyDescent="0.3">
      <c r="U308793" s="25"/>
    </row>
    <row r="308815" spans="21:21" x14ac:dyDescent="0.3">
      <c r="U308815" s="25"/>
    </row>
    <row r="308837" spans="21:21" x14ac:dyDescent="0.3">
      <c r="U308837" s="25"/>
    </row>
    <row r="308859" spans="21:21" x14ac:dyDescent="0.3">
      <c r="U308859" s="25"/>
    </row>
    <row r="308881" spans="21:21" x14ac:dyDescent="0.3">
      <c r="U308881" s="25"/>
    </row>
    <row r="308903" spans="21:21" x14ac:dyDescent="0.3">
      <c r="U308903" s="25"/>
    </row>
    <row r="308925" spans="21:21" x14ac:dyDescent="0.3">
      <c r="U308925" s="25"/>
    </row>
    <row r="308947" spans="21:21" x14ac:dyDescent="0.3">
      <c r="U308947" s="25"/>
    </row>
    <row r="308969" spans="21:21" x14ac:dyDescent="0.3">
      <c r="U308969" s="25"/>
    </row>
    <row r="308991" spans="21:21" x14ac:dyDescent="0.3">
      <c r="U308991" s="25"/>
    </row>
    <row r="309013" spans="21:21" x14ac:dyDescent="0.3">
      <c r="U309013" s="25"/>
    </row>
    <row r="309035" spans="21:21" x14ac:dyDescent="0.3">
      <c r="U309035" s="25"/>
    </row>
    <row r="309057" spans="21:21" x14ac:dyDescent="0.3">
      <c r="U309057" s="25"/>
    </row>
    <row r="309079" spans="21:21" x14ac:dyDescent="0.3">
      <c r="U309079" s="25"/>
    </row>
    <row r="309101" spans="21:21" x14ac:dyDescent="0.3">
      <c r="U309101" s="25"/>
    </row>
    <row r="309123" spans="21:21" x14ac:dyDescent="0.3">
      <c r="U309123" s="25"/>
    </row>
    <row r="309145" spans="21:21" x14ac:dyDescent="0.3">
      <c r="U309145" s="25"/>
    </row>
    <row r="309167" spans="21:21" x14ac:dyDescent="0.3">
      <c r="U309167" s="25"/>
    </row>
    <row r="309189" spans="21:21" x14ac:dyDescent="0.3">
      <c r="U309189" s="25"/>
    </row>
    <row r="309211" spans="21:21" x14ac:dyDescent="0.3">
      <c r="U309211" s="25"/>
    </row>
    <row r="309233" spans="21:21" x14ac:dyDescent="0.3">
      <c r="U309233" s="25"/>
    </row>
    <row r="309255" spans="21:21" x14ac:dyDescent="0.3">
      <c r="U309255" s="25"/>
    </row>
    <row r="309277" spans="21:21" x14ac:dyDescent="0.3">
      <c r="U309277" s="25"/>
    </row>
    <row r="309299" spans="21:21" x14ac:dyDescent="0.3">
      <c r="U309299" s="25"/>
    </row>
    <row r="309321" spans="21:21" x14ac:dyDescent="0.3">
      <c r="U309321" s="25"/>
    </row>
    <row r="309343" spans="21:21" x14ac:dyDescent="0.3">
      <c r="U309343" s="25"/>
    </row>
    <row r="309365" spans="21:21" x14ac:dyDescent="0.3">
      <c r="U309365" s="25"/>
    </row>
    <row r="309387" spans="21:21" x14ac:dyDescent="0.3">
      <c r="U309387" s="25"/>
    </row>
    <row r="309409" spans="21:21" x14ac:dyDescent="0.3">
      <c r="U309409" s="25"/>
    </row>
    <row r="309431" spans="21:21" x14ac:dyDescent="0.3">
      <c r="U309431" s="25"/>
    </row>
    <row r="309453" spans="21:21" x14ac:dyDescent="0.3">
      <c r="U309453" s="25"/>
    </row>
    <row r="309475" spans="21:21" x14ac:dyDescent="0.3">
      <c r="U309475" s="25"/>
    </row>
    <row r="309497" spans="21:21" x14ac:dyDescent="0.3">
      <c r="U309497" s="25"/>
    </row>
    <row r="309519" spans="21:21" x14ac:dyDescent="0.3">
      <c r="U309519" s="25"/>
    </row>
    <row r="309541" spans="21:21" x14ac:dyDescent="0.3">
      <c r="U309541" s="25"/>
    </row>
    <row r="309563" spans="21:21" x14ac:dyDescent="0.3">
      <c r="U309563" s="25"/>
    </row>
    <row r="309585" spans="21:21" x14ac:dyDescent="0.3">
      <c r="U309585" s="25"/>
    </row>
    <row r="309607" spans="21:21" x14ac:dyDescent="0.3">
      <c r="U309607" s="25"/>
    </row>
    <row r="309629" spans="21:21" x14ac:dyDescent="0.3">
      <c r="U309629" s="25"/>
    </row>
    <row r="309651" spans="21:21" x14ac:dyDescent="0.3">
      <c r="U309651" s="25"/>
    </row>
    <row r="309673" spans="21:21" x14ac:dyDescent="0.3">
      <c r="U309673" s="25"/>
    </row>
    <row r="309695" spans="21:21" x14ac:dyDescent="0.3">
      <c r="U309695" s="25"/>
    </row>
    <row r="309717" spans="21:21" x14ac:dyDescent="0.3">
      <c r="U309717" s="25"/>
    </row>
    <row r="309739" spans="21:21" x14ac:dyDescent="0.3">
      <c r="U309739" s="25"/>
    </row>
    <row r="309761" spans="21:21" x14ac:dyDescent="0.3">
      <c r="U309761" s="25"/>
    </row>
    <row r="309783" spans="21:21" x14ac:dyDescent="0.3">
      <c r="U309783" s="25"/>
    </row>
    <row r="309805" spans="21:21" x14ac:dyDescent="0.3">
      <c r="U309805" s="25"/>
    </row>
    <row r="309827" spans="21:21" x14ac:dyDescent="0.3">
      <c r="U309827" s="25"/>
    </row>
    <row r="309849" spans="21:21" x14ac:dyDescent="0.3">
      <c r="U309849" s="25"/>
    </row>
    <row r="309871" spans="21:21" x14ac:dyDescent="0.3">
      <c r="U309871" s="25"/>
    </row>
    <row r="309893" spans="21:21" x14ac:dyDescent="0.3">
      <c r="U309893" s="25"/>
    </row>
    <row r="309915" spans="21:21" x14ac:dyDescent="0.3">
      <c r="U309915" s="25"/>
    </row>
    <row r="309937" spans="21:21" x14ac:dyDescent="0.3">
      <c r="U309937" s="25"/>
    </row>
    <row r="309959" spans="21:21" x14ac:dyDescent="0.3">
      <c r="U309959" s="25"/>
    </row>
    <row r="309981" spans="21:21" x14ac:dyDescent="0.3">
      <c r="U309981" s="25"/>
    </row>
    <row r="310003" spans="21:21" x14ac:dyDescent="0.3">
      <c r="U310003" s="25"/>
    </row>
    <row r="310025" spans="21:21" x14ac:dyDescent="0.3">
      <c r="U310025" s="25"/>
    </row>
    <row r="310047" spans="21:21" x14ac:dyDescent="0.3">
      <c r="U310047" s="25"/>
    </row>
    <row r="310069" spans="21:21" x14ac:dyDescent="0.3">
      <c r="U310069" s="25"/>
    </row>
    <row r="310091" spans="21:21" x14ac:dyDescent="0.3">
      <c r="U310091" s="25"/>
    </row>
    <row r="310113" spans="21:21" x14ac:dyDescent="0.3">
      <c r="U310113" s="25"/>
    </row>
    <row r="310135" spans="21:21" x14ac:dyDescent="0.3">
      <c r="U310135" s="25"/>
    </row>
    <row r="310157" spans="21:21" x14ac:dyDescent="0.3">
      <c r="U310157" s="25"/>
    </row>
    <row r="310179" spans="21:21" x14ac:dyDescent="0.3">
      <c r="U310179" s="25"/>
    </row>
    <row r="310201" spans="21:21" x14ac:dyDescent="0.3">
      <c r="U310201" s="25"/>
    </row>
    <row r="310223" spans="21:21" x14ac:dyDescent="0.3">
      <c r="U310223" s="25"/>
    </row>
    <row r="310245" spans="21:21" x14ac:dyDescent="0.3">
      <c r="U310245" s="25"/>
    </row>
    <row r="310267" spans="21:21" x14ac:dyDescent="0.3">
      <c r="U310267" s="25"/>
    </row>
    <row r="310289" spans="21:21" x14ac:dyDescent="0.3">
      <c r="U310289" s="25"/>
    </row>
    <row r="310311" spans="21:21" x14ac:dyDescent="0.3">
      <c r="U310311" s="25"/>
    </row>
    <row r="310333" spans="21:21" x14ac:dyDescent="0.3">
      <c r="U310333" s="25"/>
    </row>
    <row r="310355" spans="21:21" x14ac:dyDescent="0.3">
      <c r="U310355" s="25"/>
    </row>
    <row r="310377" spans="21:21" x14ac:dyDescent="0.3">
      <c r="U310377" s="25"/>
    </row>
    <row r="310399" spans="21:21" x14ac:dyDescent="0.3">
      <c r="U310399" s="25"/>
    </row>
    <row r="310421" spans="21:21" x14ac:dyDescent="0.3">
      <c r="U310421" s="25"/>
    </row>
    <row r="310443" spans="21:21" x14ac:dyDescent="0.3">
      <c r="U310443" s="25"/>
    </row>
    <row r="310465" spans="21:21" x14ac:dyDescent="0.3">
      <c r="U310465" s="25"/>
    </row>
    <row r="310487" spans="21:21" x14ac:dyDescent="0.3">
      <c r="U310487" s="25"/>
    </row>
    <row r="310509" spans="21:21" x14ac:dyDescent="0.3">
      <c r="U310509" s="25"/>
    </row>
    <row r="310531" spans="21:21" x14ac:dyDescent="0.3">
      <c r="U310531" s="25"/>
    </row>
    <row r="310553" spans="21:21" x14ac:dyDescent="0.3">
      <c r="U310553" s="25"/>
    </row>
    <row r="310575" spans="21:21" x14ac:dyDescent="0.3">
      <c r="U310575" s="25"/>
    </row>
    <row r="310597" spans="21:21" x14ac:dyDescent="0.3">
      <c r="U310597" s="25"/>
    </row>
    <row r="310619" spans="21:21" x14ac:dyDescent="0.3">
      <c r="U310619" s="25"/>
    </row>
    <row r="310641" spans="21:21" x14ac:dyDescent="0.3">
      <c r="U310641" s="25"/>
    </row>
    <row r="310663" spans="21:21" x14ac:dyDescent="0.3">
      <c r="U310663" s="25"/>
    </row>
    <row r="310685" spans="21:21" x14ac:dyDescent="0.3">
      <c r="U310685" s="25"/>
    </row>
    <row r="310707" spans="21:21" x14ac:dyDescent="0.3">
      <c r="U310707" s="25"/>
    </row>
    <row r="310729" spans="21:21" x14ac:dyDescent="0.3">
      <c r="U310729" s="25"/>
    </row>
    <row r="310751" spans="21:21" x14ac:dyDescent="0.3">
      <c r="U310751" s="25"/>
    </row>
    <row r="310773" spans="21:21" x14ac:dyDescent="0.3">
      <c r="U310773" s="25"/>
    </row>
    <row r="310795" spans="21:21" x14ac:dyDescent="0.3">
      <c r="U310795" s="25"/>
    </row>
    <row r="310817" spans="21:21" x14ac:dyDescent="0.3">
      <c r="U310817" s="25"/>
    </row>
    <row r="310839" spans="21:21" x14ac:dyDescent="0.3">
      <c r="U310839" s="25"/>
    </row>
    <row r="310861" spans="21:21" x14ac:dyDescent="0.3">
      <c r="U310861" s="25"/>
    </row>
    <row r="310883" spans="21:21" x14ac:dyDescent="0.3">
      <c r="U310883" s="25"/>
    </row>
    <row r="310905" spans="21:21" x14ac:dyDescent="0.3">
      <c r="U310905" s="25"/>
    </row>
    <row r="310927" spans="21:21" x14ac:dyDescent="0.3">
      <c r="U310927" s="25"/>
    </row>
    <row r="310949" spans="21:21" x14ac:dyDescent="0.3">
      <c r="U310949" s="25"/>
    </row>
    <row r="310971" spans="21:21" x14ac:dyDescent="0.3">
      <c r="U310971" s="25"/>
    </row>
    <row r="310993" spans="21:21" x14ac:dyDescent="0.3">
      <c r="U310993" s="25"/>
    </row>
    <row r="311015" spans="21:21" x14ac:dyDescent="0.3">
      <c r="U311015" s="25"/>
    </row>
    <row r="311037" spans="21:21" x14ac:dyDescent="0.3">
      <c r="U311037" s="25"/>
    </row>
    <row r="311059" spans="21:21" x14ac:dyDescent="0.3">
      <c r="U311059" s="25"/>
    </row>
    <row r="311081" spans="21:21" x14ac:dyDescent="0.3">
      <c r="U311081" s="25"/>
    </row>
    <row r="311103" spans="21:21" x14ac:dyDescent="0.3">
      <c r="U311103" s="25"/>
    </row>
    <row r="311125" spans="21:21" x14ac:dyDescent="0.3">
      <c r="U311125" s="25"/>
    </row>
    <row r="311147" spans="21:21" x14ac:dyDescent="0.3">
      <c r="U311147" s="25"/>
    </row>
    <row r="311169" spans="21:21" x14ac:dyDescent="0.3">
      <c r="U311169" s="25"/>
    </row>
    <row r="311191" spans="21:21" x14ac:dyDescent="0.3">
      <c r="U311191" s="25"/>
    </row>
    <row r="311213" spans="21:21" x14ac:dyDescent="0.3">
      <c r="U311213" s="25"/>
    </row>
    <row r="311235" spans="21:21" x14ac:dyDescent="0.3">
      <c r="U311235" s="25"/>
    </row>
    <row r="311257" spans="21:21" x14ac:dyDescent="0.3">
      <c r="U311257" s="25"/>
    </row>
    <row r="311279" spans="21:21" x14ac:dyDescent="0.3">
      <c r="U311279" s="25"/>
    </row>
    <row r="311301" spans="21:21" x14ac:dyDescent="0.3">
      <c r="U311301" s="25"/>
    </row>
    <row r="311323" spans="21:21" x14ac:dyDescent="0.3">
      <c r="U311323" s="25"/>
    </row>
    <row r="311345" spans="21:21" x14ac:dyDescent="0.3">
      <c r="U311345" s="25"/>
    </row>
    <row r="311367" spans="21:21" x14ac:dyDescent="0.3">
      <c r="U311367" s="25"/>
    </row>
    <row r="311389" spans="21:21" x14ac:dyDescent="0.3">
      <c r="U311389" s="25"/>
    </row>
    <row r="311411" spans="21:21" x14ac:dyDescent="0.3">
      <c r="U311411" s="25"/>
    </row>
    <row r="311433" spans="21:21" x14ac:dyDescent="0.3">
      <c r="U311433" s="25"/>
    </row>
    <row r="311455" spans="21:21" x14ac:dyDescent="0.3">
      <c r="U311455" s="25"/>
    </row>
    <row r="311477" spans="21:21" x14ac:dyDescent="0.3">
      <c r="U311477" s="25"/>
    </row>
    <row r="311499" spans="21:21" x14ac:dyDescent="0.3">
      <c r="U311499" s="25"/>
    </row>
    <row r="311521" spans="21:21" x14ac:dyDescent="0.3">
      <c r="U311521" s="25"/>
    </row>
    <row r="311543" spans="21:21" x14ac:dyDescent="0.3">
      <c r="U311543" s="25"/>
    </row>
    <row r="311565" spans="21:21" x14ac:dyDescent="0.3">
      <c r="U311565" s="25"/>
    </row>
    <row r="311587" spans="21:21" x14ac:dyDescent="0.3">
      <c r="U311587" s="25"/>
    </row>
    <row r="311609" spans="21:21" x14ac:dyDescent="0.3">
      <c r="U311609" s="25"/>
    </row>
    <row r="311631" spans="21:21" x14ac:dyDescent="0.3">
      <c r="U311631" s="25"/>
    </row>
    <row r="311653" spans="21:21" x14ac:dyDescent="0.3">
      <c r="U311653" s="25"/>
    </row>
    <row r="311675" spans="21:21" x14ac:dyDescent="0.3">
      <c r="U311675" s="25"/>
    </row>
    <row r="311697" spans="21:21" x14ac:dyDescent="0.3">
      <c r="U311697" s="25"/>
    </row>
    <row r="311719" spans="21:21" x14ac:dyDescent="0.3">
      <c r="U311719" s="25"/>
    </row>
    <row r="311741" spans="21:21" x14ac:dyDescent="0.3">
      <c r="U311741" s="25"/>
    </row>
    <row r="311763" spans="21:21" x14ac:dyDescent="0.3">
      <c r="U311763" s="25"/>
    </row>
    <row r="311785" spans="21:21" x14ac:dyDescent="0.3">
      <c r="U311785" s="25"/>
    </row>
    <row r="311807" spans="21:21" x14ac:dyDescent="0.3">
      <c r="U311807" s="25"/>
    </row>
    <row r="311829" spans="21:21" x14ac:dyDescent="0.3">
      <c r="U311829" s="25"/>
    </row>
    <row r="311851" spans="21:21" x14ac:dyDescent="0.3">
      <c r="U311851" s="25"/>
    </row>
    <row r="311873" spans="21:21" x14ac:dyDescent="0.3">
      <c r="U311873" s="25"/>
    </row>
    <row r="311895" spans="21:21" x14ac:dyDescent="0.3">
      <c r="U311895" s="25"/>
    </row>
    <row r="311917" spans="21:21" x14ac:dyDescent="0.3">
      <c r="U311917" s="25"/>
    </row>
    <row r="311939" spans="21:21" x14ac:dyDescent="0.3">
      <c r="U311939" s="25"/>
    </row>
    <row r="311961" spans="21:21" x14ac:dyDescent="0.3">
      <c r="U311961" s="25"/>
    </row>
    <row r="311983" spans="21:21" x14ac:dyDescent="0.3">
      <c r="U311983" s="25"/>
    </row>
    <row r="312005" spans="21:21" x14ac:dyDescent="0.3">
      <c r="U312005" s="25"/>
    </row>
    <row r="312027" spans="21:21" x14ac:dyDescent="0.3">
      <c r="U312027" s="25"/>
    </row>
    <row r="312049" spans="21:21" x14ac:dyDescent="0.3">
      <c r="U312049" s="25"/>
    </row>
    <row r="312071" spans="21:21" x14ac:dyDescent="0.3">
      <c r="U312071" s="25"/>
    </row>
    <row r="312093" spans="21:21" x14ac:dyDescent="0.3">
      <c r="U312093" s="25"/>
    </row>
    <row r="312115" spans="21:21" x14ac:dyDescent="0.3">
      <c r="U312115" s="25"/>
    </row>
    <row r="312137" spans="21:21" x14ac:dyDescent="0.3">
      <c r="U312137" s="25"/>
    </row>
    <row r="312159" spans="21:21" x14ac:dyDescent="0.3">
      <c r="U312159" s="25"/>
    </row>
    <row r="312181" spans="21:21" x14ac:dyDescent="0.3">
      <c r="U312181" s="25"/>
    </row>
    <row r="312203" spans="21:21" x14ac:dyDescent="0.3">
      <c r="U312203" s="25"/>
    </row>
    <row r="312225" spans="21:21" x14ac:dyDescent="0.3">
      <c r="U312225" s="25"/>
    </row>
    <row r="312247" spans="21:21" x14ac:dyDescent="0.3">
      <c r="U312247" s="25"/>
    </row>
    <row r="312269" spans="21:21" x14ac:dyDescent="0.3">
      <c r="U312269" s="25"/>
    </row>
    <row r="312291" spans="21:21" x14ac:dyDescent="0.3">
      <c r="U312291" s="25"/>
    </row>
    <row r="312313" spans="21:21" x14ac:dyDescent="0.3">
      <c r="U312313" s="25"/>
    </row>
    <row r="312335" spans="21:21" x14ac:dyDescent="0.3">
      <c r="U312335" s="25"/>
    </row>
    <row r="312357" spans="21:21" x14ac:dyDescent="0.3">
      <c r="U312357" s="25"/>
    </row>
    <row r="312379" spans="21:21" x14ac:dyDescent="0.3">
      <c r="U312379" s="25"/>
    </row>
    <row r="312401" spans="21:21" x14ac:dyDescent="0.3">
      <c r="U312401" s="25"/>
    </row>
    <row r="312423" spans="21:21" x14ac:dyDescent="0.3">
      <c r="U312423" s="25"/>
    </row>
    <row r="312445" spans="21:21" x14ac:dyDescent="0.3">
      <c r="U312445" s="25"/>
    </row>
    <row r="312467" spans="21:21" x14ac:dyDescent="0.3">
      <c r="U312467" s="25"/>
    </row>
    <row r="312489" spans="21:21" x14ac:dyDescent="0.3">
      <c r="U312489" s="25"/>
    </row>
    <row r="312511" spans="21:21" x14ac:dyDescent="0.3">
      <c r="U312511" s="25"/>
    </row>
    <row r="312533" spans="21:21" x14ac:dyDescent="0.3">
      <c r="U312533" s="25"/>
    </row>
    <row r="312555" spans="21:21" x14ac:dyDescent="0.3">
      <c r="U312555" s="25"/>
    </row>
    <row r="312577" spans="21:21" x14ac:dyDescent="0.3">
      <c r="U312577" s="25"/>
    </row>
    <row r="312599" spans="21:21" x14ac:dyDescent="0.3">
      <c r="U312599" s="25"/>
    </row>
    <row r="312621" spans="21:21" x14ac:dyDescent="0.3">
      <c r="U312621" s="25"/>
    </row>
    <row r="312643" spans="21:21" x14ac:dyDescent="0.3">
      <c r="U312643" s="25"/>
    </row>
    <row r="312665" spans="21:21" x14ac:dyDescent="0.3">
      <c r="U312665" s="25"/>
    </row>
    <row r="312687" spans="21:21" x14ac:dyDescent="0.3">
      <c r="U312687" s="25"/>
    </row>
    <row r="312709" spans="21:21" x14ac:dyDescent="0.3">
      <c r="U312709" s="25"/>
    </row>
    <row r="312731" spans="21:21" x14ac:dyDescent="0.3">
      <c r="U312731" s="25"/>
    </row>
    <row r="312753" spans="21:21" x14ac:dyDescent="0.3">
      <c r="U312753" s="25"/>
    </row>
    <row r="312775" spans="21:21" x14ac:dyDescent="0.3">
      <c r="U312775" s="25"/>
    </row>
    <row r="312797" spans="21:21" x14ac:dyDescent="0.3">
      <c r="U312797" s="25"/>
    </row>
    <row r="312819" spans="21:21" x14ac:dyDescent="0.3">
      <c r="U312819" s="25"/>
    </row>
    <row r="312841" spans="21:21" x14ac:dyDescent="0.3">
      <c r="U312841" s="25"/>
    </row>
    <row r="312863" spans="21:21" x14ac:dyDescent="0.3">
      <c r="U312863" s="25"/>
    </row>
    <row r="312885" spans="21:21" x14ac:dyDescent="0.3">
      <c r="U312885" s="25"/>
    </row>
    <row r="312907" spans="21:21" x14ac:dyDescent="0.3">
      <c r="U312907" s="25"/>
    </row>
    <row r="312929" spans="21:21" x14ac:dyDescent="0.3">
      <c r="U312929" s="25"/>
    </row>
    <row r="312951" spans="21:21" x14ac:dyDescent="0.3">
      <c r="U312951" s="25"/>
    </row>
    <row r="312973" spans="21:21" x14ac:dyDescent="0.3">
      <c r="U312973" s="25"/>
    </row>
    <row r="312995" spans="21:21" x14ac:dyDescent="0.3">
      <c r="U312995" s="25"/>
    </row>
    <row r="313017" spans="21:21" x14ac:dyDescent="0.3">
      <c r="U313017" s="25"/>
    </row>
    <row r="313039" spans="21:21" x14ac:dyDescent="0.3">
      <c r="U313039" s="25"/>
    </row>
    <row r="313061" spans="21:21" x14ac:dyDescent="0.3">
      <c r="U313061" s="25"/>
    </row>
    <row r="313083" spans="21:21" x14ac:dyDescent="0.3">
      <c r="U313083" s="25"/>
    </row>
    <row r="313105" spans="21:21" x14ac:dyDescent="0.3">
      <c r="U313105" s="25"/>
    </row>
    <row r="313127" spans="21:21" x14ac:dyDescent="0.3">
      <c r="U313127" s="25"/>
    </row>
    <row r="313149" spans="21:21" x14ac:dyDescent="0.3">
      <c r="U313149" s="25"/>
    </row>
    <row r="313171" spans="21:21" x14ac:dyDescent="0.3">
      <c r="U313171" s="25"/>
    </row>
    <row r="313193" spans="21:21" x14ac:dyDescent="0.3">
      <c r="U313193" s="25"/>
    </row>
    <row r="313215" spans="21:21" x14ac:dyDescent="0.3">
      <c r="U313215" s="25"/>
    </row>
    <row r="313237" spans="21:21" x14ac:dyDescent="0.3">
      <c r="U313237" s="25"/>
    </row>
    <row r="313259" spans="21:21" x14ac:dyDescent="0.3">
      <c r="U313259" s="25"/>
    </row>
    <row r="313281" spans="21:21" x14ac:dyDescent="0.3">
      <c r="U313281" s="25"/>
    </row>
    <row r="313303" spans="21:21" x14ac:dyDescent="0.3">
      <c r="U313303" s="25"/>
    </row>
    <row r="313325" spans="21:21" x14ac:dyDescent="0.3">
      <c r="U313325" s="25"/>
    </row>
    <row r="313347" spans="21:21" x14ac:dyDescent="0.3">
      <c r="U313347" s="25"/>
    </row>
    <row r="313369" spans="21:21" x14ac:dyDescent="0.3">
      <c r="U313369" s="25"/>
    </row>
    <row r="313391" spans="21:21" x14ac:dyDescent="0.3">
      <c r="U313391" s="25"/>
    </row>
    <row r="313413" spans="21:21" x14ac:dyDescent="0.3">
      <c r="U313413" s="25"/>
    </row>
    <row r="313435" spans="21:21" x14ac:dyDescent="0.3">
      <c r="U313435" s="25"/>
    </row>
    <row r="313457" spans="21:21" x14ac:dyDescent="0.3">
      <c r="U313457" s="25"/>
    </row>
    <row r="313479" spans="21:21" x14ac:dyDescent="0.3">
      <c r="U313479" s="25"/>
    </row>
    <row r="313501" spans="21:21" x14ac:dyDescent="0.3">
      <c r="U313501" s="25"/>
    </row>
    <row r="313523" spans="21:21" x14ac:dyDescent="0.3">
      <c r="U313523" s="25"/>
    </row>
    <row r="313545" spans="21:21" x14ac:dyDescent="0.3">
      <c r="U313545" s="25"/>
    </row>
    <row r="313567" spans="21:21" x14ac:dyDescent="0.3">
      <c r="U313567" s="25"/>
    </row>
    <row r="313589" spans="21:21" x14ac:dyDescent="0.3">
      <c r="U313589" s="25"/>
    </row>
    <row r="313611" spans="21:21" x14ac:dyDescent="0.3">
      <c r="U313611" s="25"/>
    </row>
    <row r="313633" spans="21:21" x14ac:dyDescent="0.3">
      <c r="U313633" s="25"/>
    </row>
    <row r="313655" spans="21:21" x14ac:dyDescent="0.3">
      <c r="U313655" s="25"/>
    </row>
    <row r="313677" spans="21:21" x14ac:dyDescent="0.3">
      <c r="U313677" s="25"/>
    </row>
    <row r="313699" spans="21:21" x14ac:dyDescent="0.3">
      <c r="U313699" s="25"/>
    </row>
    <row r="313721" spans="21:21" x14ac:dyDescent="0.3">
      <c r="U313721" s="25"/>
    </row>
    <row r="313743" spans="21:21" x14ac:dyDescent="0.3">
      <c r="U313743" s="25"/>
    </row>
    <row r="313765" spans="21:21" x14ac:dyDescent="0.3">
      <c r="U313765" s="25"/>
    </row>
    <row r="313787" spans="21:21" x14ac:dyDescent="0.3">
      <c r="U313787" s="25"/>
    </row>
    <row r="313809" spans="21:21" x14ac:dyDescent="0.3">
      <c r="U313809" s="25"/>
    </row>
    <row r="313831" spans="21:21" x14ac:dyDescent="0.3">
      <c r="U313831" s="25"/>
    </row>
    <row r="313853" spans="21:21" x14ac:dyDescent="0.3">
      <c r="U313853" s="25"/>
    </row>
    <row r="313875" spans="21:21" x14ac:dyDescent="0.3">
      <c r="U313875" s="25"/>
    </row>
    <row r="313897" spans="21:21" x14ac:dyDescent="0.3">
      <c r="U313897" s="25"/>
    </row>
    <row r="313919" spans="21:21" x14ac:dyDescent="0.3">
      <c r="U313919" s="25"/>
    </row>
    <row r="313941" spans="21:21" x14ac:dyDescent="0.3">
      <c r="U313941" s="25"/>
    </row>
    <row r="313963" spans="21:21" x14ac:dyDescent="0.3">
      <c r="U313963" s="25"/>
    </row>
    <row r="313985" spans="21:21" x14ac:dyDescent="0.3">
      <c r="U313985" s="25"/>
    </row>
    <row r="314007" spans="21:21" x14ac:dyDescent="0.3">
      <c r="U314007" s="25"/>
    </row>
    <row r="314029" spans="21:21" x14ac:dyDescent="0.3">
      <c r="U314029" s="25"/>
    </row>
    <row r="314051" spans="21:21" x14ac:dyDescent="0.3">
      <c r="U314051" s="25"/>
    </row>
    <row r="314073" spans="21:21" x14ac:dyDescent="0.3">
      <c r="U314073" s="25"/>
    </row>
    <row r="314095" spans="21:21" x14ac:dyDescent="0.3">
      <c r="U314095" s="25"/>
    </row>
    <row r="314117" spans="21:21" x14ac:dyDescent="0.3">
      <c r="U314117" s="25"/>
    </row>
    <row r="314139" spans="21:21" x14ac:dyDescent="0.3">
      <c r="U314139" s="25"/>
    </row>
    <row r="314161" spans="21:21" x14ac:dyDescent="0.3">
      <c r="U314161" s="25"/>
    </row>
    <row r="314183" spans="21:21" x14ac:dyDescent="0.3">
      <c r="U314183" s="25"/>
    </row>
    <row r="314205" spans="21:21" x14ac:dyDescent="0.3">
      <c r="U314205" s="25"/>
    </row>
    <row r="314227" spans="21:21" x14ac:dyDescent="0.3">
      <c r="U314227" s="25"/>
    </row>
    <row r="314249" spans="21:21" x14ac:dyDescent="0.3">
      <c r="U314249" s="25"/>
    </row>
    <row r="314271" spans="21:21" x14ac:dyDescent="0.3">
      <c r="U314271" s="25"/>
    </row>
    <row r="314293" spans="21:21" x14ac:dyDescent="0.3">
      <c r="U314293" s="25"/>
    </row>
    <row r="314315" spans="21:21" x14ac:dyDescent="0.3">
      <c r="U314315" s="25"/>
    </row>
    <row r="314337" spans="21:21" x14ac:dyDescent="0.3">
      <c r="U314337" s="25"/>
    </row>
    <row r="314359" spans="21:21" x14ac:dyDescent="0.3">
      <c r="U314359" s="25"/>
    </row>
    <row r="314381" spans="21:21" x14ac:dyDescent="0.3">
      <c r="U314381" s="25"/>
    </row>
    <row r="314403" spans="21:21" x14ac:dyDescent="0.3">
      <c r="U314403" s="25"/>
    </row>
    <row r="314425" spans="21:21" x14ac:dyDescent="0.3">
      <c r="U314425" s="25"/>
    </row>
    <row r="314447" spans="21:21" x14ac:dyDescent="0.3">
      <c r="U314447" s="25"/>
    </row>
    <row r="314469" spans="21:21" x14ac:dyDescent="0.3">
      <c r="U314469" s="25"/>
    </row>
    <row r="314491" spans="21:21" x14ac:dyDescent="0.3">
      <c r="U314491" s="25"/>
    </row>
    <row r="314513" spans="21:21" x14ac:dyDescent="0.3">
      <c r="U314513" s="25"/>
    </row>
    <row r="314535" spans="21:21" x14ac:dyDescent="0.3">
      <c r="U314535" s="25"/>
    </row>
    <row r="314557" spans="21:21" x14ac:dyDescent="0.3">
      <c r="U314557" s="25"/>
    </row>
    <row r="314579" spans="21:21" x14ac:dyDescent="0.3">
      <c r="U314579" s="25"/>
    </row>
    <row r="314601" spans="21:21" x14ac:dyDescent="0.3">
      <c r="U314601" s="25"/>
    </row>
    <row r="314623" spans="21:21" x14ac:dyDescent="0.3">
      <c r="U314623" s="25"/>
    </row>
    <row r="314645" spans="21:21" x14ac:dyDescent="0.3">
      <c r="U314645" s="25"/>
    </row>
    <row r="314667" spans="21:21" x14ac:dyDescent="0.3">
      <c r="U314667" s="25"/>
    </row>
    <row r="314689" spans="21:21" x14ac:dyDescent="0.3">
      <c r="U314689" s="25"/>
    </row>
    <row r="314711" spans="21:21" x14ac:dyDescent="0.3">
      <c r="U314711" s="25"/>
    </row>
    <row r="314733" spans="21:21" x14ac:dyDescent="0.3">
      <c r="U314733" s="25"/>
    </row>
    <row r="314755" spans="21:21" x14ac:dyDescent="0.3">
      <c r="U314755" s="25"/>
    </row>
    <row r="314777" spans="21:21" x14ac:dyDescent="0.3">
      <c r="U314777" s="25"/>
    </row>
    <row r="314799" spans="21:21" x14ac:dyDescent="0.3">
      <c r="U314799" s="25"/>
    </row>
    <row r="314821" spans="21:21" x14ac:dyDescent="0.3">
      <c r="U314821" s="25"/>
    </row>
    <row r="314843" spans="21:21" x14ac:dyDescent="0.3">
      <c r="U314843" s="25"/>
    </row>
    <row r="314865" spans="21:21" x14ac:dyDescent="0.3">
      <c r="U314865" s="25"/>
    </row>
    <row r="314887" spans="21:21" x14ac:dyDescent="0.3">
      <c r="U314887" s="25"/>
    </row>
    <row r="314909" spans="21:21" x14ac:dyDescent="0.3">
      <c r="U314909" s="25"/>
    </row>
    <row r="314931" spans="21:21" x14ac:dyDescent="0.3">
      <c r="U314931" s="25"/>
    </row>
    <row r="314953" spans="21:21" x14ac:dyDescent="0.3">
      <c r="U314953" s="25"/>
    </row>
    <row r="314975" spans="21:21" x14ac:dyDescent="0.3">
      <c r="U314975" s="25"/>
    </row>
    <row r="314997" spans="21:21" x14ac:dyDescent="0.3">
      <c r="U314997" s="25"/>
    </row>
    <row r="315019" spans="21:21" x14ac:dyDescent="0.3">
      <c r="U315019" s="25"/>
    </row>
    <row r="315041" spans="21:21" x14ac:dyDescent="0.3">
      <c r="U315041" s="25"/>
    </row>
    <row r="315063" spans="21:21" x14ac:dyDescent="0.3">
      <c r="U315063" s="25"/>
    </row>
    <row r="315085" spans="21:21" x14ac:dyDescent="0.3">
      <c r="U315085" s="25"/>
    </row>
    <row r="315107" spans="21:21" x14ac:dyDescent="0.3">
      <c r="U315107" s="25"/>
    </row>
    <row r="315129" spans="21:21" x14ac:dyDescent="0.3">
      <c r="U315129" s="25"/>
    </row>
    <row r="315151" spans="21:21" x14ac:dyDescent="0.3">
      <c r="U315151" s="25"/>
    </row>
    <row r="315173" spans="21:21" x14ac:dyDescent="0.3">
      <c r="U315173" s="25"/>
    </row>
    <row r="315195" spans="21:21" x14ac:dyDescent="0.3">
      <c r="U315195" s="25"/>
    </row>
    <row r="315217" spans="21:21" x14ac:dyDescent="0.3">
      <c r="U315217" s="25"/>
    </row>
    <row r="315239" spans="21:21" x14ac:dyDescent="0.3">
      <c r="U315239" s="25"/>
    </row>
    <row r="315261" spans="21:21" x14ac:dyDescent="0.3">
      <c r="U315261" s="25"/>
    </row>
    <row r="315283" spans="21:21" x14ac:dyDescent="0.3">
      <c r="U315283" s="25"/>
    </row>
    <row r="315305" spans="21:21" x14ac:dyDescent="0.3">
      <c r="U315305" s="25"/>
    </row>
    <row r="315327" spans="21:21" x14ac:dyDescent="0.3">
      <c r="U315327" s="25"/>
    </row>
    <row r="315349" spans="21:21" x14ac:dyDescent="0.3">
      <c r="U315349" s="25"/>
    </row>
    <row r="315371" spans="21:21" x14ac:dyDescent="0.3">
      <c r="U315371" s="25"/>
    </row>
    <row r="315393" spans="21:21" x14ac:dyDescent="0.3">
      <c r="U315393" s="25"/>
    </row>
    <row r="315415" spans="21:21" x14ac:dyDescent="0.3">
      <c r="U315415" s="25"/>
    </row>
    <row r="315437" spans="21:21" x14ac:dyDescent="0.3">
      <c r="U315437" s="25"/>
    </row>
    <row r="315459" spans="21:21" x14ac:dyDescent="0.3">
      <c r="U315459" s="25"/>
    </row>
    <row r="315481" spans="21:21" x14ac:dyDescent="0.3">
      <c r="U315481" s="25"/>
    </row>
    <row r="315503" spans="21:21" x14ac:dyDescent="0.3">
      <c r="U315503" s="25"/>
    </row>
    <row r="315525" spans="21:21" x14ac:dyDescent="0.3">
      <c r="U315525" s="25"/>
    </row>
    <row r="315547" spans="21:21" x14ac:dyDescent="0.3">
      <c r="U315547" s="25"/>
    </row>
    <row r="315569" spans="21:21" x14ac:dyDescent="0.3">
      <c r="U315569" s="25"/>
    </row>
    <row r="315591" spans="21:21" x14ac:dyDescent="0.3">
      <c r="U315591" s="25"/>
    </row>
    <row r="315613" spans="21:21" x14ac:dyDescent="0.3">
      <c r="U315613" s="25"/>
    </row>
    <row r="315635" spans="21:21" x14ac:dyDescent="0.3">
      <c r="U315635" s="25"/>
    </row>
    <row r="315657" spans="21:21" x14ac:dyDescent="0.3">
      <c r="U315657" s="25"/>
    </row>
    <row r="315679" spans="21:21" x14ac:dyDescent="0.3">
      <c r="U315679" s="25"/>
    </row>
    <row r="315701" spans="21:21" x14ac:dyDescent="0.3">
      <c r="U315701" s="25"/>
    </row>
    <row r="315723" spans="21:21" x14ac:dyDescent="0.3">
      <c r="U315723" s="25"/>
    </row>
    <row r="315745" spans="21:21" x14ac:dyDescent="0.3">
      <c r="U315745" s="25"/>
    </row>
    <row r="315767" spans="21:21" x14ac:dyDescent="0.3">
      <c r="U315767" s="25"/>
    </row>
    <row r="315789" spans="21:21" x14ac:dyDescent="0.3">
      <c r="U315789" s="25"/>
    </row>
    <row r="315811" spans="21:21" x14ac:dyDescent="0.3">
      <c r="U315811" s="25"/>
    </row>
    <row r="315833" spans="21:21" x14ac:dyDescent="0.3">
      <c r="U315833" s="25"/>
    </row>
    <row r="315855" spans="21:21" x14ac:dyDescent="0.3">
      <c r="U315855" s="25"/>
    </row>
    <row r="315877" spans="21:21" x14ac:dyDescent="0.3">
      <c r="U315877" s="25"/>
    </row>
    <row r="315899" spans="21:21" x14ac:dyDescent="0.3">
      <c r="U315899" s="25"/>
    </row>
    <row r="315921" spans="21:21" x14ac:dyDescent="0.3">
      <c r="U315921" s="25"/>
    </row>
    <row r="315943" spans="21:21" x14ac:dyDescent="0.3">
      <c r="U315943" s="25"/>
    </row>
    <row r="315965" spans="21:21" x14ac:dyDescent="0.3">
      <c r="U315965" s="25"/>
    </row>
    <row r="315987" spans="21:21" x14ac:dyDescent="0.3">
      <c r="U315987" s="25"/>
    </row>
    <row r="316009" spans="21:21" x14ac:dyDescent="0.3">
      <c r="U316009" s="25"/>
    </row>
    <row r="316031" spans="21:21" x14ac:dyDescent="0.3">
      <c r="U316031" s="25"/>
    </row>
    <row r="316053" spans="21:21" x14ac:dyDescent="0.3">
      <c r="U316053" s="25"/>
    </row>
    <row r="316075" spans="21:21" x14ac:dyDescent="0.3">
      <c r="U316075" s="25"/>
    </row>
    <row r="316097" spans="21:21" x14ac:dyDescent="0.3">
      <c r="U316097" s="25"/>
    </row>
    <row r="316119" spans="21:21" x14ac:dyDescent="0.3">
      <c r="U316119" s="25"/>
    </row>
    <row r="316141" spans="21:21" x14ac:dyDescent="0.3">
      <c r="U316141" s="25"/>
    </row>
    <row r="316163" spans="21:21" x14ac:dyDescent="0.3">
      <c r="U316163" s="25"/>
    </row>
    <row r="316185" spans="21:21" x14ac:dyDescent="0.3">
      <c r="U316185" s="25"/>
    </row>
    <row r="316207" spans="21:21" x14ac:dyDescent="0.3">
      <c r="U316207" s="25"/>
    </row>
    <row r="316229" spans="21:21" x14ac:dyDescent="0.3">
      <c r="U316229" s="25"/>
    </row>
    <row r="316251" spans="21:21" x14ac:dyDescent="0.3">
      <c r="U316251" s="25"/>
    </row>
    <row r="316273" spans="21:21" x14ac:dyDescent="0.3">
      <c r="U316273" s="25"/>
    </row>
    <row r="316295" spans="21:21" x14ac:dyDescent="0.3">
      <c r="U316295" s="25"/>
    </row>
    <row r="316317" spans="21:21" x14ac:dyDescent="0.3">
      <c r="U316317" s="25"/>
    </row>
    <row r="316339" spans="21:21" x14ac:dyDescent="0.3">
      <c r="U316339" s="25"/>
    </row>
    <row r="316361" spans="21:21" x14ac:dyDescent="0.3">
      <c r="U316361" s="25"/>
    </row>
    <row r="316383" spans="21:21" x14ac:dyDescent="0.3">
      <c r="U316383" s="25"/>
    </row>
    <row r="316405" spans="21:21" x14ac:dyDescent="0.3">
      <c r="U316405" s="25"/>
    </row>
    <row r="316427" spans="21:21" x14ac:dyDescent="0.3">
      <c r="U316427" s="25"/>
    </row>
    <row r="316449" spans="21:21" x14ac:dyDescent="0.3">
      <c r="U316449" s="25"/>
    </row>
    <row r="316471" spans="21:21" x14ac:dyDescent="0.3">
      <c r="U316471" s="25"/>
    </row>
    <row r="316493" spans="21:21" x14ac:dyDescent="0.3">
      <c r="U316493" s="25"/>
    </row>
    <row r="316515" spans="21:21" x14ac:dyDescent="0.3">
      <c r="U316515" s="25"/>
    </row>
    <row r="316537" spans="21:21" x14ac:dyDescent="0.3">
      <c r="U316537" s="25"/>
    </row>
    <row r="316559" spans="21:21" x14ac:dyDescent="0.3">
      <c r="U316559" s="25"/>
    </row>
    <row r="316581" spans="21:21" x14ac:dyDescent="0.3">
      <c r="U316581" s="25"/>
    </row>
    <row r="316603" spans="21:21" x14ac:dyDescent="0.3">
      <c r="U316603" s="25"/>
    </row>
    <row r="316625" spans="21:21" x14ac:dyDescent="0.3">
      <c r="U316625" s="25"/>
    </row>
    <row r="316647" spans="21:21" x14ac:dyDescent="0.3">
      <c r="U316647" s="25"/>
    </row>
    <row r="316669" spans="21:21" x14ac:dyDescent="0.3">
      <c r="U316669" s="25"/>
    </row>
    <row r="316691" spans="21:21" x14ac:dyDescent="0.3">
      <c r="U316691" s="25"/>
    </row>
    <row r="316713" spans="21:21" x14ac:dyDescent="0.3">
      <c r="U316713" s="25"/>
    </row>
    <row r="316735" spans="21:21" x14ac:dyDescent="0.3">
      <c r="U316735" s="25"/>
    </row>
    <row r="316757" spans="21:21" x14ac:dyDescent="0.3">
      <c r="U316757" s="25"/>
    </row>
    <row r="316779" spans="21:21" x14ac:dyDescent="0.3">
      <c r="U316779" s="25"/>
    </row>
    <row r="316801" spans="21:21" x14ac:dyDescent="0.3">
      <c r="U316801" s="25"/>
    </row>
    <row r="316823" spans="21:21" x14ac:dyDescent="0.3">
      <c r="U316823" s="25"/>
    </row>
    <row r="316845" spans="21:21" x14ac:dyDescent="0.3">
      <c r="U316845" s="25"/>
    </row>
    <row r="316867" spans="21:21" x14ac:dyDescent="0.3">
      <c r="U316867" s="25"/>
    </row>
    <row r="316889" spans="21:21" x14ac:dyDescent="0.3">
      <c r="U316889" s="25"/>
    </row>
    <row r="316911" spans="21:21" x14ac:dyDescent="0.3">
      <c r="U316911" s="25"/>
    </row>
    <row r="316933" spans="21:21" x14ac:dyDescent="0.3">
      <c r="U316933" s="25"/>
    </row>
    <row r="316955" spans="21:21" x14ac:dyDescent="0.3">
      <c r="U316955" s="25"/>
    </row>
    <row r="316977" spans="21:21" x14ac:dyDescent="0.3">
      <c r="U316977" s="25"/>
    </row>
    <row r="316999" spans="21:21" x14ac:dyDescent="0.3">
      <c r="U316999" s="25"/>
    </row>
    <row r="317021" spans="21:21" x14ac:dyDescent="0.3">
      <c r="U317021" s="25"/>
    </row>
    <row r="317043" spans="21:21" x14ac:dyDescent="0.3">
      <c r="U317043" s="25"/>
    </row>
    <row r="317065" spans="21:21" x14ac:dyDescent="0.3">
      <c r="U317065" s="25"/>
    </row>
    <row r="317087" spans="21:21" x14ac:dyDescent="0.3">
      <c r="U317087" s="25"/>
    </row>
    <row r="317109" spans="21:21" x14ac:dyDescent="0.3">
      <c r="U317109" s="25"/>
    </row>
    <row r="317131" spans="21:21" x14ac:dyDescent="0.3">
      <c r="U317131" s="25"/>
    </row>
    <row r="317153" spans="21:21" x14ac:dyDescent="0.3">
      <c r="U317153" s="25"/>
    </row>
    <row r="317175" spans="21:21" x14ac:dyDescent="0.3">
      <c r="U317175" s="25"/>
    </row>
    <row r="317197" spans="21:21" x14ac:dyDescent="0.3">
      <c r="U317197" s="25"/>
    </row>
    <row r="317219" spans="21:21" x14ac:dyDescent="0.3">
      <c r="U317219" s="25"/>
    </row>
    <row r="317241" spans="21:21" x14ac:dyDescent="0.3">
      <c r="U317241" s="25"/>
    </row>
    <row r="317263" spans="21:21" x14ac:dyDescent="0.3">
      <c r="U317263" s="25"/>
    </row>
    <row r="317285" spans="21:21" x14ac:dyDescent="0.3">
      <c r="U317285" s="25"/>
    </row>
    <row r="317307" spans="21:21" x14ac:dyDescent="0.3">
      <c r="U317307" s="25"/>
    </row>
    <row r="317329" spans="21:21" x14ac:dyDescent="0.3">
      <c r="U317329" s="25"/>
    </row>
    <row r="317351" spans="21:21" x14ac:dyDescent="0.3">
      <c r="U317351" s="25"/>
    </row>
    <row r="317373" spans="21:21" x14ac:dyDescent="0.3">
      <c r="U317373" s="25"/>
    </row>
    <row r="317395" spans="21:21" x14ac:dyDescent="0.3">
      <c r="U317395" s="25"/>
    </row>
    <row r="317417" spans="21:21" x14ac:dyDescent="0.3">
      <c r="U317417" s="25"/>
    </row>
    <row r="317439" spans="21:21" x14ac:dyDescent="0.3">
      <c r="U317439" s="25"/>
    </row>
    <row r="317461" spans="21:21" x14ac:dyDescent="0.3">
      <c r="U317461" s="25"/>
    </row>
    <row r="317483" spans="21:21" x14ac:dyDescent="0.3">
      <c r="U317483" s="25"/>
    </row>
    <row r="317505" spans="21:21" x14ac:dyDescent="0.3">
      <c r="U317505" s="25"/>
    </row>
    <row r="317527" spans="21:21" x14ac:dyDescent="0.3">
      <c r="U317527" s="25"/>
    </row>
    <row r="317549" spans="21:21" x14ac:dyDescent="0.3">
      <c r="U317549" s="25"/>
    </row>
    <row r="317571" spans="21:21" x14ac:dyDescent="0.3">
      <c r="U317571" s="25"/>
    </row>
    <row r="317593" spans="21:21" x14ac:dyDescent="0.3">
      <c r="U317593" s="25"/>
    </row>
    <row r="317615" spans="21:21" x14ac:dyDescent="0.3">
      <c r="U317615" s="25"/>
    </row>
    <row r="317637" spans="21:21" x14ac:dyDescent="0.3">
      <c r="U317637" s="25"/>
    </row>
    <row r="317659" spans="21:21" x14ac:dyDescent="0.3">
      <c r="U317659" s="25"/>
    </row>
    <row r="317681" spans="21:21" x14ac:dyDescent="0.3">
      <c r="U317681" s="25"/>
    </row>
    <row r="317703" spans="21:21" x14ac:dyDescent="0.3">
      <c r="U317703" s="25"/>
    </row>
    <row r="317725" spans="21:21" x14ac:dyDescent="0.3">
      <c r="U317725" s="25"/>
    </row>
    <row r="317747" spans="21:21" x14ac:dyDescent="0.3">
      <c r="U317747" s="25"/>
    </row>
    <row r="317769" spans="21:21" x14ac:dyDescent="0.3">
      <c r="U317769" s="25"/>
    </row>
    <row r="317791" spans="21:21" x14ac:dyDescent="0.3">
      <c r="U317791" s="25"/>
    </row>
    <row r="317813" spans="21:21" x14ac:dyDescent="0.3">
      <c r="U317813" s="25"/>
    </row>
    <row r="317835" spans="21:21" x14ac:dyDescent="0.3">
      <c r="U317835" s="25"/>
    </row>
    <row r="317857" spans="21:21" x14ac:dyDescent="0.3">
      <c r="U317857" s="25"/>
    </row>
    <row r="317879" spans="21:21" x14ac:dyDescent="0.3">
      <c r="U317879" s="25"/>
    </row>
    <row r="317901" spans="21:21" x14ac:dyDescent="0.3">
      <c r="U317901" s="25"/>
    </row>
    <row r="317923" spans="21:21" x14ac:dyDescent="0.3">
      <c r="U317923" s="25"/>
    </row>
    <row r="317945" spans="21:21" x14ac:dyDescent="0.3">
      <c r="U317945" s="25"/>
    </row>
    <row r="317967" spans="21:21" x14ac:dyDescent="0.3">
      <c r="U317967" s="25"/>
    </row>
    <row r="317989" spans="21:21" x14ac:dyDescent="0.3">
      <c r="U317989" s="25"/>
    </row>
    <row r="318011" spans="21:21" x14ac:dyDescent="0.3">
      <c r="U318011" s="25"/>
    </row>
    <row r="318033" spans="21:21" x14ac:dyDescent="0.3">
      <c r="U318033" s="25"/>
    </row>
    <row r="318055" spans="21:21" x14ac:dyDescent="0.3">
      <c r="U318055" s="25"/>
    </row>
    <row r="318077" spans="21:21" x14ac:dyDescent="0.3">
      <c r="U318077" s="25"/>
    </row>
    <row r="318099" spans="21:21" x14ac:dyDescent="0.3">
      <c r="U318099" s="25"/>
    </row>
    <row r="318121" spans="21:21" x14ac:dyDescent="0.3">
      <c r="U318121" s="25"/>
    </row>
    <row r="318143" spans="21:21" x14ac:dyDescent="0.3">
      <c r="U318143" s="25"/>
    </row>
    <row r="318165" spans="21:21" x14ac:dyDescent="0.3">
      <c r="U318165" s="25"/>
    </row>
    <row r="318187" spans="21:21" x14ac:dyDescent="0.3">
      <c r="U318187" s="25"/>
    </row>
    <row r="318209" spans="21:21" x14ac:dyDescent="0.3">
      <c r="U318209" s="25"/>
    </row>
    <row r="318231" spans="21:21" x14ac:dyDescent="0.3">
      <c r="U318231" s="25"/>
    </row>
    <row r="318253" spans="21:21" x14ac:dyDescent="0.3">
      <c r="U318253" s="25"/>
    </row>
    <row r="318275" spans="21:21" x14ac:dyDescent="0.3">
      <c r="U318275" s="25"/>
    </row>
    <row r="318297" spans="21:21" x14ac:dyDescent="0.3">
      <c r="U318297" s="25"/>
    </row>
    <row r="318319" spans="21:21" x14ac:dyDescent="0.3">
      <c r="U318319" s="25"/>
    </row>
    <row r="318341" spans="21:21" x14ac:dyDescent="0.3">
      <c r="U318341" s="25"/>
    </row>
    <row r="318363" spans="21:21" x14ac:dyDescent="0.3">
      <c r="U318363" s="25"/>
    </row>
    <row r="318385" spans="21:21" x14ac:dyDescent="0.3">
      <c r="U318385" s="25"/>
    </row>
    <row r="318407" spans="21:21" x14ac:dyDescent="0.3">
      <c r="U318407" s="25"/>
    </row>
    <row r="318429" spans="21:21" x14ac:dyDescent="0.3">
      <c r="U318429" s="25"/>
    </row>
    <row r="318451" spans="21:21" x14ac:dyDescent="0.3">
      <c r="U318451" s="25"/>
    </row>
    <row r="318473" spans="21:21" x14ac:dyDescent="0.3">
      <c r="U318473" s="25"/>
    </row>
    <row r="318495" spans="21:21" x14ac:dyDescent="0.3">
      <c r="U318495" s="25"/>
    </row>
    <row r="318517" spans="21:21" x14ac:dyDescent="0.3">
      <c r="U318517" s="25"/>
    </row>
    <row r="318539" spans="21:21" x14ac:dyDescent="0.3">
      <c r="U318539" s="25"/>
    </row>
    <row r="318561" spans="21:21" x14ac:dyDescent="0.3">
      <c r="U318561" s="25"/>
    </row>
    <row r="318583" spans="21:21" x14ac:dyDescent="0.3">
      <c r="U318583" s="25"/>
    </row>
    <row r="318605" spans="21:21" x14ac:dyDescent="0.3">
      <c r="U318605" s="25"/>
    </row>
    <row r="318627" spans="21:21" x14ac:dyDescent="0.3">
      <c r="U318627" s="25"/>
    </row>
    <row r="318649" spans="21:21" x14ac:dyDescent="0.3">
      <c r="U318649" s="25"/>
    </row>
    <row r="318671" spans="21:21" x14ac:dyDescent="0.3">
      <c r="U318671" s="25"/>
    </row>
    <row r="318693" spans="21:21" x14ac:dyDescent="0.3">
      <c r="U318693" s="25"/>
    </row>
    <row r="318715" spans="21:21" x14ac:dyDescent="0.3">
      <c r="U318715" s="25"/>
    </row>
    <row r="318737" spans="21:21" x14ac:dyDescent="0.3">
      <c r="U318737" s="25"/>
    </row>
    <row r="318759" spans="21:21" x14ac:dyDescent="0.3">
      <c r="U318759" s="25"/>
    </row>
    <row r="318781" spans="21:21" x14ac:dyDescent="0.3">
      <c r="U318781" s="25"/>
    </row>
    <row r="318803" spans="21:21" x14ac:dyDescent="0.3">
      <c r="U318803" s="25"/>
    </row>
    <row r="318825" spans="21:21" x14ac:dyDescent="0.3">
      <c r="U318825" s="25"/>
    </row>
    <row r="318847" spans="21:21" x14ac:dyDescent="0.3">
      <c r="U318847" s="25"/>
    </row>
    <row r="318869" spans="21:21" x14ac:dyDescent="0.3">
      <c r="U318869" s="25"/>
    </row>
    <row r="318891" spans="21:21" x14ac:dyDescent="0.3">
      <c r="U318891" s="25"/>
    </row>
    <row r="318913" spans="21:21" x14ac:dyDescent="0.3">
      <c r="U318913" s="25"/>
    </row>
    <row r="318935" spans="21:21" x14ac:dyDescent="0.3">
      <c r="U318935" s="25"/>
    </row>
    <row r="318957" spans="21:21" x14ac:dyDescent="0.3">
      <c r="U318957" s="25"/>
    </row>
    <row r="318979" spans="21:21" x14ac:dyDescent="0.3">
      <c r="U318979" s="25"/>
    </row>
    <row r="319001" spans="21:21" x14ac:dyDescent="0.3">
      <c r="U319001" s="25"/>
    </row>
    <row r="319023" spans="21:21" x14ac:dyDescent="0.3">
      <c r="U319023" s="25"/>
    </row>
    <row r="319045" spans="21:21" x14ac:dyDescent="0.3">
      <c r="U319045" s="25"/>
    </row>
    <row r="319067" spans="21:21" x14ac:dyDescent="0.3">
      <c r="U319067" s="25"/>
    </row>
    <row r="319089" spans="21:21" x14ac:dyDescent="0.3">
      <c r="U319089" s="25"/>
    </row>
    <row r="319111" spans="21:21" x14ac:dyDescent="0.3">
      <c r="U319111" s="25"/>
    </row>
    <row r="319133" spans="21:21" x14ac:dyDescent="0.3">
      <c r="U319133" s="25"/>
    </row>
    <row r="319155" spans="21:21" x14ac:dyDescent="0.3">
      <c r="U319155" s="25"/>
    </row>
    <row r="319177" spans="21:21" x14ac:dyDescent="0.3">
      <c r="U319177" s="25"/>
    </row>
    <row r="319199" spans="21:21" x14ac:dyDescent="0.3">
      <c r="U319199" s="25"/>
    </row>
    <row r="319221" spans="21:21" x14ac:dyDescent="0.3">
      <c r="U319221" s="25"/>
    </row>
    <row r="319243" spans="21:21" x14ac:dyDescent="0.3">
      <c r="U319243" s="25"/>
    </row>
    <row r="319265" spans="21:21" x14ac:dyDescent="0.3">
      <c r="U319265" s="25"/>
    </row>
    <row r="319287" spans="21:21" x14ac:dyDescent="0.3">
      <c r="U319287" s="25"/>
    </row>
    <row r="319309" spans="21:21" x14ac:dyDescent="0.3">
      <c r="U319309" s="25"/>
    </row>
    <row r="319331" spans="21:21" x14ac:dyDescent="0.3">
      <c r="U319331" s="25"/>
    </row>
    <row r="319353" spans="21:21" x14ac:dyDescent="0.3">
      <c r="U319353" s="25"/>
    </row>
    <row r="319375" spans="21:21" x14ac:dyDescent="0.3">
      <c r="U319375" s="25"/>
    </row>
    <row r="319397" spans="21:21" x14ac:dyDescent="0.3">
      <c r="U319397" s="25"/>
    </row>
    <row r="319419" spans="21:21" x14ac:dyDescent="0.3">
      <c r="U319419" s="25"/>
    </row>
    <row r="319441" spans="21:21" x14ac:dyDescent="0.3">
      <c r="U319441" s="25"/>
    </row>
    <row r="319463" spans="21:21" x14ac:dyDescent="0.3">
      <c r="U319463" s="25"/>
    </row>
    <row r="319485" spans="21:21" x14ac:dyDescent="0.3">
      <c r="U319485" s="25"/>
    </row>
    <row r="319507" spans="21:21" x14ac:dyDescent="0.3">
      <c r="U319507" s="25"/>
    </row>
    <row r="319529" spans="21:21" x14ac:dyDescent="0.3">
      <c r="U319529" s="25"/>
    </row>
    <row r="319551" spans="21:21" x14ac:dyDescent="0.3">
      <c r="U319551" s="25"/>
    </row>
    <row r="319573" spans="21:21" x14ac:dyDescent="0.3">
      <c r="U319573" s="25"/>
    </row>
    <row r="319595" spans="21:21" x14ac:dyDescent="0.3">
      <c r="U319595" s="25"/>
    </row>
    <row r="319617" spans="21:21" x14ac:dyDescent="0.3">
      <c r="U319617" s="25"/>
    </row>
    <row r="319639" spans="21:21" x14ac:dyDescent="0.3">
      <c r="U319639" s="25"/>
    </row>
    <row r="319661" spans="21:21" x14ac:dyDescent="0.3">
      <c r="U319661" s="25"/>
    </row>
    <row r="319683" spans="21:21" x14ac:dyDescent="0.3">
      <c r="U319683" s="25"/>
    </row>
    <row r="319705" spans="21:21" x14ac:dyDescent="0.3">
      <c r="U319705" s="25"/>
    </row>
    <row r="319727" spans="21:21" x14ac:dyDescent="0.3">
      <c r="U319727" s="25"/>
    </row>
    <row r="319749" spans="21:21" x14ac:dyDescent="0.3">
      <c r="U319749" s="25"/>
    </row>
    <row r="319771" spans="21:21" x14ac:dyDescent="0.3">
      <c r="U319771" s="25"/>
    </row>
    <row r="319793" spans="21:21" x14ac:dyDescent="0.3">
      <c r="U319793" s="25"/>
    </row>
    <row r="319815" spans="21:21" x14ac:dyDescent="0.3">
      <c r="U319815" s="25"/>
    </row>
    <row r="319837" spans="21:21" x14ac:dyDescent="0.3">
      <c r="U319837" s="25"/>
    </row>
    <row r="319859" spans="21:21" x14ac:dyDescent="0.3">
      <c r="U319859" s="25"/>
    </row>
    <row r="319881" spans="21:21" x14ac:dyDescent="0.3">
      <c r="U319881" s="25"/>
    </row>
    <row r="319903" spans="21:21" x14ac:dyDescent="0.3">
      <c r="U319903" s="25"/>
    </row>
    <row r="319925" spans="21:21" x14ac:dyDescent="0.3">
      <c r="U319925" s="25"/>
    </row>
    <row r="319947" spans="21:21" x14ac:dyDescent="0.3">
      <c r="U319947" s="25"/>
    </row>
    <row r="319969" spans="21:21" x14ac:dyDescent="0.3">
      <c r="U319969" s="25"/>
    </row>
    <row r="319991" spans="21:21" x14ac:dyDescent="0.3">
      <c r="U319991" s="25"/>
    </row>
    <row r="320013" spans="21:21" x14ac:dyDescent="0.3">
      <c r="U320013" s="25"/>
    </row>
    <row r="320035" spans="21:21" x14ac:dyDescent="0.3">
      <c r="U320035" s="25"/>
    </row>
    <row r="320057" spans="21:21" x14ac:dyDescent="0.3">
      <c r="U320057" s="25"/>
    </row>
    <row r="320079" spans="21:21" x14ac:dyDescent="0.3">
      <c r="U320079" s="25"/>
    </row>
    <row r="320101" spans="21:21" x14ac:dyDescent="0.3">
      <c r="U320101" s="25"/>
    </row>
    <row r="320123" spans="21:21" x14ac:dyDescent="0.3">
      <c r="U320123" s="25"/>
    </row>
    <row r="320145" spans="21:21" x14ac:dyDescent="0.3">
      <c r="U320145" s="25"/>
    </row>
    <row r="320167" spans="21:21" x14ac:dyDescent="0.3">
      <c r="U320167" s="25"/>
    </row>
    <row r="320189" spans="21:21" x14ac:dyDescent="0.3">
      <c r="U320189" s="25"/>
    </row>
    <row r="320211" spans="21:21" x14ac:dyDescent="0.3">
      <c r="U320211" s="25"/>
    </row>
    <row r="320233" spans="21:21" x14ac:dyDescent="0.3">
      <c r="U320233" s="25"/>
    </row>
    <row r="320255" spans="21:21" x14ac:dyDescent="0.3">
      <c r="U320255" s="25"/>
    </row>
    <row r="320277" spans="21:21" x14ac:dyDescent="0.3">
      <c r="U320277" s="25"/>
    </row>
    <row r="320299" spans="21:21" x14ac:dyDescent="0.3">
      <c r="U320299" s="25"/>
    </row>
    <row r="320321" spans="21:21" x14ac:dyDescent="0.3">
      <c r="U320321" s="25"/>
    </row>
    <row r="320343" spans="21:21" x14ac:dyDescent="0.3">
      <c r="U320343" s="25"/>
    </row>
    <row r="320365" spans="21:21" x14ac:dyDescent="0.3">
      <c r="U320365" s="25"/>
    </row>
    <row r="320387" spans="21:21" x14ac:dyDescent="0.3">
      <c r="U320387" s="25"/>
    </row>
    <row r="320409" spans="21:21" x14ac:dyDescent="0.3">
      <c r="U320409" s="25"/>
    </row>
    <row r="320431" spans="21:21" x14ac:dyDescent="0.3">
      <c r="U320431" s="25"/>
    </row>
    <row r="320453" spans="21:21" x14ac:dyDescent="0.3">
      <c r="U320453" s="25"/>
    </row>
    <row r="320475" spans="21:21" x14ac:dyDescent="0.3">
      <c r="U320475" s="25"/>
    </row>
    <row r="320497" spans="21:21" x14ac:dyDescent="0.3">
      <c r="U320497" s="25"/>
    </row>
    <row r="320519" spans="21:21" x14ac:dyDescent="0.3">
      <c r="U320519" s="25"/>
    </row>
    <row r="320541" spans="21:21" x14ac:dyDescent="0.3">
      <c r="U320541" s="25"/>
    </row>
    <row r="320563" spans="21:21" x14ac:dyDescent="0.3">
      <c r="U320563" s="25"/>
    </row>
    <row r="320585" spans="21:21" x14ac:dyDescent="0.3">
      <c r="U320585" s="25"/>
    </row>
    <row r="320607" spans="21:21" x14ac:dyDescent="0.3">
      <c r="U320607" s="25"/>
    </row>
    <row r="320629" spans="21:21" x14ac:dyDescent="0.3">
      <c r="U320629" s="25"/>
    </row>
    <row r="320651" spans="21:21" x14ac:dyDescent="0.3">
      <c r="U320651" s="25"/>
    </row>
    <row r="320673" spans="21:21" x14ac:dyDescent="0.3">
      <c r="U320673" s="25"/>
    </row>
    <row r="320695" spans="21:21" x14ac:dyDescent="0.3">
      <c r="U320695" s="25"/>
    </row>
    <row r="320717" spans="21:21" x14ac:dyDescent="0.3">
      <c r="U320717" s="25"/>
    </row>
    <row r="320739" spans="21:21" x14ac:dyDescent="0.3">
      <c r="U320739" s="25"/>
    </row>
    <row r="320761" spans="21:21" x14ac:dyDescent="0.3">
      <c r="U320761" s="25"/>
    </row>
    <row r="320783" spans="21:21" x14ac:dyDescent="0.3">
      <c r="U320783" s="25"/>
    </row>
    <row r="320805" spans="21:21" x14ac:dyDescent="0.3">
      <c r="U320805" s="25"/>
    </row>
    <row r="320827" spans="21:21" x14ac:dyDescent="0.3">
      <c r="U320827" s="25"/>
    </row>
    <row r="320849" spans="21:21" x14ac:dyDescent="0.3">
      <c r="U320849" s="25"/>
    </row>
    <row r="320871" spans="21:21" x14ac:dyDescent="0.3">
      <c r="U320871" s="25"/>
    </row>
    <row r="320893" spans="21:21" x14ac:dyDescent="0.3">
      <c r="U320893" s="25"/>
    </row>
    <row r="320915" spans="21:21" x14ac:dyDescent="0.3">
      <c r="U320915" s="25"/>
    </row>
    <row r="320937" spans="21:21" x14ac:dyDescent="0.3">
      <c r="U320937" s="25"/>
    </row>
    <row r="320959" spans="21:21" x14ac:dyDescent="0.3">
      <c r="U320959" s="25"/>
    </row>
    <row r="320981" spans="21:21" x14ac:dyDescent="0.3">
      <c r="U320981" s="25"/>
    </row>
    <row r="321003" spans="21:21" x14ac:dyDescent="0.3">
      <c r="U321003" s="25"/>
    </row>
    <row r="321025" spans="21:21" x14ac:dyDescent="0.3">
      <c r="U321025" s="25"/>
    </row>
    <row r="321047" spans="21:21" x14ac:dyDescent="0.3">
      <c r="U321047" s="25"/>
    </row>
    <row r="321069" spans="21:21" x14ac:dyDescent="0.3">
      <c r="U321069" s="25"/>
    </row>
    <row r="321091" spans="21:21" x14ac:dyDescent="0.3">
      <c r="U321091" s="25"/>
    </row>
    <row r="321113" spans="21:21" x14ac:dyDescent="0.3">
      <c r="U321113" s="25"/>
    </row>
    <row r="321135" spans="21:21" x14ac:dyDescent="0.3">
      <c r="U321135" s="25"/>
    </row>
    <row r="321157" spans="21:21" x14ac:dyDescent="0.3">
      <c r="U321157" s="25"/>
    </row>
    <row r="321179" spans="21:21" x14ac:dyDescent="0.3">
      <c r="U321179" s="25"/>
    </row>
    <row r="321201" spans="21:21" x14ac:dyDescent="0.3">
      <c r="U321201" s="25"/>
    </row>
    <row r="321223" spans="21:21" x14ac:dyDescent="0.3">
      <c r="U321223" s="25"/>
    </row>
    <row r="321245" spans="21:21" x14ac:dyDescent="0.3">
      <c r="U321245" s="25"/>
    </row>
    <row r="321267" spans="21:21" x14ac:dyDescent="0.3">
      <c r="U321267" s="25"/>
    </row>
    <row r="321289" spans="21:21" x14ac:dyDescent="0.3">
      <c r="U321289" s="25"/>
    </row>
    <row r="321311" spans="21:21" x14ac:dyDescent="0.3">
      <c r="U321311" s="25"/>
    </row>
    <row r="321333" spans="21:21" x14ac:dyDescent="0.3">
      <c r="U321333" s="25"/>
    </row>
    <row r="321355" spans="21:21" x14ac:dyDescent="0.3">
      <c r="U321355" s="25"/>
    </row>
    <row r="321377" spans="21:21" x14ac:dyDescent="0.3">
      <c r="U321377" s="25"/>
    </row>
    <row r="321399" spans="21:21" x14ac:dyDescent="0.3">
      <c r="U321399" s="25"/>
    </row>
    <row r="321421" spans="21:21" x14ac:dyDescent="0.3">
      <c r="U321421" s="25"/>
    </row>
    <row r="321443" spans="21:21" x14ac:dyDescent="0.3">
      <c r="U321443" s="25"/>
    </row>
    <row r="321465" spans="21:21" x14ac:dyDescent="0.3">
      <c r="U321465" s="25"/>
    </row>
    <row r="321487" spans="21:21" x14ac:dyDescent="0.3">
      <c r="U321487" s="25"/>
    </row>
    <row r="321509" spans="21:21" x14ac:dyDescent="0.3">
      <c r="U321509" s="25"/>
    </row>
    <row r="321531" spans="21:21" x14ac:dyDescent="0.3">
      <c r="U321531" s="25"/>
    </row>
    <row r="321553" spans="21:21" x14ac:dyDescent="0.3">
      <c r="U321553" s="25"/>
    </row>
    <row r="321575" spans="21:21" x14ac:dyDescent="0.3">
      <c r="U321575" s="25"/>
    </row>
    <row r="321597" spans="21:21" x14ac:dyDescent="0.3">
      <c r="U321597" s="25"/>
    </row>
    <row r="321619" spans="21:21" x14ac:dyDescent="0.3">
      <c r="U321619" s="25"/>
    </row>
    <row r="321641" spans="21:21" x14ac:dyDescent="0.3">
      <c r="U321641" s="25"/>
    </row>
    <row r="321663" spans="21:21" x14ac:dyDescent="0.3">
      <c r="U321663" s="25"/>
    </row>
    <row r="321685" spans="21:21" x14ac:dyDescent="0.3">
      <c r="U321685" s="25"/>
    </row>
    <row r="321707" spans="21:21" x14ac:dyDescent="0.3">
      <c r="U321707" s="25"/>
    </row>
    <row r="321729" spans="21:21" x14ac:dyDescent="0.3">
      <c r="U321729" s="25"/>
    </row>
    <row r="321751" spans="21:21" x14ac:dyDescent="0.3">
      <c r="U321751" s="25"/>
    </row>
    <row r="321773" spans="21:21" x14ac:dyDescent="0.3">
      <c r="U321773" s="25"/>
    </row>
    <row r="321795" spans="21:21" x14ac:dyDescent="0.3">
      <c r="U321795" s="25"/>
    </row>
    <row r="321817" spans="21:21" x14ac:dyDescent="0.3">
      <c r="U321817" s="25"/>
    </row>
    <row r="321839" spans="21:21" x14ac:dyDescent="0.3">
      <c r="U321839" s="25"/>
    </row>
    <row r="321861" spans="21:21" x14ac:dyDescent="0.3">
      <c r="U321861" s="25"/>
    </row>
    <row r="321883" spans="21:21" x14ac:dyDescent="0.3">
      <c r="U321883" s="25"/>
    </row>
    <row r="321905" spans="21:21" x14ac:dyDescent="0.3">
      <c r="U321905" s="25"/>
    </row>
    <row r="321927" spans="21:21" x14ac:dyDescent="0.3">
      <c r="U321927" s="25"/>
    </row>
    <row r="321949" spans="21:21" x14ac:dyDescent="0.3">
      <c r="U321949" s="25"/>
    </row>
    <row r="321971" spans="21:21" x14ac:dyDescent="0.3">
      <c r="U321971" s="25"/>
    </row>
    <row r="321993" spans="21:21" x14ac:dyDescent="0.3">
      <c r="U321993" s="25"/>
    </row>
    <row r="322015" spans="21:21" x14ac:dyDescent="0.3">
      <c r="U322015" s="25"/>
    </row>
    <row r="322037" spans="21:21" x14ac:dyDescent="0.3">
      <c r="U322037" s="25"/>
    </row>
    <row r="322059" spans="21:21" x14ac:dyDescent="0.3">
      <c r="U322059" s="25"/>
    </row>
    <row r="322081" spans="21:21" x14ac:dyDescent="0.3">
      <c r="U322081" s="25"/>
    </row>
    <row r="322103" spans="21:21" x14ac:dyDescent="0.3">
      <c r="U322103" s="25"/>
    </row>
    <row r="322125" spans="21:21" x14ac:dyDescent="0.3">
      <c r="U322125" s="25"/>
    </row>
    <row r="322147" spans="21:21" x14ac:dyDescent="0.3">
      <c r="U322147" s="25"/>
    </row>
    <row r="322169" spans="21:21" x14ac:dyDescent="0.3">
      <c r="U322169" s="25"/>
    </row>
    <row r="322191" spans="21:21" x14ac:dyDescent="0.3">
      <c r="U322191" s="25"/>
    </row>
    <row r="322213" spans="21:21" x14ac:dyDescent="0.3">
      <c r="U322213" s="25"/>
    </row>
    <row r="322235" spans="21:21" x14ac:dyDescent="0.3">
      <c r="U322235" s="25"/>
    </row>
    <row r="322257" spans="21:21" x14ac:dyDescent="0.3">
      <c r="U322257" s="25"/>
    </row>
    <row r="322279" spans="21:21" x14ac:dyDescent="0.3">
      <c r="U322279" s="25"/>
    </row>
    <row r="322301" spans="21:21" x14ac:dyDescent="0.3">
      <c r="U322301" s="25"/>
    </row>
    <row r="322323" spans="21:21" x14ac:dyDescent="0.3">
      <c r="U322323" s="25"/>
    </row>
    <row r="322345" spans="21:21" x14ac:dyDescent="0.3">
      <c r="U322345" s="25"/>
    </row>
    <row r="322367" spans="21:21" x14ac:dyDescent="0.3">
      <c r="U322367" s="25"/>
    </row>
    <row r="322389" spans="21:21" x14ac:dyDescent="0.3">
      <c r="U322389" s="25"/>
    </row>
    <row r="322411" spans="21:21" x14ac:dyDescent="0.3">
      <c r="U322411" s="25"/>
    </row>
    <row r="322433" spans="21:21" x14ac:dyDescent="0.3">
      <c r="U322433" s="25"/>
    </row>
    <row r="322455" spans="21:21" x14ac:dyDescent="0.3">
      <c r="U322455" s="25"/>
    </row>
    <row r="322477" spans="21:21" x14ac:dyDescent="0.3">
      <c r="U322477" s="25"/>
    </row>
    <row r="322499" spans="21:21" x14ac:dyDescent="0.3">
      <c r="U322499" s="25"/>
    </row>
    <row r="322521" spans="21:21" x14ac:dyDescent="0.3">
      <c r="U322521" s="25"/>
    </row>
    <row r="322543" spans="21:21" x14ac:dyDescent="0.3">
      <c r="U322543" s="25"/>
    </row>
    <row r="322565" spans="21:21" x14ac:dyDescent="0.3">
      <c r="U322565" s="25"/>
    </row>
    <row r="322587" spans="21:21" x14ac:dyDescent="0.3">
      <c r="U322587" s="25"/>
    </row>
    <row r="322609" spans="21:21" x14ac:dyDescent="0.3">
      <c r="U322609" s="25"/>
    </row>
    <row r="322631" spans="21:21" x14ac:dyDescent="0.3">
      <c r="U322631" s="25"/>
    </row>
    <row r="322653" spans="21:21" x14ac:dyDescent="0.3">
      <c r="U322653" s="25"/>
    </row>
    <row r="322675" spans="21:21" x14ac:dyDescent="0.3">
      <c r="U322675" s="25"/>
    </row>
    <row r="322697" spans="21:21" x14ac:dyDescent="0.3">
      <c r="U322697" s="25"/>
    </row>
    <row r="322719" spans="21:21" x14ac:dyDescent="0.3">
      <c r="U322719" s="25"/>
    </row>
    <row r="322741" spans="21:21" x14ac:dyDescent="0.3">
      <c r="U322741" s="25"/>
    </row>
    <row r="322763" spans="21:21" x14ac:dyDescent="0.3">
      <c r="U322763" s="25"/>
    </row>
    <row r="322785" spans="21:21" x14ac:dyDescent="0.3">
      <c r="U322785" s="25"/>
    </row>
    <row r="322807" spans="21:21" x14ac:dyDescent="0.3">
      <c r="U322807" s="25"/>
    </row>
    <row r="322829" spans="21:21" x14ac:dyDescent="0.3">
      <c r="U322829" s="25"/>
    </row>
    <row r="322851" spans="21:21" x14ac:dyDescent="0.3">
      <c r="U322851" s="25"/>
    </row>
    <row r="322873" spans="21:21" x14ac:dyDescent="0.3">
      <c r="U322873" s="25"/>
    </row>
    <row r="322895" spans="21:21" x14ac:dyDescent="0.3">
      <c r="U322895" s="25"/>
    </row>
    <row r="322917" spans="21:21" x14ac:dyDescent="0.3">
      <c r="U322917" s="25"/>
    </row>
    <row r="322939" spans="21:21" x14ac:dyDescent="0.3">
      <c r="U322939" s="25"/>
    </row>
    <row r="322961" spans="21:21" x14ac:dyDescent="0.3">
      <c r="U322961" s="25"/>
    </row>
    <row r="322983" spans="21:21" x14ac:dyDescent="0.3">
      <c r="U322983" s="25"/>
    </row>
    <row r="323005" spans="21:21" x14ac:dyDescent="0.3">
      <c r="U323005" s="25"/>
    </row>
    <row r="323027" spans="21:21" x14ac:dyDescent="0.3">
      <c r="U323027" s="25"/>
    </row>
    <row r="323049" spans="21:21" x14ac:dyDescent="0.3">
      <c r="U323049" s="25"/>
    </row>
    <row r="323071" spans="21:21" x14ac:dyDescent="0.3">
      <c r="U323071" s="25"/>
    </row>
    <row r="323093" spans="21:21" x14ac:dyDescent="0.3">
      <c r="U323093" s="25"/>
    </row>
    <row r="323115" spans="21:21" x14ac:dyDescent="0.3">
      <c r="U323115" s="25"/>
    </row>
    <row r="323137" spans="21:21" x14ac:dyDescent="0.3">
      <c r="U323137" s="25"/>
    </row>
    <row r="323159" spans="21:21" x14ac:dyDescent="0.3">
      <c r="U323159" s="25"/>
    </row>
    <row r="323181" spans="21:21" x14ac:dyDescent="0.3">
      <c r="U323181" s="25"/>
    </row>
    <row r="323203" spans="21:21" x14ac:dyDescent="0.3">
      <c r="U323203" s="25"/>
    </row>
    <row r="323225" spans="21:21" x14ac:dyDescent="0.3">
      <c r="U323225" s="25"/>
    </row>
    <row r="323247" spans="21:21" x14ac:dyDescent="0.3">
      <c r="U323247" s="25"/>
    </row>
    <row r="323269" spans="21:21" x14ac:dyDescent="0.3">
      <c r="U323269" s="25"/>
    </row>
    <row r="323291" spans="21:21" x14ac:dyDescent="0.3">
      <c r="U323291" s="25"/>
    </row>
    <row r="323313" spans="21:21" x14ac:dyDescent="0.3">
      <c r="U323313" s="25"/>
    </row>
    <row r="323335" spans="21:21" x14ac:dyDescent="0.3">
      <c r="U323335" s="25"/>
    </row>
    <row r="323357" spans="21:21" x14ac:dyDescent="0.3">
      <c r="U323357" s="25"/>
    </row>
    <row r="323379" spans="21:21" x14ac:dyDescent="0.3">
      <c r="U323379" s="25"/>
    </row>
    <row r="323401" spans="21:21" x14ac:dyDescent="0.3">
      <c r="U323401" s="25"/>
    </row>
    <row r="323423" spans="21:21" x14ac:dyDescent="0.3">
      <c r="U323423" s="25"/>
    </row>
    <row r="323445" spans="21:21" x14ac:dyDescent="0.3">
      <c r="U323445" s="25"/>
    </row>
    <row r="323467" spans="21:21" x14ac:dyDescent="0.3">
      <c r="U323467" s="25"/>
    </row>
    <row r="323489" spans="21:21" x14ac:dyDescent="0.3">
      <c r="U323489" s="25"/>
    </row>
    <row r="323511" spans="21:21" x14ac:dyDescent="0.3">
      <c r="U323511" s="25"/>
    </row>
    <row r="323533" spans="21:21" x14ac:dyDescent="0.3">
      <c r="U323533" s="25"/>
    </row>
    <row r="323555" spans="21:21" x14ac:dyDescent="0.3">
      <c r="U323555" s="25"/>
    </row>
    <row r="323577" spans="21:21" x14ac:dyDescent="0.3">
      <c r="U323577" s="25"/>
    </row>
    <row r="323599" spans="21:21" x14ac:dyDescent="0.3">
      <c r="U323599" s="25"/>
    </row>
    <row r="323621" spans="21:21" x14ac:dyDescent="0.3">
      <c r="U323621" s="25"/>
    </row>
    <row r="323643" spans="21:21" x14ac:dyDescent="0.3">
      <c r="U323643" s="25"/>
    </row>
    <row r="323665" spans="21:21" x14ac:dyDescent="0.3">
      <c r="U323665" s="25"/>
    </row>
    <row r="323687" spans="21:21" x14ac:dyDescent="0.3">
      <c r="U323687" s="25"/>
    </row>
    <row r="323709" spans="21:21" x14ac:dyDescent="0.3">
      <c r="U323709" s="25"/>
    </row>
    <row r="323731" spans="21:21" x14ac:dyDescent="0.3">
      <c r="U323731" s="25"/>
    </row>
    <row r="323753" spans="21:21" x14ac:dyDescent="0.3">
      <c r="U323753" s="25"/>
    </row>
    <row r="323775" spans="21:21" x14ac:dyDescent="0.3">
      <c r="U323775" s="25"/>
    </row>
    <row r="323797" spans="21:21" x14ac:dyDescent="0.3">
      <c r="U323797" s="25"/>
    </row>
    <row r="323819" spans="21:21" x14ac:dyDescent="0.3">
      <c r="U323819" s="25"/>
    </row>
    <row r="323841" spans="21:21" x14ac:dyDescent="0.3">
      <c r="U323841" s="25"/>
    </row>
    <row r="323863" spans="21:21" x14ac:dyDescent="0.3">
      <c r="U323863" s="25"/>
    </row>
    <row r="323885" spans="21:21" x14ac:dyDescent="0.3">
      <c r="U323885" s="25"/>
    </row>
    <row r="323907" spans="21:21" x14ac:dyDescent="0.3">
      <c r="U323907" s="25"/>
    </row>
    <row r="323929" spans="21:21" x14ac:dyDescent="0.3">
      <c r="U323929" s="25"/>
    </row>
    <row r="323951" spans="21:21" x14ac:dyDescent="0.3">
      <c r="U323951" s="25"/>
    </row>
    <row r="323973" spans="21:21" x14ac:dyDescent="0.3">
      <c r="U323973" s="25"/>
    </row>
    <row r="323995" spans="21:21" x14ac:dyDescent="0.3">
      <c r="U323995" s="25"/>
    </row>
    <row r="324017" spans="21:21" x14ac:dyDescent="0.3">
      <c r="U324017" s="25"/>
    </row>
    <row r="324039" spans="21:21" x14ac:dyDescent="0.3">
      <c r="U324039" s="25"/>
    </row>
    <row r="324061" spans="21:21" x14ac:dyDescent="0.3">
      <c r="U324061" s="25"/>
    </row>
    <row r="324083" spans="21:21" x14ac:dyDescent="0.3">
      <c r="U324083" s="25"/>
    </row>
    <row r="324105" spans="21:21" x14ac:dyDescent="0.3">
      <c r="U324105" s="25"/>
    </row>
    <row r="324127" spans="21:21" x14ac:dyDescent="0.3">
      <c r="U324127" s="25"/>
    </row>
    <row r="324149" spans="21:21" x14ac:dyDescent="0.3">
      <c r="U324149" s="25"/>
    </row>
    <row r="324171" spans="21:21" x14ac:dyDescent="0.3">
      <c r="U324171" s="25"/>
    </row>
    <row r="324193" spans="21:21" x14ac:dyDescent="0.3">
      <c r="U324193" s="25"/>
    </row>
    <row r="324215" spans="21:21" x14ac:dyDescent="0.3">
      <c r="U324215" s="25"/>
    </row>
    <row r="324237" spans="21:21" x14ac:dyDescent="0.3">
      <c r="U324237" s="25"/>
    </row>
    <row r="324259" spans="21:21" x14ac:dyDescent="0.3">
      <c r="U324259" s="25"/>
    </row>
    <row r="324281" spans="21:21" x14ac:dyDescent="0.3">
      <c r="U324281" s="25"/>
    </row>
    <row r="324303" spans="21:21" x14ac:dyDescent="0.3">
      <c r="U324303" s="25"/>
    </row>
    <row r="324325" spans="21:21" x14ac:dyDescent="0.3">
      <c r="U324325" s="25"/>
    </row>
    <row r="324347" spans="21:21" x14ac:dyDescent="0.3">
      <c r="U324347" s="25"/>
    </row>
    <row r="324369" spans="21:21" x14ac:dyDescent="0.3">
      <c r="U324369" s="25"/>
    </row>
    <row r="324391" spans="21:21" x14ac:dyDescent="0.3">
      <c r="U324391" s="25"/>
    </row>
    <row r="324413" spans="21:21" x14ac:dyDescent="0.3">
      <c r="U324413" s="25"/>
    </row>
    <row r="324435" spans="21:21" x14ac:dyDescent="0.3">
      <c r="U324435" s="25"/>
    </row>
    <row r="324457" spans="21:21" x14ac:dyDescent="0.3">
      <c r="U324457" s="25"/>
    </row>
    <row r="324479" spans="21:21" x14ac:dyDescent="0.3">
      <c r="U324479" s="25"/>
    </row>
    <row r="324501" spans="21:21" x14ac:dyDescent="0.3">
      <c r="U324501" s="25"/>
    </row>
    <row r="324523" spans="21:21" x14ac:dyDescent="0.3">
      <c r="U324523" s="25"/>
    </row>
    <row r="324545" spans="21:21" x14ac:dyDescent="0.3">
      <c r="U324545" s="25"/>
    </row>
    <row r="324567" spans="21:21" x14ac:dyDescent="0.3">
      <c r="U324567" s="25"/>
    </row>
    <row r="324589" spans="21:21" x14ac:dyDescent="0.3">
      <c r="U324589" s="25"/>
    </row>
    <row r="324611" spans="21:21" x14ac:dyDescent="0.3">
      <c r="U324611" s="25"/>
    </row>
    <row r="324633" spans="21:21" x14ac:dyDescent="0.3">
      <c r="U324633" s="25"/>
    </row>
    <row r="324655" spans="21:21" x14ac:dyDescent="0.3">
      <c r="U324655" s="25"/>
    </row>
    <row r="324677" spans="21:21" x14ac:dyDescent="0.3">
      <c r="U324677" s="25"/>
    </row>
    <row r="324699" spans="21:21" x14ac:dyDescent="0.3">
      <c r="U324699" s="25"/>
    </row>
    <row r="324721" spans="21:21" x14ac:dyDescent="0.3">
      <c r="U324721" s="25"/>
    </row>
    <row r="324743" spans="21:21" x14ac:dyDescent="0.3">
      <c r="U324743" s="25"/>
    </row>
    <row r="324765" spans="21:21" x14ac:dyDescent="0.3">
      <c r="U324765" s="25"/>
    </row>
    <row r="324787" spans="21:21" x14ac:dyDescent="0.3">
      <c r="U324787" s="25"/>
    </row>
    <row r="324809" spans="21:21" x14ac:dyDescent="0.3">
      <c r="U324809" s="25"/>
    </row>
    <row r="324831" spans="21:21" x14ac:dyDescent="0.3">
      <c r="U324831" s="25"/>
    </row>
    <row r="324853" spans="21:21" x14ac:dyDescent="0.3">
      <c r="U324853" s="25"/>
    </row>
    <row r="324875" spans="21:21" x14ac:dyDescent="0.3">
      <c r="U324875" s="25"/>
    </row>
    <row r="324897" spans="21:21" x14ac:dyDescent="0.3">
      <c r="U324897" s="25"/>
    </row>
    <row r="324919" spans="21:21" x14ac:dyDescent="0.3">
      <c r="U324919" s="25"/>
    </row>
    <row r="324941" spans="21:21" x14ac:dyDescent="0.3">
      <c r="U324941" s="25"/>
    </row>
    <row r="324963" spans="21:21" x14ac:dyDescent="0.3">
      <c r="U324963" s="25"/>
    </row>
    <row r="324985" spans="21:21" x14ac:dyDescent="0.3">
      <c r="U324985" s="25"/>
    </row>
    <row r="325007" spans="21:21" x14ac:dyDescent="0.3">
      <c r="U325007" s="25"/>
    </row>
    <row r="325029" spans="21:21" x14ac:dyDescent="0.3">
      <c r="U325029" s="25"/>
    </row>
    <row r="325051" spans="21:21" x14ac:dyDescent="0.3">
      <c r="U325051" s="25"/>
    </row>
    <row r="325073" spans="21:21" x14ac:dyDescent="0.3">
      <c r="U325073" s="25"/>
    </row>
    <row r="325095" spans="21:21" x14ac:dyDescent="0.3">
      <c r="U325095" s="25"/>
    </row>
    <row r="325117" spans="21:21" x14ac:dyDescent="0.3">
      <c r="U325117" s="25"/>
    </row>
    <row r="325139" spans="21:21" x14ac:dyDescent="0.3">
      <c r="U325139" s="25"/>
    </row>
    <row r="325161" spans="21:21" x14ac:dyDescent="0.3">
      <c r="U325161" s="25"/>
    </row>
    <row r="325183" spans="21:21" x14ac:dyDescent="0.3">
      <c r="U325183" s="25"/>
    </row>
    <row r="325205" spans="21:21" x14ac:dyDescent="0.3">
      <c r="U325205" s="25"/>
    </row>
    <row r="325227" spans="21:21" x14ac:dyDescent="0.3">
      <c r="U325227" s="25"/>
    </row>
    <row r="325249" spans="21:21" x14ac:dyDescent="0.3">
      <c r="U325249" s="25"/>
    </row>
    <row r="325271" spans="21:21" x14ac:dyDescent="0.3">
      <c r="U325271" s="25"/>
    </row>
    <row r="325293" spans="21:21" x14ac:dyDescent="0.3">
      <c r="U325293" s="25"/>
    </row>
    <row r="325315" spans="21:21" x14ac:dyDescent="0.3">
      <c r="U325315" s="25"/>
    </row>
    <row r="325337" spans="21:21" x14ac:dyDescent="0.3">
      <c r="U325337" s="25"/>
    </row>
    <row r="325359" spans="21:21" x14ac:dyDescent="0.3">
      <c r="U325359" s="25"/>
    </row>
    <row r="325381" spans="21:21" x14ac:dyDescent="0.3">
      <c r="U325381" s="25"/>
    </row>
    <row r="325403" spans="21:21" x14ac:dyDescent="0.3">
      <c r="U325403" s="25"/>
    </row>
    <row r="325425" spans="21:21" x14ac:dyDescent="0.3">
      <c r="U325425" s="25"/>
    </row>
    <row r="325447" spans="21:21" x14ac:dyDescent="0.3">
      <c r="U325447" s="25"/>
    </row>
    <row r="325469" spans="21:21" x14ac:dyDescent="0.3">
      <c r="U325469" s="25"/>
    </row>
    <row r="325491" spans="21:21" x14ac:dyDescent="0.3">
      <c r="U325491" s="25"/>
    </row>
    <row r="325513" spans="21:21" x14ac:dyDescent="0.3">
      <c r="U325513" s="25"/>
    </row>
    <row r="325535" spans="21:21" x14ac:dyDescent="0.3">
      <c r="U325535" s="25"/>
    </row>
    <row r="325557" spans="21:21" x14ac:dyDescent="0.3">
      <c r="U325557" s="25"/>
    </row>
    <row r="325579" spans="21:21" x14ac:dyDescent="0.3">
      <c r="U325579" s="25"/>
    </row>
    <row r="325601" spans="21:21" x14ac:dyDescent="0.3">
      <c r="U325601" s="25"/>
    </row>
    <row r="325623" spans="21:21" x14ac:dyDescent="0.3">
      <c r="U325623" s="25"/>
    </row>
    <row r="325645" spans="21:21" x14ac:dyDescent="0.3">
      <c r="U325645" s="25"/>
    </row>
    <row r="325667" spans="21:21" x14ac:dyDescent="0.3">
      <c r="U325667" s="25"/>
    </row>
    <row r="325689" spans="21:21" x14ac:dyDescent="0.3">
      <c r="U325689" s="25"/>
    </row>
    <row r="325711" spans="21:21" x14ac:dyDescent="0.3">
      <c r="U325711" s="25"/>
    </row>
    <row r="325733" spans="21:21" x14ac:dyDescent="0.3">
      <c r="U325733" s="25"/>
    </row>
    <row r="325755" spans="21:21" x14ac:dyDescent="0.3">
      <c r="U325755" s="25"/>
    </row>
    <row r="325777" spans="21:21" x14ac:dyDescent="0.3">
      <c r="U325777" s="25"/>
    </row>
    <row r="325799" spans="21:21" x14ac:dyDescent="0.3">
      <c r="U325799" s="25"/>
    </row>
    <row r="325821" spans="21:21" x14ac:dyDescent="0.3">
      <c r="U325821" s="25"/>
    </row>
    <row r="325843" spans="21:21" x14ac:dyDescent="0.3">
      <c r="U325843" s="25"/>
    </row>
    <row r="325865" spans="21:21" x14ac:dyDescent="0.3">
      <c r="U325865" s="25"/>
    </row>
    <row r="325887" spans="21:21" x14ac:dyDescent="0.3">
      <c r="U325887" s="25"/>
    </row>
    <row r="325909" spans="21:21" x14ac:dyDescent="0.3">
      <c r="U325909" s="25"/>
    </row>
    <row r="325931" spans="21:21" x14ac:dyDescent="0.3">
      <c r="U325931" s="25"/>
    </row>
    <row r="325953" spans="21:21" x14ac:dyDescent="0.3">
      <c r="U325953" s="25"/>
    </row>
    <row r="325975" spans="21:21" x14ac:dyDescent="0.3">
      <c r="U325975" s="25"/>
    </row>
    <row r="325997" spans="21:21" x14ac:dyDescent="0.3">
      <c r="U325997" s="25"/>
    </row>
    <row r="326019" spans="21:21" x14ac:dyDescent="0.3">
      <c r="U326019" s="25"/>
    </row>
    <row r="326041" spans="21:21" x14ac:dyDescent="0.3">
      <c r="U326041" s="25"/>
    </row>
    <row r="326063" spans="21:21" x14ac:dyDescent="0.3">
      <c r="U326063" s="25"/>
    </row>
    <row r="326085" spans="21:21" x14ac:dyDescent="0.3">
      <c r="U326085" s="25"/>
    </row>
    <row r="326107" spans="21:21" x14ac:dyDescent="0.3">
      <c r="U326107" s="25"/>
    </row>
    <row r="326129" spans="21:21" x14ac:dyDescent="0.3">
      <c r="U326129" s="25"/>
    </row>
    <row r="326151" spans="21:21" x14ac:dyDescent="0.3">
      <c r="U326151" s="25"/>
    </row>
    <row r="326173" spans="21:21" x14ac:dyDescent="0.3">
      <c r="U326173" s="25"/>
    </row>
    <row r="326195" spans="21:21" x14ac:dyDescent="0.3">
      <c r="U326195" s="25"/>
    </row>
    <row r="326217" spans="21:21" x14ac:dyDescent="0.3">
      <c r="U326217" s="25"/>
    </row>
    <row r="326239" spans="21:21" x14ac:dyDescent="0.3">
      <c r="U326239" s="25"/>
    </row>
    <row r="326261" spans="21:21" x14ac:dyDescent="0.3">
      <c r="U326261" s="25"/>
    </row>
    <row r="326283" spans="21:21" x14ac:dyDescent="0.3">
      <c r="U326283" s="25"/>
    </row>
    <row r="326305" spans="21:21" x14ac:dyDescent="0.3">
      <c r="U326305" s="25"/>
    </row>
    <row r="326327" spans="21:21" x14ac:dyDescent="0.3">
      <c r="U326327" s="25"/>
    </row>
    <row r="326349" spans="21:21" x14ac:dyDescent="0.3">
      <c r="U326349" s="25"/>
    </row>
    <row r="326371" spans="21:21" x14ac:dyDescent="0.3">
      <c r="U326371" s="25"/>
    </row>
    <row r="326393" spans="21:21" x14ac:dyDescent="0.3">
      <c r="U326393" s="25"/>
    </row>
    <row r="326415" spans="21:21" x14ac:dyDescent="0.3">
      <c r="U326415" s="25"/>
    </row>
    <row r="326437" spans="21:21" x14ac:dyDescent="0.3">
      <c r="U326437" s="25"/>
    </row>
    <row r="326459" spans="21:21" x14ac:dyDescent="0.3">
      <c r="U326459" s="25"/>
    </row>
    <row r="326481" spans="21:21" x14ac:dyDescent="0.3">
      <c r="U326481" s="25"/>
    </row>
    <row r="326503" spans="21:21" x14ac:dyDescent="0.3">
      <c r="U326503" s="25"/>
    </row>
    <row r="326525" spans="21:21" x14ac:dyDescent="0.3">
      <c r="U326525" s="25"/>
    </row>
    <row r="326547" spans="21:21" x14ac:dyDescent="0.3">
      <c r="U326547" s="25"/>
    </row>
    <row r="326569" spans="21:21" x14ac:dyDescent="0.3">
      <c r="U326569" s="25"/>
    </row>
    <row r="326591" spans="21:21" x14ac:dyDescent="0.3">
      <c r="U326591" s="25"/>
    </row>
    <row r="326613" spans="21:21" x14ac:dyDescent="0.3">
      <c r="U326613" s="25"/>
    </row>
    <row r="326635" spans="21:21" x14ac:dyDescent="0.3">
      <c r="U326635" s="25"/>
    </row>
    <row r="326657" spans="21:21" x14ac:dyDescent="0.3">
      <c r="U326657" s="25"/>
    </row>
    <row r="326679" spans="21:21" x14ac:dyDescent="0.3">
      <c r="U326679" s="25"/>
    </row>
    <row r="326701" spans="21:21" x14ac:dyDescent="0.3">
      <c r="U326701" s="25"/>
    </row>
    <row r="326723" spans="21:21" x14ac:dyDescent="0.3">
      <c r="U326723" s="25"/>
    </row>
    <row r="326745" spans="21:21" x14ac:dyDescent="0.3">
      <c r="U326745" s="25"/>
    </row>
    <row r="326767" spans="21:21" x14ac:dyDescent="0.3">
      <c r="U326767" s="25"/>
    </row>
    <row r="326789" spans="21:21" x14ac:dyDescent="0.3">
      <c r="U326789" s="25"/>
    </row>
    <row r="326811" spans="21:21" x14ac:dyDescent="0.3">
      <c r="U326811" s="25"/>
    </row>
    <row r="326833" spans="21:21" x14ac:dyDescent="0.3">
      <c r="U326833" s="25"/>
    </row>
    <row r="326855" spans="21:21" x14ac:dyDescent="0.3">
      <c r="U326855" s="25"/>
    </row>
    <row r="326877" spans="21:21" x14ac:dyDescent="0.3">
      <c r="U326877" s="25"/>
    </row>
    <row r="326899" spans="21:21" x14ac:dyDescent="0.3">
      <c r="U326899" s="25"/>
    </row>
    <row r="326921" spans="21:21" x14ac:dyDescent="0.3">
      <c r="U326921" s="25"/>
    </row>
    <row r="326943" spans="21:21" x14ac:dyDescent="0.3">
      <c r="U326943" s="25"/>
    </row>
    <row r="326965" spans="21:21" x14ac:dyDescent="0.3">
      <c r="U326965" s="25"/>
    </row>
    <row r="326987" spans="21:21" x14ac:dyDescent="0.3">
      <c r="U326987" s="25"/>
    </row>
    <row r="327009" spans="21:21" x14ac:dyDescent="0.3">
      <c r="U327009" s="25"/>
    </row>
    <row r="327031" spans="21:21" x14ac:dyDescent="0.3">
      <c r="U327031" s="25"/>
    </row>
    <row r="327053" spans="21:21" x14ac:dyDescent="0.3">
      <c r="U327053" s="25"/>
    </row>
    <row r="327075" spans="21:21" x14ac:dyDescent="0.3">
      <c r="U327075" s="25"/>
    </row>
    <row r="327097" spans="21:21" x14ac:dyDescent="0.3">
      <c r="U327097" s="25"/>
    </row>
    <row r="327119" spans="21:21" x14ac:dyDescent="0.3">
      <c r="U327119" s="25"/>
    </row>
    <row r="327141" spans="21:21" x14ac:dyDescent="0.3">
      <c r="U327141" s="25"/>
    </row>
    <row r="327163" spans="21:21" x14ac:dyDescent="0.3">
      <c r="U327163" s="25"/>
    </row>
    <row r="327185" spans="21:21" x14ac:dyDescent="0.3">
      <c r="U327185" s="25"/>
    </row>
    <row r="327207" spans="21:21" x14ac:dyDescent="0.3">
      <c r="U327207" s="25"/>
    </row>
    <row r="327229" spans="21:21" x14ac:dyDescent="0.3">
      <c r="U327229" s="25"/>
    </row>
    <row r="327251" spans="21:21" x14ac:dyDescent="0.3">
      <c r="U327251" s="25"/>
    </row>
    <row r="327273" spans="21:21" x14ac:dyDescent="0.3">
      <c r="U327273" s="25"/>
    </row>
    <row r="327295" spans="21:21" x14ac:dyDescent="0.3">
      <c r="U327295" s="25"/>
    </row>
    <row r="327317" spans="21:21" x14ac:dyDescent="0.3">
      <c r="U327317" s="25"/>
    </row>
    <row r="327339" spans="21:21" x14ac:dyDescent="0.3">
      <c r="U327339" s="25"/>
    </row>
    <row r="327361" spans="21:21" x14ac:dyDescent="0.3">
      <c r="U327361" s="25"/>
    </row>
    <row r="327383" spans="21:21" x14ac:dyDescent="0.3">
      <c r="U327383" s="25"/>
    </row>
    <row r="327405" spans="21:21" x14ac:dyDescent="0.3">
      <c r="U327405" s="25"/>
    </row>
    <row r="327427" spans="21:21" x14ac:dyDescent="0.3">
      <c r="U327427" s="25"/>
    </row>
    <row r="327449" spans="21:21" x14ac:dyDescent="0.3">
      <c r="U327449" s="25"/>
    </row>
    <row r="327471" spans="21:21" x14ac:dyDescent="0.3">
      <c r="U327471" s="25"/>
    </row>
    <row r="327493" spans="21:21" x14ac:dyDescent="0.3">
      <c r="U327493" s="25"/>
    </row>
    <row r="327515" spans="21:21" x14ac:dyDescent="0.3">
      <c r="U327515" s="25"/>
    </row>
    <row r="327537" spans="21:21" x14ac:dyDescent="0.3">
      <c r="U327537" s="25"/>
    </row>
    <row r="327559" spans="21:21" x14ac:dyDescent="0.3">
      <c r="U327559" s="25"/>
    </row>
    <row r="327581" spans="21:21" x14ac:dyDescent="0.3">
      <c r="U327581" s="25"/>
    </row>
    <row r="327603" spans="21:21" x14ac:dyDescent="0.3">
      <c r="U327603" s="25"/>
    </row>
    <row r="327625" spans="21:21" x14ac:dyDescent="0.3">
      <c r="U327625" s="25"/>
    </row>
    <row r="327647" spans="21:21" x14ac:dyDescent="0.3">
      <c r="U327647" s="25"/>
    </row>
    <row r="327669" spans="21:21" x14ac:dyDescent="0.3">
      <c r="U327669" s="25"/>
    </row>
    <row r="327691" spans="21:21" x14ac:dyDescent="0.3">
      <c r="U327691" s="25"/>
    </row>
    <row r="327713" spans="21:21" x14ac:dyDescent="0.3">
      <c r="U327713" s="25"/>
    </row>
    <row r="327735" spans="21:21" x14ac:dyDescent="0.3">
      <c r="U327735" s="25"/>
    </row>
    <row r="327757" spans="21:21" x14ac:dyDescent="0.3">
      <c r="U327757" s="25"/>
    </row>
    <row r="327779" spans="21:21" x14ac:dyDescent="0.3">
      <c r="U327779" s="25"/>
    </row>
    <row r="327801" spans="21:21" x14ac:dyDescent="0.3">
      <c r="U327801" s="25"/>
    </row>
    <row r="327823" spans="21:21" x14ac:dyDescent="0.3">
      <c r="U327823" s="25"/>
    </row>
    <row r="327845" spans="21:21" x14ac:dyDescent="0.3">
      <c r="U327845" s="25"/>
    </row>
    <row r="327867" spans="21:21" x14ac:dyDescent="0.3">
      <c r="U327867" s="25"/>
    </row>
    <row r="327889" spans="21:21" x14ac:dyDescent="0.3">
      <c r="U327889" s="25"/>
    </row>
    <row r="327911" spans="21:21" x14ac:dyDescent="0.3">
      <c r="U327911" s="25"/>
    </row>
    <row r="327933" spans="21:21" x14ac:dyDescent="0.3">
      <c r="U327933" s="25"/>
    </row>
    <row r="327955" spans="21:21" x14ac:dyDescent="0.3">
      <c r="U327955" s="25"/>
    </row>
    <row r="327977" spans="21:21" x14ac:dyDescent="0.3">
      <c r="U327977" s="25"/>
    </row>
    <row r="327999" spans="21:21" x14ac:dyDescent="0.3">
      <c r="U327999" s="25"/>
    </row>
    <row r="328021" spans="21:21" x14ac:dyDescent="0.3">
      <c r="U328021" s="25"/>
    </row>
    <row r="328043" spans="21:21" x14ac:dyDescent="0.3">
      <c r="U328043" s="25"/>
    </row>
    <row r="328065" spans="21:21" x14ac:dyDescent="0.3">
      <c r="U328065" s="25"/>
    </row>
    <row r="328087" spans="21:21" x14ac:dyDescent="0.3">
      <c r="U328087" s="25"/>
    </row>
    <row r="328109" spans="21:21" x14ac:dyDescent="0.3">
      <c r="U328109" s="25"/>
    </row>
    <row r="328131" spans="21:21" x14ac:dyDescent="0.3">
      <c r="U328131" s="25"/>
    </row>
    <row r="328153" spans="21:21" x14ac:dyDescent="0.3">
      <c r="U328153" s="25"/>
    </row>
    <row r="328175" spans="21:21" x14ac:dyDescent="0.3">
      <c r="U328175" s="25"/>
    </row>
    <row r="328197" spans="21:21" x14ac:dyDescent="0.3">
      <c r="U328197" s="25"/>
    </row>
    <row r="328219" spans="21:21" x14ac:dyDescent="0.3">
      <c r="U328219" s="25"/>
    </row>
    <row r="328241" spans="21:21" x14ac:dyDescent="0.3">
      <c r="U328241" s="25"/>
    </row>
    <row r="328263" spans="21:21" x14ac:dyDescent="0.3">
      <c r="U328263" s="25"/>
    </row>
    <row r="328285" spans="21:21" x14ac:dyDescent="0.3">
      <c r="U328285" s="25"/>
    </row>
    <row r="328307" spans="21:21" x14ac:dyDescent="0.3">
      <c r="U328307" s="25"/>
    </row>
    <row r="328329" spans="21:21" x14ac:dyDescent="0.3">
      <c r="U328329" s="25"/>
    </row>
    <row r="328351" spans="21:21" x14ac:dyDescent="0.3">
      <c r="U328351" s="25"/>
    </row>
    <row r="328373" spans="21:21" x14ac:dyDescent="0.3">
      <c r="U328373" s="25"/>
    </row>
    <row r="328395" spans="21:21" x14ac:dyDescent="0.3">
      <c r="U328395" s="25"/>
    </row>
    <row r="328417" spans="21:21" x14ac:dyDescent="0.3">
      <c r="U328417" s="25"/>
    </row>
    <row r="328439" spans="21:21" x14ac:dyDescent="0.3">
      <c r="U328439" s="25"/>
    </row>
    <row r="328461" spans="21:21" x14ac:dyDescent="0.3">
      <c r="U328461" s="25"/>
    </row>
    <row r="328483" spans="21:21" x14ac:dyDescent="0.3">
      <c r="U328483" s="25"/>
    </row>
    <row r="328505" spans="21:21" x14ac:dyDescent="0.3">
      <c r="U328505" s="25"/>
    </row>
    <row r="328527" spans="21:21" x14ac:dyDescent="0.3">
      <c r="U328527" s="25"/>
    </row>
    <row r="328549" spans="21:21" x14ac:dyDescent="0.3">
      <c r="U328549" s="25"/>
    </row>
    <row r="328571" spans="21:21" x14ac:dyDescent="0.3">
      <c r="U328571" s="25"/>
    </row>
    <row r="328593" spans="21:21" x14ac:dyDescent="0.3">
      <c r="U328593" s="25"/>
    </row>
    <row r="328615" spans="21:21" x14ac:dyDescent="0.3">
      <c r="U328615" s="25"/>
    </row>
    <row r="328637" spans="21:21" x14ac:dyDescent="0.3">
      <c r="U328637" s="25"/>
    </row>
    <row r="328659" spans="21:21" x14ac:dyDescent="0.3">
      <c r="U328659" s="25"/>
    </row>
    <row r="328681" spans="21:21" x14ac:dyDescent="0.3">
      <c r="U328681" s="25"/>
    </row>
    <row r="328703" spans="21:21" x14ac:dyDescent="0.3">
      <c r="U328703" s="25"/>
    </row>
    <row r="328725" spans="21:21" x14ac:dyDescent="0.3">
      <c r="U328725" s="25"/>
    </row>
    <row r="328747" spans="21:21" x14ac:dyDescent="0.3">
      <c r="U328747" s="25"/>
    </row>
    <row r="328769" spans="21:21" x14ac:dyDescent="0.3">
      <c r="U328769" s="25"/>
    </row>
    <row r="328791" spans="21:21" x14ac:dyDescent="0.3">
      <c r="U328791" s="25"/>
    </row>
    <row r="328813" spans="21:21" x14ac:dyDescent="0.3">
      <c r="U328813" s="25"/>
    </row>
    <row r="328835" spans="21:21" x14ac:dyDescent="0.3">
      <c r="U328835" s="25"/>
    </row>
    <row r="328857" spans="21:21" x14ac:dyDescent="0.3">
      <c r="U328857" s="25"/>
    </row>
    <row r="328879" spans="21:21" x14ac:dyDescent="0.3">
      <c r="U328879" s="25"/>
    </row>
    <row r="328901" spans="21:21" x14ac:dyDescent="0.3">
      <c r="U328901" s="25"/>
    </row>
    <row r="328923" spans="21:21" x14ac:dyDescent="0.3">
      <c r="U328923" s="25"/>
    </row>
    <row r="328945" spans="21:21" x14ac:dyDescent="0.3">
      <c r="U328945" s="25"/>
    </row>
    <row r="328967" spans="21:21" x14ac:dyDescent="0.3">
      <c r="U328967" s="25"/>
    </row>
    <row r="328989" spans="21:21" x14ac:dyDescent="0.3">
      <c r="U328989" s="25"/>
    </row>
    <row r="329011" spans="21:21" x14ac:dyDescent="0.3">
      <c r="U329011" s="25"/>
    </row>
    <row r="329033" spans="21:21" x14ac:dyDescent="0.3">
      <c r="U329033" s="25"/>
    </row>
    <row r="329055" spans="21:21" x14ac:dyDescent="0.3">
      <c r="U329055" s="25"/>
    </row>
    <row r="329077" spans="21:21" x14ac:dyDescent="0.3">
      <c r="U329077" s="25"/>
    </row>
    <row r="329099" spans="21:21" x14ac:dyDescent="0.3">
      <c r="U329099" s="25"/>
    </row>
    <row r="329121" spans="21:21" x14ac:dyDescent="0.3">
      <c r="U329121" s="25"/>
    </row>
    <row r="329143" spans="21:21" x14ac:dyDescent="0.3">
      <c r="U329143" s="25"/>
    </row>
    <row r="329165" spans="21:21" x14ac:dyDescent="0.3">
      <c r="U329165" s="25"/>
    </row>
    <row r="329187" spans="21:21" x14ac:dyDescent="0.3">
      <c r="U329187" s="25"/>
    </row>
    <row r="329209" spans="21:21" x14ac:dyDescent="0.3">
      <c r="U329209" s="25"/>
    </row>
    <row r="329231" spans="21:21" x14ac:dyDescent="0.3">
      <c r="U329231" s="25"/>
    </row>
    <row r="329253" spans="21:21" x14ac:dyDescent="0.3">
      <c r="U329253" s="25"/>
    </row>
    <row r="329275" spans="21:21" x14ac:dyDescent="0.3">
      <c r="U329275" s="25"/>
    </row>
    <row r="329297" spans="21:21" x14ac:dyDescent="0.3">
      <c r="U329297" s="25"/>
    </row>
    <row r="329319" spans="21:21" x14ac:dyDescent="0.3">
      <c r="U329319" s="25"/>
    </row>
    <row r="329341" spans="21:21" x14ac:dyDescent="0.3">
      <c r="U329341" s="25"/>
    </row>
    <row r="329363" spans="21:21" x14ac:dyDescent="0.3">
      <c r="U329363" s="25"/>
    </row>
    <row r="329385" spans="21:21" x14ac:dyDescent="0.3">
      <c r="U329385" s="25"/>
    </row>
    <row r="329407" spans="21:21" x14ac:dyDescent="0.3">
      <c r="U329407" s="25"/>
    </row>
    <row r="329429" spans="21:21" x14ac:dyDescent="0.3">
      <c r="U329429" s="25"/>
    </row>
    <row r="329451" spans="21:21" x14ac:dyDescent="0.3">
      <c r="U329451" s="25"/>
    </row>
    <row r="329473" spans="21:21" x14ac:dyDescent="0.3">
      <c r="U329473" s="25"/>
    </row>
    <row r="329495" spans="21:21" x14ac:dyDescent="0.3">
      <c r="U329495" s="25"/>
    </row>
    <row r="329517" spans="21:21" x14ac:dyDescent="0.3">
      <c r="U329517" s="25"/>
    </row>
    <row r="329539" spans="21:21" x14ac:dyDescent="0.3">
      <c r="U329539" s="25"/>
    </row>
    <row r="329561" spans="21:21" x14ac:dyDescent="0.3">
      <c r="U329561" s="25"/>
    </row>
    <row r="329583" spans="21:21" x14ac:dyDescent="0.3">
      <c r="U329583" s="25"/>
    </row>
    <row r="329605" spans="21:21" x14ac:dyDescent="0.3">
      <c r="U329605" s="25"/>
    </row>
    <row r="329627" spans="21:21" x14ac:dyDescent="0.3">
      <c r="U329627" s="25"/>
    </row>
    <row r="329649" spans="21:21" x14ac:dyDescent="0.3">
      <c r="U329649" s="25"/>
    </row>
    <row r="329671" spans="21:21" x14ac:dyDescent="0.3">
      <c r="U329671" s="25"/>
    </row>
    <row r="329693" spans="21:21" x14ac:dyDescent="0.3">
      <c r="U329693" s="25"/>
    </row>
    <row r="329715" spans="21:21" x14ac:dyDescent="0.3">
      <c r="U329715" s="25"/>
    </row>
    <row r="329737" spans="21:21" x14ac:dyDescent="0.3">
      <c r="U329737" s="25"/>
    </row>
    <row r="329759" spans="21:21" x14ac:dyDescent="0.3">
      <c r="U329759" s="25"/>
    </row>
    <row r="329781" spans="21:21" x14ac:dyDescent="0.3">
      <c r="U329781" s="25"/>
    </row>
    <row r="329803" spans="21:21" x14ac:dyDescent="0.3">
      <c r="U329803" s="25"/>
    </row>
    <row r="329825" spans="21:21" x14ac:dyDescent="0.3">
      <c r="U329825" s="25"/>
    </row>
    <row r="329847" spans="21:21" x14ac:dyDescent="0.3">
      <c r="U329847" s="25"/>
    </row>
    <row r="329869" spans="21:21" x14ac:dyDescent="0.3">
      <c r="U329869" s="25"/>
    </row>
    <row r="329891" spans="21:21" x14ac:dyDescent="0.3">
      <c r="U329891" s="25"/>
    </row>
    <row r="329913" spans="21:21" x14ac:dyDescent="0.3">
      <c r="U329913" s="25"/>
    </row>
    <row r="329935" spans="21:21" x14ac:dyDescent="0.3">
      <c r="U329935" s="25"/>
    </row>
    <row r="329957" spans="21:21" x14ac:dyDescent="0.3">
      <c r="U329957" s="25"/>
    </row>
    <row r="329979" spans="21:21" x14ac:dyDescent="0.3">
      <c r="U329979" s="25"/>
    </row>
    <row r="330001" spans="21:21" x14ac:dyDescent="0.3">
      <c r="U330001" s="25"/>
    </row>
    <row r="330023" spans="21:21" x14ac:dyDescent="0.3">
      <c r="U330023" s="25"/>
    </row>
    <row r="330045" spans="21:21" x14ac:dyDescent="0.3">
      <c r="U330045" s="25"/>
    </row>
    <row r="330067" spans="21:21" x14ac:dyDescent="0.3">
      <c r="U330067" s="25"/>
    </row>
    <row r="330089" spans="21:21" x14ac:dyDescent="0.3">
      <c r="U330089" s="25"/>
    </row>
    <row r="330111" spans="21:21" x14ac:dyDescent="0.3">
      <c r="U330111" s="25"/>
    </row>
    <row r="330133" spans="21:21" x14ac:dyDescent="0.3">
      <c r="U330133" s="25"/>
    </row>
    <row r="330155" spans="21:21" x14ac:dyDescent="0.3">
      <c r="U330155" s="25"/>
    </row>
    <row r="330177" spans="21:21" x14ac:dyDescent="0.3">
      <c r="U330177" s="25"/>
    </row>
    <row r="330199" spans="21:21" x14ac:dyDescent="0.3">
      <c r="U330199" s="25"/>
    </row>
    <row r="330221" spans="21:21" x14ac:dyDescent="0.3">
      <c r="U330221" s="25"/>
    </row>
    <row r="330243" spans="21:21" x14ac:dyDescent="0.3">
      <c r="U330243" s="25"/>
    </row>
    <row r="330265" spans="21:21" x14ac:dyDescent="0.3">
      <c r="U330265" s="25"/>
    </row>
    <row r="330287" spans="21:21" x14ac:dyDescent="0.3">
      <c r="U330287" s="25"/>
    </row>
    <row r="330309" spans="21:21" x14ac:dyDescent="0.3">
      <c r="U330309" s="25"/>
    </row>
    <row r="330331" spans="21:21" x14ac:dyDescent="0.3">
      <c r="U330331" s="25"/>
    </row>
    <row r="330353" spans="21:21" x14ac:dyDescent="0.3">
      <c r="U330353" s="25"/>
    </row>
    <row r="330375" spans="21:21" x14ac:dyDescent="0.3">
      <c r="U330375" s="25"/>
    </row>
    <row r="330397" spans="21:21" x14ac:dyDescent="0.3">
      <c r="U330397" s="25"/>
    </row>
    <row r="330419" spans="21:21" x14ac:dyDescent="0.3">
      <c r="U330419" s="25"/>
    </row>
    <row r="330441" spans="21:21" x14ac:dyDescent="0.3">
      <c r="U330441" s="25"/>
    </row>
    <row r="330463" spans="21:21" x14ac:dyDescent="0.3">
      <c r="U330463" s="25"/>
    </row>
    <row r="330485" spans="21:21" x14ac:dyDescent="0.3">
      <c r="U330485" s="25"/>
    </row>
    <row r="330507" spans="21:21" x14ac:dyDescent="0.3">
      <c r="U330507" s="25"/>
    </row>
    <row r="330529" spans="21:21" x14ac:dyDescent="0.3">
      <c r="U330529" s="25"/>
    </row>
    <row r="330551" spans="21:21" x14ac:dyDescent="0.3">
      <c r="U330551" s="25"/>
    </row>
    <row r="330573" spans="21:21" x14ac:dyDescent="0.3">
      <c r="U330573" s="25"/>
    </row>
    <row r="330595" spans="21:21" x14ac:dyDescent="0.3">
      <c r="U330595" s="25"/>
    </row>
    <row r="330617" spans="21:21" x14ac:dyDescent="0.3">
      <c r="U330617" s="25"/>
    </row>
    <row r="330639" spans="21:21" x14ac:dyDescent="0.3">
      <c r="U330639" s="25"/>
    </row>
    <row r="330661" spans="21:21" x14ac:dyDescent="0.3">
      <c r="U330661" s="25"/>
    </row>
    <row r="330683" spans="21:21" x14ac:dyDescent="0.3">
      <c r="U330683" s="25"/>
    </row>
    <row r="330705" spans="21:21" x14ac:dyDescent="0.3">
      <c r="U330705" s="25"/>
    </row>
    <row r="330727" spans="21:21" x14ac:dyDescent="0.3">
      <c r="U330727" s="25"/>
    </row>
    <row r="330749" spans="21:21" x14ac:dyDescent="0.3">
      <c r="U330749" s="25"/>
    </row>
    <row r="330771" spans="21:21" x14ac:dyDescent="0.3">
      <c r="U330771" s="25"/>
    </row>
    <row r="330793" spans="21:21" x14ac:dyDescent="0.3">
      <c r="U330793" s="25"/>
    </row>
    <row r="330815" spans="21:21" x14ac:dyDescent="0.3">
      <c r="U330815" s="25"/>
    </row>
    <row r="330837" spans="21:21" x14ac:dyDescent="0.3">
      <c r="U330837" s="25"/>
    </row>
    <row r="330859" spans="21:21" x14ac:dyDescent="0.3">
      <c r="U330859" s="25"/>
    </row>
    <row r="330881" spans="21:21" x14ac:dyDescent="0.3">
      <c r="U330881" s="25"/>
    </row>
    <row r="330903" spans="21:21" x14ac:dyDescent="0.3">
      <c r="U330903" s="25"/>
    </row>
    <row r="330925" spans="21:21" x14ac:dyDescent="0.3">
      <c r="U330925" s="25"/>
    </row>
    <row r="330947" spans="21:21" x14ac:dyDescent="0.3">
      <c r="U330947" s="25"/>
    </row>
    <row r="330969" spans="21:21" x14ac:dyDescent="0.3">
      <c r="U330969" s="25"/>
    </row>
    <row r="330991" spans="21:21" x14ac:dyDescent="0.3">
      <c r="U330991" s="25"/>
    </row>
    <row r="331013" spans="21:21" x14ac:dyDescent="0.3">
      <c r="U331013" s="25"/>
    </row>
    <row r="331035" spans="21:21" x14ac:dyDescent="0.3">
      <c r="U331035" s="25"/>
    </row>
    <row r="331057" spans="21:21" x14ac:dyDescent="0.3">
      <c r="U331057" s="25"/>
    </row>
    <row r="331079" spans="21:21" x14ac:dyDescent="0.3">
      <c r="U331079" s="25"/>
    </row>
    <row r="331101" spans="21:21" x14ac:dyDescent="0.3">
      <c r="U331101" s="25"/>
    </row>
    <row r="331123" spans="21:21" x14ac:dyDescent="0.3">
      <c r="U331123" s="25"/>
    </row>
    <row r="331145" spans="21:21" x14ac:dyDescent="0.3">
      <c r="U331145" s="25"/>
    </row>
    <row r="331167" spans="21:21" x14ac:dyDescent="0.3">
      <c r="U331167" s="25"/>
    </row>
    <row r="331189" spans="21:21" x14ac:dyDescent="0.3">
      <c r="U331189" s="25"/>
    </row>
    <row r="331211" spans="21:21" x14ac:dyDescent="0.3">
      <c r="U331211" s="25"/>
    </row>
    <row r="331233" spans="21:21" x14ac:dyDescent="0.3">
      <c r="U331233" s="25"/>
    </row>
    <row r="331255" spans="21:21" x14ac:dyDescent="0.3">
      <c r="U331255" s="25"/>
    </row>
    <row r="331277" spans="21:21" x14ac:dyDescent="0.3">
      <c r="U331277" s="25"/>
    </row>
    <row r="331299" spans="21:21" x14ac:dyDescent="0.3">
      <c r="U331299" s="25"/>
    </row>
    <row r="331321" spans="21:21" x14ac:dyDescent="0.3">
      <c r="U331321" s="25"/>
    </row>
    <row r="331343" spans="21:21" x14ac:dyDescent="0.3">
      <c r="U331343" s="25"/>
    </row>
    <row r="331365" spans="21:21" x14ac:dyDescent="0.3">
      <c r="U331365" s="25"/>
    </row>
    <row r="331387" spans="21:21" x14ac:dyDescent="0.3">
      <c r="U331387" s="25"/>
    </row>
    <row r="331409" spans="21:21" x14ac:dyDescent="0.3">
      <c r="U331409" s="25"/>
    </row>
    <row r="331431" spans="21:21" x14ac:dyDescent="0.3">
      <c r="U331431" s="25"/>
    </row>
    <row r="331453" spans="21:21" x14ac:dyDescent="0.3">
      <c r="U331453" s="25"/>
    </row>
    <row r="331475" spans="21:21" x14ac:dyDescent="0.3">
      <c r="U331475" s="25"/>
    </row>
    <row r="331497" spans="21:21" x14ac:dyDescent="0.3">
      <c r="U331497" s="25"/>
    </row>
    <row r="331519" spans="21:21" x14ac:dyDescent="0.3">
      <c r="U331519" s="25"/>
    </row>
    <row r="331541" spans="21:21" x14ac:dyDescent="0.3">
      <c r="U331541" s="25"/>
    </row>
    <row r="331563" spans="21:21" x14ac:dyDescent="0.3">
      <c r="U331563" s="25"/>
    </row>
    <row r="331585" spans="21:21" x14ac:dyDescent="0.3">
      <c r="U331585" s="25"/>
    </row>
    <row r="331607" spans="21:21" x14ac:dyDescent="0.3">
      <c r="U331607" s="25"/>
    </row>
    <row r="331629" spans="21:21" x14ac:dyDescent="0.3">
      <c r="U331629" s="25"/>
    </row>
    <row r="331651" spans="21:21" x14ac:dyDescent="0.3">
      <c r="U331651" s="25"/>
    </row>
    <row r="331673" spans="21:21" x14ac:dyDescent="0.3">
      <c r="U331673" s="25"/>
    </row>
    <row r="331695" spans="21:21" x14ac:dyDescent="0.3">
      <c r="U331695" s="25"/>
    </row>
    <row r="331717" spans="21:21" x14ac:dyDescent="0.3">
      <c r="U331717" s="25"/>
    </row>
    <row r="331739" spans="21:21" x14ac:dyDescent="0.3">
      <c r="U331739" s="25"/>
    </row>
    <row r="331761" spans="21:21" x14ac:dyDescent="0.3">
      <c r="U331761" s="25"/>
    </row>
    <row r="331783" spans="21:21" x14ac:dyDescent="0.3">
      <c r="U331783" s="25"/>
    </row>
    <row r="331805" spans="21:21" x14ac:dyDescent="0.3">
      <c r="U331805" s="25"/>
    </row>
    <row r="331827" spans="21:21" x14ac:dyDescent="0.3">
      <c r="U331827" s="25"/>
    </row>
    <row r="331849" spans="21:21" x14ac:dyDescent="0.3">
      <c r="U331849" s="25"/>
    </row>
    <row r="331871" spans="21:21" x14ac:dyDescent="0.3">
      <c r="U331871" s="25"/>
    </row>
    <row r="331893" spans="21:21" x14ac:dyDescent="0.3">
      <c r="U331893" s="25"/>
    </row>
    <row r="331915" spans="21:21" x14ac:dyDescent="0.3">
      <c r="U331915" s="25"/>
    </row>
    <row r="331937" spans="21:21" x14ac:dyDescent="0.3">
      <c r="U331937" s="25"/>
    </row>
    <row r="331959" spans="21:21" x14ac:dyDescent="0.3">
      <c r="U331959" s="25"/>
    </row>
    <row r="331981" spans="21:21" x14ac:dyDescent="0.3">
      <c r="U331981" s="25"/>
    </row>
    <row r="332003" spans="21:21" x14ac:dyDescent="0.3">
      <c r="U332003" s="25"/>
    </row>
    <row r="332025" spans="21:21" x14ac:dyDescent="0.3">
      <c r="U332025" s="25"/>
    </row>
    <row r="332047" spans="21:21" x14ac:dyDescent="0.3">
      <c r="U332047" s="25"/>
    </row>
    <row r="332069" spans="21:21" x14ac:dyDescent="0.3">
      <c r="U332069" s="25"/>
    </row>
    <row r="332091" spans="21:21" x14ac:dyDescent="0.3">
      <c r="U332091" s="25"/>
    </row>
    <row r="332113" spans="21:21" x14ac:dyDescent="0.3">
      <c r="U332113" s="25"/>
    </row>
    <row r="332135" spans="21:21" x14ac:dyDescent="0.3">
      <c r="U332135" s="25"/>
    </row>
    <row r="332157" spans="21:21" x14ac:dyDescent="0.3">
      <c r="U332157" s="25"/>
    </row>
    <row r="332179" spans="21:21" x14ac:dyDescent="0.3">
      <c r="U332179" s="25"/>
    </row>
    <row r="332201" spans="21:21" x14ac:dyDescent="0.3">
      <c r="U332201" s="25"/>
    </row>
    <row r="332223" spans="21:21" x14ac:dyDescent="0.3">
      <c r="U332223" s="25"/>
    </row>
    <row r="332245" spans="21:21" x14ac:dyDescent="0.3">
      <c r="U332245" s="25"/>
    </row>
    <row r="332267" spans="21:21" x14ac:dyDescent="0.3">
      <c r="U332267" s="25"/>
    </row>
    <row r="332289" spans="21:21" x14ac:dyDescent="0.3">
      <c r="U332289" s="25"/>
    </row>
    <row r="332311" spans="21:21" x14ac:dyDescent="0.3">
      <c r="U332311" s="25"/>
    </row>
    <row r="332333" spans="21:21" x14ac:dyDescent="0.3">
      <c r="U332333" s="25"/>
    </row>
    <row r="332355" spans="21:21" x14ac:dyDescent="0.3">
      <c r="U332355" s="25"/>
    </row>
    <row r="332377" spans="21:21" x14ac:dyDescent="0.3">
      <c r="U332377" s="25"/>
    </row>
    <row r="332399" spans="21:21" x14ac:dyDescent="0.3">
      <c r="U332399" s="25"/>
    </row>
    <row r="332421" spans="21:21" x14ac:dyDescent="0.3">
      <c r="U332421" s="25"/>
    </row>
    <row r="332443" spans="21:21" x14ac:dyDescent="0.3">
      <c r="U332443" s="25"/>
    </row>
    <row r="332465" spans="21:21" x14ac:dyDescent="0.3">
      <c r="U332465" s="25"/>
    </row>
    <row r="332487" spans="21:21" x14ac:dyDescent="0.3">
      <c r="U332487" s="25"/>
    </row>
    <row r="332509" spans="21:21" x14ac:dyDescent="0.3">
      <c r="U332509" s="25"/>
    </row>
    <row r="332531" spans="21:21" x14ac:dyDescent="0.3">
      <c r="U332531" s="25"/>
    </row>
    <row r="332553" spans="21:21" x14ac:dyDescent="0.3">
      <c r="U332553" s="25"/>
    </row>
    <row r="332575" spans="21:21" x14ac:dyDescent="0.3">
      <c r="U332575" s="25"/>
    </row>
    <row r="332597" spans="21:21" x14ac:dyDescent="0.3">
      <c r="U332597" s="25"/>
    </row>
    <row r="332619" spans="21:21" x14ac:dyDescent="0.3">
      <c r="U332619" s="25"/>
    </row>
    <row r="332641" spans="21:21" x14ac:dyDescent="0.3">
      <c r="U332641" s="25"/>
    </row>
    <row r="332663" spans="21:21" x14ac:dyDescent="0.3">
      <c r="U332663" s="25"/>
    </row>
    <row r="332685" spans="21:21" x14ac:dyDescent="0.3">
      <c r="U332685" s="25"/>
    </row>
    <row r="332707" spans="21:21" x14ac:dyDescent="0.3">
      <c r="U332707" s="25"/>
    </row>
    <row r="332729" spans="21:21" x14ac:dyDescent="0.3">
      <c r="U332729" s="25"/>
    </row>
    <row r="332751" spans="21:21" x14ac:dyDescent="0.3">
      <c r="U332751" s="25"/>
    </row>
    <row r="332773" spans="21:21" x14ac:dyDescent="0.3">
      <c r="U332773" s="25"/>
    </row>
    <row r="332795" spans="21:21" x14ac:dyDescent="0.3">
      <c r="U332795" s="25"/>
    </row>
    <row r="332817" spans="21:21" x14ac:dyDescent="0.3">
      <c r="U332817" s="25"/>
    </row>
    <row r="332839" spans="21:21" x14ac:dyDescent="0.3">
      <c r="U332839" s="25"/>
    </row>
    <row r="332861" spans="21:21" x14ac:dyDescent="0.3">
      <c r="U332861" s="25"/>
    </row>
    <row r="332883" spans="21:21" x14ac:dyDescent="0.3">
      <c r="U332883" s="25"/>
    </row>
    <row r="332905" spans="21:21" x14ac:dyDescent="0.3">
      <c r="U332905" s="25"/>
    </row>
    <row r="332927" spans="21:21" x14ac:dyDescent="0.3">
      <c r="U332927" s="25"/>
    </row>
    <row r="332949" spans="21:21" x14ac:dyDescent="0.3">
      <c r="U332949" s="25"/>
    </row>
    <row r="332971" spans="21:21" x14ac:dyDescent="0.3">
      <c r="U332971" s="25"/>
    </row>
    <row r="332993" spans="21:21" x14ac:dyDescent="0.3">
      <c r="U332993" s="25"/>
    </row>
    <row r="333015" spans="21:21" x14ac:dyDescent="0.3">
      <c r="U333015" s="25"/>
    </row>
    <row r="333037" spans="21:21" x14ac:dyDescent="0.3">
      <c r="U333037" s="25"/>
    </row>
    <row r="333059" spans="21:21" x14ac:dyDescent="0.3">
      <c r="U333059" s="25"/>
    </row>
    <row r="333081" spans="21:21" x14ac:dyDescent="0.3">
      <c r="U333081" s="25"/>
    </row>
    <row r="333103" spans="21:21" x14ac:dyDescent="0.3">
      <c r="U333103" s="25"/>
    </row>
    <row r="333125" spans="21:21" x14ac:dyDescent="0.3">
      <c r="U333125" s="25"/>
    </row>
    <row r="333147" spans="21:21" x14ac:dyDescent="0.3">
      <c r="U333147" s="25"/>
    </row>
    <row r="333169" spans="21:21" x14ac:dyDescent="0.3">
      <c r="U333169" s="25"/>
    </row>
    <row r="333191" spans="21:21" x14ac:dyDescent="0.3">
      <c r="U333191" s="25"/>
    </row>
    <row r="333213" spans="21:21" x14ac:dyDescent="0.3">
      <c r="U333213" s="25"/>
    </row>
    <row r="333235" spans="21:21" x14ac:dyDescent="0.3">
      <c r="U333235" s="25"/>
    </row>
    <row r="333257" spans="21:21" x14ac:dyDescent="0.3">
      <c r="U333257" s="25"/>
    </row>
    <row r="333279" spans="21:21" x14ac:dyDescent="0.3">
      <c r="U333279" s="25"/>
    </row>
    <row r="333301" spans="21:21" x14ac:dyDescent="0.3">
      <c r="U333301" s="25"/>
    </row>
    <row r="333323" spans="21:21" x14ac:dyDescent="0.3">
      <c r="U333323" s="25"/>
    </row>
    <row r="333345" spans="21:21" x14ac:dyDescent="0.3">
      <c r="U333345" s="25"/>
    </row>
    <row r="333367" spans="21:21" x14ac:dyDescent="0.3">
      <c r="U333367" s="25"/>
    </row>
    <row r="333389" spans="21:21" x14ac:dyDescent="0.3">
      <c r="U333389" s="25"/>
    </row>
    <row r="333411" spans="21:21" x14ac:dyDescent="0.3">
      <c r="U333411" s="25"/>
    </row>
    <row r="333433" spans="21:21" x14ac:dyDescent="0.3">
      <c r="U333433" s="25"/>
    </row>
    <row r="333455" spans="21:21" x14ac:dyDescent="0.3">
      <c r="U333455" s="25"/>
    </row>
    <row r="333477" spans="21:21" x14ac:dyDescent="0.3">
      <c r="U333477" s="25"/>
    </row>
    <row r="333499" spans="21:21" x14ac:dyDescent="0.3">
      <c r="U333499" s="25"/>
    </row>
    <row r="333521" spans="21:21" x14ac:dyDescent="0.3">
      <c r="U333521" s="25"/>
    </row>
    <row r="333543" spans="21:21" x14ac:dyDescent="0.3">
      <c r="U333543" s="25"/>
    </row>
    <row r="333565" spans="21:21" x14ac:dyDescent="0.3">
      <c r="U333565" s="25"/>
    </row>
    <row r="333587" spans="21:21" x14ac:dyDescent="0.3">
      <c r="U333587" s="25"/>
    </row>
    <row r="333609" spans="21:21" x14ac:dyDescent="0.3">
      <c r="U333609" s="25"/>
    </row>
    <row r="333631" spans="21:21" x14ac:dyDescent="0.3">
      <c r="U333631" s="25"/>
    </row>
    <row r="333653" spans="21:21" x14ac:dyDescent="0.3">
      <c r="U333653" s="25"/>
    </row>
    <row r="333675" spans="21:21" x14ac:dyDescent="0.3">
      <c r="U333675" s="25"/>
    </row>
    <row r="333697" spans="21:21" x14ac:dyDescent="0.3">
      <c r="U333697" s="25"/>
    </row>
    <row r="333719" spans="21:21" x14ac:dyDescent="0.3">
      <c r="U333719" s="25"/>
    </row>
    <row r="333741" spans="21:21" x14ac:dyDescent="0.3">
      <c r="U333741" s="25"/>
    </row>
    <row r="333763" spans="21:21" x14ac:dyDescent="0.3">
      <c r="U333763" s="25"/>
    </row>
    <row r="333785" spans="21:21" x14ac:dyDescent="0.3">
      <c r="U333785" s="25"/>
    </row>
    <row r="333807" spans="21:21" x14ac:dyDescent="0.3">
      <c r="U333807" s="25"/>
    </row>
    <row r="333829" spans="21:21" x14ac:dyDescent="0.3">
      <c r="U333829" s="25"/>
    </row>
    <row r="333851" spans="21:21" x14ac:dyDescent="0.3">
      <c r="U333851" s="25"/>
    </row>
    <row r="333873" spans="21:21" x14ac:dyDescent="0.3">
      <c r="U333873" s="25"/>
    </row>
    <row r="333895" spans="21:21" x14ac:dyDescent="0.3">
      <c r="U333895" s="25"/>
    </row>
    <row r="333917" spans="21:21" x14ac:dyDescent="0.3">
      <c r="U333917" s="25"/>
    </row>
    <row r="333939" spans="21:21" x14ac:dyDescent="0.3">
      <c r="U333939" s="25"/>
    </row>
    <row r="333961" spans="21:21" x14ac:dyDescent="0.3">
      <c r="U333961" s="25"/>
    </row>
    <row r="333983" spans="21:21" x14ac:dyDescent="0.3">
      <c r="U333983" s="25"/>
    </row>
    <row r="334005" spans="21:21" x14ac:dyDescent="0.3">
      <c r="U334005" s="25"/>
    </row>
    <row r="334027" spans="21:21" x14ac:dyDescent="0.3">
      <c r="U334027" s="25"/>
    </row>
    <row r="334049" spans="21:21" x14ac:dyDescent="0.3">
      <c r="U334049" s="25"/>
    </row>
    <row r="334071" spans="21:21" x14ac:dyDescent="0.3">
      <c r="U334071" s="25"/>
    </row>
    <row r="334093" spans="21:21" x14ac:dyDescent="0.3">
      <c r="U334093" s="25"/>
    </row>
    <row r="334115" spans="21:21" x14ac:dyDescent="0.3">
      <c r="U334115" s="25"/>
    </row>
    <row r="334137" spans="21:21" x14ac:dyDescent="0.3">
      <c r="U334137" s="25"/>
    </row>
    <row r="334159" spans="21:21" x14ac:dyDescent="0.3">
      <c r="U334159" s="25"/>
    </row>
    <row r="334181" spans="21:21" x14ac:dyDescent="0.3">
      <c r="U334181" s="25"/>
    </row>
    <row r="334203" spans="21:21" x14ac:dyDescent="0.3">
      <c r="U334203" s="25"/>
    </row>
    <row r="334225" spans="21:21" x14ac:dyDescent="0.3">
      <c r="U334225" s="25"/>
    </row>
    <row r="334247" spans="21:21" x14ac:dyDescent="0.3">
      <c r="U334247" s="25"/>
    </row>
    <row r="334269" spans="21:21" x14ac:dyDescent="0.3">
      <c r="U334269" s="25"/>
    </row>
    <row r="334291" spans="21:21" x14ac:dyDescent="0.3">
      <c r="U334291" s="25"/>
    </row>
    <row r="334313" spans="21:21" x14ac:dyDescent="0.3">
      <c r="U334313" s="25"/>
    </row>
    <row r="334335" spans="21:21" x14ac:dyDescent="0.3">
      <c r="U334335" s="25"/>
    </row>
    <row r="334357" spans="21:21" x14ac:dyDescent="0.3">
      <c r="U334357" s="25"/>
    </row>
    <row r="334379" spans="21:21" x14ac:dyDescent="0.3">
      <c r="U334379" s="25"/>
    </row>
    <row r="334401" spans="21:21" x14ac:dyDescent="0.3">
      <c r="U334401" s="25"/>
    </row>
    <row r="334423" spans="21:21" x14ac:dyDescent="0.3">
      <c r="U334423" s="25"/>
    </row>
    <row r="334445" spans="21:21" x14ac:dyDescent="0.3">
      <c r="U334445" s="25"/>
    </row>
    <row r="334467" spans="21:21" x14ac:dyDescent="0.3">
      <c r="U334467" s="25"/>
    </row>
    <row r="334489" spans="21:21" x14ac:dyDescent="0.3">
      <c r="U334489" s="25"/>
    </row>
    <row r="334511" spans="21:21" x14ac:dyDescent="0.3">
      <c r="U334511" s="25"/>
    </row>
    <row r="334533" spans="21:21" x14ac:dyDescent="0.3">
      <c r="U334533" s="25"/>
    </row>
    <row r="334555" spans="21:21" x14ac:dyDescent="0.3">
      <c r="U334555" s="25"/>
    </row>
    <row r="334577" spans="21:21" x14ac:dyDescent="0.3">
      <c r="U334577" s="25"/>
    </row>
    <row r="334599" spans="21:21" x14ac:dyDescent="0.3">
      <c r="U334599" s="25"/>
    </row>
    <row r="334621" spans="21:21" x14ac:dyDescent="0.3">
      <c r="U334621" s="25"/>
    </row>
    <row r="334643" spans="21:21" x14ac:dyDescent="0.3">
      <c r="U334643" s="25"/>
    </row>
    <row r="334665" spans="21:21" x14ac:dyDescent="0.3">
      <c r="U334665" s="25"/>
    </row>
    <row r="334687" spans="21:21" x14ac:dyDescent="0.3">
      <c r="U334687" s="25"/>
    </row>
    <row r="334709" spans="21:21" x14ac:dyDescent="0.3">
      <c r="U334709" s="25"/>
    </row>
    <row r="334731" spans="21:21" x14ac:dyDescent="0.3">
      <c r="U334731" s="25"/>
    </row>
    <row r="334753" spans="21:21" x14ac:dyDescent="0.3">
      <c r="U334753" s="25"/>
    </row>
    <row r="334775" spans="21:21" x14ac:dyDescent="0.3">
      <c r="U334775" s="25"/>
    </row>
    <row r="334797" spans="21:21" x14ac:dyDescent="0.3">
      <c r="U334797" s="25"/>
    </row>
    <row r="334819" spans="21:21" x14ac:dyDescent="0.3">
      <c r="U334819" s="25"/>
    </row>
    <row r="334841" spans="21:21" x14ac:dyDescent="0.3">
      <c r="U334841" s="25"/>
    </row>
    <row r="334863" spans="21:21" x14ac:dyDescent="0.3">
      <c r="U334863" s="25"/>
    </row>
    <row r="334885" spans="21:21" x14ac:dyDescent="0.3">
      <c r="U334885" s="25"/>
    </row>
    <row r="334907" spans="21:21" x14ac:dyDescent="0.3">
      <c r="U334907" s="25"/>
    </row>
    <row r="334929" spans="21:21" x14ac:dyDescent="0.3">
      <c r="U334929" s="25"/>
    </row>
    <row r="334951" spans="21:21" x14ac:dyDescent="0.3">
      <c r="U334951" s="25"/>
    </row>
    <row r="334973" spans="21:21" x14ac:dyDescent="0.3">
      <c r="U334973" s="25"/>
    </row>
    <row r="334995" spans="21:21" x14ac:dyDescent="0.3">
      <c r="U334995" s="25"/>
    </row>
    <row r="335017" spans="21:21" x14ac:dyDescent="0.3">
      <c r="U335017" s="25"/>
    </row>
    <row r="335039" spans="21:21" x14ac:dyDescent="0.3">
      <c r="U335039" s="25"/>
    </row>
    <row r="335061" spans="21:21" x14ac:dyDescent="0.3">
      <c r="U335061" s="25"/>
    </row>
    <row r="335083" spans="21:21" x14ac:dyDescent="0.3">
      <c r="U335083" s="25"/>
    </row>
    <row r="335105" spans="21:21" x14ac:dyDescent="0.3">
      <c r="U335105" s="25"/>
    </row>
    <row r="335127" spans="21:21" x14ac:dyDescent="0.3">
      <c r="U335127" s="25"/>
    </row>
    <row r="335149" spans="21:21" x14ac:dyDescent="0.3">
      <c r="U335149" s="25"/>
    </row>
    <row r="335171" spans="21:21" x14ac:dyDescent="0.3">
      <c r="U335171" s="25"/>
    </row>
    <row r="335193" spans="21:21" x14ac:dyDescent="0.3">
      <c r="U335193" s="25"/>
    </row>
    <row r="335215" spans="21:21" x14ac:dyDescent="0.3">
      <c r="U335215" s="25"/>
    </row>
    <row r="335237" spans="21:21" x14ac:dyDescent="0.3">
      <c r="U335237" s="25"/>
    </row>
    <row r="335259" spans="21:21" x14ac:dyDescent="0.3">
      <c r="U335259" s="25"/>
    </row>
    <row r="335281" spans="21:21" x14ac:dyDescent="0.3">
      <c r="U335281" s="25"/>
    </row>
    <row r="335303" spans="21:21" x14ac:dyDescent="0.3">
      <c r="U335303" s="25"/>
    </row>
    <row r="335325" spans="21:21" x14ac:dyDescent="0.3">
      <c r="U335325" s="25"/>
    </row>
    <row r="335347" spans="21:21" x14ac:dyDescent="0.3">
      <c r="U335347" s="25"/>
    </row>
    <row r="335369" spans="21:21" x14ac:dyDescent="0.3">
      <c r="U335369" s="25"/>
    </row>
    <row r="335391" spans="21:21" x14ac:dyDescent="0.3">
      <c r="U335391" s="25"/>
    </row>
    <row r="335413" spans="21:21" x14ac:dyDescent="0.3">
      <c r="U335413" s="25"/>
    </row>
    <row r="335435" spans="21:21" x14ac:dyDescent="0.3">
      <c r="U335435" s="25"/>
    </row>
    <row r="335457" spans="21:21" x14ac:dyDescent="0.3">
      <c r="U335457" s="25"/>
    </row>
    <row r="335479" spans="21:21" x14ac:dyDescent="0.3">
      <c r="U335479" s="25"/>
    </row>
    <row r="335501" spans="21:21" x14ac:dyDescent="0.3">
      <c r="U335501" s="25"/>
    </row>
    <row r="335523" spans="21:21" x14ac:dyDescent="0.3">
      <c r="U335523" s="25"/>
    </row>
    <row r="335545" spans="21:21" x14ac:dyDescent="0.3">
      <c r="U335545" s="25"/>
    </row>
    <row r="335567" spans="21:21" x14ac:dyDescent="0.3">
      <c r="U335567" s="25"/>
    </row>
    <row r="335589" spans="21:21" x14ac:dyDescent="0.3">
      <c r="U335589" s="25"/>
    </row>
    <row r="335611" spans="21:21" x14ac:dyDescent="0.3">
      <c r="U335611" s="25"/>
    </row>
    <row r="335633" spans="21:21" x14ac:dyDescent="0.3">
      <c r="U335633" s="25"/>
    </row>
    <row r="335655" spans="21:21" x14ac:dyDescent="0.3">
      <c r="U335655" s="25"/>
    </row>
    <row r="335677" spans="21:21" x14ac:dyDescent="0.3">
      <c r="U335677" s="25"/>
    </row>
    <row r="335699" spans="21:21" x14ac:dyDescent="0.3">
      <c r="U335699" s="25"/>
    </row>
    <row r="335721" spans="21:21" x14ac:dyDescent="0.3">
      <c r="U335721" s="25"/>
    </row>
    <row r="335743" spans="21:21" x14ac:dyDescent="0.3">
      <c r="U335743" s="25"/>
    </row>
    <row r="335765" spans="21:21" x14ac:dyDescent="0.3">
      <c r="U335765" s="25"/>
    </row>
    <row r="335787" spans="21:21" x14ac:dyDescent="0.3">
      <c r="U335787" s="25"/>
    </row>
    <row r="335809" spans="21:21" x14ac:dyDescent="0.3">
      <c r="U335809" s="25"/>
    </row>
    <row r="335831" spans="21:21" x14ac:dyDescent="0.3">
      <c r="U335831" s="25"/>
    </row>
    <row r="335853" spans="21:21" x14ac:dyDescent="0.3">
      <c r="U335853" s="25"/>
    </row>
    <row r="335875" spans="21:21" x14ac:dyDescent="0.3">
      <c r="U335875" s="25"/>
    </row>
    <row r="335897" spans="21:21" x14ac:dyDescent="0.3">
      <c r="U335897" s="25"/>
    </row>
    <row r="335919" spans="21:21" x14ac:dyDescent="0.3">
      <c r="U335919" s="25"/>
    </row>
    <row r="335941" spans="21:21" x14ac:dyDescent="0.3">
      <c r="U335941" s="25"/>
    </row>
    <row r="335963" spans="21:21" x14ac:dyDescent="0.3">
      <c r="U335963" s="25"/>
    </row>
    <row r="335985" spans="21:21" x14ac:dyDescent="0.3">
      <c r="U335985" s="25"/>
    </row>
    <row r="336007" spans="21:21" x14ac:dyDescent="0.3">
      <c r="U336007" s="25"/>
    </row>
    <row r="336029" spans="21:21" x14ac:dyDescent="0.3">
      <c r="U336029" s="25"/>
    </row>
    <row r="336051" spans="21:21" x14ac:dyDescent="0.3">
      <c r="U336051" s="25"/>
    </row>
    <row r="336073" spans="21:21" x14ac:dyDescent="0.3">
      <c r="U336073" s="25"/>
    </row>
    <row r="336095" spans="21:21" x14ac:dyDescent="0.3">
      <c r="U336095" s="25"/>
    </row>
    <row r="336117" spans="21:21" x14ac:dyDescent="0.3">
      <c r="U336117" s="25"/>
    </row>
    <row r="336139" spans="21:21" x14ac:dyDescent="0.3">
      <c r="U336139" s="25"/>
    </row>
    <row r="336161" spans="21:21" x14ac:dyDescent="0.3">
      <c r="U336161" s="25"/>
    </row>
    <row r="336183" spans="21:21" x14ac:dyDescent="0.3">
      <c r="U336183" s="25"/>
    </row>
    <row r="336205" spans="21:21" x14ac:dyDescent="0.3">
      <c r="U336205" s="25"/>
    </row>
    <row r="336227" spans="21:21" x14ac:dyDescent="0.3">
      <c r="U336227" s="25"/>
    </row>
    <row r="336249" spans="21:21" x14ac:dyDescent="0.3">
      <c r="U336249" s="25"/>
    </row>
    <row r="336271" spans="21:21" x14ac:dyDescent="0.3">
      <c r="U336271" s="25"/>
    </row>
    <row r="336293" spans="21:21" x14ac:dyDescent="0.3">
      <c r="U336293" s="25"/>
    </row>
    <row r="336315" spans="21:21" x14ac:dyDescent="0.3">
      <c r="U336315" s="25"/>
    </row>
    <row r="336337" spans="21:21" x14ac:dyDescent="0.3">
      <c r="U336337" s="25"/>
    </row>
    <row r="336359" spans="21:21" x14ac:dyDescent="0.3">
      <c r="U336359" s="25"/>
    </row>
    <row r="336381" spans="21:21" x14ac:dyDescent="0.3">
      <c r="U336381" s="25"/>
    </row>
    <row r="336403" spans="21:21" x14ac:dyDescent="0.3">
      <c r="U336403" s="25"/>
    </row>
    <row r="336425" spans="21:21" x14ac:dyDescent="0.3">
      <c r="U336425" s="25"/>
    </row>
    <row r="336447" spans="21:21" x14ac:dyDescent="0.3">
      <c r="U336447" s="25"/>
    </row>
    <row r="336469" spans="21:21" x14ac:dyDescent="0.3">
      <c r="U336469" s="25"/>
    </row>
    <row r="336491" spans="21:21" x14ac:dyDescent="0.3">
      <c r="U336491" s="25"/>
    </row>
    <row r="336513" spans="21:21" x14ac:dyDescent="0.3">
      <c r="U336513" s="25"/>
    </row>
    <row r="336535" spans="21:21" x14ac:dyDescent="0.3">
      <c r="U336535" s="25"/>
    </row>
    <row r="336557" spans="21:21" x14ac:dyDescent="0.3">
      <c r="U336557" s="25"/>
    </row>
    <row r="336579" spans="21:21" x14ac:dyDescent="0.3">
      <c r="U336579" s="25"/>
    </row>
    <row r="336601" spans="21:21" x14ac:dyDescent="0.3">
      <c r="U336601" s="25"/>
    </row>
    <row r="336623" spans="21:21" x14ac:dyDescent="0.3">
      <c r="U336623" s="25"/>
    </row>
    <row r="336645" spans="21:21" x14ac:dyDescent="0.3">
      <c r="U336645" s="25"/>
    </row>
    <row r="336667" spans="21:21" x14ac:dyDescent="0.3">
      <c r="U336667" s="25"/>
    </row>
    <row r="336689" spans="21:21" x14ac:dyDescent="0.3">
      <c r="U336689" s="25"/>
    </row>
    <row r="336711" spans="21:21" x14ac:dyDescent="0.3">
      <c r="U336711" s="25"/>
    </row>
    <row r="336733" spans="21:21" x14ac:dyDescent="0.3">
      <c r="U336733" s="25"/>
    </row>
    <row r="336755" spans="21:21" x14ac:dyDescent="0.3">
      <c r="U336755" s="25"/>
    </row>
    <row r="336777" spans="21:21" x14ac:dyDescent="0.3">
      <c r="U336777" s="25"/>
    </row>
    <row r="336799" spans="21:21" x14ac:dyDescent="0.3">
      <c r="U336799" s="25"/>
    </row>
    <row r="336821" spans="21:21" x14ac:dyDescent="0.3">
      <c r="U336821" s="25"/>
    </row>
    <row r="336843" spans="21:21" x14ac:dyDescent="0.3">
      <c r="U336843" s="25"/>
    </row>
    <row r="336865" spans="21:21" x14ac:dyDescent="0.3">
      <c r="U336865" s="25"/>
    </row>
    <row r="336887" spans="21:21" x14ac:dyDescent="0.3">
      <c r="U336887" s="25"/>
    </row>
    <row r="336909" spans="21:21" x14ac:dyDescent="0.3">
      <c r="U336909" s="25"/>
    </row>
    <row r="336931" spans="21:21" x14ac:dyDescent="0.3">
      <c r="U336931" s="25"/>
    </row>
    <row r="336953" spans="21:21" x14ac:dyDescent="0.3">
      <c r="U336953" s="25"/>
    </row>
    <row r="336975" spans="21:21" x14ac:dyDescent="0.3">
      <c r="U336975" s="25"/>
    </row>
    <row r="336997" spans="21:21" x14ac:dyDescent="0.3">
      <c r="U336997" s="25"/>
    </row>
    <row r="337019" spans="21:21" x14ac:dyDescent="0.3">
      <c r="U337019" s="25"/>
    </row>
    <row r="337041" spans="21:21" x14ac:dyDescent="0.3">
      <c r="U337041" s="25"/>
    </row>
    <row r="337063" spans="21:21" x14ac:dyDescent="0.3">
      <c r="U337063" s="25"/>
    </row>
    <row r="337085" spans="21:21" x14ac:dyDescent="0.3">
      <c r="U337085" s="25"/>
    </row>
    <row r="337107" spans="21:21" x14ac:dyDescent="0.3">
      <c r="U337107" s="25"/>
    </row>
    <row r="337129" spans="21:21" x14ac:dyDescent="0.3">
      <c r="U337129" s="25"/>
    </row>
    <row r="337151" spans="21:21" x14ac:dyDescent="0.3">
      <c r="U337151" s="25"/>
    </row>
    <row r="337173" spans="21:21" x14ac:dyDescent="0.3">
      <c r="U337173" s="25"/>
    </row>
    <row r="337195" spans="21:21" x14ac:dyDescent="0.3">
      <c r="U337195" s="25"/>
    </row>
    <row r="337217" spans="21:21" x14ac:dyDescent="0.3">
      <c r="U337217" s="25"/>
    </row>
    <row r="337239" spans="21:21" x14ac:dyDescent="0.3">
      <c r="U337239" s="25"/>
    </row>
    <row r="337261" spans="21:21" x14ac:dyDescent="0.3">
      <c r="U337261" s="25"/>
    </row>
    <row r="337283" spans="21:21" x14ac:dyDescent="0.3">
      <c r="U337283" s="25"/>
    </row>
    <row r="337305" spans="21:21" x14ac:dyDescent="0.3">
      <c r="U337305" s="25"/>
    </row>
    <row r="337327" spans="21:21" x14ac:dyDescent="0.3">
      <c r="U337327" s="25"/>
    </row>
    <row r="337349" spans="21:21" x14ac:dyDescent="0.3">
      <c r="U337349" s="25"/>
    </row>
    <row r="337371" spans="21:21" x14ac:dyDescent="0.3">
      <c r="U337371" s="25"/>
    </row>
    <row r="337393" spans="21:21" x14ac:dyDescent="0.3">
      <c r="U337393" s="25"/>
    </row>
    <row r="337415" spans="21:21" x14ac:dyDescent="0.3">
      <c r="U337415" s="25"/>
    </row>
    <row r="337437" spans="21:21" x14ac:dyDescent="0.3">
      <c r="U337437" s="25"/>
    </row>
    <row r="337459" spans="21:21" x14ac:dyDescent="0.3">
      <c r="U337459" s="25"/>
    </row>
    <row r="337481" spans="21:21" x14ac:dyDescent="0.3">
      <c r="U337481" s="25"/>
    </row>
    <row r="337503" spans="21:21" x14ac:dyDescent="0.3">
      <c r="U337503" s="25"/>
    </row>
    <row r="337525" spans="21:21" x14ac:dyDescent="0.3">
      <c r="U337525" s="25"/>
    </row>
    <row r="337547" spans="21:21" x14ac:dyDescent="0.3">
      <c r="U337547" s="25"/>
    </row>
    <row r="337569" spans="21:21" x14ac:dyDescent="0.3">
      <c r="U337569" s="25"/>
    </row>
    <row r="337591" spans="21:21" x14ac:dyDescent="0.3">
      <c r="U337591" s="25"/>
    </row>
    <row r="337613" spans="21:21" x14ac:dyDescent="0.3">
      <c r="U337613" s="25"/>
    </row>
    <row r="337635" spans="21:21" x14ac:dyDescent="0.3">
      <c r="U337635" s="25"/>
    </row>
    <row r="337657" spans="21:21" x14ac:dyDescent="0.3">
      <c r="U337657" s="25"/>
    </row>
    <row r="337679" spans="21:21" x14ac:dyDescent="0.3">
      <c r="U337679" s="25"/>
    </row>
    <row r="337701" spans="21:21" x14ac:dyDescent="0.3">
      <c r="U337701" s="25"/>
    </row>
    <row r="337723" spans="21:21" x14ac:dyDescent="0.3">
      <c r="U337723" s="25"/>
    </row>
    <row r="337745" spans="21:21" x14ac:dyDescent="0.3">
      <c r="U337745" s="25"/>
    </row>
    <row r="337767" spans="21:21" x14ac:dyDescent="0.3">
      <c r="U337767" s="25"/>
    </row>
    <row r="337789" spans="21:21" x14ac:dyDescent="0.3">
      <c r="U337789" s="25"/>
    </row>
    <row r="337811" spans="21:21" x14ac:dyDescent="0.3">
      <c r="U337811" s="25"/>
    </row>
    <row r="337833" spans="21:21" x14ac:dyDescent="0.3">
      <c r="U337833" s="25"/>
    </row>
    <row r="337855" spans="21:21" x14ac:dyDescent="0.3">
      <c r="U337855" s="25"/>
    </row>
    <row r="337877" spans="21:21" x14ac:dyDescent="0.3">
      <c r="U337877" s="25"/>
    </row>
    <row r="337899" spans="21:21" x14ac:dyDescent="0.3">
      <c r="U337899" s="25"/>
    </row>
    <row r="337921" spans="21:21" x14ac:dyDescent="0.3">
      <c r="U337921" s="25"/>
    </row>
    <row r="337943" spans="21:21" x14ac:dyDescent="0.3">
      <c r="U337943" s="25"/>
    </row>
    <row r="337965" spans="21:21" x14ac:dyDescent="0.3">
      <c r="U337965" s="25"/>
    </row>
    <row r="337987" spans="21:21" x14ac:dyDescent="0.3">
      <c r="U337987" s="25"/>
    </row>
    <row r="338009" spans="21:21" x14ac:dyDescent="0.3">
      <c r="U338009" s="25"/>
    </row>
    <row r="338031" spans="21:21" x14ac:dyDescent="0.3">
      <c r="U338031" s="25"/>
    </row>
    <row r="338053" spans="21:21" x14ac:dyDescent="0.3">
      <c r="U338053" s="25"/>
    </row>
    <row r="338075" spans="21:21" x14ac:dyDescent="0.3">
      <c r="U338075" s="25"/>
    </row>
    <row r="338097" spans="21:21" x14ac:dyDescent="0.3">
      <c r="U338097" s="25"/>
    </row>
    <row r="338119" spans="21:21" x14ac:dyDescent="0.3">
      <c r="U338119" s="25"/>
    </row>
    <row r="338141" spans="21:21" x14ac:dyDescent="0.3">
      <c r="U338141" s="25"/>
    </row>
    <row r="338163" spans="21:21" x14ac:dyDescent="0.3">
      <c r="U338163" s="25"/>
    </row>
    <row r="338185" spans="21:21" x14ac:dyDescent="0.3">
      <c r="U338185" s="25"/>
    </row>
    <row r="338207" spans="21:21" x14ac:dyDescent="0.3">
      <c r="U338207" s="25"/>
    </row>
    <row r="338229" spans="21:21" x14ac:dyDescent="0.3">
      <c r="U338229" s="25"/>
    </row>
    <row r="338251" spans="21:21" x14ac:dyDescent="0.3">
      <c r="U338251" s="25"/>
    </row>
    <row r="338273" spans="21:21" x14ac:dyDescent="0.3">
      <c r="U338273" s="25"/>
    </row>
    <row r="338295" spans="21:21" x14ac:dyDescent="0.3">
      <c r="U338295" s="25"/>
    </row>
    <row r="338317" spans="21:21" x14ac:dyDescent="0.3">
      <c r="U338317" s="25"/>
    </row>
    <row r="338339" spans="21:21" x14ac:dyDescent="0.3">
      <c r="U338339" s="25"/>
    </row>
    <row r="338361" spans="21:21" x14ac:dyDescent="0.3">
      <c r="U338361" s="25"/>
    </row>
    <row r="338383" spans="21:21" x14ac:dyDescent="0.3">
      <c r="U338383" s="25"/>
    </row>
    <row r="338405" spans="21:21" x14ac:dyDescent="0.3">
      <c r="U338405" s="25"/>
    </row>
    <row r="338427" spans="21:21" x14ac:dyDescent="0.3">
      <c r="U338427" s="25"/>
    </row>
    <row r="338449" spans="21:21" x14ac:dyDescent="0.3">
      <c r="U338449" s="25"/>
    </row>
    <row r="338471" spans="21:21" x14ac:dyDescent="0.3">
      <c r="U338471" s="25"/>
    </row>
    <row r="338493" spans="21:21" x14ac:dyDescent="0.3">
      <c r="U338493" s="25"/>
    </row>
    <row r="338515" spans="21:21" x14ac:dyDescent="0.3">
      <c r="U338515" s="25"/>
    </row>
    <row r="338537" spans="21:21" x14ac:dyDescent="0.3">
      <c r="U338537" s="25"/>
    </row>
    <row r="338559" spans="21:21" x14ac:dyDescent="0.3">
      <c r="U338559" s="25"/>
    </row>
    <row r="338581" spans="21:21" x14ac:dyDescent="0.3">
      <c r="U338581" s="25"/>
    </row>
    <row r="338603" spans="21:21" x14ac:dyDescent="0.3">
      <c r="U338603" s="25"/>
    </row>
    <row r="338625" spans="21:21" x14ac:dyDescent="0.3">
      <c r="U338625" s="25"/>
    </row>
    <row r="338647" spans="21:21" x14ac:dyDescent="0.3">
      <c r="U338647" s="25"/>
    </row>
    <row r="338669" spans="21:21" x14ac:dyDescent="0.3">
      <c r="U338669" s="25"/>
    </row>
    <row r="338691" spans="21:21" x14ac:dyDescent="0.3">
      <c r="U338691" s="25"/>
    </row>
    <row r="338713" spans="21:21" x14ac:dyDescent="0.3">
      <c r="U338713" s="25"/>
    </row>
    <row r="338735" spans="21:21" x14ac:dyDescent="0.3">
      <c r="U338735" s="25"/>
    </row>
    <row r="338757" spans="21:21" x14ac:dyDescent="0.3">
      <c r="U338757" s="25"/>
    </row>
    <row r="338779" spans="21:21" x14ac:dyDescent="0.3">
      <c r="U338779" s="25"/>
    </row>
    <row r="338801" spans="21:21" x14ac:dyDescent="0.3">
      <c r="U338801" s="25"/>
    </row>
    <row r="338823" spans="21:21" x14ac:dyDescent="0.3">
      <c r="U338823" s="25"/>
    </row>
    <row r="338845" spans="21:21" x14ac:dyDescent="0.3">
      <c r="U338845" s="25"/>
    </row>
    <row r="338867" spans="21:21" x14ac:dyDescent="0.3">
      <c r="U338867" s="25"/>
    </row>
    <row r="338889" spans="21:21" x14ac:dyDescent="0.3">
      <c r="U338889" s="25"/>
    </row>
    <row r="338911" spans="21:21" x14ac:dyDescent="0.3">
      <c r="U338911" s="25"/>
    </row>
    <row r="338933" spans="21:21" x14ac:dyDescent="0.3">
      <c r="U338933" s="25"/>
    </row>
    <row r="338955" spans="21:21" x14ac:dyDescent="0.3">
      <c r="U338955" s="25"/>
    </row>
    <row r="338977" spans="21:21" x14ac:dyDescent="0.3">
      <c r="U338977" s="25"/>
    </row>
    <row r="338999" spans="21:21" x14ac:dyDescent="0.3">
      <c r="U338999" s="25"/>
    </row>
    <row r="339021" spans="21:21" x14ac:dyDescent="0.3">
      <c r="U339021" s="25"/>
    </row>
    <row r="339043" spans="21:21" x14ac:dyDescent="0.3">
      <c r="U339043" s="25"/>
    </row>
    <row r="339065" spans="21:21" x14ac:dyDescent="0.3">
      <c r="U339065" s="25"/>
    </row>
    <row r="339087" spans="21:21" x14ac:dyDescent="0.3">
      <c r="U339087" s="25"/>
    </row>
    <row r="339109" spans="21:21" x14ac:dyDescent="0.3">
      <c r="U339109" s="25"/>
    </row>
    <row r="339131" spans="21:21" x14ac:dyDescent="0.3">
      <c r="U339131" s="25"/>
    </row>
    <row r="339153" spans="21:21" x14ac:dyDescent="0.3">
      <c r="U339153" s="25"/>
    </row>
    <row r="339175" spans="21:21" x14ac:dyDescent="0.3">
      <c r="U339175" s="25"/>
    </row>
    <row r="339197" spans="21:21" x14ac:dyDescent="0.3">
      <c r="U339197" s="25"/>
    </row>
    <row r="339219" spans="21:21" x14ac:dyDescent="0.3">
      <c r="U339219" s="25"/>
    </row>
    <row r="339241" spans="21:21" x14ac:dyDescent="0.3">
      <c r="U339241" s="25"/>
    </row>
    <row r="339263" spans="21:21" x14ac:dyDescent="0.3">
      <c r="U339263" s="25"/>
    </row>
    <row r="339285" spans="21:21" x14ac:dyDescent="0.3">
      <c r="U339285" s="25"/>
    </row>
    <row r="339307" spans="21:21" x14ac:dyDescent="0.3">
      <c r="U339307" s="25"/>
    </row>
    <row r="339329" spans="21:21" x14ac:dyDescent="0.3">
      <c r="U339329" s="25"/>
    </row>
    <row r="339351" spans="21:21" x14ac:dyDescent="0.3">
      <c r="U339351" s="25"/>
    </row>
    <row r="339373" spans="21:21" x14ac:dyDescent="0.3">
      <c r="U339373" s="25"/>
    </row>
    <row r="339395" spans="21:21" x14ac:dyDescent="0.3">
      <c r="U339395" s="25"/>
    </row>
    <row r="339417" spans="21:21" x14ac:dyDescent="0.3">
      <c r="U339417" s="25"/>
    </row>
    <row r="339439" spans="21:21" x14ac:dyDescent="0.3">
      <c r="U339439" s="25"/>
    </row>
    <row r="339461" spans="21:21" x14ac:dyDescent="0.3">
      <c r="U339461" s="25"/>
    </row>
    <row r="339483" spans="21:21" x14ac:dyDescent="0.3">
      <c r="U339483" s="25"/>
    </row>
    <row r="339505" spans="21:21" x14ac:dyDescent="0.3">
      <c r="U339505" s="25"/>
    </row>
    <row r="339527" spans="21:21" x14ac:dyDescent="0.3">
      <c r="U339527" s="25"/>
    </row>
    <row r="339549" spans="21:21" x14ac:dyDescent="0.3">
      <c r="U339549" s="25"/>
    </row>
    <row r="339571" spans="21:21" x14ac:dyDescent="0.3">
      <c r="U339571" s="25"/>
    </row>
    <row r="339593" spans="21:21" x14ac:dyDescent="0.3">
      <c r="U339593" s="25"/>
    </row>
    <row r="339615" spans="21:21" x14ac:dyDescent="0.3">
      <c r="U339615" s="25"/>
    </row>
    <row r="339637" spans="21:21" x14ac:dyDescent="0.3">
      <c r="U339637" s="25"/>
    </row>
    <row r="339659" spans="21:21" x14ac:dyDescent="0.3">
      <c r="U339659" s="25"/>
    </row>
    <row r="339681" spans="21:21" x14ac:dyDescent="0.3">
      <c r="U339681" s="25"/>
    </row>
    <row r="339703" spans="21:21" x14ac:dyDescent="0.3">
      <c r="U339703" s="25"/>
    </row>
    <row r="339725" spans="21:21" x14ac:dyDescent="0.3">
      <c r="U339725" s="25"/>
    </row>
    <row r="339747" spans="21:21" x14ac:dyDescent="0.3">
      <c r="U339747" s="25"/>
    </row>
    <row r="339769" spans="21:21" x14ac:dyDescent="0.3">
      <c r="U339769" s="25"/>
    </row>
    <row r="339791" spans="21:21" x14ac:dyDescent="0.3">
      <c r="U339791" s="25"/>
    </row>
    <row r="339813" spans="21:21" x14ac:dyDescent="0.3">
      <c r="U339813" s="25"/>
    </row>
    <row r="339835" spans="21:21" x14ac:dyDescent="0.3">
      <c r="U339835" s="25"/>
    </row>
    <row r="339857" spans="21:21" x14ac:dyDescent="0.3">
      <c r="U339857" s="25"/>
    </row>
    <row r="339879" spans="21:21" x14ac:dyDescent="0.3">
      <c r="U339879" s="25"/>
    </row>
    <row r="339901" spans="21:21" x14ac:dyDescent="0.3">
      <c r="U339901" s="25"/>
    </row>
    <row r="339923" spans="21:21" x14ac:dyDescent="0.3">
      <c r="U339923" s="25"/>
    </row>
    <row r="339945" spans="21:21" x14ac:dyDescent="0.3">
      <c r="U339945" s="25"/>
    </row>
    <row r="339967" spans="21:21" x14ac:dyDescent="0.3">
      <c r="U339967" s="25"/>
    </row>
    <row r="339989" spans="21:21" x14ac:dyDescent="0.3">
      <c r="U339989" s="25"/>
    </row>
    <row r="340011" spans="21:21" x14ac:dyDescent="0.3">
      <c r="U340011" s="25"/>
    </row>
    <row r="340033" spans="21:21" x14ac:dyDescent="0.3">
      <c r="U340033" s="25"/>
    </row>
    <row r="340055" spans="21:21" x14ac:dyDescent="0.3">
      <c r="U340055" s="25"/>
    </row>
    <row r="340077" spans="21:21" x14ac:dyDescent="0.3">
      <c r="U340077" s="25"/>
    </row>
    <row r="340099" spans="21:21" x14ac:dyDescent="0.3">
      <c r="U340099" s="25"/>
    </row>
    <row r="340121" spans="21:21" x14ac:dyDescent="0.3">
      <c r="U340121" s="25"/>
    </row>
    <row r="340143" spans="21:21" x14ac:dyDescent="0.3">
      <c r="U340143" s="25"/>
    </row>
    <row r="340165" spans="21:21" x14ac:dyDescent="0.3">
      <c r="U340165" s="25"/>
    </row>
    <row r="340187" spans="21:21" x14ac:dyDescent="0.3">
      <c r="U340187" s="25"/>
    </row>
    <row r="340209" spans="21:21" x14ac:dyDescent="0.3">
      <c r="U340209" s="25"/>
    </row>
    <row r="340231" spans="21:21" x14ac:dyDescent="0.3">
      <c r="U340231" s="25"/>
    </row>
    <row r="340253" spans="21:21" x14ac:dyDescent="0.3">
      <c r="U340253" s="25"/>
    </row>
    <row r="340275" spans="21:21" x14ac:dyDescent="0.3">
      <c r="U340275" s="25"/>
    </row>
    <row r="340297" spans="21:21" x14ac:dyDescent="0.3">
      <c r="U340297" s="25"/>
    </row>
    <row r="340319" spans="21:21" x14ac:dyDescent="0.3">
      <c r="U340319" s="25"/>
    </row>
    <row r="340341" spans="21:21" x14ac:dyDescent="0.3">
      <c r="U340341" s="25"/>
    </row>
    <row r="340363" spans="21:21" x14ac:dyDescent="0.3">
      <c r="U340363" s="25"/>
    </row>
    <row r="340385" spans="21:21" x14ac:dyDescent="0.3">
      <c r="U340385" s="25"/>
    </row>
    <row r="340407" spans="21:21" x14ac:dyDescent="0.3">
      <c r="U340407" s="25"/>
    </row>
    <row r="340429" spans="21:21" x14ac:dyDescent="0.3">
      <c r="U340429" s="25"/>
    </row>
    <row r="340451" spans="21:21" x14ac:dyDescent="0.3">
      <c r="U340451" s="25"/>
    </row>
    <row r="340473" spans="21:21" x14ac:dyDescent="0.3">
      <c r="U340473" s="25"/>
    </row>
    <row r="340495" spans="21:21" x14ac:dyDescent="0.3">
      <c r="U340495" s="25"/>
    </row>
    <row r="340517" spans="21:21" x14ac:dyDescent="0.3">
      <c r="U340517" s="25"/>
    </row>
    <row r="340539" spans="21:21" x14ac:dyDescent="0.3">
      <c r="U340539" s="25"/>
    </row>
    <row r="340561" spans="21:21" x14ac:dyDescent="0.3">
      <c r="U340561" s="25"/>
    </row>
    <row r="340583" spans="21:21" x14ac:dyDescent="0.3">
      <c r="U340583" s="25"/>
    </row>
    <row r="340605" spans="21:21" x14ac:dyDescent="0.3">
      <c r="U340605" s="25"/>
    </row>
    <row r="340627" spans="21:21" x14ac:dyDescent="0.3">
      <c r="U340627" s="25"/>
    </row>
    <row r="340649" spans="21:21" x14ac:dyDescent="0.3">
      <c r="U340649" s="25"/>
    </row>
    <row r="340671" spans="21:21" x14ac:dyDescent="0.3">
      <c r="U340671" s="25"/>
    </row>
    <row r="340693" spans="21:21" x14ac:dyDescent="0.3">
      <c r="U340693" s="25"/>
    </row>
    <row r="340715" spans="21:21" x14ac:dyDescent="0.3">
      <c r="U340715" s="25"/>
    </row>
    <row r="340737" spans="21:21" x14ac:dyDescent="0.3">
      <c r="U340737" s="25"/>
    </row>
    <row r="340759" spans="21:21" x14ac:dyDescent="0.3">
      <c r="U340759" s="25"/>
    </row>
    <row r="340781" spans="21:21" x14ac:dyDescent="0.3">
      <c r="U340781" s="25"/>
    </row>
    <row r="340803" spans="21:21" x14ac:dyDescent="0.3">
      <c r="U340803" s="25"/>
    </row>
    <row r="340825" spans="21:21" x14ac:dyDescent="0.3">
      <c r="U340825" s="25"/>
    </row>
    <row r="340847" spans="21:21" x14ac:dyDescent="0.3">
      <c r="U340847" s="25"/>
    </row>
    <row r="340869" spans="21:21" x14ac:dyDescent="0.3">
      <c r="U340869" s="25"/>
    </row>
    <row r="340891" spans="21:21" x14ac:dyDescent="0.3">
      <c r="U340891" s="25"/>
    </row>
    <row r="340913" spans="21:21" x14ac:dyDescent="0.3">
      <c r="U340913" s="25"/>
    </row>
    <row r="340935" spans="21:21" x14ac:dyDescent="0.3">
      <c r="U340935" s="25"/>
    </row>
    <row r="340957" spans="21:21" x14ac:dyDescent="0.3">
      <c r="U340957" s="25"/>
    </row>
    <row r="340979" spans="21:21" x14ac:dyDescent="0.3">
      <c r="U340979" s="25"/>
    </row>
    <row r="341001" spans="21:21" x14ac:dyDescent="0.3">
      <c r="U341001" s="25"/>
    </row>
    <row r="341023" spans="21:21" x14ac:dyDescent="0.3">
      <c r="U341023" s="25"/>
    </row>
    <row r="341045" spans="21:21" x14ac:dyDescent="0.3">
      <c r="U341045" s="25"/>
    </row>
    <row r="341067" spans="21:21" x14ac:dyDescent="0.3">
      <c r="U341067" s="25"/>
    </row>
    <row r="341089" spans="21:21" x14ac:dyDescent="0.3">
      <c r="U341089" s="25"/>
    </row>
    <row r="341111" spans="21:21" x14ac:dyDescent="0.3">
      <c r="U341111" s="25"/>
    </row>
    <row r="341133" spans="21:21" x14ac:dyDescent="0.3">
      <c r="U341133" s="25"/>
    </row>
    <row r="341155" spans="21:21" x14ac:dyDescent="0.3">
      <c r="U341155" s="25"/>
    </row>
    <row r="341177" spans="21:21" x14ac:dyDescent="0.3">
      <c r="U341177" s="25"/>
    </row>
    <row r="341199" spans="21:21" x14ac:dyDescent="0.3">
      <c r="U341199" s="25"/>
    </row>
    <row r="341221" spans="21:21" x14ac:dyDescent="0.3">
      <c r="U341221" s="25"/>
    </row>
    <row r="341243" spans="21:21" x14ac:dyDescent="0.3">
      <c r="U341243" s="25"/>
    </row>
    <row r="341265" spans="21:21" x14ac:dyDescent="0.3">
      <c r="U341265" s="25"/>
    </row>
    <row r="341287" spans="21:21" x14ac:dyDescent="0.3">
      <c r="U341287" s="25"/>
    </row>
    <row r="341309" spans="21:21" x14ac:dyDescent="0.3">
      <c r="U341309" s="25"/>
    </row>
    <row r="341331" spans="21:21" x14ac:dyDescent="0.3">
      <c r="U341331" s="25"/>
    </row>
    <row r="341353" spans="21:21" x14ac:dyDescent="0.3">
      <c r="U341353" s="25"/>
    </row>
    <row r="341375" spans="21:21" x14ac:dyDescent="0.3">
      <c r="U341375" s="25"/>
    </row>
    <row r="341397" spans="21:21" x14ac:dyDescent="0.3">
      <c r="U341397" s="25"/>
    </row>
    <row r="341419" spans="21:21" x14ac:dyDescent="0.3">
      <c r="U341419" s="25"/>
    </row>
    <row r="341441" spans="21:21" x14ac:dyDescent="0.3">
      <c r="U341441" s="25"/>
    </row>
    <row r="341463" spans="21:21" x14ac:dyDescent="0.3">
      <c r="U341463" s="25"/>
    </row>
    <row r="341485" spans="21:21" x14ac:dyDescent="0.3">
      <c r="U341485" s="25"/>
    </row>
    <row r="341507" spans="21:21" x14ac:dyDescent="0.3">
      <c r="U341507" s="25"/>
    </row>
    <row r="341529" spans="21:21" x14ac:dyDescent="0.3">
      <c r="U341529" s="25"/>
    </row>
    <row r="341551" spans="21:21" x14ac:dyDescent="0.3">
      <c r="U341551" s="25"/>
    </row>
    <row r="341573" spans="21:21" x14ac:dyDescent="0.3">
      <c r="U341573" s="25"/>
    </row>
    <row r="341595" spans="21:21" x14ac:dyDescent="0.3">
      <c r="U341595" s="25"/>
    </row>
    <row r="341617" spans="21:21" x14ac:dyDescent="0.3">
      <c r="U341617" s="25"/>
    </row>
    <row r="341639" spans="21:21" x14ac:dyDescent="0.3">
      <c r="U341639" s="25"/>
    </row>
    <row r="341661" spans="21:21" x14ac:dyDescent="0.3">
      <c r="U341661" s="25"/>
    </row>
    <row r="341683" spans="21:21" x14ac:dyDescent="0.3">
      <c r="U341683" s="25"/>
    </row>
    <row r="341705" spans="21:21" x14ac:dyDescent="0.3">
      <c r="U341705" s="25"/>
    </row>
    <row r="341727" spans="21:21" x14ac:dyDescent="0.3">
      <c r="U341727" s="25"/>
    </row>
    <row r="341749" spans="21:21" x14ac:dyDescent="0.3">
      <c r="U341749" s="25"/>
    </row>
    <row r="341771" spans="21:21" x14ac:dyDescent="0.3">
      <c r="U341771" s="25"/>
    </row>
    <row r="341793" spans="21:21" x14ac:dyDescent="0.3">
      <c r="U341793" s="25"/>
    </row>
    <row r="341815" spans="21:21" x14ac:dyDescent="0.3">
      <c r="U341815" s="25"/>
    </row>
    <row r="341837" spans="21:21" x14ac:dyDescent="0.3">
      <c r="U341837" s="25"/>
    </row>
    <row r="341859" spans="21:21" x14ac:dyDescent="0.3">
      <c r="U341859" s="25"/>
    </row>
    <row r="341881" spans="21:21" x14ac:dyDescent="0.3">
      <c r="U341881" s="25"/>
    </row>
    <row r="341903" spans="21:21" x14ac:dyDescent="0.3">
      <c r="U341903" s="25"/>
    </row>
    <row r="341925" spans="21:21" x14ac:dyDescent="0.3">
      <c r="U341925" s="25"/>
    </row>
    <row r="341947" spans="21:21" x14ac:dyDescent="0.3">
      <c r="U341947" s="25"/>
    </row>
    <row r="341969" spans="21:21" x14ac:dyDescent="0.3">
      <c r="U341969" s="25"/>
    </row>
    <row r="341991" spans="21:21" x14ac:dyDescent="0.3">
      <c r="U341991" s="25"/>
    </row>
    <row r="342013" spans="21:21" x14ac:dyDescent="0.3">
      <c r="U342013" s="25"/>
    </row>
    <row r="342035" spans="21:21" x14ac:dyDescent="0.3">
      <c r="U342035" s="25"/>
    </row>
    <row r="342057" spans="21:21" x14ac:dyDescent="0.3">
      <c r="U342057" s="25"/>
    </row>
    <row r="342079" spans="21:21" x14ac:dyDescent="0.3">
      <c r="U342079" s="25"/>
    </row>
    <row r="342101" spans="21:21" x14ac:dyDescent="0.3">
      <c r="U342101" s="25"/>
    </row>
    <row r="342123" spans="21:21" x14ac:dyDescent="0.3">
      <c r="U342123" s="25"/>
    </row>
    <row r="342145" spans="21:21" x14ac:dyDescent="0.3">
      <c r="U342145" s="25"/>
    </row>
    <row r="342167" spans="21:21" x14ac:dyDescent="0.3">
      <c r="U342167" s="25"/>
    </row>
    <row r="342189" spans="21:21" x14ac:dyDescent="0.3">
      <c r="U342189" s="25"/>
    </row>
    <row r="342211" spans="21:21" x14ac:dyDescent="0.3">
      <c r="U342211" s="25"/>
    </row>
    <row r="342233" spans="21:21" x14ac:dyDescent="0.3">
      <c r="U342233" s="25"/>
    </row>
    <row r="342255" spans="21:21" x14ac:dyDescent="0.3">
      <c r="U342255" s="25"/>
    </row>
    <row r="342277" spans="21:21" x14ac:dyDescent="0.3">
      <c r="U342277" s="25"/>
    </row>
    <row r="342299" spans="21:21" x14ac:dyDescent="0.3">
      <c r="U342299" s="25"/>
    </row>
    <row r="342321" spans="21:21" x14ac:dyDescent="0.3">
      <c r="U342321" s="25"/>
    </row>
    <row r="342343" spans="21:21" x14ac:dyDescent="0.3">
      <c r="U342343" s="25"/>
    </row>
    <row r="342365" spans="21:21" x14ac:dyDescent="0.3">
      <c r="U342365" s="25"/>
    </row>
    <row r="342387" spans="21:21" x14ac:dyDescent="0.3">
      <c r="U342387" s="25"/>
    </row>
    <row r="342409" spans="21:21" x14ac:dyDescent="0.3">
      <c r="U342409" s="25"/>
    </row>
    <row r="342431" spans="21:21" x14ac:dyDescent="0.3">
      <c r="U342431" s="25"/>
    </row>
    <row r="342453" spans="21:21" x14ac:dyDescent="0.3">
      <c r="U342453" s="25"/>
    </row>
    <row r="342475" spans="21:21" x14ac:dyDescent="0.3">
      <c r="U342475" s="25"/>
    </row>
    <row r="342497" spans="21:21" x14ac:dyDescent="0.3">
      <c r="U342497" s="25"/>
    </row>
    <row r="342519" spans="21:21" x14ac:dyDescent="0.3">
      <c r="U342519" s="25"/>
    </row>
    <row r="342541" spans="21:21" x14ac:dyDescent="0.3">
      <c r="U342541" s="25"/>
    </row>
    <row r="342563" spans="21:21" x14ac:dyDescent="0.3">
      <c r="U342563" s="25"/>
    </row>
    <row r="342585" spans="21:21" x14ac:dyDescent="0.3">
      <c r="U342585" s="25"/>
    </row>
    <row r="342607" spans="21:21" x14ac:dyDescent="0.3">
      <c r="U342607" s="25"/>
    </row>
    <row r="342629" spans="21:21" x14ac:dyDescent="0.3">
      <c r="U342629" s="25"/>
    </row>
    <row r="342651" spans="21:21" x14ac:dyDescent="0.3">
      <c r="U342651" s="25"/>
    </row>
    <row r="342673" spans="21:21" x14ac:dyDescent="0.3">
      <c r="U342673" s="25"/>
    </row>
    <row r="342695" spans="21:21" x14ac:dyDescent="0.3">
      <c r="U342695" s="25"/>
    </row>
    <row r="342717" spans="21:21" x14ac:dyDescent="0.3">
      <c r="U342717" s="25"/>
    </row>
    <row r="342739" spans="21:21" x14ac:dyDescent="0.3">
      <c r="U342739" s="25"/>
    </row>
    <row r="342761" spans="21:21" x14ac:dyDescent="0.3">
      <c r="U342761" s="25"/>
    </row>
    <row r="342783" spans="21:21" x14ac:dyDescent="0.3">
      <c r="U342783" s="25"/>
    </row>
    <row r="342805" spans="21:21" x14ac:dyDescent="0.3">
      <c r="U342805" s="25"/>
    </row>
    <row r="342827" spans="21:21" x14ac:dyDescent="0.3">
      <c r="U342827" s="25"/>
    </row>
    <row r="342849" spans="21:21" x14ac:dyDescent="0.3">
      <c r="U342849" s="25"/>
    </row>
    <row r="342871" spans="21:21" x14ac:dyDescent="0.3">
      <c r="U342871" s="25"/>
    </row>
    <row r="342893" spans="21:21" x14ac:dyDescent="0.3">
      <c r="U342893" s="25"/>
    </row>
    <row r="342915" spans="21:21" x14ac:dyDescent="0.3">
      <c r="U342915" s="25"/>
    </row>
    <row r="342937" spans="21:21" x14ac:dyDescent="0.3">
      <c r="U342937" s="25"/>
    </row>
    <row r="342959" spans="21:21" x14ac:dyDescent="0.3">
      <c r="U342959" s="25"/>
    </row>
    <row r="342981" spans="21:21" x14ac:dyDescent="0.3">
      <c r="U342981" s="25"/>
    </row>
    <row r="343003" spans="21:21" x14ac:dyDescent="0.3">
      <c r="U343003" s="25"/>
    </row>
    <row r="343025" spans="21:21" x14ac:dyDescent="0.3">
      <c r="U343025" s="25"/>
    </row>
    <row r="343047" spans="21:21" x14ac:dyDescent="0.3">
      <c r="U343047" s="25"/>
    </row>
    <row r="343069" spans="21:21" x14ac:dyDescent="0.3">
      <c r="U343069" s="25"/>
    </row>
    <row r="343091" spans="21:21" x14ac:dyDescent="0.3">
      <c r="U343091" s="25"/>
    </row>
    <row r="343113" spans="21:21" x14ac:dyDescent="0.3">
      <c r="U343113" s="25"/>
    </row>
    <row r="343135" spans="21:21" x14ac:dyDescent="0.3">
      <c r="U343135" s="25"/>
    </row>
    <row r="343157" spans="21:21" x14ac:dyDescent="0.3">
      <c r="U343157" s="25"/>
    </row>
    <row r="343179" spans="21:21" x14ac:dyDescent="0.3">
      <c r="U343179" s="25"/>
    </row>
    <row r="343201" spans="21:21" x14ac:dyDescent="0.3">
      <c r="U343201" s="25"/>
    </row>
    <row r="343223" spans="21:21" x14ac:dyDescent="0.3">
      <c r="U343223" s="25"/>
    </row>
    <row r="343245" spans="21:21" x14ac:dyDescent="0.3">
      <c r="U343245" s="25"/>
    </row>
    <row r="343267" spans="21:21" x14ac:dyDescent="0.3">
      <c r="U343267" s="25"/>
    </row>
    <row r="343289" spans="21:21" x14ac:dyDescent="0.3">
      <c r="U343289" s="25"/>
    </row>
    <row r="343311" spans="21:21" x14ac:dyDescent="0.3">
      <c r="U343311" s="25"/>
    </row>
    <row r="343333" spans="21:21" x14ac:dyDescent="0.3">
      <c r="U343333" s="25"/>
    </row>
    <row r="343355" spans="21:21" x14ac:dyDescent="0.3">
      <c r="U343355" s="25"/>
    </row>
    <row r="343377" spans="21:21" x14ac:dyDescent="0.3">
      <c r="U343377" s="25"/>
    </row>
    <row r="343399" spans="21:21" x14ac:dyDescent="0.3">
      <c r="U343399" s="25"/>
    </row>
    <row r="343421" spans="21:21" x14ac:dyDescent="0.3">
      <c r="U343421" s="25"/>
    </row>
    <row r="343443" spans="21:21" x14ac:dyDescent="0.3">
      <c r="U343443" s="25"/>
    </row>
    <row r="343465" spans="21:21" x14ac:dyDescent="0.3">
      <c r="U343465" s="25"/>
    </row>
    <row r="343487" spans="21:21" x14ac:dyDescent="0.3">
      <c r="U343487" s="25"/>
    </row>
    <row r="343509" spans="21:21" x14ac:dyDescent="0.3">
      <c r="U343509" s="25"/>
    </row>
    <row r="343531" spans="21:21" x14ac:dyDescent="0.3">
      <c r="U343531" s="25"/>
    </row>
    <row r="343553" spans="21:21" x14ac:dyDescent="0.3">
      <c r="U343553" s="25"/>
    </row>
    <row r="343575" spans="21:21" x14ac:dyDescent="0.3">
      <c r="U343575" s="25"/>
    </row>
    <row r="343597" spans="21:21" x14ac:dyDescent="0.3">
      <c r="U343597" s="25"/>
    </row>
    <row r="343619" spans="21:21" x14ac:dyDescent="0.3">
      <c r="U343619" s="25"/>
    </row>
    <row r="343641" spans="21:21" x14ac:dyDescent="0.3">
      <c r="U343641" s="25"/>
    </row>
    <row r="343663" spans="21:21" x14ac:dyDescent="0.3">
      <c r="U343663" s="25"/>
    </row>
    <row r="343685" spans="21:21" x14ac:dyDescent="0.3">
      <c r="U343685" s="25"/>
    </row>
    <row r="343707" spans="21:21" x14ac:dyDescent="0.3">
      <c r="U343707" s="25"/>
    </row>
    <row r="343729" spans="21:21" x14ac:dyDescent="0.3">
      <c r="U343729" s="25"/>
    </row>
    <row r="343751" spans="21:21" x14ac:dyDescent="0.3">
      <c r="U343751" s="25"/>
    </row>
    <row r="343773" spans="21:21" x14ac:dyDescent="0.3">
      <c r="U343773" s="25"/>
    </row>
    <row r="343795" spans="21:21" x14ac:dyDescent="0.3">
      <c r="U343795" s="25"/>
    </row>
    <row r="343817" spans="21:21" x14ac:dyDescent="0.3">
      <c r="U343817" s="25"/>
    </row>
    <row r="343839" spans="21:21" x14ac:dyDescent="0.3">
      <c r="U343839" s="25"/>
    </row>
    <row r="343861" spans="21:21" x14ac:dyDescent="0.3">
      <c r="U343861" s="25"/>
    </row>
    <row r="343883" spans="21:21" x14ac:dyDescent="0.3">
      <c r="U343883" s="25"/>
    </row>
    <row r="343905" spans="21:21" x14ac:dyDescent="0.3">
      <c r="U343905" s="25"/>
    </row>
    <row r="343927" spans="21:21" x14ac:dyDescent="0.3">
      <c r="U343927" s="25"/>
    </row>
    <row r="343949" spans="21:21" x14ac:dyDescent="0.3">
      <c r="U343949" s="25"/>
    </row>
    <row r="343971" spans="21:21" x14ac:dyDescent="0.3">
      <c r="U343971" s="25"/>
    </row>
    <row r="343993" spans="21:21" x14ac:dyDescent="0.3">
      <c r="U343993" s="25"/>
    </row>
    <row r="344015" spans="21:21" x14ac:dyDescent="0.3">
      <c r="U344015" s="25"/>
    </row>
    <row r="344037" spans="21:21" x14ac:dyDescent="0.3">
      <c r="U344037" s="25"/>
    </row>
    <row r="344059" spans="21:21" x14ac:dyDescent="0.3">
      <c r="U344059" s="25"/>
    </row>
    <row r="344081" spans="21:21" x14ac:dyDescent="0.3">
      <c r="U344081" s="25"/>
    </row>
    <row r="344103" spans="21:21" x14ac:dyDescent="0.3">
      <c r="U344103" s="25"/>
    </row>
    <row r="344125" spans="21:21" x14ac:dyDescent="0.3">
      <c r="U344125" s="25"/>
    </row>
    <row r="344147" spans="21:21" x14ac:dyDescent="0.3">
      <c r="U344147" s="25"/>
    </row>
    <row r="344169" spans="21:21" x14ac:dyDescent="0.3">
      <c r="U344169" s="25"/>
    </row>
    <row r="344191" spans="21:21" x14ac:dyDescent="0.3">
      <c r="U344191" s="25"/>
    </row>
    <row r="344213" spans="21:21" x14ac:dyDescent="0.3">
      <c r="U344213" s="25"/>
    </row>
    <row r="344235" spans="21:21" x14ac:dyDescent="0.3">
      <c r="U344235" s="25"/>
    </row>
    <row r="344257" spans="21:21" x14ac:dyDescent="0.3">
      <c r="U344257" s="25"/>
    </row>
    <row r="344279" spans="21:21" x14ac:dyDescent="0.3">
      <c r="U344279" s="25"/>
    </row>
    <row r="344301" spans="21:21" x14ac:dyDescent="0.3">
      <c r="U344301" s="25"/>
    </row>
    <row r="344323" spans="21:21" x14ac:dyDescent="0.3">
      <c r="U344323" s="25"/>
    </row>
    <row r="344345" spans="21:21" x14ac:dyDescent="0.3">
      <c r="U344345" s="25"/>
    </row>
    <row r="344367" spans="21:21" x14ac:dyDescent="0.3">
      <c r="U344367" s="25"/>
    </row>
    <row r="344389" spans="21:21" x14ac:dyDescent="0.3">
      <c r="U344389" s="25"/>
    </row>
    <row r="344411" spans="21:21" x14ac:dyDescent="0.3">
      <c r="U344411" s="25"/>
    </row>
    <row r="344433" spans="21:21" x14ac:dyDescent="0.3">
      <c r="U344433" s="25"/>
    </row>
    <row r="344455" spans="21:21" x14ac:dyDescent="0.3">
      <c r="U344455" s="25"/>
    </row>
    <row r="344477" spans="21:21" x14ac:dyDescent="0.3">
      <c r="U344477" s="25"/>
    </row>
    <row r="344499" spans="21:21" x14ac:dyDescent="0.3">
      <c r="U344499" s="25"/>
    </row>
    <row r="344521" spans="21:21" x14ac:dyDescent="0.3">
      <c r="U344521" s="25"/>
    </row>
    <row r="344543" spans="21:21" x14ac:dyDescent="0.3">
      <c r="U344543" s="25"/>
    </row>
    <row r="344565" spans="21:21" x14ac:dyDescent="0.3">
      <c r="U344565" s="25"/>
    </row>
    <row r="344587" spans="21:21" x14ac:dyDescent="0.3">
      <c r="U344587" s="25"/>
    </row>
    <row r="344609" spans="21:21" x14ac:dyDescent="0.3">
      <c r="U344609" s="25"/>
    </row>
    <row r="344631" spans="21:21" x14ac:dyDescent="0.3">
      <c r="U344631" s="25"/>
    </row>
    <row r="344653" spans="21:21" x14ac:dyDescent="0.3">
      <c r="U344653" s="25"/>
    </row>
    <row r="344675" spans="21:21" x14ac:dyDescent="0.3">
      <c r="U344675" s="25"/>
    </row>
    <row r="344697" spans="21:21" x14ac:dyDescent="0.3">
      <c r="U344697" s="25"/>
    </row>
    <row r="344719" spans="21:21" x14ac:dyDescent="0.3">
      <c r="U344719" s="25"/>
    </row>
    <row r="344741" spans="21:21" x14ac:dyDescent="0.3">
      <c r="U344741" s="25"/>
    </row>
    <row r="344763" spans="21:21" x14ac:dyDescent="0.3">
      <c r="U344763" s="25"/>
    </row>
    <row r="344785" spans="21:21" x14ac:dyDescent="0.3">
      <c r="U344785" s="25"/>
    </row>
    <row r="344807" spans="21:21" x14ac:dyDescent="0.3">
      <c r="U344807" s="25"/>
    </row>
    <row r="344829" spans="21:21" x14ac:dyDescent="0.3">
      <c r="U344829" s="25"/>
    </row>
    <row r="344851" spans="21:21" x14ac:dyDescent="0.3">
      <c r="U344851" s="25"/>
    </row>
    <row r="344873" spans="21:21" x14ac:dyDescent="0.3">
      <c r="U344873" s="25"/>
    </row>
    <row r="344895" spans="21:21" x14ac:dyDescent="0.3">
      <c r="U344895" s="25"/>
    </row>
    <row r="344917" spans="21:21" x14ac:dyDescent="0.3">
      <c r="U344917" s="25"/>
    </row>
    <row r="344939" spans="21:21" x14ac:dyDescent="0.3">
      <c r="U344939" s="25"/>
    </row>
    <row r="344961" spans="21:21" x14ac:dyDescent="0.3">
      <c r="U344961" s="25"/>
    </row>
    <row r="344983" spans="21:21" x14ac:dyDescent="0.3">
      <c r="U344983" s="25"/>
    </row>
    <row r="345005" spans="21:21" x14ac:dyDescent="0.3">
      <c r="U345005" s="25"/>
    </row>
    <row r="345027" spans="21:21" x14ac:dyDescent="0.3">
      <c r="U345027" s="25"/>
    </row>
    <row r="345049" spans="21:21" x14ac:dyDescent="0.3">
      <c r="U345049" s="25"/>
    </row>
    <row r="345071" spans="21:21" x14ac:dyDescent="0.3">
      <c r="U345071" s="25"/>
    </row>
    <row r="345093" spans="21:21" x14ac:dyDescent="0.3">
      <c r="U345093" s="25"/>
    </row>
    <row r="345115" spans="21:21" x14ac:dyDescent="0.3">
      <c r="U345115" s="25"/>
    </row>
    <row r="345137" spans="21:21" x14ac:dyDescent="0.3">
      <c r="U345137" s="25"/>
    </row>
    <row r="345159" spans="21:21" x14ac:dyDescent="0.3">
      <c r="U345159" s="25"/>
    </row>
    <row r="345181" spans="21:21" x14ac:dyDescent="0.3">
      <c r="U345181" s="25"/>
    </row>
    <row r="345203" spans="21:21" x14ac:dyDescent="0.3">
      <c r="U345203" s="25"/>
    </row>
    <row r="345225" spans="21:21" x14ac:dyDescent="0.3">
      <c r="U345225" s="25"/>
    </row>
    <row r="345247" spans="21:21" x14ac:dyDescent="0.3">
      <c r="U345247" s="25"/>
    </row>
    <row r="345269" spans="21:21" x14ac:dyDescent="0.3">
      <c r="U345269" s="25"/>
    </row>
    <row r="345291" spans="21:21" x14ac:dyDescent="0.3">
      <c r="U345291" s="25"/>
    </row>
    <row r="345313" spans="21:21" x14ac:dyDescent="0.3">
      <c r="U345313" s="25"/>
    </row>
    <row r="345335" spans="21:21" x14ac:dyDescent="0.3">
      <c r="U345335" s="25"/>
    </row>
    <row r="345357" spans="21:21" x14ac:dyDescent="0.3">
      <c r="U345357" s="25"/>
    </row>
    <row r="345379" spans="21:21" x14ac:dyDescent="0.3">
      <c r="U345379" s="25"/>
    </row>
    <row r="345401" spans="21:21" x14ac:dyDescent="0.3">
      <c r="U345401" s="25"/>
    </row>
    <row r="345423" spans="21:21" x14ac:dyDescent="0.3">
      <c r="U345423" s="25"/>
    </row>
    <row r="345445" spans="21:21" x14ac:dyDescent="0.3">
      <c r="U345445" s="25"/>
    </row>
    <row r="345467" spans="21:21" x14ac:dyDescent="0.3">
      <c r="U345467" s="25"/>
    </row>
    <row r="345489" spans="21:21" x14ac:dyDescent="0.3">
      <c r="U345489" s="25"/>
    </row>
    <row r="345511" spans="21:21" x14ac:dyDescent="0.3">
      <c r="U345511" s="25"/>
    </row>
    <row r="345533" spans="21:21" x14ac:dyDescent="0.3">
      <c r="U345533" s="25"/>
    </row>
    <row r="345555" spans="21:21" x14ac:dyDescent="0.3">
      <c r="U345555" s="25"/>
    </row>
    <row r="345577" spans="21:21" x14ac:dyDescent="0.3">
      <c r="U345577" s="25"/>
    </row>
    <row r="345599" spans="21:21" x14ac:dyDescent="0.3">
      <c r="U345599" s="25"/>
    </row>
    <row r="345621" spans="21:21" x14ac:dyDescent="0.3">
      <c r="U345621" s="25"/>
    </row>
    <row r="345643" spans="21:21" x14ac:dyDescent="0.3">
      <c r="U345643" s="25"/>
    </row>
    <row r="345665" spans="21:21" x14ac:dyDescent="0.3">
      <c r="U345665" s="25"/>
    </row>
    <row r="345687" spans="21:21" x14ac:dyDescent="0.3">
      <c r="U345687" s="25"/>
    </row>
    <row r="345709" spans="21:21" x14ac:dyDescent="0.3">
      <c r="U345709" s="25"/>
    </row>
    <row r="345731" spans="21:21" x14ac:dyDescent="0.3">
      <c r="U345731" s="25"/>
    </row>
    <row r="345753" spans="21:21" x14ac:dyDescent="0.3">
      <c r="U345753" s="25"/>
    </row>
    <row r="345775" spans="21:21" x14ac:dyDescent="0.3">
      <c r="U345775" s="25"/>
    </row>
    <row r="345797" spans="21:21" x14ac:dyDescent="0.3">
      <c r="U345797" s="25"/>
    </row>
    <row r="345819" spans="21:21" x14ac:dyDescent="0.3">
      <c r="U345819" s="25"/>
    </row>
    <row r="345841" spans="21:21" x14ac:dyDescent="0.3">
      <c r="U345841" s="25"/>
    </row>
    <row r="345863" spans="21:21" x14ac:dyDescent="0.3">
      <c r="U345863" s="25"/>
    </row>
    <row r="345885" spans="21:21" x14ac:dyDescent="0.3">
      <c r="U345885" s="25"/>
    </row>
    <row r="345907" spans="21:21" x14ac:dyDescent="0.3">
      <c r="U345907" s="25"/>
    </row>
    <row r="345929" spans="21:21" x14ac:dyDescent="0.3">
      <c r="U345929" s="25"/>
    </row>
    <row r="345951" spans="21:21" x14ac:dyDescent="0.3">
      <c r="U345951" s="25"/>
    </row>
    <row r="345973" spans="21:21" x14ac:dyDescent="0.3">
      <c r="U345973" s="25"/>
    </row>
    <row r="345995" spans="21:21" x14ac:dyDescent="0.3">
      <c r="U345995" s="25"/>
    </row>
    <row r="346017" spans="21:21" x14ac:dyDescent="0.3">
      <c r="U346017" s="25"/>
    </row>
    <row r="346039" spans="21:21" x14ac:dyDescent="0.3">
      <c r="U346039" s="25"/>
    </row>
    <row r="346061" spans="21:21" x14ac:dyDescent="0.3">
      <c r="U346061" s="25"/>
    </row>
    <row r="346083" spans="21:21" x14ac:dyDescent="0.3">
      <c r="U346083" s="25"/>
    </row>
    <row r="346105" spans="21:21" x14ac:dyDescent="0.3">
      <c r="U346105" s="25"/>
    </row>
    <row r="346127" spans="21:21" x14ac:dyDescent="0.3">
      <c r="U346127" s="25"/>
    </row>
    <row r="346149" spans="21:21" x14ac:dyDescent="0.3">
      <c r="U346149" s="25"/>
    </row>
    <row r="346171" spans="21:21" x14ac:dyDescent="0.3">
      <c r="U346171" s="25"/>
    </row>
    <row r="346193" spans="21:21" x14ac:dyDescent="0.3">
      <c r="U346193" s="25"/>
    </row>
    <row r="346215" spans="21:21" x14ac:dyDescent="0.3">
      <c r="U346215" s="25"/>
    </row>
    <row r="346237" spans="21:21" x14ac:dyDescent="0.3">
      <c r="U346237" s="25"/>
    </row>
    <row r="346259" spans="21:21" x14ac:dyDescent="0.3">
      <c r="U346259" s="25"/>
    </row>
    <row r="346281" spans="21:21" x14ac:dyDescent="0.3">
      <c r="U346281" s="25"/>
    </row>
    <row r="346303" spans="21:21" x14ac:dyDescent="0.3">
      <c r="U346303" s="25"/>
    </row>
    <row r="346325" spans="21:21" x14ac:dyDescent="0.3">
      <c r="U346325" s="25"/>
    </row>
    <row r="346347" spans="21:21" x14ac:dyDescent="0.3">
      <c r="U346347" s="25"/>
    </row>
    <row r="346369" spans="21:21" x14ac:dyDescent="0.3">
      <c r="U346369" s="25"/>
    </row>
    <row r="346391" spans="21:21" x14ac:dyDescent="0.3">
      <c r="U346391" s="25"/>
    </row>
    <row r="346413" spans="21:21" x14ac:dyDescent="0.3">
      <c r="U346413" s="25"/>
    </row>
    <row r="346435" spans="21:21" x14ac:dyDescent="0.3">
      <c r="U346435" s="25"/>
    </row>
    <row r="346457" spans="21:21" x14ac:dyDescent="0.3">
      <c r="U346457" s="25"/>
    </row>
    <row r="346479" spans="21:21" x14ac:dyDescent="0.3">
      <c r="U346479" s="25"/>
    </row>
    <row r="346501" spans="21:21" x14ac:dyDescent="0.3">
      <c r="U346501" s="25"/>
    </row>
    <row r="346523" spans="21:21" x14ac:dyDescent="0.3">
      <c r="U346523" s="25"/>
    </row>
    <row r="346545" spans="21:21" x14ac:dyDescent="0.3">
      <c r="U346545" s="25"/>
    </row>
    <row r="346567" spans="21:21" x14ac:dyDescent="0.3">
      <c r="U346567" s="25"/>
    </row>
    <row r="346589" spans="21:21" x14ac:dyDescent="0.3">
      <c r="U346589" s="25"/>
    </row>
    <row r="346611" spans="21:21" x14ac:dyDescent="0.3">
      <c r="U346611" s="25"/>
    </row>
    <row r="346633" spans="21:21" x14ac:dyDescent="0.3">
      <c r="U346633" s="25"/>
    </row>
    <row r="346655" spans="21:21" x14ac:dyDescent="0.3">
      <c r="U346655" s="25"/>
    </row>
    <row r="346677" spans="21:21" x14ac:dyDescent="0.3">
      <c r="U346677" s="25"/>
    </row>
    <row r="346699" spans="21:21" x14ac:dyDescent="0.3">
      <c r="U346699" s="25"/>
    </row>
    <row r="346721" spans="21:21" x14ac:dyDescent="0.3">
      <c r="U346721" s="25"/>
    </row>
    <row r="346743" spans="21:21" x14ac:dyDescent="0.3">
      <c r="U346743" s="25"/>
    </row>
    <row r="346765" spans="21:21" x14ac:dyDescent="0.3">
      <c r="U346765" s="25"/>
    </row>
    <row r="346787" spans="21:21" x14ac:dyDescent="0.3">
      <c r="U346787" s="25"/>
    </row>
    <row r="346809" spans="21:21" x14ac:dyDescent="0.3">
      <c r="U346809" s="25"/>
    </row>
    <row r="346831" spans="21:21" x14ac:dyDescent="0.3">
      <c r="U346831" s="25"/>
    </row>
    <row r="346853" spans="21:21" x14ac:dyDescent="0.3">
      <c r="U346853" s="25"/>
    </row>
    <row r="346875" spans="21:21" x14ac:dyDescent="0.3">
      <c r="U346875" s="25"/>
    </row>
    <row r="346897" spans="21:21" x14ac:dyDescent="0.3">
      <c r="U346897" s="25"/>
    </row>
    <row r="346919" spans="21:21" x14ac:dyDescent="0.3">
      <c r="U346919" s="25"/>
    </row>
    <row r="346941" spans="21:21" x14ac:dyDescent="0.3">
      <c r="U346941" s="25"/>
    </row>
    <row r="346963" spans="21:21" x14ac:dyDescent="0.3">
      <c r="U346963" s="25"/>
    </row>
    <row r="346985" spans="21:21" x14ac:dyDescent="0.3">
      <c r="U346985" s="25"/>
    </row>
    <row r="347007" spans="21:21" x14ac:dyDescent="0.3">
      <c r="U347007" s="25"/>
    </row>
    <row r="347029" spans="21:21" x14ac:dyDescent="0.3">
      <c r="U347029" s="25"/>
    </row>
    <row r="347051" spans="21:21" x14ac:dyDescent="0.3">
      <c r="U347051" s="25"/>
    </row>
    <row r="347073" spans="21:21" x14ac:dyDescent="0.3">
      <c r="U347073" s="25"/>
    </row>
    <row r="347095" spans="21:21" x14ac:dyDescent="0.3">
      <c r="U347095" s="25"/>
    </row>
    <row r="347117" spans="21:21" x14ac:dyDescent="0.3">
      <c r="U347117" s="25"/>
    </row>
    <row r="347139" spans="21:21" x14ac:dyDescent="0.3">
      <c r="U347139" s="25"/>
    </row>
    <row r="347161" spans="21:21" x14ac:dyDescent="0.3">
      <c r="U347161" s="25"/>
    </row>
    <row r="347183" spans="21:21" x14ac:dyDescent="0.3">
      <c r="U347183" s="25"/>
    </row>
    <row r="347205" spans="21:21" x14ac:dyDescent="0.3">
      <c r="U347205" s="25"/>
    </row>
    <row r="347227" spans="21:21" x14ac:dyDescent="0.3">
      <c r="U347227" s="25"/>
    </row>
    <row r="347249" spans="21:21" x14ac:dyDescent="0.3">
      <c r="U347249" s="25"/>
    </row>
    <row r="347271" spans="21:21" x14ac:dyDescent="0.3">
      <c r="U347271" s="25"/>
    </row>
    <row r="347293" spans="21:21" x14ac:dyDescent="0.3">
      <c r="U347293" s="25"/>
    </row>
    <row r="347315" spans="21:21" x14ac:dyDescent="0.3">
      <c r="U347315" s="25"/>
    </row>
    <row r="347337" spans="21:21" x14ac:dyDescent="0.3">
      <c r="U347337" s="25"/>
    </row>
    <row r="347359" spans="21:21" x14ac:dyDescent="0.3">
      <c r="U347359" s="25"/>
    </row>
    <row r="347381" spans="21:21" x14ac:dyDescent="0.3">
      <c r="U347381" s="25"/>
    </row>
    <row r="347403" spans="21:21" x14ac:dyDescent="0.3">
      <c r="U347403" s="25"/>
    </row>
    <row r="347425" spans="21:21" x14ac:dyDescent="0.3">
      <c r="U347425" s="25"/>
    </row>
    <row r="347447" spans="21:21" x14ac:dyDescent="0.3">
      <c r="U347447" s="25"/>
    </row>
    <row r="347469" spans="21:21" x14ac:dyDescent="0.3">
      <c r="U347469" s="25"/>
    </row>
    <row r="347491" spans="21:21" x14ac:dyDescent="0.3">
      <c r="U347491" s="25"/>
    </row>
    <row r="347513" spans="21:21" x14ac:dyDescent="0.3">
      <c r="U347513" s="25"/>
    </row>
    <row r="347535" spans="21:21" x14ac:dyDescent="0.3">
      <c r="U347535" s="25"/>
    </row>
    <row r="347557" spans="21:21" x14ac:dyDescent="0.3">
      <c r="U347557" s="25"/>
    </row>
    <row r="347579" spans="21:21" x14ac:dyDescent="0.3">
      <c r="U347579" s="25"/>
    </row>
    <row r="347601" spans="21:21" x14ac:dyDescent="0.3">
      <c r="U347601" s="25"/>
    </row>
    <row r="347623" spans="21:21" x14ac:dyDescent="0.3">
      <c r="U347623" s="25"/>
    </row>
    <row r="347645" spans="21:21" x14ac:dyDescent="0.3">
      <c r="U347645" s="25"/>
    </row>
    <row r="347667" spans="21:21" x14ac:dyDescent="0.3">
      <c r="U347667" s="25"/>
    </row>
    <row r="347689" spans="21:21" x14ac:dyDescent="0.3">
      <c r="U347689" s="25"/>
    </row>
    <row r="347711" spans="21:21" x14ac:dyDescent="0.3">
      <c r="U347711" s="25"/>
    </row>
    <row r="347733" spans="21:21" x14ac:dyDescent="0.3">
      <c r="U347733" s="25"/>
    </row>
    <row r="347755" spans="21:21" x14ac:dyDescent="0.3">
      <c r="U347755" s="25"/>
    </row>
    <row r="347777" spans="21:21" x14ac:dyDescent="0.3">
      <c r="U347777" s="25"/>
    </row>
    <row r="347799" spans="21:21" x14ac:dyDescent="0.3">
      <c r="U347799" s="25"/>
    </row>
    <row r="347821" spans="21:21" x14ac:dyDescent="0.3">
      <c r="U347821" s="25"/>
    </row>
    <row r="347843" spans="21:21" x14ac:dyDescent="0.3">
      <c r="U347843" s="25"/>
    </row>
    <row r="347865" spans="21:21" x14ac:dyDescent="0.3">
      <c r="U347865" s="25"/>
    </row>
    <row r="347887" spans="21:21" x14ac:dyDescent="0.3">
      <c r="U347887" s="25"/>
    </row>
    <row r="347909" spans="21:21" x14ac:dyDescent="0.3">
      <c r="U347909" s="25"/>
    </row>
    <row r="347931" spans="21:21" x14ac:dyDescent="0.3">
      <c r="U347931" s="25"/>
    </row>
    <row r="347953" spans="21:21" x14ac:dyDescent="0.3">
      <c r="U347953" s="25"/>
    </row>
    <row r="347975" spans="21:21" x14ac:dyDescent="0.3">
      <c r="U347975" s="25"/>
    </row>
    <row r="347997" spans="21:21" x14ac:dyDescent="0.3">
      <c r="U347997" s="25"/>
    </row>
    <row r="348019" spans="21:21" x14ac:dyDescent="0.3">
      <c r="U348019" s="25"/>
    </row>
    <row r="348041" spans="21:21" x14ac:dyDescent="0.3">
      <c r="U348041" s="25"/>
    </row>
    <row r="348063" spans="21:21" x14ac:dyDescent="0.3">
      <c r="U348063" s="25"/>
    </row>
    <row r="348085" spans="21:21" x14ac:dyDescent="0.3">
      <c r="U348085" s="25"/>
    </row>
    <row r="348107" spans="21:21" x14ac:dyDescent="0.3">
      <c r="U348107" s="25"/>
    </row>
    <row r="348129" spans="21:21" x14ac:dyDescent="0.3">
      <c r="U348129" s="25"/>
    </row>
    <row r="348151" spans="21:21" x14ac:dyDescent="0.3">
      <c r="U348151" s="25"/>
    </row>
    <row r="348173" spans="21:21" x14ac:dyDescent="0.3">
      <c r="U348173" s="25"/>
    </row>
    <row r="348195" spans="21:21" x14ac:dyDescent="0.3">
      <c r="U348195" s="25"/>
    </row>
    <row r="348217" spans="21:21" x14ac:dyDescent="0.3">
      <c r="U348217" s="25"/>
    </row>
    <row r="348239" spans="21:21" x14ac:dyDescent="0.3">
      <c r="U348239" s="25"/>
    </row>
    <row r="348261" spans="21:21" x14ac:dyDescent="0.3">
      <c r="U348261" s="25"/>
    </row>
    <row r="348283" spans="21:21" x14ac:dyDescent="0.3">
      <c r="U348283" s="25"/>
    </row>
    <row r="348305" spans="21:21" x14ac:dyDescent="0.3">
      <c r="U348305" s="25"/>
    </row>
    <row r="348327" spans="21:21" x14ac:dyDescent="0.3">
      <c r="U348327" s="25"/>
    </row>
    <row r="348349" spans="21:21" x14ac:dyDescent="0.3">
      <c r="U348349" s="25"/>
    </row>
    <row r="348371" spans="21:21" x14ac:dyDescent="0.3">
      <c r="U348371" s="25"/>
    </row>
    <row r="348393" spans="21:21" x14ac:dyDescent="0.3">
      <c r="U348393" s="25"/>
    </row>
    <row r="348415" spans="21:21" x14ac:dyDescent="0.3">
      <c r="U348415" s="25"/>
    </row>
    <row r="348437" spans="21:21" x14ac:dyDescent="0.3">
      <c r="U348437" s="25"/>
    </row>
    <row r="348459" spans="21:21" x14ac:dyDescent="0.3">
      <c r="U348459" s="25"/>
    </row>
    <row r="348481" spans="21:21" x14ac:dyDescent="0.3">
      <c r="U348481" s="25"/>
    </row>
    <row r="348503" spans="21:21" x14ac:dyDescent="0.3">
      <c r="U348503" s="25"/>
    </row>
    <row r="348525" spans="21:21" x14ac:dyDescent="0.3">
      <c r="U348525" s="25"/>
    </row>
    <row r="348547" spans="21:21" x14ac:dyDescent="0.3">
      <c r="U348547" s="25"/>
    </row>
    <row r="348569" spans="21:21" x14ac:dyDescent="0.3">
      <c r="U348569" s="25"/>
    </row>
    <row r="348591" spans="21:21" x14ac:dyDescent="0.3">
      <c r="U348591" s="25"/>
    </row>
    <row r="348613" spans="21:21" x14ac:dyDescent="0.3">
      <c r="U348613" s="25"/>
    </row>
    <row r="348635" spans="21:21" x14ac:dyDescent="0.3">
      <c r="U348635" s="25"/>
    </row>
    <row r="348657" spans="21:21" x14ac:dyDescent="0.3">
      <c r="U348657" s="25"/>
    </row>
    <row r="348679" spans="21:21" x14ac:dyDescent="0.3">
      <c r="U348679" s="25"/>
    </row>
    <row r="348701" spans="21:21" x14ac:dyDescent="0.3">
      <c r="U348701" s="25"/>
    </row>
    <row r="348723" spans="21:21" x14ac:dyDescent="0.3">
      <c r="U348723" s="25"/>
    </row>
    <row r="348745" spans="21:21" x14ac:dyDescent="0.3">
      <c r="U348745" s="25"/>
    </row>
    <row r="348767" spans="21:21" x14ac:dyDescent="0.3">
      <c r="U348767" s="25"/>
    </row>
    <row r="348789" spans="21:21" x14ac:dyDescent="0.3">
      <c r="U348789" s="25"/>
    </row>
    <row r="348811" spans="21:21" x14ac:dyDescent="0.3">
      <c r="U348811" s="25"/>
    </row>
    <row r="348833" spans="21:21" x14ac:dyDescent="0.3">
      <c r="U348833" s="25"/>
    </row>
    <row r="348855" spans="21:21" x14ac:dyDescent="0.3">
      <c r="U348855" s="25"/>
    </row>
    <row r="348877" spans="21:21" x14ac:dyDescent="0.3">
      <c r="U348877" s="25"/>
    </row>
    <row r="348899" spans="21:21" x14ac:dyDescent="0.3">
      <c r="U348899" s="25"/>
    </row>
    <row r="348921" spans="21:21" x14ac:dyDescent="0.3">
      <c r="U348921" s="25"/>
    </row>
    <row r="348943" spans="21:21" x14ac:dyDescent="0.3">
      <c r="U348943" s="25"/>
    </row>
    <row r="348965" spans="21:21" x14ac:dyDescent="0.3">
      <c r="U348965" s="25"/>
    </row>
    <row r="348987" spans="21:21" x14ac:dyDescent="0.3">
      <c r="U348987" s="25"/>
    </row>
    <row r="349009" spans="21:21" x14ac:dyDescent="0.3">
      <c r="U349009" s="25"/>
    </row>
    <row r="349031" spans="21:21" x14ac:dyDescent="0.3">
      <c r="U349031" s="25"/>
    </row>
    <row r="349053" spans="21:21" x14ac:dyDescent="0.3">
      <c r="U349053" s="25"/>
    </row>
    <row r="349075" spans="21:21" x14ac:dyDescent="0.3">
      <c r="U349075" s="25"/>
    </row>
    <row r="349097" spans="21:21" x14ac:dyDescent="0.3">
      <c r="U349097" s="25"/>
    </row>
    <row r="349119" spans="21:21" x14ac:dyDescent="0.3">
      <c r="U349119" s="25"/>
    </row>
    <row r="349141" spans="21:21" x14ac:dyDescent="0.3">
      <c r="U349141" s="25"/>
    </row>
    <row r="349163" spans="21:21" x14ac:dyDescent="0.3">
      <c r="U349163" s="25"/>
    </row>
    <row r="349185" spans="21:21" x14ac:dyDescent="0.3">
      <c r="U349185" s="25"/>
    </row>
    <row r="349207" spans="21:21" x14ac:dyDescent="0.3">
      <c r="U349207" s="25"/>
    </row>
    <row r="349229" spans="21:21" x14ac:dyDescent="0.3">
      <c r="U349229" s="25"/>
    </row>
    <row r="349251" spans="21:21" x14ac:dyDescent="0.3">
      <c r="U349251" s="25"/>
    </row>
    <row r="349273" spans="21:21" x14ac:dyDescent="0.3">
      <c r="U349273" s="25"/>
    </row>
    <row r="349295" spans="21:21" x14ac:dyDescent="0.3">
      <c r="U349295" s="25"/>
    </row>
    <row r="349317" spans="21:21" x14ac:dyDescent="0.3">
      <c r="U349317" s="25"/>
    </row>
    <row r="349339" spans="21:21" x14ac:dyDescent="0.3">
      <c r="U349339" s="25"/>
    </row>
    <row r="349361" spans="21:21" x14ac:dyDescent="0.3">
      <c r="U349361" s="25"/>
    </row>
    <row r="349383" spans="21:21" x14ac:dyDescent="0.3">
      <c r="U349383" s="25"/>
    </row>
    <row r="349405" spans="21:21" x14ac:dyDescent="0.3">
      <c r="U349405" s="25"/>
    </row>
    <row r="349427" spans="21:21" x14ac:dyDescent="0.3">
      <c r="U349427" s="25"/>
    </row>
    <row r="349449" spans="21:21" x14ac:dyDescent="0.3">
      <c r="U349449" s="25"/>
    </row>
    <row r="349471" spans="21:21" x14ac:dyDescent="0.3">
      <c r="U349471" s="25"/>
    </row>
    <row r="349493" spans="21:21" x14ac:dyDescent="0.3">
      <c r="U349493" s="25"/>
    </row>
    <row r="349515" spans="21:21" x14ac:dyDescent="0.3">
      <c r="U349515" s="25"/>
    </row>
    <row r="349537" spans="21:21" x14ac:dyDescent="0.3">
      <c r="U349537" s="25"/>
    </row>
    <row r="349559" spans="21:21" x14ac:dyDescent="0.3">
      <c r="U349559" s="25"/>
    </row>
    <row r="349581" spans="21:21" x14ac:dyDescent="0.3">
      <c r="U349581" s="25"/>
    </row>
    <row r="349603" spans="21:21" x14ac:dyDescent="0.3">
      <c r="U349603" s="25"/>
    </row>
    <row r="349625" spans="21:21" x14ac:dyDescent="0.3">
      <c r="U349625" s="25"/>
    </row>
    <row r="349647" spans="21:21" x14ac:dyDescent="0.3">
      <c r="U349647" s="25"/>
    </row>
    <row r="349669" spans="21:21" x14ac:dyDescent="0.3">
      <c r="U349669" s="25"/>
    </row>
    <row r="349691" spans="21:21" x14ac:dyDescent="0.3">
      <c r="U349691" s="25"/>
    </row>
    <row r="349713" spans="21:21" x14ac:dyDescent="0.3">
      <c r="U349713" s="25"/>
    </row>
    <row r="349735" spans="21:21" x14ac:dyDescent="0.3">
      <c r="U349735" s="25"/>
    </row>
    <row r="349757" spans="21:21" x14ac:dyDescent="0.3">
      <c r="U349757" s="25"/>
    </row>
    <row r="349779" spans="21:21" x14ac:dyDescent="0.3">
      <c r="U349779" s="25"/>
    </row>
    <row r="349801" spans="21:21" x14ac:dyDescent="0.3">
      <c r="U349801" s="25"/>
    </row>
    <row r="349823" spans="21:21" x14ac:dyDescent="0.3">
      <c r="U349823" s="25"/>
    </row>
    <row r="349845" spans="21:21" x14ac:dyDescent="0.3">
      <c r="U349845" s="25"/>
    </row>
    <row r="349867" spans="21:21" x14ac:dyDescent="0.3">
      <c r="U349867" s="25"/>
    </row>
    <row r="349889" spans="21:21" x14ac:dyDescent="0.3">
      <c r="U349889" s="25"/>
    </row>
    <row r="349911" spans="21:21" x14ac:dyDescent="0.3">
      <c r="U349911" s="25"/>
    </row>
    <row r="349933" spans="21:21" x14ac:dyDescent="0.3">
      <c r="U349933" s="25"/>
    </row>
    <row r="349955" spans="21:21" x14ac:dyDescent="0.3">
      <c r="U349955" s="25"/>
    </row>
    <row r="349977" spans="21:21" x14ac:dyDescent="0.3">
      <c r="U349977" s="25"/>
    </row>
    <row r="349999" spans="21:21" x14ac:dyDescent="0.3">
      <c r="U349999" s="25"/>
    </row>
    <row r="350021" spans="21:21" x14ac:dyDescent="0.3">
      <c r="U350021" s="25"/>
    </row>
    <row r="350043" spans="21:21" x14ac:dyDescent="0.3">
      <c r="U350043" s="25"/>
    </row>
    <row r="350065" spans="21:21" x14ac:dyDescent="0.3">
      <c r="U350065" s="25"/>
    </row>
    <row r="350087" spans="21:21" x14ac:dyDescent="0.3">
      <c r="U350087" s="25"/>
    </row>
    <row r="350109" spans="21:21" x14ac:dyDescent="0.3">
      <c r="U350109" s="25"/>
    </row>
    <row r="350131" spans="21:21" x14ac:dyDescent="0.3">
      <c r="U350131" s="25"/>
    </row>
    <row r="350153" spans="21:21" x14ac:dyDescent="0.3">
      <c r="U350153" s="25"/>
    </row>
    <row r="350175" spans="21:21" x14ac:dyDescent="0.3">
      <c r="U350175" s="25"/>
    </row>
    <row r="350197" spans="21:21" x14ac:dyDescent="0.3">
      <c r="U350197" s="25"/>
    </row>
    <row r="350219" spans="21:21" x14ac:dyDescent="0.3">
      <c r="U350219" s="25"/>
    </row>
    <row r="350241" spans="21:21" x14ac:dyDescent="0.3">
      <c r="U350241" s="25"/>
    </row>
    <row r="350263" spans="21:21" x14ac:dyDescent="0.3">
      <c r="U350263" s="25"/>
    </row>
    <row r="350285" spans="21:21" x14ac:dyDescent="0.3">
      <c r="U350285" s="25"/>
    </row>
    <row r="350307" spans="21:21" x14ac:dyDescent="0.3">
      <c r="U350307" s="25"/>
    </row>
    <row r="350329" spans="21:21" x14ac:dyDescent="0.3">
      <c r="U350329" s="25"/>
    </row>
    <row r="350351" spans="21:21" x14ac:dyDescent="0.3">
      <c r="U350351" s="25"/>
    </row>
    <row r="350373" spans="21:21" x14ac:dyDescent="0.3">
      <c r="U350373" s="25"/>
    </row>
    <row r="350395" spans="21:21" x14ac:dyDescent="0.3">
      <c r="U350395" s="25"/>
    </row>
    <row r="350417" spans="21:21" x14ac:dyDescent="0.3">
      <c r="U350417" s="25"/>
    </row>
    <row r="350439" spans="21:21" x14ac:dyDescent="0.3">
      <c r="U350439" s="25"/>
    </row>
    <row r="350461" spans="21:21" x14ac:dyDescent="0.3">
      <c r="U350461" s="25"/>
    </row>
    <row r="350483" spans="21:21" x14ac:dyDescent="0.3">
      <c r="U350483" s="25"/>
    </row>
    <row r="350505" spans="21:21" x14ac:dyDescent="0.3">
      <c r="U350505" s="25"/>
    </row>
    <row r="350527" spans="21:21" x14ac:dyDescent="0.3">
      <c r="U350527" s="25"/>
    </row>
    <row r="350549" spans="21:21" x14ac:dyDescent="0.3">
      <c r="U350549" s="25"/>
    </row>
    <row r="350571" spans="21:21" x14ac:dyDescent="0.3">
      <c r="U350571" s="25"/>
    </row>
    <row r="350593" spans="21:21" x14ac:dyDescent="0.3">
      <c r="U350593" s="25"/>
    </row>
    <row r="350615" spans="21:21" x14ac:dyDescent="0.3">
      <c r="U350615" s="25"/>
    </row>
    <row r="350637" spans="21:21" x14ac:dyDescent="0.3">
      <c r="U350637" s="25"/>
    </row>
    <row r="350659" spans="21:21" x14ac:dyDescent="0.3">
      <c r="U350659" s="25"/>
    </row>
    <row r="350681" spans="21:21" x14ac:dyDescent="0.3">
      <c r="U350681" s="25"/>
    </row>
    <row r="350703" spans="21:21" x14ac:dyDescent="0.3">
      <c r="U350703" s="25"/>
    </row>
    <row r="350725" spans="21:21" x14ac:dyDescent="0.3">
      <c r="U350725" s="25"/>
    </row>
    <row r="350747" spans="21:21" x14ac:dyDescent="0.3">
      <c r="U350747" s="25"/>
    </row>
    <row r="350769" spans="21:21" x14ac:dyDescent="0.3">
      <c r="U350769" s="25"/>
    </row>
    <row r="350791" spans="21:21" x14ac:dyDescent="0.3">
      <c r="U350791" s="25"/>
    </row>
    <row r="350813" spans="21:21" x14ac:dyDescent="0.3">
      <c r="U350813" s="25"/>
    </row>
    <row r="350835" spans="21:21" x14ac:dyDescent="0.3">
      <c r="U350835" s="25"/>
    </row>
    <row r="350857" spans="21:21" x14ac:dyDescent="0.3">
      <c r="U350857" s="25"/>
    </row>
    <row r="350879" spans="21:21" x14ac:dyDescent="0.3">
      <c r="U350879" s="25"/>
    </row>
    <row r="350901" spans="21:21" x14ac:dyDescent="0.3">
      <c r="U350901" s="25"/>
    </row>
    <row r="350923" spans="21:21" x14ac:dyDescent="0.3">
      <c r="U350923" s="25"/>
    </row>
    <row r="350945" spans="21:21" x14ac:dyDescent="0.3">
      <c r="U350945" s="25"/>
    </row>
    <row r="350967" spans="21:21" x14ac:dyDescent="0.3">
      <c r="U350967" s="25"/>
    </row>
    <row r="350989" spans="21:21" x14ac:dyDescent="0.3">
      <c r="U350989" s="25"/>
    </row>
    <row r="351011" spans="21:21" x14ac:dyDescent="0.3">
      <c r="U351011" s="25"/>
    </row>
    <row r="351033" spans="21:21" x14ac:dyDescent="0.3">
      <c r="U351033" s="25"/>
    </row>
    <row r="351055" spans="21:21" x14ac:dyDescent="0.3">
      <c r="U351055" s="25"/>
    </row>
    <row r="351077" spans="21:21" x14ac:dyDescent="0.3">
      <c r="U351077" s="25"/>
    </row>
    <row r="351099" spans="21:21" x14ac:dyDescent="0.3">
      <c r="U351099" s="25"/>
    </row>
    <row r="351121" spans="21:21" x14ac:dyDescent="0.3">
      <c r="U351121" s="25"/>
    </row>
    <row r="351143" spans="21:21" x14ac:dyDescent="0.3">
      <c r="U351143" s="25"/>
    </row>
    <row r="351165" spans="21:21" x14ac:dyDescent="0.3">
      <c r="U351165" s="25"/>
    </row>
    <row r="351187" spans="21:21" x14ac:dyDescent="0.3">
      <c r="U351187" s="25"/>
    </row>
    <row r="351209" spans="21:21" x14ac:dyDescent="0.3">
      <c r="U351209" s="25"/>
    </row>
    <row r="351231" spans="21:21" x14ac:dyDescent="0.3">
      <c r="U351231" s="25"/>
    </row>
    <row r="351253" spans="21:21" x14ac:dyDescent="0.3">
      <c r="U351253" s="25"/>
    </row>
    <row r="351275" spans="21:21" x14ac:dyDescent="0.3">
      <c r="U351275" s="25"/>
    </row>
    <row r="351297" spans="21:21" x14ac:dyDescent="0.3">
      <c r="U351297" s="25"/>
    </row>
    <row r="351319" spans="21:21" x14ac:dyDescent="0.3">
      <c r="U351319" s="25"/>
    </row>
    <row r="351341" spans="21:21" x14ac:dyDescent="0.3">
      <c r="U351341" s="25"/>
    </row>
    <row r="351363" spans="21:21" x14ac:dyDescent="0.3">
      <c r="U351363" s="25"/>
    </row>
    <row r="351385" spans="21:21" x14ac:dyDescent="0.3">
      <c r="U351385" s="25"/>
    </row>
    <row r="351407" spans="21:21" x14ac:dyDescent="0.3">
      <c r="U351407" s="25"/>
    </row>
    <row r="351429" spans="21:21" x14ac:dyDescent="0.3">
      <c r="U351429" s="25"/>
    </row>
    <row r="351451" spans="21:21" x14ac:dyDescent="0.3">
      <c r="U351451" s="25"/>
    </row>
    <row r="351473" spans="21:21" x14ac:dyDescent="0.3">
      <c r="U351473" s="25"/>
    </row>
    <row r="351495" spans="21:21" x14ac:dyDescent="0.3">
      <c r="U351495" s="25"/>
    </row>
    <row r="351517" spans="21:21" x14ac:dyDescent="0.3">
      <c r="U351517" s="25"/>
    </row>
    <row r="351539" spans="21:21" x14ac:dyDescent="0.3">
      <c r="U351539" s="25"/>
    </row>
    <row r="351561" spans="21:21" x14ac:dyDescent="0.3">
      <c r="U351561" s="25"/>
    </row>
    <row r="351583" spans="21:21" x14ac:dyDescent="0.3">
      <c r="U351583" s="25"/>
    </row>
    <row r="351605" spans="21:21" x14ac:dyDescent="0.3">
      <c r="U351605" s="25"/>
    </row>
    <row r="351627" spans="21:21" x14ac:dyDescent="0.3">
      <c r="U351627" s="25"/>
    </row>
    <row r="351649" spans="21:21" x14ac:dyDescent="0.3">
      <c r="U351649" s="25"/>
    </row>
    <row r="351671" spans="21:21" x14ac:dyDescent="0.3">
      <c r="U351671" s="25"/>
    </row>
    <row r="351693" spans="21:21" x14ac:dyDescent="0.3">
      <c r="U351693" s="25"/>
    </row>
    <row r="351715" spans="21:21" x14ac:dyDescent="0.3">
      <c r="U351715" s="25"/>
    </row>
    <row r="351737" spans="21:21" x14ac:dyDescent="0.3">
      <c r="U351737" s="25"/>
    </row>
    <row r="351759" spans="21:21" x14ac:dyDescent="0.3">
      <c r="U351759" s="25"/>
    </row>
    <row r="351781" spans="21:21" x14ac:dyDescent="0.3">
      <c r="U351781" s="25"/>
    </row>
    <row r="351803" spans="21:21" x14ac:dyDescent="0.3">
      <c r="U351803" s="25"/>
    </row>
    <row r="351825" spans="21:21" x14ac:dyDescent="0.3">
      <c r="U351825" s="25"/>
    </row>
    <row r="351847" spans="21:21" x14ac:dyDescent="0.3">
      <c r="U351847" s="25"/>
    </row>
    <row r="351869" spans="21:21" x14ac:dyDescent="0.3">
      <c r="U351869" s="25"/>
    </row>
    <row r="351891" spans="21:21" x14ac:dyDescent="0.3">
      <c r="U351891" s="25"/>
    </row>
    <row r="351913" spans="21:21" x14ac:dyDescent="0.3">
      <c r="U351913" s="25"/>
    </row>
    <row r="351935" spans="21:21" x14ac:dyDescent="0.3">
      <c r="U351935" s="25"/>
    </row>
    <row r="351957" spans="21:21" x14ac:dyDescent="0.3">
      <c r="U351957" s="25"/>
    </row>
    <row r="351979" spans="21:21" x14ac:dyDescent="0.3">
      <c r="U351979" s="25"/>
    </row>
    <row r="352001" spans="21:21" x14ac:dyDescent="0.3">
      <c r="U352001" s="25"/>
    </row>
    <row r="352023" spans="21:21" x14ac:dyDescent="0.3">
      <c r="U352023" s="25"/>
    </row>
    <row r="352045" spans="21:21" x14ac:dyDescent="0.3">
      <c r="U352045" s="25"/>
    </row>
    <row r="352067" spans="21:21" x14ac:dyDescent="0.3">
      <c r="U352067" s="25"/>
    </row>
    <row r="352089" spans="21:21" x14ac:dyDescent="0.3">
      <c r="U352089" s="25"/>
    </row>
    <row r="352111" spans="21:21" x14ac:dyDescent="0.3">
      <c r="U352111" s="25"/>
    </row>
    <row r="352133" spans="21:21" x14ac:dyDescent="0.3">
      <c r="U352133" s="25"/>
    </row>
    <row r="352155" spans="21:21" x14ac:dyDescent="0.3">
      <c r="U352155" s="25"/>
    </row>
    <row r="352177" spans="21:21" x14ac:dyDescent="0.3">
      <c r="U352177" s="25"/>
    </row>
    <row r="352199" spans="21:21" x14ac:dyDescent="0.3">
      <c r="U352199" s="25"/>
    </row>
    <row r="352221" spans="21:21" x14ac:dyDescent="0.3">
      <c r="U352221" s="25"/>
    </row>
    <row r="352243" spans="21:21" x14ac:dyDescent="0.3">
      <c r="U352243" s="25"/>
    </row>
    <row r="352265" spans="21:21" x14ac:dyDescent="0.3">
      <c r="U352265" s="25"/>
    </row>
    <row r="352287" spans="21:21" x14ac:dyDescent="0.3">
      <c r="U352287" s="25"/>
    </row>
    <row r="352309" spans="21:21" x14ac:dyDescent="0.3">
      <c r="U352309" s="25"/>
    </row>
    <row r="352331" spans="21:21" x14ac:dyDescent="0.3">
      <c r="U352331" s="25"/>
    </row>
    <row r="352353" spans="21:21" x14ac:dyDescent="0.3">
      <c r="U352353" s="25"/>
    </row>
    <row r="352375" spans="21:21" x14ac:dyDescent="0.3">
      <c r="U352375" s="25"/>
    </row>
    <row r="352397" spans="21:21" x14ac:dyDescent="0.3">
      <c r="U352397" s="25"/>
    </row>
    <row r="352419" spans="21:21" x14ac:dyDescent="0.3">
      <c r="U352419" s="25"/>
    </row>
    <row r="352441" spans="21:21" x14ac:dyDescent="0.3">
      <c r="U352441" s="25"/>
    </row>
    <row r="352463" spans="21:21" x14ac:dyDescent="0.3">
      <c r="U352463" s="25"/>
    </row>
    <row r="352485" spans="21:21" x14ac:dyDescent="0.3">
      <c r="U352485" s="25"/>
    </row>
    <row r="352507" spans="21:21" x14ac:dyDescent="0.3">
      <c r="U352507" s="25"/>
    </row>
    <row r="352529" spans="21:21" x14ac:dyDescent="0.3">
      <c r="U352529" s="25"/>
    </row>
    <row r="352551" spans="21:21" x14ac:dyDescent="0.3">
      <c r="U352551" s="25"/>
    </row>
    <row r="352573" spans="21:21" x14ac:dyDescent="0.3">
      <c r="U352573" s="25"/>
    </row>
    <row r="352595" spans="21:21" x14ac:dyDescent="0.3">
      <c r="U352595" s="25"/>
    </row>
    <row r="352617" spans="21:21" x14ac:dyDescent="0.3">
      <c r="U352617" s="25"/>
    </row>
    <row r="352639" spans="21:21" x14ac:dyDescent="0.3">
      <c r="U352639" s="25"/>
    </row>
    <row r="352661" spans="21:21" x14ac:dyDescent="0.3">
      <c r="U352661" s="25"/>
    </row>
    <row r="352683" spans="21:21" x14ac:dyDescent="0.3">
      <c r="U352683" s="25"/>
    </row>
    <row r="352705" spans="21:21" x14ac:dyDescent="0.3">
      <c r="U352705" s="25"/>
    </row>
    <row r="352727" spans="21:21" x14ac:dyDescent="0.3">
      <c r="U352727" s="25"/>
    </row>
    <row r="352749" spans="21:21" x14ac:dyDescent="0.3">
      <c r="U352749" s="25"/>
    </row>
    <row r="352771" spans="21:21" x14ac:dyDescent="0.3">
      <c r="U352771" s="25"/>
    </row>
    <row r="352793" spans="21:21" x14ac:dyDescent="0.3">
      <c r="U352793" s="25"/>
    </row>
    <row r="352815" spans="21:21" x14ac:dyDescent="0.3">
      <c r="U352815" s="25"/>
    </row>
    <row r="352837" spans="21:21" x14ac:dyDescent="0.3">
      <c r="U352837" s="25"/>
    </row>
    <row r="352859" spans="21:21" x14ac:dyDescent="0.3">
      <c r="U352859" s="25"/>
    </row>
    <row r="352881" spans="21:21" x14ac:dyDescent="0.3">
      <c r="U352881" s="25"/>
    </row>
    <row r="352903" spans="21:21" x14ac:dyDescent="0.3">
      <c r="U352903" s="25"/>
    </row>
    <row r="352925" spans="21:21" x14ac:dyDescent="0.3">
      <c r="U352925" s="25"/>
    </row>
    <row r="352947" spans="21:21" x14ac:dyDescent="0.3">
      <c r="U352947" s="25"/>
    </row>
    <row r="352969" spans="21:21" x14ac:dyDescent="0.3">
      <c r="U352969" s="25"/>
    </row>
    <row r="352991" spans="21:21" x14ac:dyDescent="0.3">
      <c r="U352991" s="25"/>
    </row>
    <row r="353013" spans="21:21" x14ac:dyDescent="0.3">
      <c r="U353013" s="25"/>
    </row>
    <row r="353035" spans="21:21" x14ac:dyDescent="0.3">
      <c r="U353035" s="25"/>
    </row>
    <row r="353057" spans="21:21" x14ac:dyDescent="0.3">
      <c r="U353057" s="25"/>
    </row>
    <row r="353079" spans="21:21" x14ac:dyDescent="0.3">
      <c r="U353079" s="25"/>
    </row>
    <row r="353101" spans="21:21" x14ac:dyDescent="0.3">
      <c r="U353101" s="25"/>
    </row>
    <row r="353123" spans="21:21" x14ac:dyDescent="0.3">
      <c r="U353123" s="25"/>
    </row>
    <row r="353145" spans="21:21" x14ac:dyDescent="0.3">
      <c r="U353145" s="25"/>
    </row>
    <row r="353167" spans="21:21" x14ac:dyDescent="0.3">
      <c r="U353167" s="25"/>
    </row>
    <row r="353189" spans="21:21" x14ac:dyDescent="0.3">
      <c r="U353189" s="25"/>
    </row>
    <row r="353211" spans="21:21" x14ac:dyDescent="0.3">
      <c r="U353211" s="25"/>
    </row>
    <row r="353233" spans="21:21" x14ac:dyDescent="0.3">
      <c r="U353233" s="25"/>
    </row>
    <row r="353255" spans="21:21" x14ac:dyDescent="0.3">
      <c r="U353255" s="25"/>
    </row>
    <row r="353277" spans="21:21" x14ac:dyDescent="0.3">
      <c r="U353277" s="25"/>
    </row>
    <row r="353299" spans="21:21" x14ac:dyDescent="0.3">
      <c r="U353299" s="25"/>
    </row>
    <row r="353321" spans="21:21" x14ac:dyDescent="0.3">
      <c r="U353321" s="25"/>
    </row>
    <row r="353343" spans="21:21" x14ac:dyDescent="0.3">
      <c r="U353343" s="25"/>
    </row>
    <row r="353365" spans="21:21" x14ac:dyDescent="0.3">
      <c r="U353365" s="25"/>
    </row>
    <row r="353387" spans="21:21" x14ac:dyDescent="0.3">
      <c r="U353387" s="25"/>
    </row>
    <row r="353409" spans="21:21" x14ac:dyDescent="0.3">
      <c r="U353409" s="25"/>
    </row>
    <row r="353431" spans="21:21" x14ac:dyDescent="0.3">
      <c r="U353431" s="25"/>
    </row>
    <row r="353453" spans="21:21" x14ac:dyDescent="0.3">
      <c r="U353453" s="25"/>
    </row>
    <row r="353475" spans="21:21" x14ac:dyDescent="0.3">
      <c r="U353475" s="25"/>
    </row>
    <row r="353497" spans="21:21" x14ac:dyDescent="0.3">
      <c r="U353497" s="25"/>
    </row>
    <row r="353519" spans="21:21" x14ac:dyDescent="0.3">
      <c r="U353519" s="25"/>
    </row>
    <row r="353541" spans="21:21" x14ac:dyDescent="0.3">
      <c r="U353541" s="25"/>
    </row>
    <row r="353563" spans="21:21" x14ac:dyDescent="0.3">
      <c r="U353563" s="25"/>
    </row>
    <row r="353585" spans="21:21" x14ac:dyDescent="0.3">
      <c r="U353585" s="25"/>
    </row>
    <row r="353607" spans="21:21" x14ac:dyDescent="0.3">
      <c r="U353607" s="25"/>
    </row>
    <row r="353629" spans="21:21" x14ac:dyDescent="0.3">
      <c r="U353629" s="25"/>
    </row>
    <row r="353651" spans="21:21" x14ac:dyDescent="0.3">
      <c r="U353651" s="25"/>
    </row>
    <row r="353673" spans="21:21" x14ac:dyDescent="0.3">
      <c r="U353673" s="25"/>
    </row>
    <row r="353695" spans="21:21" x14ac:dyDescent="0.3">
      <c r="U353695" s="25"/>
    </row>
    <row r="353717" spans="21:21" x14ac:dyDescent="0.3">
      <c r="U353717" s="25"/>
    </row>
    <row r="353739" spans="21:21" x14ac:dyDescent="0.3">
      <c r="U353739" s="25"/>
    </row>
    <row r="353761" spans="21:21" x14ac:dyDescent="0.3">
      <c r="U353761" s="25"/>
    </row>
    <row r="353783" spans="21:21" x14ac:dyDescent="0.3">
      <c r="U353783" s="25"/>
    </row>
    <row r="353805" spans="21:21" x14ac:dyDescent="0.3">
      <c r="U353805" s="25"/>
    </row>
    <row r="353827" spans="21:21" x14ac:dyDescent="0.3">
      <c r="U353827" s="25"/>
    </row>
    <row r="353849" spans="21:21" x14ac:dyDescent="0.3">
      <c r="U353849" s="25"/>
    </row>
    <row r="353871" spans="21:21" x14ac:dyDescent="0.3">
      <c r="U353871" s="25"/>
    </row>
    <row r="353893" spans="21:21" x14ac:dyDescent="0.3">
      <c r="U353893" s="25"/>
    </row>
    <row r="353915" spans="21:21" x14ac:dyDescent="0.3">
      <c r="U353915" s="25"/>
    </row>
    <row r="353937" spans="21:21" x14ac:dyDescent="0.3">
      <c r="U353937" s="25"/>
    </row>
    <row r="353959" spans="21:21" x14ac:dyDescent="0.3">
      <c r="U353959" s="25"/>
    </row>
    <row r="353981" spans="21:21" x14ac:dyDescent="0.3">
      <c r="U353981" s="25"/>
    </row>
    <row r="354003" spans="21:21" x14ac:dyDescent="0.3">
      <c r="U354003" s="25"/>
    </row>
    <row r="354025" spans="21:21" x14ac:dyDescent="0.3">
      <c r="U354025" s="25"/>
    </row>
    <row r="354047" spans="21:21" x14ac:dyDescent="0.3">
      <c r="U354047" s="25"/>
    </row>
    <row r="354069" spans="21:21" x14ac:dyDescent="0.3">
      <c r="U354069" s="25"/>
    </row>
    <row r="354091" spans="21:21" x14ac:dyDescent="0.3">
      <c r="U354091" s="25"/>
    </row>
    <row r="354113" spans="21:21" x14ac:dyDescent="0.3">
      <c r="U354113" s="25"/>
    </row>
    <row r="354135" spans="21:21" x14ac:dyDescent="0.3">
      <c r="U354135" s="25"/>
    </row>
    <row r="354157" spans="21:21" x14ac:dyDescent="0.3">
      <c r="U354157" s="25"/>
    </row>
    <row r="354179" spans="21:21" x14ac:dyDescent="0.3">
      <c r="U354179" s="25"/>
    </row>
    <row r="354201" spans="21:21" x14ac:dyDescent="0.3">
      <c r="U354201" s="25"/>
    </row>
    <row r="354223" spans="21:21" x14ac:dyDescent="0.3">
      <c r="U354223" s="25"/>
    </row>
    <row r="354245" spans="21:21" x14ac:dyDescent="0.3">
      <c r="U354245" s="25"/>
    </row>
    <row r="354267" spans="21:21" x14ac:dyDescent="0.3">
      <c r="U354267" s="25"/>
    </row>
    <row r="354289" spans="21:21" x14ac:dyDescent="0.3">
      <c r="U354289" s="25"/>
    </row>
    <row r="354311" spans="21:21" x14ac:dyDescent="0.3">
      <c r="U354311" s="25"/>
    </row>
    <row r="354333" spans="21:21" x14ac:dyDescent="0.3">
      <c r="U354333" s="25"/>
    </row>
    <row r="354355" spans="21:21" x14ac:dyDescent="0.3">
      <c r="U354355" s="25"/>
    </row>
    <row r="354377" spans="21:21" x14ac:dyDescent="0.3">
      <c r="U354377" s="25"/>
    </row>
    <row r="354399" spans="21:21" x14ac:dyDescent="0.3">
      <c r="U354399" s="25"/>
    </row>
    <row r="354421" spans="21:21" x14ac:dyDescent="0.3">
      <c r="U354421" s="25"/>
    </row>
    <row r="354443" spans="21:21" x14ac:dyDescent="0.3">
      <c r="U354443" s="25"/>
    </row>
    <row r="354465" spans="21:21" x14ac:dyDescent="0.3">
      <c r="U354465" s="25"/>
    </row>
    <row r="354487" spans="21:21" x14ac:dyDescent="0.3">
      <c r="U354487" s="25"/>
    </row>
    <row r="354509" spans="21:21" x14ac:dyDescent="0.3">
      <c r="U354509" s="25"/>
    </row>
    <row r="354531" spans="21:21" x14ac:dyDescent="0.3">
      <c r="U354531" s="25"/>
    </row>
    <row r="354553" spans="21:21" x14ac:dyDescent="0.3">
      <c r="U354553" s="25"/>
    </row>
    <row r="354575" spans="21:21" x14ac:dyDescent="0.3">
      <c r="U354575" s="25"/>
    </row>
    <row r="354597" spans="21:21" x14ac:dyDescent="0.3">
      <c r="U354597" s="25"/>
    </row>
    <row r="354619" spans="21:21" x14ac:dyDescent="0.3">
      <c r="U354619" s="25"/>
    </row>
    <row r="354641" spans="21:21" x14ac:dyDescent="0.3">
      <c r="U354641" s="25"/>
    </row>
    <row r="354663" spans="21:21" x14ac:dyDescent="0.3">
      <c r="U354663" s="25"/>
    </row>
    <row r="354685" spans="21:21" x14ac:dyDescent="0.3">
      <c r="U354685" s="25"/>
    </row>
    <row r="354707" spans="21:21" x14ac:dyDescent="0.3">
      <c r="U354707" s="25"/>
    </row>
    <row r="354729" spans="21:21" x14ac:dyDescent="0.3">
      <c r="U354729" s="25"/>
    </row>
    <row r="354751" spans="21:21" x14ac:dyDescent="0.3">
      <c r="U354751" s="25"/>
    </row>
    <row r="354773" spans="21:21" x14ac:dyDescent="0.3">
      <c r="U354773" s="25"/>
    </row>
    <row r="354795" spans="21:21" x14ac:dyDescent="0.3">
      <c r="U354795" s="25"/>
    </row>
    <row r="354817" spans="21:21" x14ac:dyDescent="0.3">
      <c r="U354817" s="25"/>
    </row>
    <row r="354839" spans="21:21" x14ac:dyDescent="0.3">
      <c r="U354839" s="25"/>
    </row>
    <row r="354861" spans="21:21" x14ac:dyDescent="0.3">
      <c r="U354861" s="25"/>
    </row>
    <row r="354883" spans="21:21" x14ac:dyDescent="0.3">
      <c r="U354883" s="25"/>
    </row>
    <row r="354905" spans="21:21" x14ac:dyDescent="0.3">
      <c r="U354905" s="25"/>
    </row>
    <row r="354927" spans="21:21" x14ac:dyDescent="0.3">
      <c r="U354927" s="25"/>
    </row>
    <row r="354949" spans="21:21" x14ac:dyDescent="0.3">
      <c r="U354949" s="25"/>
    </row>
    <row r="354971" spans="21:21" x14ac:dyDescent="0.3">
      <c r="U354971" s="25"/>
    </row>
    <row r="354993" spans="21:21" x14ac:dyDescent="0.3">
      <c r="U354993" s="25"/>
    </row>
    <row r="355015" spans="21:21" x14ac:dyDescent="0.3">
      <c r="U355015" s="25"/>
    </row>
    <row r="355037" spans="21:21" x14ac:dyDescent="0.3">
      <c r="U355037" s="25"/>
    </row>
    <row r="355059" spans="21:21" x14ac:dyDescent="0.3">
      <c r="U355059" s="25"/>
    </row>
    <row r="355081" spans="21:21" x14ac:dyDescent="0.3">
      <c r="U355081" s="25"/>
    </row>
    <row r="355103" spans="21:21" x14ac:dyDescent="0.3">
      <c r="U355103" s="25"/>
    </row>
    <row r="355125" spans="21:21" x14ac:dyDescent="0.3">
      <c r="U355125" s="25"/>
    </row>
    <row r="355147" spans="21:21" x14ac:dyDescent="0.3">
      <c r="U355147" s="25"/>
    </row>
    <row r="355169" spans="21:21" x14ac:dyDescent="0.3">
      <c r="U355169" s="25"/>
    </row>
    <row r="355191" spans="21:21" x14ac:dyDescent="0.3">
      <c r="U355191" s="25"/>
    </row>
    <row r="355213" spans="21:21" x14ac:dyDescent="0.3">
      <c r="U355213" s="25"/>
    </row>
    <row r="355235" spans="21:21" x14ac:dyDescent="0.3">
      <c r="U355235" s="25"/>
    </row>
    <row r="355257" spans="21:21" x14ac:dyDescent="0.3">
      <c r="U355257" s="25"/>
    </row>
    <row r="355279" spans="21:21" x14ac:dyDescent="0.3">
      <c r="U355279" s="25"/>
    </row>
    <row r="355301" spans="21:21" x14ac:dyDescent="0.3">
      <c r="U355301" s="25"/>
    </row>
    <row r="355323" spans="21:21" x14ac:dyDescent="0.3">
      <c r="U355323" s="25"/>
    </row>
    <row r="355345" spans="21:21" x14ac:dyDescent="0.3">
      <c r="U355345" s="25"/>
    </row>
    <row r="355367" spans="21:21" x14ac:dyDescent="0.3">
      <c r="U355367" s="25"/>
    </row>
    <row r="355389" spans="21:21" x14ac:dyDescent="0.3">
      <c r="U355389" s="25"/>
    </row>
    <row r="355411" spans="21:21" x14ac:dyDescent="0.3">
      <c r="U355411" s="25"/>
    </row>
    <row r="355433" spans="21:21" x14ac:dyDescent="0.3">
      <c r="U355433" s="25"/>
    </row>
    <row r="355455" spans="21:21" x14ac:dyDescent="0.3">
      <c r="U355455" s="25"/>
    </row>
    <row r="355477" spans="21:21" x14ac:dyDescent="0.3">
      <c r="U355477" s="25"/>
    </row>
    <row r="355499" spans="21:21" x14ac:dyDescent="0.3">
      <c r="U355499" s="25"/>
    </row>
    <row r="355521" spans="21:21" x14ac:dyDescent="0.3">
      <c r="U355521" s="25"/>
    </row>
    <row r="355543" spans="21:21" x14ac:dyDescent="0.3">
      <c r="U355543" s="25"/>
    </row>
    <row r="355565" spans="21:21" x14ac:dyDescent="0.3">
      <c r="U355565" s="25"/>
    </row>
    <row r="355587" spans="21:21" x14ac:dyDescent="0.3">
      <c r="U355587" s="25"/>
    </row>
    <row r="355609" spans="21:21" x14ac:dyDescent="0.3">
      <c r="U355609" s="25"/>
    </row>
    <row r="355631" spans="21:21" x14ac:dyDescent="0.3">
      <c r="U355631" s="25"/>
    </row>
    <row r="355653" spans="21:21" x14ac:dyDescent="0.3">
      <c r="U355653" s="25"/>
    </row>
    <row r="355675" spans="21:21" x14ac:dyDescent="0.3">
      <c r="U355675" s="25"/>
    </row>
    <row r="355697" spans="21:21" x14ac:dyDescent="0.3">
      <c r="U355697" s="25"/>
    </row>
    <row r="355719" spans="21:21" x14ac:dyDescent="0.3">
      <c r="U355719" s="25"/>
    </row>
    <row r="355741" spans="21:21" x14ac:dyDescent="0.3">
      <c r="U355741" s="25"/>
    </row>
    <row r="355763" spans="21:21" x14ac:dyDescent="0.3">
      <c r="U355763" s="25"/>
    </row>
    <row r="355785" spans="21:21" x14ac:dyDescent="0.3">
      <c r="U355785" s="25"/>
    </row>
    <row r="355807" spans="21:21" x14ac:dyDescent="0.3">
      <c r="U355807" s="25"/>
    </row>
    <row r="355829" spans="21:21" x14ac:dyDescent="0.3">
      <c r="U355829" s="25"/>
    </row>
    <row r="355851" spans="21:21" x14ac:dyDescent="0.3">
      <c r="U355851" s="25"/>
    </row>
    <row r="355873" spans="21:21" x14ac:dyDescent="0.3">
      <c r="U355873" s="25"/>
    </row>
    <row r="355895" spans="21:21" x14ac:dyDescent="0.3">
      <c r="U355895" s="25"/>
    </row>
    <row r="355917" spans="21:21" x14ac:dyDescent="0.3">
      <c r="U355917" s="25"/>
    </row>
    <row r="355939" spans="21:21" x14ac:dyDescent="0.3">
      <c r="U355939" s="25"/>
    </row>
    <row r="355961" spans="21:21" x14ac:dyDescent="0.3">
      <c r="U355961" s="25"/>
    </row>
    <row r="355983" spans="21:21" x14ac:dyDescent="0.3">
      <c r="U355983" s="25"/>
    </row>
    <row r="356005" spans="21:21" x14ac:dyDescent="0.3">
      <c r="U356005" s="25"/>
    </row>
    <row r="356027" spans="21:21" x14ac:dyDescent="0.3">
      <c r="U356027" s="25"/>
    </row>
    <row r="356049" spans="21:21" x14ac:dyDescent="0.3">
      <c r="U356049" s="25"/>
    </row>
    <row r="356071" spans="21:21" x14ac:dyDescent="0.3">
      <c r="U356071" s="25"/>
    </row>
    <row r="356093" spans="21:21" x14ac:dyDescent="0.3">
      <c r="U356093" s="25"/>
    </row>
    <row r="356115" spans="21:21" x14ac:dyDescent="0.3">
      <c r="U356115" s="25"/>
    </row>
    <row r="356137" spans="21:21" x14ac:dyDescent="0.3">
      <c r="U356137" s="25"/>
    </row>
    <row r="356159" spans="21:21" x14ac:dyDescent="0.3">
      <c r="U356159" s="25"/>
    </row>
    <row r="356181" spans="21:21" x14ac:dyDescent="0.3">
      <c r="U356181" s="25"/>
    </row>
    <row r="356203" spans="21:21" x14ac:dyDescent="0.3">
      <c r="U356203" s="25"/>
    </row>
    <row r="356225" spans="21:21" x14ac:dyDescent="0.3">
      <c r="U356225" s="25"/>
    </row>
    <row r="356247" spans="21:21" x14ac:dyDescent="0.3">
      <c r="U356247" s="25"/>
    </row>
    <row r="356269" spans="21:21" x14ac:dyDescent="0.3">
      <c r="U356269" s="25"/>
    </row>
    <row r="356291" spans="21:21" x14ac:dyDescent="0.3">
      <c r="U356291" s="25"/>
    </row>
    <row r="356313" spans="21:21" x14ac:dyDescent="0.3">
      <c r="U356313" s="25"/>
    </row>
    <row r="356335" spans="21:21" x14ac:dyDescent="0.3">
      <c r="U356335" s="25"/>
    </row>
    <row r="356357" spans="21:21" x14ac:dyDescent="0.3">
      <c r="U356357" s="25"/>
    </row>
    <row r="356379" spans="21:21" x14ac:dyDescent="0.3">
      <c r="U356379" s="25"/>
    </row>
    <row r="356401" spans="21:21" x14ac:dyDescent="0.3">
      <c r="U356401" s="25"/>
    </row>
    <row r="356423" spans="21:21" x14ac:dyDescent="0.3">
      <c r="U356423" s="25"/>
    </row>
    <row r="356445" spans="21:21" x14ac:dyDescent="0.3">
      <c r="U356445" s="25"/>
    </row>
    <row r="356467" spans="21:21" x14ac:dyDescent="0.3">
      <c r="U356467" s="25"/>
    </row>
    <row r="356489" spans="21:21" x14ac:dyDescent="0.3">
      <c r="U356489" s="25"/>
    </row>
    <row r="356511" spans="21:21" x14ac:dyDescent="0.3">
      <c r="U356511" s="25"/>
    </row>
    <row r="356533" spans="21:21" x14ac:dyDescent="0.3">
      <c r="U356533" s="25"/>
    </row>
    <row r="356555" spans="21:21" x14ac:dyDescent="0.3">
      <c r="U356555" s="25"/>
    </row>
    <row r="356577" spans="21:21" x14ac:dyDescent="0.3">
      <c r="U356577" s="25"/>
    </row>
    <row r="356599" spans="21:21" x14ac:dyDescent="0.3">
      <c r="U356599" s="25"/>
    </row>
    <row r="356621" spans="21:21" x14ac:dyDescent="0.3">
      <c r="U356621" s="25"/>
    </row>
    <row r="356643" spans="21:21" x14ac:dyDescent="0.3">
      <c r="U356643" s="25"/>
    </row>
    <row r="356665" spans="21:21" x14ac:dyDescent="0.3">
      <c r="U356665" s="25"/>
    </row>
    <row r="356687" spans="21:21" x14ac:dyDescent="0.3">
      <c r="U356687" s="25"/>
    </row>
    <row r="356709" spans="21:21" x14ac:dyDescent="0.3">
      <c r="U356709" s="25"/>
    </row>
    <row r="356731" spans="21:21" x14ac:dyDescent="0.3">
      <c r="U356731" s="25"/>
    </row>
    <row r="356753" spans="21:21" x14ac:dyDescent="0.3">
      <c r="U356753" s="25"/>
    </row>
    <row r="356775" spans="21:21" x14ac:dyDescent="0.3">
      <c r="U356775" s="25"/>
    </row>
    <row r="356797" spans="21:21" x14ac:dyDescent="0.3">
      <c r="U356797" s="25"/>
    </row>
    <row r="356819" spans="21:21" x14ac:dyDescent="0.3">
      <c r="U356819" s="25"/>
    </row>
    <row r="356841" spans="21:21" x14ac:dyDescent="0.3">
      <c r="U356841" s="25"/>
    </row>
    <row r="356863" spans="21:21" x14ac:dyDescent="0.3">
      <c r="U356863" s="25"/>
    </row>
    <row r="356885" spans="21:21" x14ac:dyDescent="0.3">
      <c r="U356885" s="25"/>
    </row>
    <row r="356907" spans="21:21" x14ac:dyDescent="0.3">
      <c r="U356907" s="25"/>
    </row>
    <row r="356929" spans="21:21" x14ac:dyDescent="0.3">
      <c r="U356929" s="25"/>
    </row>
    <row r="356951" spans="21:21" x14ac:dyDescent="0.3">
      <c r="U356951" s="25"/>
    </row>
    <row r="356973" spans="21:21" x14ac:dyDescent="0.3">
      <c r="U356973" s="25"/>
    </row>
    <row r="356995" spans="21:21" x14ac:dyDescent="0.3">
      <c r="U356995" s="25"/>
    </row>
    <row r="357017" spans="21:21" x14ac:dyDescent="0.3">
      <c r="U357017" s="25"/>
    </row>
    <row r="357039" spans="21:21" x14ac:dyDescent="0.3">
      <c r="U357039" s="25"/>
    </row>
    <row r="357061" spans="21:21" x14ac:dyDescent="0.3">
      <c r="U357061" s="25"/>
    </row>
    <row r="357083" spans="21:21" x14ac:dyDescent="0.3">
      <c r="U357083" s="25"/>
    </row>
    <row r="357105" spans="21:21" x14ac:dyDescent="0.3">
      <c r="U357105" s="25"/>
    </row>
    <row r="357127" spans="21:21" x14ac:dyDescent="0.3">
      <c r="U357127" s="25"/>
    </row>
    <row r="357149" spans="21:21" x14ac:dyDescent="0.3">
      <c r="U357149" s="25"/>
    </row>
    <row r="357171" spans="21:21" x14ac:dyDescent="0.3">
      <c r="U357171" s="25"/>
    </row>
    <row r="357193" spans="21:21" x14ac:dyDescent="0.3">
      <c r="U357193" s="25"/>
    </row>
    <row r="357215" spans="21:21" x14ac:dyDescent="0.3">
      <c r="U357215" s="25"/>
    </row>
    <row r="357237" spans="21:21" x14ac:dyDescent="0.3">
      <c r="U357237" s="25"/>
    </row>
    <row r="357259" spans="21:21" x14ac:dyDescent="0.3">
      <c r="U357259" s="25"/>
    </row>
    <row r="357281" spans="21:21" x14ac:dyDescent="0.3">
      <c r="U357281" s="25"/>
    </row>
    <row r="357303" spans="21:21" x14ac:dyDescent="0.3">
      <c r="U357303" s="25"/>
    </row>
    <row r="357325" spans="21:21" x14ac:dyDescent="0.3">
      <c r="U357325" s="25"/>
    </row>
    <row r="357347" spans="21:21" x14ac:dyDescent="0.3">
      <c r="U357347" s="25"/>
    </row>
    <row r="357369" spans="21:21" x14ac:dyDescent="0.3">
      <c r="U357369" s="25"/>
    </row>
    <row r="357391" spans="21:21" x14ac:dyDescent="0.3">
      <c r="U357391" s="25"/>
    </row>
    <row r="357413" spans="21:21" x14ac:dyDescent="0.3">
      <c r="U357413" s="25"/>
    </row>
    <row r="357435" spans="21:21" x14ac:dyDescent="0.3">
      <c r="U357435" s="25"/>
    </row>
    <row r="357457" spans="21:21" x14ac:dyDescent="0.3">
      <c r="U357457" s="25"/>
    </row>
    <row r="357479" spans="21:21" x14ac:dyDescent="0.3">
      <c r="U357479" s="25"/>
    </row>
    <row r="357501" spans="21:21" x14ac:dyDescent="0.3">
      <c r="U357501" s="25"/>
    </row>
    <row r="357523" spans="21:21" x14ac:dyDescent="0.3">
      <c r="U357523" s="25"/>
    </row>
    <row r="357545" spans="21:21" x14ac:dyDescent="0.3">
      <c r="U357545" s="25"/>
    </row>
    <row r="357567" spans="21:21" x14ac:dyDescent="0.3">
      <c r="U357567" s="25"/>
    </row>
    <row r="357589" spans="21:21" x14ac:dyDescent="0.3">
      <c r="U357589" s="25"/>
    </row>
    <row r="357611" spans="21:21" x14ac:dyDescent="0.3">
      <c r="U357611" s="25"/>
    </row>
    <row r="357633" spans="21:21" x14ac:dyDescent="0.3">
      <c r="U357633" s="25"/>
    </row>
    <row r="357655" spans="21:21" x14ac:dyDescent="0.3">
      <c r="U357655" s="25"/>
    </row>
    <row r="357677" spans="21:21" x14ac:dyDescent="0.3">
      <c r="U357677" s="25"/>
    </row>
    <row r="357699" spans="21:21" x14ac:dyDescent="0.3">
      <c r="U357699" s="25"/>
    </row>
    <row r="357721" spans="21:21" x14ac:dyDescent="0.3">
      <c r="U357721" s="25"/>
    </row>
    <row r="357743" spans="21:21" x14ac:dyDescent="0.3">
      <c r="U357743" s="25"/>
    </row>
    <row r="357765" spans="21:21" x14ac:dyDescent="0.3">
      <c r="U357765" s="25"/>
    </row>
    <row r="357787" spans="21:21" x14ac:dyDescent="0.3">
      <c r="U357787" s="25"/>
    </row>
    <row r="357809" spans="21:21" x14ac:dyDescent="0.3">
      <c r="U357809" s="25"/>
    </row>
    <row r="357831" spans="21:21" x14ac:dyDescent="0.3">
      <c r="U357831" s="25"/>
    </row>
    <row r="357853" spans="21:21" x14ac:dyDescent="0.3">
      <c r="U357853" s="25"/>
    </row>
    <row r="357875" spans="21:21" x14ac:dyDescent="0.3">
      <c r="U357875" s="25"/>
    </row>
    <row r="357897" spans="21:21" x14ac:dyDescent="0.3">
      <c r="U357897" s="25"/>
    </row>
    <row r="357919" spans="21:21" x14ac:dyDescent="0.3">
      <c r="U357919" s="25"/>
    </row>
    <row r="357941" spans="21:21" x14ac:dyDescent="0.3">
      <c r="U357941" s="25"/>
    </row>
    <row r="357963" spans="21:21" x14ac:dyDescent="0.3">
      <c r="U357963" s="25"/>
    </row>
    <row r="357985" spans="21:21" x14ac:dyDescent="0.3">
      <c r="U357985" s="25"/>
    </row>
    <row r="358007" spans="21:21" x14ac:dyDescent="0.3">
      <c r="U358007" s="25"/>
    </row>
    <row r="358029" spans="21:21" x14ac:dyDescent="0.3">
      <c r="U358029" s="25"/>
    </row>
    <row r="358051" spans="21:21" x14ac:dyDescent="0.3">
      <c r="U358051" s="25"/>
    </row>
    <row r="358073" spans="21:21" x14ac:dyDescent="0.3">
      <c r="U358073" s="25"/>
    </row>
    <row r="358095" spans="21:21" x14ac:dyDescent="0.3">
      <c r="U358095" s="25"/>
    </row>
    <row r="358117" spans="21:21" x14ac:dyDescent="0.3">
      <c r="U358117" s="25"/>
    </row>
    <row r="358139" spans="21:21" x14ac:dyDescent="0.3">
      <c r="U358139" s="25"/>
    </row>
    <row r="358161" spans="21:21" x14ac:dyDescent="0.3">
      <c r="U358161" s="25"/>
    </row>
    <row r="358183" spans="21:21" x14ac:dyDescent="0.3">
      <c r="U358183" s="25"/>
    </row>
    <row r="358205" spans="21:21" x14ac:dyDescent="0.3">
      <c r="U358205" s="25"/>
    </row>
    <row r="358227" spans="21:21" x14ac:dyDescent="0.3">
      <c r="U358227" s="25"/>
    </row>
    <row r="358249" spans="21:21" x14ac:dyDescent="0.3">
      <c r="U358249" s="25"/>
    </row>
    <row r="358271" spans="21:21" x14ac:dyDescent="0.3">
      <c r="U358271" s="25"/>
    </row>
    <row r="358293" spans="21:21" x14ac:dyDescent="0.3">
      <c r="U358293" s="25"/>
    </row>
    <row r="358315" spans="21:21" x14ac:dyDescent="0.3">
      <c r="U358315" s="25"/>
    </row>
    <row r="358337" spans="21:21" x14ac:dyDescent="0.3">
      <c r="U358337" s="25"/>
    </row>
    <row r="358359" spans="21:21" x14ac:dyDescent="0.3">
      <c r="U358359" s="25"/>
    </row>
    <row r="358381" spans="21:21" x14ac:dyDescent="0.3">
      <c r="U358381" s="25"/>
    </row>
    <row r="358403" spans="21:21" x14ac:dyDescent="0.3">
      <c r="U358403" s="25"/>
    </row>
    <row r="358425" spans="21:21" x14ac:dyDescent="0.3">
      <c r="U358425" s="25"/>
    </row>
    <row r="358447" spans="21:21" x14ac:dyDescent="0.3">
      <c r="U358447" s="25"/>
    </row>
    <row r="358469" spans="21:21" x14ac:dyDescent="0.3">
      <c r="U358469" s="25"/>
    </row>
    <row r="358491" spans="21:21" x14ac:dyDescent="0.3">
      <c r="U358491" s="25"/>
    </row>
    <row r="358513" spans="21:21" x14ac:dyDescent="0.3">
      <c r="U358513" s="25"/>
    </row>
    <row r="358535" spans="21:21" x14ac:dyDescent="0.3">
      <c r="U358535" s="25"/>
    </row>
    <row r="358557" spans="21:21" x14ac:dyDescent="0.3">
      <c r="U358557" s="25"/>
    </row>
    <row r="358579" spans="21:21" x14ac:dyDescent="0.3">
      <c r="U358579" s="25"/>
    </row>
    <row r="358601" spans="21:21" x14ac:dyDescent="0.3">
      <c r="U358601" s="25"/>
    </row>
    <row r="358623" spans="21:21" x14ac:dyDescent="0.3">
      <c r="U358623" s="25"/>
    </row>
    <row r="358645" spans="21:21" x14ac:dyDescent="0.3">
      <c r="U358645" s="25"/>
    </row>
    <row r="358667" spans="21:21" x14ac:dyDescent="0.3">
      <c r="U358667" s="25"/>
    </row>
    <row r="358689" spans="21:21" x14ac:dyDescent="0.3">
      <c r="U358689" s="25"/>
    </row>
    <row r="358711" spans="21:21" x14ac:dyDescent="0.3">
      <c r="U358711" s="25"/>
    </row>
    <row r="358733" spans="21:21" x14ac:dyDescent="0.3">
      <c r="U358733" s="25"/>
    </row>
    <row r="358755" spans="21:21" x14ac:dyDescent="0.3">
      <c r="U358755" s="25"/>
    </row>
    <row r="358777" spans="21:21" x14ac:dyDescent="0.3">
      <c r="U358777" s="25"/>
    </row>
    <row r="358799" spans="21:21" x14ac:dyDescent="0.3">
      <c r="U358799" s="25"/>
    </row>
    <row r="358821" spans="21:21" x14ac:dyDescent="0.3">
      <c r="U358821" s="25"/>
    </row>
    <row r="358843" spans="21:21" x14ac:dyDescent="0.3">
      <c r="U358843" s="25"/>
    </row>
    <row r="358865" spans="21:21" x14ac:dyDescent="0.3">
      <c r="U358865" s="25"/>
    </row>
    <row r="358887" spans="21:21" x14ac:dyDescent="0.3">
      <c r="U358887" s="25"/>
    </row>
    <row r="358909" spans="21:21" x14ac:dyDescent="0.3">
      <c r="U358909" s="25"/>
    </row>
    <row r="358931" spans="21:21" x14ac:dyDescent="0.3">
      <c r="U358931" s="25"/>
    </row>
    <row r="358953" spans="21:21" x14ac:dyDescent="0.3">
      <c r="U358953" s="25"/>
    </row>
    <row r="358975" spans="21:21" x14ac:dyDescent="0.3">
      <c r="U358975" s="25"/>
    </row>
    <row r="358997" spans="21:21" x14ac:dyDescent="0.3">
      <c r="U358997" s="25"/>
    </row>
    <row r="359019" spans="21:21" x14ac:dyDescent="0.3">
      <c r="U359019" s="25"/>
    </row>
    <row r="359041" spans="21:21" x14ac:dyDescent="0.3">
      <c r="U359041" s="25"/>
    </row>
    <row r="359063" spans="21:21" x14ac:dyDescent="0.3">
      <c r="U359063" s="25"/>
    </row>
    <row r="359085" spans="21:21" x14ac:dyDescent="0.3">
      <c r="U359085" s="25"/>
    </row>
    <row r="359107" spans="21:21" x14ac:dyDescent="0.3">
      <c r="U359107" s="25"/>
    </row>
    <row r="359129" spans="21:21" x14ac:dyDescent="0.3">
      <c r="U359129" s="25"/>
    </row>
    <row r="359151" spans="21:21" x14ac:dyDescent="0.3">
      <c r="U359151" s="25"/>
    </row>
    <row r="359173" spans="21:21" x14ac:dyDescent="0.3">
      <c r="U359173" s="25"/>
    </row>
    <row r="359195" spans="21:21" x14ac:dyDescent="0.3">
      <c r="U359195" s="25"/>
    </row>
    <row r="359217" spans="21:21" x14ac:dyDescent="0.3">
      <c r="U359217" s="25"/>
    </row>
    <row r="359239" spans="21:21" x14ac:dyDescent="0.3">
      <c r="U359239" s="25"/>
    </row>
    <row r="359261" spans="21:21" x14ac:dyDescent="0.3">
      <c r="U359261" s="25"/>
    </row>
    <row r="359283" spans="21:21" x14ac:dyDescent="0.3">
      <c r="U359283" s="25"/>
    </row>
    <row r="359305" spans="21:21" x14ac:dyDescent="0.3">
      <c r="U359305" s="25"/>
    </row>
    <row r="359327" spans="21:21" x14ac:dyDescent="0.3">
      <c r="U359327" s="25"/>
    </row>
    <row r="359349" spans="21:21" x14ac:dyDescent="0.3">
      <c r="U359349" s="25"/>
    </row>
    <row r="359371" spans="21:21" x14ac:dyDescent="0.3">
      <c r="U359371" s="25"/>
    </row>
    <row r="359393" spans="21:21" x14ac:dyDescent="0.3">
      <c r="U359393" s="25"/>
    </row>
    <row r="359415" spans="21:21" x14ac:dyDescent="0.3">
      <c r="U359415" s="25"/>
    </row>
    <row r="359437" spans="21:21" x14ac:dyDescent="0.3">
      <c r="U359437" s="25"/>
    </row>
    <row r="359459" spans="21:21" x14ac:dyDescent="0.3">
      <c r="U359459" s="25"/>
    </row>
    <row r="359481" spans="21:21" x14ac:dyDescent="0.3">
      <c r="U359481" s="25"/>
    </row>
    <row r="359503" spans="21:21" x14ac:dyDescent="0.3">
      <c r="U359503" s="25"/>
    </row>
    <row r="359525" spans="21:21" x14ac:dyDescent="0.3">
      <c r="U359525" s="25"/>
    </row>
    <row r="359547" spans="21:21" x14ac:dyDescent="0.3">
      <c r="U359547" s="25"/>
    </row>
    <row r="359569" spans="21:21" x14ac:dyDescent="0.3">
      <c r="U359569" s="25"/>
    </row>
    <row r="359591" spans="21:21" x14ac:dyDescent="0.3">
      <c r="U359591" s="25"/>
    </row>
    <row r="359613" spans="21:21" x14ac:dyDescent="0.3">
      <c r="U359613" s="25"/>
    </row>
    <row r="359635" spans="21:21" x14ac:dyDescent="0.3">
      <c r="U359635" s="25"/>
    </row>
    <row r="359657" spans="21:21" x14ac:dyDescent="0.3">
      <c r="U359657" s="25"/>
    </row>
    <row r="359679" spans="21:21" x14ac:dyDescent="0.3">
      <c r="U359679" s="25"/>
    </row>
    <row r="359701" spans="21:21" x14ac:dyDescent="0.3">
      <c r="U359701" s="25"/>
    </row>
    <row r="359723" spans="21:21" x14ac:dyDescent="0.3">
      <c r="U359723" s="25"/>
    </row>
    <row r="359745" spans="21:21" x14ac:dyDescent="0.3">
      <c r="U359745" s="25"/>
    </row>
    <row r="359767" spans="21:21" x14ac:dyDescent="0.3">
      <c r="U359767" s="25"/>
    </row>
    <row r="359789" spans="21:21" x14ac:dyDescent="0.3">
      <c r="U359789" s="25"/>
    </row>
    <row r="359811" spans="21:21" x14ac:dyDescent="0.3">
      <c r="U359811" s="25"/>
    </row>
    <row r="359833" spans="21:21" x14ac:dyDescent="0.3">
      <c r="U359833" s="25"/>
    </row>
    <row r="359855" spans="21:21" x14ac:dyDescent="0.3">
      <c r="U359855" s="25"/>
    </row>
    <row r="359877" spans="21:21" x14ac:dyDescent="0.3">
      <c r="U359877" s="25"/>
    </row>
    <row r="359899" spans="21:21" x14ac:dyDescent="0.3">
      <c r="U359899" s="25"/>
    </row>
    <row r="359921" spans="21:21" x14ac:dyDescent="0.3">
      <c r="U359921" s="25"/>
    </row>
    <row r="359943" spans="21:21" x14ac:dyDescent="0.3">
      <c r="U359943" s="25"/>
    </row>
    <row r="359965" spans="21:21" x14ac:dyDescent="0.3">
      <c r="U359965" s="25"/>
    </row>
    <row r="359987" spans="21:21" x14ac:dyDescent="0.3">
      <c r="U359987" s="25"/>
    </row>
    <row r="360009" spans="21:21" x14ac:dyDescent="0.3">
      <c r="U360009" s="25"/>
    </row>
    <row r="360031" spans="21:21" x14ac:dyDescent="0.3">
      <c r="U360031" s="25"/>
    </row>
    <row r="360053" spans="21:21" x14ac:dyDescent="0.3">
      <c r="U360053" s="25"/>
    </row>
    <row r="360075" spans="21:21" x14ac:dyDescent="0.3">
      <c r="U360075" s="25"/>
    </row>
    <row r="360097" spans="21:21" x14ac:dyDescent="0.3">
      <c r="U360097" s="25"/>
    </row>
    <row r="360119" spans="21:21" x14ac:dyDescent="0.3">
      <c r="U360119" s="25"/>
    </row>
    <row r="360141" spans="21:21" x14ac:dyDescent="0.3">
      <c r="U360141" s="25"/>
    </row>
    <row r="360163" spans="21:21" x14ac:dyDescent="0.3">
      <c r="U360163" s="25"/>
    </row>
    <row r="360185" spans="21:21" x14ac:dyDescent="0.3">
      <c r="U360185" s="25"/>
    </row>
    <row r="360207" spans="21:21" x14ac:dyDescent="0.3">
      <c r="U360207" s="25"/>
    </row>
    <row r="360229" spans="21:21" x14ac:dyDescent="0.3">
      <c r="U360229" s="25"/>
    </row>
    <row r="360251" spans="21:21" x14ac:dyDescent="0.3">
      <c r="U360251" s="25"/>
    </row>
    <row r="360273" spans="21:21" x14ac:dyDescent="0.3">
      <c r="U360273" s="25"/>
    </row>
    <row r="360295" spans="21:21" x14ac:dyDescent="0.3">
      <c r="U360295" s="25"/>
    </row>
    <row r="360317" spans="21:21" x14ac:dyDescent="0.3">
      <c r="U360317" s="25"/>
    </row>
    <row r="360339" spans="21:21" x14ac:dyDescent="0.3">
      <c r="U360339" s="25"/>
    </row>
    <row r="360361" spans="21:21" x14ac:dyDescent="0.3">
      <c r="U360361" s="25"/>
    </row>
    <row r="360383" spans="21:21" x14ac:dyDescent="0.3">
      <c r="U360383" s="25"/>
    </row>
    <row r="360405" spans="21:21" x14ac:dyDescent="0.3">
      <c r="U360405" s="25"/>
    </row>
    <row r="360427" spans="21:21" x14ac:dyDescent="0.3">
      <c r="U360427" s="25"/>
    </row>
    <row r="360449" spans="21:21" x14ac:dyDescent="0.3">
      <c r="U360449" s="25"/>
    </row>
    <row r="360471" spans="21:21" x14ac:dyDescent="0.3">
      <c r="U360471" s="25"/>
    </row>
    <row r="360493" spans="21:21" x14ac:dyDescent="0.3">
      <c r="U360493" s="25"/>
    </row>
    <row r="360515" spans="21:21" x14ac:dyDescent="0.3">
      <c r="U360515" s="25"/>
    </row>
    <row r="360537" spans="21:21" x14ac:dyDescent="0.3">
      <c r="U360537" s="25"/>
    </row>
    <row r="360559" spans="21:21" x14ac:dyDescent="0.3">
      <c r="U360559" s="25"/>
    </row>
    <row r="360581" spans="21:21" x14ac:dyDescent="0.3">
      <c r="U360581" s="25"/>
    </row>
    <row r="360603" spans="21:21" x14ac:dyDescent="0.3">
      <c r="U360603" s="25"/>
    </row>
    <row r="360625" spans="21:21" x14ac:dyDescent="0.3">
      <c r="U360625" s="25"/>
    </row>
    <row r="360647" spans="21:21" x14ac:dyDescent="0.3">
      <c r="U360647" s="25"/>
    </row>
    <row r="360669" spans="21:21" x14ac:dyDescent="0.3">
      <c r="U360669" s="25"/>
    </row>
    <row r="360691" spans="21:21" x14ac:dyDescent="0.3">
      <c r="U360691" s="25"/>
    </row>
    <row r="360713" spans="21:21" x14ac:dyDescent="0.3">
      <c r="U360713" s="25"/>
    </row>
    <row r="360735" spans="21:21" x14ac:dyDescent="0.3">
      <c r="U360735" s="25"/>
    </row>
    <row r="360757" spans="21:21" x14ac:dyDescent="0.3">
      <c r="U360757" s="25"/>
    </row>
    <row r="360779" spans="21:21" x14ac:dyDescent="0.3">
      <c r="U360779" s="25"/>
    </row>
    <row r="360801" spans="21:21" x14ac:dyDescent="0.3">
      <c r="U360801" s="25"/>
    </row>
    <row r="360823" spans="21:21" x14ac:dyDescent="0.3">
      <c r="U360823" s="25"/>
    </row>
    <row r="360845" spans="21:21" x14ac:dyDescent="0.3">
      <c r="U360845" s="25"/>
    </row>
    <row r="360867" spans="21:21" x14ac:dyDescent="0.3">
      <c r="U360867" s="25"/>
    </row>
    <row r="360889" spans="21:21" x14ac:dyDescent="0.3">
      <c r="U360889" s="25"/>
    </row>
    <row r="360911" spans="21:21" x14ac:dyDescent="0.3">
      <c r="U360911" s="25"/>
    </row>
    <row r="360933" spans="21:21" x14ac:dyDescent="0.3">
      <c r="U360933" s="25"/>
    </row>
    <row r="360955" spans="21:21" x14ac:dyDescent="0.3">
      <c r="U360955" s="25"/>
    </row>
    <row r="360977" spans="21:21" x14ac:dyDescent="0.3">
      <c r="U360977" s="25"/>
    </row>
    <row r="360999" spans="21:21" x14ac:dyDescent="0.3">
      <c r="U360999" s="25"/>
    </row>
    <row r="361021" spans="21:21" x14ac:dyDescent="0.3">
      <c r="U361021" s="25"/>
    </row>
    <row r="361043" spans="21:21" x14ac:dyDescent="0.3">
      <c r="U361043" s="25"/>
    </row>
    <row r="361065" spans="21:21" x14ac:dyDescent="0.3">
      <c r="U361065" s="25"/>
    </row>
    <row r="361087" spans="21:21" x14ac:dyDescent="0.3">
      <c r="U361087" s="25"/>
    </row>
    <row r="361109" spans="21:21" x14ac:dyDescent="0.3">
      <c r="U361109" s="25"/>
    </row>
    <row r="361131" spans="21:21" x14ac:dyDescent="0.3">
      <c r="U361131" s="25"/>
    </row>
    <row r="361153" spans="21:21" x14ac:dyDescent="0.3">
      <c r="U361153" s="25"/>
    </row>
    <row r="361175" spans="21:21" x14ac:dyDescent="0.3">
      <c r="U361175" s="25"/>
    </row>
    <row r="361197" spans="21:21" x14ac:dyDescent="0.3">
      <c r="U361197" s="25"/>
    </row>
    <row r="361219" spans="21:21" x14ac:dyDescent="0.3">
      <c r="U361219" s="25"/>
    </row>
    <row r="361241" spans="21:21" x14ac:dyDescent="0.3">
      <c r="U361241" s="25"/>
    </row>
    <row r="361263" spans="21:21" x14ac:dyDescent="0.3">
      <c r="U361263" s="25"/>
    </row>
    <row r="361285" spans="21:21" x14ac:dyDescent="0.3">
      <c r="U361285" s="25"/>
    </row>
    <row r="361307" spans="21:21" x14ac:dyDescent="0.3">
      <c r="U361307" s="25"/>
    </row>
    <row r="361329" spans="21:21" x14ac:dyDescent="0.3">
      <c r="U361329" s="25"/>
    </row>
    <row r="361351" spans="21:21" x14ac:dyDescent="0.3">
      <c r="U361351" s="25"/>
    </row>
    <row r="361373" spans="21:21" x14ac:dyDescent="0.3">
      <c r="U361373" s="25"/>
    </row>
    <row r="361395" spans="21:21" x14ac:dyDescent="0.3">
      <c r="U361395" s="25"/>
    </row>
    <row r="361417" spans="21:21" x14ac:dyDescent="0.3">
      <c r="U361417" s="25"/>
    </row>
    <row r="361439" spans="21:21" x14ac:dyDescent="0.3">
      <c r="U361439" s="25"/>
    </row>
    <row r="361461" spans="21:21" x14ac:dyDescent="0.3">
      <c r="U361461" s="25"/>
    </row>
    <row r="361483" spans="21:21" x14ac:dyDescent="0.3">
      <c r="U361483" s="25"/>
    </row>
    <row r="361505" spans="21:21" x14ac:dyDescent="0.3">
      <c r="U361505" s="25"/>
    </row>
    <row r="361527" spans="21:21" x14ac:dyDescent="0.3">
      <c r="U361527" s="25"/>
    </row>
    <row r="361549" spans="21:21" x14ac:dyDescent="0.3">
      <c r="U361549" s="25"/>
    </row>
    <row r="361571" spans="21:21" x14ac:dyDescent="0.3">
      <c r="U361571" s="25"/>
    </row>
    <row r="361593" spans="21:21" x14ac:dyDescent="0.3">
      <c r="U361593" s="25"/>
    </row>
    <row r="361615" spans="21:21" x14ac:dyDescent="0.3">
      <c r="U361615" s="25"/>
    </row>
    <row r="361637" spans="21:21" x14ac:dyDescent="0.3">
      <c r="U361637" s="25"/>
    </row>
    <row r="361659" spans="21:21" x14ac:dyDescent="0.3">
      <c r="U361659" s="25"/>
    </row>
    <row r="361681" spans="21:21" x14ac:dyDescent="0.3">
      <c r="U361681" s="25"/>
    </row>
    <row r="361703" spans="21:21" x14ac:dyDescent="0.3">
      <c r="U361703" s="25"/>
    </row>
    <row r="361725" spans="21:21" x14ac:dyDescent="0.3">
      <c r="U361725" s="25"/>
    </row>
    <row r="361747" spans="21:21" x14ac:dyDescent="0.3">
      <c r="U361747" s="25"/>
    </row>
    <row r="361769" spans="21:21" x14ac:dyDescent="0.3">
      <c r="U361769" s="25"/>
    </row>
    <row r="361791" spans="21:21" x14ac:dyDescent="0.3">
      <c r="U361791" s="25"/>
    </row>
    <row r="361813" spans="21:21" x14ac:dyDescent="0.3">
      <c r="U361813" s="25"/>
    </row>
    <row r="361835" spans="21:21" x14ac:dyDescent="0.3">
      <c r="U361835" s="25"/>
    </row>
    <row r="361857" spans="21:21" x14ac:dyDescent="0.3">
      <c r="U361857" s="25"/>
    </row>
    <row r="361879" spans="21:21" x14ac:dyDescent="0.3">
      <c r="U361879" s="25"/>
    </row>
    <row r="361901" spans="21:21" x14ac:dyDescent="0.3">
      <c r="U361901" s="25"/>
    </row>
    <row r="361923" spans="21:21" x14ac:dyDescent="0.3">
      <c r="U361923" s="25"/>
    </row>
    <row r="361945" spans="21:21" x14ac:dyDescent="0.3">
      <c r="U361945" s="25"/>
    </row>
    <row r="361967" spans="21:21" x14ac:dyDescent="0.3">
      <c r="U361967" s="25"/>
    </row>
    <row r="361989" spans="21:21" x14ac:dyDescent="0.3">
      <c r="U361989" s="25"/>
    </row>
    <row r="362011" spans="21:21" x14ac:dyDescent="0.3">
      <c r="U362011" s="25"/>
    </row>
    <row r="362033" spans="21:21" x14ac:dyDescent="0.3">
      <c r="U362033" s="25"/>
    </row>
    <row r="362055" spans="21:21" x14ac:dyDescent="0.3">
      <c r="U362055" s="25"/>
    </row>
    <row r="362077" spans="21:21" x14ac:dyDescent="0.3">
      <c r="U362077" s="25"/>
    </row>
    <row r="362099" spans="21:21" x14ac:dyDescent="0.3">
      <c r="U362099" s="25"/>
    </row>
    <row r="362121" spans="21:21" x14ac:dyDescent="0.3">
      <c r="U362121" s="25"/>
    </row>
    <row r="362143" spans="21:21" x14ac:dyDescent="0.3">
      <c r="U362143" s="25"/>
    </row>
    <row r="362165" spans="21:21" x14ac:dyDescent="0.3">
      <c r="U362165" s="25"/>
    </row>
    <row r="362187" spans="21:21" x14ac:dyDescent="0.3">
      <c r="U362187" s="25"/>
    </row>
    <row r="362209" spans="21:21" x14ac:dyDescent="0.3">
      <c r="U362209" s="25"/>
    </row>
    <row r="362231" spans="21:21" x14ac:dyDescent="0.3">
      <c r="U362231" s="25"/>
    </row>
    <row r="362253" spans="21:21" x14ac:dyDescent="0.3">
      <c r="U362253" s="25"/>
    </row>
    <row r="362275" spans="21:21" x14ac:dyDescent="0.3">
      <c r="U362275" s="25"/>
    </row>
    <row r="362297" spans="21:21" x14ac:dyDescent="0.3">
      <c r="U362297" s="25"/>
    </row>
    <row r="362319" spans="21:21" x14ac:dyDescent="0.3">
      <c r="U362319" s="25"/>
    </row>
    <row r="362341" spans="21:21" x14ac:dyDescent="0.3">
      <c r="U362341" s="25"/>
    </row>
    <row r="362363" spans="21:21" x14ac:dyDescent="0.3">
      <c r="U362363" s="25"/>
    </row>
    <row r="362385" spans="21:21" x14ac:dyDescent="0.3">
      <c r="U362385" s="25"/>
    </row>
    <row r="362407" spans="21:21" x14ac:dyDescent="0.3">
      <c r="U362407" s="25"/>
    </row>
    <row r="362429" spans="21:21" x14ac:dyDescent="0.3">
      <c r="U362429" s="25"/>
    </row>
    <row r="362451" spans="21:21" x14ac:dyDescent="0.3">
      <c r="U362451" s="25"/>
    </row>
    <row r="362473" spans="21:21" x14ac:dyDescent="0.3">
      <c r="U362473" s="25"/>
    </row>
    <row r="362495" spans="21:21" x14ac:dyDescent="0.3">
      <c r="U362495" s="25"/>
    </row>
    <row r="362517" spans="21:21" x14ac:dyDescent="0.3">
      <c r="U362517" s="25"/>
    </row>
    <row r="362539" spans="21:21" x14ac:dyDescent="0.3">
      <c r="U362539" s="25"/>
    </row>
    <row r="362561" spans="21:21" x14ac:dyDescent="0.3">
      <c r="U362561" s="25"/>
    </row>
    <row r="362583" spans="21:21" x14ac:dyDescent="0.3">
      <c r="U362583" s="25"/>
    </row>
    <row r="362605" spans="21:21" x14ac:dyDescent="0.3">
      <c r="U362605" s="25"/>
    </row>
    <row r="362627" spans="21:21" x14ac:dyDescent="0.3">
      <c r="U362627" s="25"/>
    </row>
    <row r="362649" spans="21:21" x14ac:dyDescent="0.3">
      <c r="U362649" s="25"/>
    </row>
    <row r="362671" spans="21:21" x14ac:dyDescent="0.3">
      <c r="U362671" s="25"/>
    </row>
    <row r="362693" spans="21:21" x14ac:dyDescent="0.3">
      <c r="U362693" s="25"/>
    </row>
    <row r="362715" spans="21:21" x14ac:dyDescent="0.3">
      <c r="U362715" s="25"/>
    </row>
    <row r="362737" spans="21:21" x14ac:dyDescent="0.3">
      <c r="U362737" s="25"/>
    </row>
    <row r="362759" spans="21:21" x14ac:dyDescent="0.3">
      <c r="U362759" s="25"/>
    </row>
    <row r="362781" spans="21:21" x14ac:dyDescent="0.3">
      <c r="U362781" s="25"/>
    </row>
    <row r="362803" spans="21:21" x14ac:dyDescent="0.3">
      <c r="U362803" s="25"/>
    </row>
    <row r="362825" spans="21:21" x14ac:dyDescent="0.3">
      <c r="U362825" s="25"/>
    </row>
    <row r="362847" spans="21:21" x14ac:dyDescent="0.3">
      <c r="U362847" s="25"/>
    </row>
    <row r="362869" spans="21:21" x14ac:dyDescent="0.3">
      <c r="U362869" s="25"/>
    </row>
    <row r="362891" spans="21:21" x14ac:dyDescent="0.3">
      <c r="U362891" s="25"/>
    </row>
    <row r="362913" spans="21:21" x14ac:dyDescent="0.3">
      <c r="U362913" s="25"/>
    </row>
    <row r="362935" spans="21:21" x14ac:dyDescent="0.3">
      <c r="U362935" s="25"/>
    </row>
    <row r="362957" spans="21:21" x14ac:dyDescent="0.3">
      <c r="U362957" s="25"/>
    </row>
    <row r="362979" spans="21:21" x14ac:dyDescent="0.3">
      <c r="U362979" s="25"/>
    </row>
    <row r="363001" spans="21:21" x14ac:dyDescent="0.3">
      <c r="U363001" s="25"/>
    </row>
    <row r="363023" spans="21:21" x14ac:dyDescent="0.3">
      <c r="U363023" s="25"/>
    </row>
    <row r="363045" spans="21:21" x14ac:dyDescent="0.3">
      <c r="U363045" s="25"/>
    </row>
    <row r="363067" spans="21:21" x14ac:dyDescent="0.3">
      <c r="U363067" s="25"/>
    </row>
    <row r="363089" spans="21:21" x14ac:dyDescent="0.3">
      <c r="U363089" s="25"/>
    </row>
    <row r="363111" spans="21:21" x14ac:dyDescent="0.3">
      <c r="U363111" s="25"/>
    </row>
    <row r="363133" spans="21:21" x14ac:dyDescent="0.3">
      <c r="U363133" s="25"/>
    </row>
    <row r="363155" spans="21:21" x14ac:dyDescent="0.3">
      <c r="U363155" s="25"/>
    </row>
    <row r="363177" spans="21:21" x14ac:dyDescent="0.3">
      <c r="U363177" s="25"/>
    </row>
    <row r="363199" spans="21:21" x14ac:dyDescent="0.3">
      <c r="U363199" s="25"/>
    </row>
    <row r="363221" spans="21:21" x14ac:dyDescent="0.3">
      <c r="U363221" s="25"/>
    </row>
    <row r="363243" spans="21:21" x14ac:dyDescent="0.3">
      <c r="U363243" s="25"/>
    </row>
    <row r="363265" spans="21:21" x14ac:dyDescent="0.3">
      <c r="U363265" s="25"/>
    </row>
    <row r="363287" spans="21:21" x14ac:dyDescent="0.3">
      <c r="U363287" s="25"/>
    </row>
    <row r="363309" spans="21:21" x14ac:dyDescent="0.3">
      <c r="U363309" s="25"/>
    </row>
    <row r="363331" spans="21:21" x14ac:dyDescent="0.3">
      <c r="U363331" s="25"/>
    </row>
    <row r="363353" spans="21:21" x14ac:dyDescent="0.3">
      <c r="U363353" s="25"/>
    </row>
    <row r="363375" spans="21:21" x14ac:dyDescent="0.3">
      <c r="U363375" s="25"/>
    </row>
    <row r="363397" spans="21:21" x14ac:dyDescent="0.3">
      <c r="U363397" s="25"/>
    </row>
    <row r="363419" spans="21:21" x14ac:dyDescent="0.3">
      <c r="U363419" s="25"/>
    </row>
    <row r="363441" spans="21:21" x14ac:dyDescent="0.3">
      <c r="U363441" s="25"/>
    </row>
    <row r="363463" spans="21:21" x14ac:dyDescent="0.3">
      <c r="U363463" s="25"/>
    </row>
    <row r="363485" spans="21:21" x14ac:dyDescent="0.3">
      <c r="U363485" s="25"/>
    </row>
    <row r="363507" spans="21:21" x14ac:dyDescent="0.3">
      <c r="U363507" s="25"/>
    </row>
    <row r="363529" spans="21:21" x14ac:dyDescent="0.3">
      <c r="U363529" s="25"/>
    </row>
    <row r="363551" spans="21:21" x14ac:dyDescent="0.3">
      <c r="U363551" s="25"/>
    </row>
    <row r="363573" spans="21:21" x14ac:dyDescent="0.3">
      <c r="U363573" s="25"/>
    </row>
    <row r="363595" spans="21:21" x14ac:dyDescent="0.3">
      <c r="U363595" s="25"/>
    </row>
    <row r="363617" spans="21:21" x14ac:dyDescent="0.3">
      <c r="U363617" s="25"/>
    </row>
    <row r="363639" spans="21:21" x14ac:dyDescent="0.3">
      <c r="U363639" s="25"/>
    </row>
    <row r="363661" spans="21:21" x14ac:dyDescent="0.3">
      <c r="U363661" s="25"/>
    </row>
    <row r="363683" spans="21:21" x14ac:dyDescent="0.3">
      <c r="U363683" s="25"/>
    </row>
    <row r="363705" spans="21:21" x14ac:dyDescent="0.3">
      <c r="U363705" s="25"/>
    </row>
    <row r="363727" spans="21:21" x14ac:dyDescent="0.3">
      <c r="U363727" s="25"/>
    </row>
    <row r="363749" spans="21:21" x14ac:dyDescent="0.3">
      <c r="U363749" s="25"/>
    </row>
    <row r="363771" spans="21:21" x14ac:dyDescent="0.3">
      <c r="U363771" s="25"/>
    </row>
    <row r="363793" spans="21:21" x14ac:dyDescent="0.3">
      <c r="U363793" s="25"/>
    </row>
    <row r="363815" spans="21:21" x14ac:dyDescent="0.3">
      <c r="U363815" s="25"/>
    </row>
    <row r="363837" spans="21:21" x14ac:dyDescent="0.3">
      <c r="U363837" s="25"/>
    </row>
    <row r="363859" spans="21:21" x14ac:dyDescent="0.3">
      <c r="U363859" s="25"/>
    </row>
    <row r="363881" spans="21:21" x14ac:dyDescent="0.3">
      <c r="U363881" s="25"/>
    </row>
    <row r="363903" spans="21:21" x14ac:dyDescent="0.3">
      <c r="U363903" s="25"/>
    </row>
    <row r="363925" spans="21:21" x14ac:dyDescent="0.3">
      <c r="U363925" s="25"/>
    </row>
    <row r="363947" spans="21:21" x14ac:dyDescent="0.3">
      <c r="U363947" s="25"/>
    </row>
    <row r="363969" spans="21:21" x14ac:dyDescent="0.3">
      <c r="U363969" s="25"/>
    </row>
    <row r="363991" spans="21:21" x14ac:dyDescent="0.3">
      <c r="U363991" s="25"/>
    </row>
    <row r="364013" spans="21:21" x14ac:dyDescent="0.3">
      <c r="U364013" s="25"/>
    </row>
    <row r="364035" spans="21:21" x14ac:dyDescent="0.3">
      <c r="U364035" s="25"/>
    </row>
    <row r="364057" spans="21:21" x14ac:dyDescent="0.3">
      <c r="U364057" s="25"/>
    </row>
    <row r="364079" spans="21:21" x14ac:dyDescent="0.3">
      <c r="U364079" s="25"/>
    </row>
    <row r="364101" spans="21:21" x14ac:dyDescent="0.3">
      <c r="U364101" s="25"/>
    </row>
    <row r="364123" spans="21:21" x14ac:dyDescent="0.3">
      <c r="U364123" s="25"/>
    </row>
    <row r="364145" spans="21:21" x14ac:dyDescent="0.3">
      <c r="U364145" s="25"/>
    </row>
    <row r="364167" spans="21:21" x14ac:dyDescent="0.3">
      <c r="U364167" s="25"/>
    </row>
    <row r="364189" spans="21:21" x14ac:dyDescent="0.3">
      <c r="U364189" s="25"/>
    </row>
    <row r="364211" spans="21:21" x14ac:dyDescent="0.3">
      <c r="U364211" s="25"/>
    </row>
    <row r="364233" spans="21:21" x14ac:dyDescent="0.3">
      <c r="U364233" s="25"/>
    </row>
    <row r="364255" spans="21:21" x14ac:dyDescent="0.3">
      <c r="U364255" s="25"/>
    </row>
    <row r="364277" spans="21:21" x14ac:dyDescent="0.3">
      <c r="U364277" s="25"/>
    </row>
    <row r="364299" spans="21:21" x14ac:dyDescent="0.3">
      <c r="U364299" s="25"/>
    </row>
    <row r="364321" spans="21:21" x14ac:dyDescent="0.3">
      <c r="U364321" s="25"/>
    </row>
    <row r="364343" spans="21:21" x14ac:dyDescent="0.3">
      <c r="U364343" s="25"/>
    </row>
    <row r="364365" spans="21:21" x14ac:dyDescent="0.3">
      <c r="U364365" s="25"/>
    </row>
    <row r="364387" spans="21:21" x14ac:dyDescent="0.3">
      <c r="U364387" s="25"/>
    </row>
    <row r="364409" spans="21:21" x14ac:dyDescent="0.3">
      <c r="U364409" s="25"/>
    </row>
    <row r="364431" spans="21:21" x14ac:dyDescent="0.3">
      <c r="U364431" s="25"/>
    </row>
    <row r="364453" spans="21:21" x14ac:dyDescent="0.3">
      <c r="U364453" s="25"/>
    </row>
    <row r="364475" spans="21:21" x14ac:dyDescent="0.3">
      <c r="U364475" s="25"/>
    </row>
    <row r="364497" spans="21:21" x14ac:dyDescent="0.3">
      <c r="U364497" s="25"/>
    </row>
    <row r="364519" spans="21:21" x14ac:dyDescent="0.3">
      <c r="U364519" s="25"/>
    </row>
    <row r="364541" spans="21:21" x14ac:dyDescent="0.3">
      <c r="U364541" s="25"/>
    </row>
    <row r="364563" spans="21:21" x14ac:dyDescent="0.3">
      <c r="U364563" s="25"/>
    </row>
    <row r="364585" spans="21:21" x14ac:dyDescent="0.3">
      <c r="U364585" s="25"/>
    </row>
    <row r="364607" spans="21:21" x14ac:dyDescent="0.3">
      <c r="U364607" s="25"/>
    </row>
    <row r="364629" spans="21:21" x14ac:dyDescent="0.3">
      <c r="U364629" s="25"/>
    </row>
    <row r="364651" spans="21:21" x14ac:dyDescent="0.3">
      <c r="U364651" s="25"/>
    </row>
    <row r="364673" spans="21:21" x14ac:dyDescent="0.3">
      <c r="U364673" s="25"/>
    </row>
    <row r="364695" spans="21:21" x14ac:dyDescent="0.3">
      <c r="U364695" s="25"/>
    </row>
    <row r="364717" spans="21:21" x14ac:dyDescent="0.3">
      <c r="U364717" s="25"/>
    </row>
    <row r="364739" spans="21:21" x14ac:dyDescent="0.3">
      <c r="U364739" s="25"/>
    </row>
    <row r="364761" spans="21:21" x14ac:dyDescent="0.3">
      <c r="U364761" s="25"/>
    </row>
    <row r="364783" spans="21:21" x14ac:dyDescent="0.3">
      <c r="U364783" s="25"/>
    </row>
    <row r="364805" spans="21:21" x14ac:dyDescent="0.3">
      <c r="U364805" s="25"/>
    </row>
    <row r="364827" spans="21:21" x14ac:dyDescent="0.3">
      <c r="U364827" s="25"/>
    </row>
    <row r="364849" spans="21:21" x14ac:dyDescent="0.3">
      <c r="U364849" s="25"/>
    </row>
    <row r="364871" spans="21:21" x14ac:dyDescent="0.3">
      <c r="U364871" s="25"/>
    </row>
    <row r="364893" spans="21:21" x14ac:dyDescent="0.3">
      <c r="U364893" s="25"/>
    </row>
    <row r="364915" spans="21:21" x14ac:dyDescent="0.3">
      <c r="U364915" s="25"/>
    </row>
    <row r="364937" spans="21:21" x14ac:dyDescent="0.3">
      <c r="U364937" s="25"/>
    </row>
    <row r="364959" spans="21:21" x14ac:dyDescent="0.3">
      <c r="U364959" s="25"/>
    </row>
    <row r="364981" spans="21:21" x14ac:dyDescent="0.3">
      <c r="U364981" s="25"/>
    </row>
    <row r="365003" spans="21:21" x14ac:dyDescent="0.3">
      <c r="U365003" s="25"/>
    </row>
    <row r="365025" spans="21:21" x14ac:dyDescent="0.3">
      <c r="U365025" s="25"/>
    </row>
    <row r="365047" spans="21:21" x14ac:dyDescent="0.3">
      <c r="U365047" s="25"/>
    </row>
    <row r="365069" spans="21:21" x14ac:dyDescent="0.3">
      <c r="U365069" s="25"/>
    </row>
    <row r="365091" spans="21:21" x14ac:dyDescent="0.3">
      <c r="U365091" s="25"/>
    </row>
    <row r="365113" spans="21:21" x14ac:dyDescent="0.3">
      <c r="U365113" s="25"/>
    </row>
    <row r="365135" spans="21:21" x14ac:dyDescent="0.3">
      <c r="U365135" s="25"/>
    </row>
    <row r="365157" spans="21:21" x14ac:dyDescent="0.3">
      <c r="U365157" s="25"/>
    </row>
    <row r="365179" spans="21:21" x14ac:dyDescent="0.3">
      <c r="U365179" s="25"/>
    </row>
    <row r="365201" spans="21:21" x14ac:dyDescent="0.3">
      <c r="U365201" s="25"/>
    </row>
    <row r="365223" spans="21:21" x14ac:dyDescent="0.3">
      <c r="U365223" s="25"/>
    </row>
    <row r="365245" spans="21:21" x14ac:dyDescent="0.3">
      <c r="U365245" s="25"/>
    </row>
    <row r="365267" spans="21:21" x14ac:dyDescent="0.3">
      <c r="U365267" s="25"/>
    </row>
    <row r="365289" spans="21:21" x14ac:dyDescent="0.3">
      <c r="U365289" s="25"/>
    </row>
    <row r="365311" spans="21:21" x14ac:dyDescent="0.3">
      <c r="U365311" s="25"/>
    </row>
    <row r="365333" spans="21:21" x14ac:dyDescent="0.3">
      <c r="U365333" s="25"/>
    </row>
    <row r="365355" spans="21:21" x14ac:dyDescent="0.3">
      <c r="U365355" s="25"/>
    </row>
    <row r="365377" spans="21:21" x14ac:dyDescent="0.3">
      <c r="U365377" s="25"/>
    </row>
    <row r="365399" spans="21:21" x14ac:dyDescent="0.3">
      <c r="U365399" s="25"/>
    </row>
    <row r="365421" spans="21:21" x14ac:dyDescent="0.3">
      <c r="U365421" s="25"/>
    </row>
    <row r="365443" spans="21:21" x14ac:dyDescent="0.3">
      <c r="U365443" s="25"/>
    </row>
    <row r="365465" spans="21:21" x14ac:dyDescent="0.3">
      <c r="U365465" s="25"/>
    </row>
    <row r="365487" spans="21:21" x14ac:dyDescent="0.3">
      <c r="U365487" s="25"/>
    </row>
    <row r="365509" spans="21:21" x14ac:dyDescent="0.3">
      <c r="U365509" s="25"/>
    </row>
    <row r="365531" spans="21:21" x14ac:dyDescent="0.3">
      <c r="U365531" s="25"/>
    </row>
    <row r="365553" spans="21:21" x14ac:dyDescent="0.3">
      <c r="U365553" s="25"/>
    </row>
    <row r="365575" spans="21:21" x14ac:dyDescent="0.3">
      <c r="U365575" s="25"/>
    </row>
    <row r="365597" spans="21:21" x14ac:dyDescent="0.3">
      <c r="U365597" s="25"/>
    </row>
    <row r="365619" spans="21:21" x14ac:dyDescent="0.3">
      <c r="U365619" s="25"/>
    </row>
    <row r="365641" spans="21:21" x14ac:dyDescent="0.3">
      <c r="U365641" s="25"/>
    </row>
    <row r="365663" spans="21:21" x14ac:dyDescent="0.3">
      <c r="U365663" s="25"/>
    </row>
    <row r="365685" spans="21:21" x14ac:dyDescent="0.3">
      <c r="U365685" s="25"/>
    </row>
    <row r="365707" spans="21:21" x14ac:dyDescent="0.3">
      <c r="U365707" s="25"/>
    </row>
    <row r="365729" spans="21:21" x14ac:dyDescent="0.3">
      <c r="U365729" s="25"/>
    </row>
    <row r="365751" spans="21:21" x14ac:dyDescent="0.3">
      <c r="U365751" s="25"/>
    </row>
    <row r="365773" spans="21:21" x14ac:dyDescent="0.3">
      <c r="U365773" s="25"/>
    </row>
    <row r="365795" spans="21:21" x14ac:dyDescent="0.3">
      <c r="U365795" s="25"/>
    </row>
    <row r="365817" spans="21:21" x14ac:dyDescent="0.3">
      <c r="U365817" s="25"/>
    </row>
    <row r="365839" spans="21:21" x14ac:dyDescent="0.3">
      <c r="U365839" s="25"/>
    </row>
    <row r="365861" spans="21:21" x14ac:dyDescent="0.3">
      <c r="U365861" s="25"/>
    </row>
    <row r="365883" spans="21:21" x14ac:dyDescent="0.3">
      <c r="U365883" s="25"/>
    </row>
    <row r="365905" spans="21:21" x14ac:dyDescent="0.3">
      <c r="U365905" s="25"/>
    </row>
    <row r="365927" spans="21:21" x14ac:dyDescent="0.3">
      <c r="U365927" s="25"/>
    </row>
    <row r="365949" spans="21:21" x14ac:dyDescent="0.3">
      <c r="U365949" s="25"/>
    </row>
    <row r="365971" spans="21:21" x14ac:dyDescent="0.3">
      <c r="U365971" s="25"/>
    </row>
    <row r="365993" spans="21:21" x14ac:dyDescent="0.3">
      <c r="U365993" s="25"/>
    </row>
    <row r="366015" spans="21:21" x14ac:dyDescent="0.3">
      <c r="U366015" s="25"/>
    </row>
    <row r="366037" spans="21:21" x14ac:dyDescent="0.3">
      <c r="U366037" s="25"/>
    </row>
    <row r="366059" spans="21:21" x14ac:dyDescent="0.3">
      <c r="U366059" s="25"/>
    </row>
    <row r="366081" spans="21:21" x14ac:dyDescent="0.3">
      <c r="U366081" s="25"/>
    </row>
    <row r="366103" spans="21:21" x14ac:dyDescent="0.3">
      <c r="U366103" s="25"/>
    </row>
    <row r="366125" spans="21:21" x14ac:dyDescent="0.3">
      <c r="U366125" s="25"/>
    </row>
    <row r="366147" spans="21:21" x14ac:dyDescent="0.3">
      <c r="U366147" s="25"/>
    </row>
    <row r="366169" spans="21:21" x14ac:dyDescent="0.3">
      <c r="U366169" s="25"/>
    </row>
    <row r="366191" spans="21:21" x14ac:dyDescent="0.3">
      <c r="U366191" s="25"/>
    </row>
    <row r="366213" spans="21:21" x14ac:dyDescent="0.3">
      <c r="U366213" s="25"/>
    </row>
    <row r="366235" spans="21:21" x14ac:dyDescent="0.3">
      <c r="U366235" s="25"/>
    </row>
    <row r="366257" spans="21:21" x14ac:dyDescent="0.3">
      <c r="U366257" s="25"/>
    </row>
    <row r="366279" spans="21:21" x14ac:dyDescent="0.3">
      <c r="U366279" s="25"/>
    </row>
    <row r="366301" spans="21:21" x14ac:dyDescent="0.3">
      <c r="U366301" s="25"/>
    </row>
    <row r="366323" spans="21:21" x14ac:dyDescent="0.3">
      <c r="U366323" s="25"/>
    </row>
    <row r="366345" spans="21:21" x14ac:dyDescent="0.3">
      <c r="U366345" s="25"/>
    </row>
    <row r="366367" spans="21:21" x14ac:dyDescent="0.3">
      <c r="U366367" s="25"/>
    </row>
    <row r="366389" spans="21:21" x14ac:dyDescent="0.3">
      <c r="U366389" s="25"/>
    </row>
    <row r="366411" spans="21:21" x14ac:dyDescent="0.3">
      <c r="U366411" s="25"/>
    </row>
    <row r="366433" spans="21:21" x14ac:dyDescent="0.3">
      <c r="U366433" s="25"/>
    </row>
    <row r="366455" spans="21:21" x14ac:dyDescent="0.3">
      <c r="U366455" s="25"/>
    </row>
    <row r="366477" spans="21:21" x14ac:dyDescent="0.3">
      <c r="U366477" s="25"/>
    </row>
    <row r="366499" spans="21:21" x14ac:dyDescent="0.3">
      <c r="U366499" s="25"/>
    </row>
    <row r="366521" spans="21:21" x14ac:dyDescent="0.3">
      <c r="U366521" s="25"/>
    </row>
    <row r="366543" spans="21:21" x14ac:dyDescent="0.3">
      <c r="U366543" s="25"/>
    </row>
    <row r="366565" spans="21:21" x14ac:dyDescent="0.3">
      <c r="U366565" s="25"/>
    </row>
    <row r="366587" spans="21:21" x14ac:dyDescent="0.3">
      <c r="U366587" s="25"/>
    </row>
    <row r="366609" spans="21:21" x14ac:dyDescent="0.3">
      <c r="U366609" s="25"/>
    </row>
    <row r="366631" spans="21:21" x14ac:dyDescent="0.3">
      <c r="U366631" s="25"/>
    </row>
    <row r="366653" spans="21:21" x14ac:dyDescent="0.3">
      <c r="U366653" s="25"/>
    </row>
    <row r="366675" spans="21:21" x14ac:dyDescent="0.3">
      <c r="U366675" s="25"/>
    </row>
    <row r="366697" spans="21:21" x14ac:dyDescent="0.3">
      <c r="U366697" s="25"/>
    </row>
    <row r="366719" spans="21:21" x14ac:dyDescent="0.3">
      <c r="U366719" s="25"/>
    </row>
    <row r="366741" spans="21:21" x14ac:dyDescent="0.3">
      <c r="U366741" s="25"/>
    </row>
    <row r="366763" spans="21:21" x14ac:dyDescent="0.3">
      <c r="U366763" s="25"/>
    </row>
    <row r="366785" spans="21:21" x14ac:dyDescent="0.3">
      <c r="U366785" s="25"/>
    </row>
    <row r="366807" spans="21:21" x14ac:dyDescent="0.3">
      <c r="U366807" s="25"/>
    </row>
    <row r="366829" spans="21:21" x14ac:dyDescent="0.3">
      <c r="U366829" s="25"/>
    </row>
    <row r="366851" spans="21:21" x14ac:dyDescent="0.3">
      <c r="U366851" s="25"/>
    </row>
    <row r="366873" spans="21:21" x14ac:dyDescent="0.3">
      <c r="U366873" s="25"/>
    </row>
    <row r="366895" spans="21:21" x14ac:dyDescent="0.3">
      <c r="U366895" s="25"/>
    </row>
    <row r="366917" spans="21:21" x14ac:dyDescent="0.3">
      <c r="U366917" s="25"/>
    </row>
    <row r="366939" spans="21:21" x14ac:dyDescent="0.3">
      <c r="U366939" s="25"/>
    </row>
    <row r="366961" spans="21:21" x14ac:dyDescent="0.3">
      <c r="U366961" s="25"/>
    </row>
    <row r="366983" spans="21:21" x14ac:dyDescent="0.3">
      <c r="U366983" s="25"/>
    </row>
    <row r="367005" spans="21:21" x14ac:dyDescent="0.3">
      <c r="U367005" s="25"/>
    </row>
    <row r="367027" spans="21:21" x14ac:dyDescent="0.3">
      <c r="U367027" s="25"/>
    </row>
    <row r="367049" spans="21:21" x14ac:dyDescent="0.3">
      <c r="U367049" s="25"/>
    </row>
    <row r="367071" spans="21:21" x14ac:dyDescent="0.3">
      <c r="U367071" s="25"/>
    </row>
    <row r="367093" spans="21:21" x14ac:dyDescent="0.3">
      <c r="U367093" s="25"/>
    </row>
    <row r="367115" spans="21:21" x14ac:dyDescent="0.3">
      <c r="U367115" s="25"/>
    </row>
    <row r="367137" spans="21:21" x14ac:dyDescent="0.3">
      <c r="U367137" s="25"/>
    </row>
    <row r="367159" spans="21:21" x14ac:dyDescent="0.3">
      <c r="U367159" s="25"/>
    </row>
    <row r="367181" spans="21:21" x14ac:dyDescent="0.3">
      <c r="U367181" s="25"/>
    </row>
    <row r="367203" spans="21:21" x14ac:dyDescent="0.3">
      <c r="U367203" s="25"/>
    </row>
    <row r="367225" spans="21:21" x14ac:dyDescent="0.3">
      <c r="U367225" s="25"/>
    </row>
    <row r="367247" spans="21:21" x14ac:dyDescent="0.3">
      <c r="U367247" s="25"/>
    </row>
    <row r="367269" spans="21:21" x14ac:dyDescent="0.3">
      <c r="U367269" s="25"/>
    </row>
    <row r="367291" spans="21:21" x14ac:dyDescent="0.3">
      <c r="U367291" s="25"/>
    </row>
    <row r="367313" spans="21:21" x14ac:dyDescent="0.3">
      <c r="U367313" s="25"/>
    </row>
    <row r="367335" spans="21:21" x14ac:dyDescent="0.3">
      <c r="U367335" s="25"/>
    </row>
    <row r="367357" spans="21:21" x14ac:dyDescent="0.3">
      <c r="U367357" s="25"/>
    </row>
    <row r="367379" spans="21:21" x14ac:dyDescent="0.3">
      <c r="U367379" s="25"/>
    </row>
    <row r="367401" spans="21:21" x14ac:dyDescent="0.3">
      <c r="U367401" s="25"/>
    </row>
    <row r="367423" spans="21:21" x14ac:dyDescent="0.3">
      <c r="U367423" s="25"/>
    </row>
    <row r="367445" spans="21:21" x14ac:dyDescent="0.3">
      <c r="U367445" s="25"/>
    </row>
    <row r="367467" spans="21:21" x14ac:dyDescent="0.3">
      <c r="U367467" s="25"/>
    </row>
    <row r="367489" spans="21:21" x14ac:dyDescent="0.3">
      <c r="U367489" s="25"/>
    </row>
    <row r="367511" spans="21:21" x14ac:dyDescent="0.3">
      <c r="U367511" s="25"/>
    </row>
    <row r="367533" spans="21:21" x14ac:dyDescent="0.3">
      <c r="U367533" s="25"/>
    </row>
    <row r="367555" spans="21:21" x14ac:dyDescent="0.3">
      <c r="U367555" s="25"/>
    </row>
    <row r="367577" spans="21:21" x14ac:dyDescent="0.3">
      <c r="U367577" s="25"/>
    </row>
    <row r="367599" spans="21:21" x14ac:dyDescent="0.3">
      <c r="U367599" s="25"/>
    </row>
    <row r="367621" spans="21:21" x14ac:dyDescent="0.3">
      <c r="U367621" s="25"/>
    </row>
    <row r="367643" spans="21:21" x14ac:dyDescent="0.3">
      <c r="U367643" s="25"/>
    </row>
    <row r="367665" spans="21:21" x14ac:dyDescent="0.3">
      <c r="U367665" s="25"/>
    </row>
    <row r="367687" spans="21:21" x14ac:dyDescent="0.3">
      <c r="U367687" s="25"/>
    </row>
    <row r="367709" spans="21:21" x14ac:dyDescent="0.3">
      <c r="U367709" s="25"/>
    </row>
    <row r="367731" spans="21:21" x14ac:dyDescent="0.3">
      <c r="U367731" s="25"/>
    </row>
    <row r="367753" spans="21:21" x14ac:dyDescent="0.3">
      <c r="U367753" s="25"/>
    </row>
    <row r="367775" spans="21:21" x14ac:dyDescent="0.3">
      <c r="U367775" s="25"/>
    </row>
    <row r="367797" spans="21:21" x14ac:dyDescent="0.3">
      <c r="U367797" s="25"/>
    </row>
    <row r="367819" spans="21:21" x14ac:dyDescent="0.3">
      <c r="U367819" s="25"/>
    </row>
    <row r="367841" spans="21:21" x14ac:dyDescent="0.3">
      <c r="U367841" s="25"/>
    </row>
    <row r="367863" spans="21:21" x14ac:dyDescent="0.3">
      <c r="U367863" s="25"/>
    </row>
    <row r="367885" spans="21:21" x14ac:dyDescent="0.3">
      <c r="U367885" s="25"/>
    </row>
    <row r="367907" spans="21:21" x14ac:dyDescent="0.3">
      <c r="U367907" s="25"/>
    </row>
    <row r="367929" spans="21:21" x14ac:dyDescent="0.3">
      <c r="U367929" s="25"/>
    </row>
    <row r="367951" spans="21:21" x14ac:dyDescent="0.3">
      <c r="U367951" s="25"/>
    </row>
    <row r="367973" spans="21:21" x14ac:dyDescent="0.3">
      <c r="U367973" s="25"/>
    </row>
    <row r="367995" spans="21:21" x14ac:dyDescent="0.3">
      <c r="U367995" s="25"/>
    </row>
    <row r="368017" spans="21:21" x14ac:dyDescent="0.3">
      <c r="U368017" s="25"/>
    </row>
    <row r="368039" spans="21:21" x14ac:dyDescent="0.3">
      <c r="U368039" s="25"/>
    </row>
    <row r="368061" spans="21:21" x14ac:dyDescent="0.3">
      <c r="U368061" s="25"/>
    </row>
    <row r="368083" spans="21:21" x14ac:dyDescent="0.3">
      <c r="U368083" s="25"/>
    </row>
    <row r="368105" spans="21:21" x14ac:dyDescent="0.3">
      <c r="U368105" s="25"/>
    </row>
    <row r="368127" spans="21:21" x14ac:dyDescent="0.3">
      <c r="U368127" s="25"/>
    </row>
    <row r="368149" spans="21:21" x14ac:dyDescent="0.3">
      <c r="U368149" s="25"/>
    </row>
    <row r="368171" spans="21:21" x14ac:dyDescent="0.3">
      <c r="U368171" s="25"/>
    </row>
    <row r="368193" spans="21:21" x14ac:dyDescent="0.3">
      <c r="U368193" s="25"/>
    </row>
    <row r="368215" spans="21:21" x14ac:dyDescent="0.3">
      <c r="U368215" s="25"/>
    </row>
    <row r="368237" spans="21:21" x14ac:dyDescent="0.3">
      <c r="U368237" s="25"/>
    </row>
    <row r="368259" spans="21:21" x14ac:dyDescent="0.3">
      <c r="U368259" s="25"/>
    </row>
    <row r="368281" spans="21:21" x14ac:dyDescent="0.3">
      <c r="U368281" s="25"/>
    </row>
    <row r="368303" spans="21:21" x14ac:dyDescent="0.3">
      <c r="U368303" s="25"/>
    </row>
    <row r="368325" spans="21:21" x14ac:dyDescent="0.3">
      <c r="U368325" s="25"/>
    </row>
    <row r="368347" spans="21:21" x14ac:dyDescent="0.3">
      <c r="U368347" s="25"/>
    </row>
    <row r="368369" spans="21:21" x14ac:dyDescent="0.3">
      <c r="U368369" s="25"/>
    </row>
    <row r="368391" spans="21:21" x14ac:dyDescent="0.3">
      <c r="U368391" s="25"/>
    </row>
    <row r="368413" spans="21:21" x14ac:dyDescent="0.3">
      <c r="U368413" s="25"/>
    </row>
    <row r="368435" spans="21:21" x14ac:dyDescent="0.3">
      <c r="U368435" s="25"/>
    </row>
    <row r="368457" spans="21:21" x14ac:dyDescent="0.3">
      <c r="U368457" s="25"/>
    </row>
    <row r="368479" spans="21:21" x14ac:dyDescent="0.3">
      <c r="U368479" s="25"/>
    </row>
    <row r="368501" spans="21:21" x14ac:dyDescent="0.3">
      <c r="U368501" s="25"/>
    </row>
    <row r="368523" spans="21:21" x14ac:dyDescent="0.3">
      <c r="U368523" s="25"/>
    </row>
    <row r="368545" spans="21:21" x14ac:dyDescent="0.3">
      <c r="U368545" s="25"/>
    </row>
    <row r="368567" spans="21:21" x14ac:dyDescent="0.3">
      <c r="U368567" s="25"/>
    </row>
    <row r="368589" spans="21:21" x14ac:dyDescent="0.3">
      <c r="U368589" s="25"/>
    </row>
    <row r="368611" spans="21:21" x14ac:dyDescent="0.3">
      <c r="U368611" s="25"/>
    </row>
    <row r="368633" spans="21:21" x14ac:dyDescent="0.3">
      <c r="U368633" s="25"/>
    </row>
    <row r="368655" spans="21:21" x14ac:dyDescent="0.3">
      <c r="U368655" s="25"/>
    </row>
    <row r="368677" spans="21:21" x14ac:dyDescent="0.3">
      <c r="U368677" s="25"/>
    </row>
    <row r="368699" spans="21:21" x14ac:dyDescent="0.3">
      <c r="U368699" s="25"/>
    </row>
    <row r="368721" spans="21:21" x14ac:dyDescent="0.3">
      <c r="U368721" s="25"/>
    </row>
    <row r="368743" spans="21:21" x14ac:dyDescent="0.3">
      <c r="U368743" s="25"/>
    </row>
    <row r="368765" spans="21:21" x14ac:dyDescent="0.3">
      <c r="U368765" s="25"/>
    </row>
    <row r="368787" spans="21:21" x14ac:dyDescent="0.3">
      <c r="U368787" s="25"/>
    </row>
    <row r="368809" spans="21:21" x14ac:dyDescent="0.3">
      <c r="U368809" s="25"/>
    </row>
    <row r="368831" spans="21:21" x14ac:dyDescent="0.3">
      <c r="U368831" s="25"/>
    </row>
    <row r="368853" spans="21:21" x14ac:dyDescent="0.3">
      <c r="U368853" s="25"/>
    </row>
    <row r="368875" spans="21:21" x14ac:dyDescent="0.3">
      <c r="U368875" s="25"/>
    </row>
    <row r="368897" spans="21:21" x14ac:dyDescent="0.3">
      <c r="U368897" s="25"/>
    </row>
    <row r="368919" spans="21:21" x14ac:dyDescent="0.3">
      <c r="U368919" s="25"/>
    </row>
    <row r="368941" spans="21:21" x14ac:dyDescent="0.3">
      <c r="U368941" s="25"/>
    </row>
    <row r="368963" spans="21:21" x14ac:dyDescent="0.3">
      <c r="U368963" s="25"/>
    </row>
    <row r="368985" spans="21:21" x14ac:dyDescent="0.3">
      <c r="U368985" s="25"/>
    </row>
    <row r="369007" spans="21:21" x14ac:dyDescent="0.3">
      <c r="U369007" s="25"/>
    </row>
    <row r="369029" spans="21:21" x14ac:dyDescent="0.3">
      <c r="U369029" s="25"/>
    </row>
    <row r="369051" spans="21:21" x14ac:dyDescent="0.3">
      <c r="U369051" s="25"/>
    </row>
    <row r="369073" spans="21:21" x14ac:dyDescent="0.3">
      <c r="U369073" s="25"/>
    </row>
    <row r="369095" spans="21:21" x14ac:dyDescent="0.3">
      <c r="U369095" s="25"/>
    </row>
    <row r="369117" spans="21:21" x14ac:dyDescent="0.3">
      <c r="U369117" s="25"/>
    </row>
    <row r="369139" spans="21:21" x14ac:dyDescent="0.3">
      <c r="U369139" s="25"/>
    </row>
    <row r="369161" spans="21:21" x14ac:dyDescent="0.3">
      <c r="U369161" s="25"/>
    </row>
    <row r="369183" spans="21:21" x14ac:dyDescent="0.3">
      <c r="U369183" s="25"/>
    </row>
    <row r="369205" spans="21:21" x14ac:dyDescent="0.3">
      <c r="U369205" s="25"/>
    </row>
    <row r="369227" spans="21:21" x14ac:dyDescent="0.3">
      <c r="U369227" s="25"/>
    </row>
    <row r="369249" spans="21:21" x14ac:dyDescent="0.3">
      <c r="U369249" s="25"/>
    </row>
    <row r="369271" spans="21:21" x14ac:dyDescent="0.3">
      <c r="U369271" s="25"/>
    </row>
    <row r="369293" spans="21:21" x14ac:dyDescent="0.3">
      <c r="U369293" s="25"/>
    </row>
    <row r="369315" spans="21:21" x14ac:dyDescent="0.3">
      <c r="U369315" s="25"/>
    </row>
    <row r="369337" spans="21:21" x14ac:dyDescent="0.3">
      <c r="U369337" s="25"/>
    </row>
    <row r="369359" spans="21:21" x14ac:dyDescent="0.3">
      <c r="U369359" s="25"/>
    </row>
    <row r="369381" spans="21:21" x14ac:dyDescent="0.3">
      <c r="U369381" s="25"/>
    </row>
    <row r="369403" spans="21:21" x14ac:dyDescent="0.3">
      <c r="U369403" s="25"/>
    </row>
    <row r="369425" spans="21:21" x14ac:dyDescent="0.3">
      <c r="U369425" s="25"/>
    </row>
    <row r="369447" spans="21:21" x14ac:dyDescent="0.3">
      <c r="U369447" s="25"/>
    </row>
    <row r="369469" spans="21:21" x14ac:dyDescent="0.3">
      <c r="U369469" s="25"/>
    </row>
    <row r="369491" spans="21:21" x14ac:dyDescent="0.3">
      <c r="U369491" s="25"/>
    </row>
    <row r="369513" spans="21:21" x14ac:dyDescent="0.3">
      <c r="U369513" s="25"/>
    </row>
    <row r="369535" spans="21:21" x14ac:dyDescent="0.3">
      <c r="U369535" s="25"/>
    </row>
    <row r="369557" spans="21:21" x14ac:dyDescent="0.3">
      <c r="U369557" s="25"/>
    </row>
    <row r="369579" spans="21:21" x14ac:dyDescent="0.3">
      <c r="U369579" s="25"/>
    </row>
    <row r="369601" spans="21:21" x14ac:dyDescent="0.3">
      <c r="U369601" s="25"/>
    </row>
    <row r="369623" spans="21:21" x14ac:dyDescent="0.3">
      <c r="U369623" s="25"/>
    </row>
    <row r="369645" spans="21:21" x14ac:dyDescent="0.3">
      <c r="U369645" s="25"/>
    </row>
    <row r="369667" spans="21:21" x14ac:dyDescent="0.3">
      <c r="U369667" s="25"/>
    </row>
    <row r="369689" spans="21:21" x14ac:dyDescent="0.3">
      <c r="U369689" s="25"/>
    </row>
    <row r="369711" spans="21:21" x14ac:dyDescent="0.3">
      <c r="U369711" s="25"/>
    </row>
    <row r="369733" spans="21:21" x14ac:dyDescent="0.3">
      <c r="U369733" s="25"/>
    </row>
    <row r="369755" spans="21:21" x14ac:dyDescent="0.3">
      <c r="U369755" s="25"/>
    </row>
    <row r="369777" spans="21:21" x14ac:dyDescent="0.3">
      <c r="U369777" s="25"/>
    </row>
    <row r="369799" spans="21:21" x14ac:dyDescent="0.3">
      <c r="U369799" s="25"/>
    </row>
    <row r="369821" spans="21:21" x14ac:dyDescent="0.3">
      <c r="U369821" s="25"/>
    </row>
    <row r="369843" spans="21:21" x14ac:dyDescent="0.3">
      <c r="U369843" s="25"/>
    </row>
    <row r="369865" spans="21:21" x14ac:dyDescent="0.3">
      <c r="U369865" s="25"/>
    </row>
    <row r="369887" spans="21:21" x14ac:dyDescent="0.3">
      <c r="U369887" s="25"/>
    </row>
    <row r="369909" spans="21:21" x14ac:dyDescent="0.3">
      <c r="U369909" s="25"/>
    </row>
    <row r="369931" spans="21:21" x14ac:dyDescent="0.3">
      <c r="U369931" s="25"/>
    </row>
    <row r="369953" spans="21:21" x14ac:dyDescent="0.3">
      <c r="U369953" s="25"/>
    </row>
    <row r="369975" spans="21:21" x14ac:dyDescent="0.3">
      <c r="U369975" s="25"/>
    </row>
    <row r="369997" spans="21:21" x14ac:dyDescent="0.3">
      <c r="U369997" s="25"/>
    </row>
    <row r="370019" spans="21:21" x14ac:dyDescent="0.3">
      <c r="U370019" s="25"/>
    </row>
    <row r="370041" spans="21:21" x14ac:dyDescent="0.3">
      <c r="U370041" s="25"/>
    </row>
    <row r="370063" spans="21:21" x14ac:dyDescent="0.3">
      <c r="U370063" s="25"/>
    </row>
    <row r="370085" spans="21:21" x14ac:dyDescent="0.3">
      <c r="U370085" s="25"/>
    </row>
    <row r="370107" spans="21:21" x14ac:dyDescent="0.3">
      <c r="U370107" s="25"/>
    </row>
    <row r="370129" spans="21:21" x14ac:dyDescent="0.3">
      <c r="U370129" s="25"/>
    </row>
    <row r="370151" spans="21:21" x14ac:dyDescent="0.3">
      <c r="U370151" s="25"/>
    </row>
    <row r="370173" spans="21:21" x14ac:dyDescent="0.3">
      <c r="U370173" s="25"/>
    </row>
    <row r="370195" spans="21:21" x14ac:dyDescent="0.3">
      <c r="U370195" s="25"/>
    </row>
    <row r="370217" spans="21:21" x14ac:dyDescent="0.3">
      <c r="U370217" s="25"/>
    </row>
    <row r="370239" spans="21:21" x14ac:dyDescent="0.3">
      <c r="U370239" s="25"/>
    </row>
    <row r="370261" spans="21:21" x14ac:dyDescent="0.3">
      <c r="U370261" s="25"/>
    </row>
    <row r="370283" spans="21:21" x14ac:dyDescent="0.3">
      <c r="U370283" s="25"/>
    </row>
    <row r="370305" spans="21:21" x14ac:dyDescent="0.3">
      <c r="U370305" s="25"/>
    </row>
    <row r="370327" spans="21:21" x14ac:dyDescent="0.3">
      <c r="U370327" s="25"/>
    </row>
    <row r="370349" spans="21:21" x14ac:dyDescent="0.3">
      <c r="U370349" s="25"/>
    </row>
    <row r="370371" spans="21:21" x14ac:dyDescent="0.3">
      <c r="U370371" s="25"/>
    </row>
    <row r="370393" spans="21:21" x14ac:dyDescent="0.3">
      <c r="U370393" s="25"/>
    </row>
    <row r="370415" spans="21:21" x14ac:dyDescent="0.3">
      <c r="U370415" s="25"/>
    </row>
    <row r="370437" spans="21:21" x14ac:dyDescent="0.3">
      <c r="U370437" s="25"/>
    </row>
    <row r="370459" spans="21:21" x14ac:dyDescent="0.3">
      <c r="U370459" s="25"/>
    </row>
    <row r="370481" spans="21:21" x14ac:dyDescent="0.3">
      <c r="U370481" s="25"/>
    </row>
    <row r="370503" spans="21:21" x14ac:dyDescent="0.3">
      <c r="U370503" s="25"/>
    </row>
    <row r="370525" spans="21:21" x14ac:dyDescent="0.3">
      <c r="U370525" s="25"/>
    </row>
    <row r="370547" spans="21:21" x14ac:dyDescent="0.3">
      <c r="U370547" s="25"/>
    </row>
    <row r="370569" spans="21:21" x14ac:dyDescent="0.3">
      <c r="U370569" s="25"/>
    </row>
    <row r="370591" spans="21:21" x14ac:dyDescent="0.3">
      <c r="U370591" s="25"/>
    </row>
    <row r="370613" spans="21:21" x14ac:dyDescent="0.3">
      <c r="U370613" s="25"/>
    </row>
    <row r="370635" spans="21:21" x14ac:dyDescent="0.3">
      <c r="U370635" s="25"/>
    </row>
    <row r="370657" spans="21:21" x14ac:dyDescent="0.3">
      <c r="U370657" s="25"/>
    </row>
    <row r="370679" spans="21:21" x14ac:dyDescent="0.3">
      <c r="U370679" s="25"/>
    </row>
    <row r="370701" spans="21:21" x14ac:dyDescent="0.3">
      <c r="U370701" s="25"/>
    </row>
    <row r="370723" spans="21:21" x14ac:dyDescent="0.3">
      <c r="U370723" s="25"/>
    </row>
    <row r="370745" spans="21:21" x14ac:dyDescent="0.3">
      <c r="U370745" s="25"/>
    </row>
    <row r="370767" spans="21:21" x14ac:dyDescent="0.3">
      <c r="U370767" s="25"/>
    </row>
    <row r="370789" spans="21:21" x14ac:dyDescent="0.3">
      <c r="U370789" s="25"/>
    </row>
    <row r="370811" spans="21:21" x14ac:dyDescent="0.3">
      <c r="U370811" s="25"/>
    </row>
    <row r="370833" spans="21:21" x14ac:dyDescent="0.3">
      <c r="U370833" s="25"/>
    </row>
    <row r="370855" spans="21:21" x14ac:dyDescent="0.3">
      <c r="U370855" s="25"/>
    </row>
    <row r="370877" spans="21:21" x14ac:dyDescent="0.3">
      <c r="U370877" s="25"/>
    </row>
    <row r="370899" spans="21:21" x14ac:dyDescent="0.3">
      <c r="U370899" s="25"/>
    </row>
    <row r="370921" spans="21:21" x14ac:dyDescent="0.3">
      <c r="U370921" s="25"/>
    </row>
    <row r="370943" spans="21:21" x14ac:dyDescent="0.3">
      <c r="U370943" s="25"/>
    </row>
    <row r="370965" spans="21:21" x14ac:dyDescent="0.3">
      <c r="U370965" s="25"/>
    </row>
    <row r="370987" spans="21:21" x14ac:dyDescent="0.3">
      <c r="U370987" s="25"/>
    </row>
    <row r="371009" spans="21:21" x14ac:dyDescent="0.3">
      <c r="U371009" s="25"/>
    </row>
    <row r="371031" spans="21:21" x14ac:dyDescent="0.3">
      <c r="U371031" s="25"/>
    </row>
    <row r="371053" spans="21:21" x14ac:dyDescent="0.3">
      <c r="U371053" s="25"/>
    </row>
    <row r="371075" spans="21:21" x14ac:dyDescent="0.3">
      <c r="U371075" s="25"/>
    </row>
    <row r="371097" spans="21:21" x14ac:dyDescent="0.3">
      <c r="U371097" s="25"/>
    </row>
    <row r="371119" spans="21:21" x14ac:dyDescent="0.3">
      <c r="U371119" s="25"/>
    </row>
    <row r="371141" spans="21:21" x14ac:dyDescent="0.3">
      <c r="U371141" s="25"/>
    </row>
    <row r="371163" spans="21:21" x14ac:dyDescent="0.3">
      <c r="U371163" s="25"/>
    </row>
    <row r="371185" spans="21:21" x14ac:dyDescent="0.3">
      <c r="U371185" s="25"/>
    </row>
    <row r="371207" spans="21:21" x14ac:dyDescent="0.3">
      <c r="U371207" s="25"/>
    </row>
    <row r="371229" spans="21:21" x14ac:dyDescent="0.3">
      <c r="U371229" s="25"/>
    </row>
    <row r="371251" spans="21:21" x14ac:dyDescent="0.3">
      <c r="U371251" s="25"/>
    </row>
    <row r="371273" spans="21:21" x14ac:dyDescent="0.3">
      <c r="U371273" s="25"/>
    </row>
    <row r="371295" spans="21:21" x14ac:dyDescent="0.3">
      <c r="U371295" s="25"/>
    </row>
    <row r="371317" spans="21:21" x14ac:dyDescent="0.3">
      <c r="U371317" s="25"/>
    </row>
    <row r="371339" spans="21:21" x14ac:dyDescent="0.3">
      <c r="U371339" s="25"/>
    </row>
    <row r="371361" spans="21:21" x14ac:dyDescent="0.3">
      <c r="U371361" s="25"/>
    </row>
    <row r="371383" spans="21:21" x14ac:dyDescent="0.3">
      <c r="U371383" s="25"/>
    </row>
    <row r="371405" spans="21:21" x14ac:dyDescent="0.3">
      <c r="U371405" s="25"/>
    </row>
    <row r="371427" spans="21:21" x14ac:dyDescent="0.3">
      <c r="U371427" s="25"/>
    </row>
    <row r="371449" spans="21:21" x14ac:dyDescent="0.3">
      <c r="U371449" s="25"/>
    </row>
    <row r="371471" spans="21:21" x14ac:dyDescent="0.3">
      <c r="U371471" s="25"/>
    </row>
    <row r="371493" spans="21:21" x14ac:dyDescent="0.3">
      <c r="U371493" s="25"/>
    </row>
    <row r="371515" spans="21:21" x14ac:dyDescent="0.3">
      <c r="U371515" s="25"/>
    </row>
    <row r="371537" spans="21:21" x14ac:dyDescent="0.3">
      <c r="U371537" s="25"/>
    </row>
    <row r="371559" spans="21:21" x14ac:dyDescent="0.3">
      <c r="U371559" s="25"/>
    </row>
    <row r="371581" spans="21:21" x14ac:dyDescent="0.3">
      <c r="U371581" s="25"/>
    </row>
    <row r="371603" spans="21:21" x14ac:dyDescent="0.3">
      <c r="U371603" s="25"/>
    </row>
    <row r="371625" spans="21:21" x14ac:dyDescent="0.3">
      <c r="U371625" s="25"/>
    </row>
    <row r="371647" spans="21:21" x14ac:dyDescent="0.3">
      <c r="U371647" s="25"/>
    </row>
    <row r="371669" spans="21:21" x14ac:dyDescent="0.3">
      <c r="U371669" s="25"/>
    </row>
    <row r="371691" spans="21:21" x14ac:dyDescent="0.3">
      <c r="U371691" s="25"/>
    </row>
    <row r="371713" spans="21:21" x14ac:dyDescent="0.3">
      <c r="U371713" s="25"/>
    </row>
    <row r="371735" spans="21:21" x14ac:dyDescent="0.3">
      <c r="U371735" s="25"/>
    </row>
    <row r="371757" spans="21:21" x14ac:dyDescent="0.3">
      <c r="U371757" s="25"/>
    </row>
    <row r="371779" spans="21:21" x14ac:dyDescent="0.3">
      <c r="U371779" s="25"/>
    </row>
    <row r="371801" spans="21:21" x14ac:dyDescent="0.3">
      <c r="U371801" s="25"/>
    </row>
    <row r="371823" spans="21:21" x14ac:dyDescent="0.3">
      <c r="U371823" s="25"/>
    </row>
    <row r="371845" spans="21:21" x14ac:dyDescent="0.3">
      <c r="U371845" s="25"/>
    </row>
    <row r="371867" spans="21:21" x14ac:dyDescent="0.3">
      <c r="U371867" s="25"/>
    </row>
    <row r="371889" spans="21:21" x14ac:dyDescent="0.3">
      <c r="U371889" s="25"/>
    </row>
    <row r="371911" spans="21:21" x14ac:dyDescent="0.3">
      <c r="U371911" s="25"/>
    </row>
    <row r="371933" spans="21:21" x14ac:dyDescent="0.3">
      <c r="U371933" s="25"/>
    </row>
    <row r="371955" spans="21:21" x14ac:dyDescent="0.3">
      <c r="U371955" s="25"/>
    </row>
    <row r="371977" spans="21:21" x14ac:dyDescent="0.3">
      <c r="U371977" s="25"/>
    </row>
    <row r="371999" spans="21:21" x14ac:dyDescent="0.3">
      <c r="U371999" s="25"/>
    </row>
    <row r="372021" spans="21:21" x14ac:dyDescent="0.3">
      <c r="U372021" s="25"/>
    </row>
    <row r="372043" spans="21:21" x14ac:dyDescent="0.3">
      <c r="U372043" s="25"/>
    </row>
    <row r="372065" spans="21:21" x14ac:dyDescent="0.3">
      <c r="U372065" s="25"/>
    </row>
    <row r="372087" spans="21:21" x14ac:dyDescent="0.3">
      <c r="U372087" s="25"/>
    </row>
    <row r="372109" spans="21:21" x14ac:dyDescent="0.3">
      <c r="U372109" s="25"/>
    </row>
    <row r="372131" spans="21:21" x14ac:dyDescent="0.3">
      <c r="U372131" s="25"/>
    </row>
    <row r="372153" spans="21:21" x14ac:dyDescent="0.3">
      <c r="U372153" s="25"/>
    </row>
    <row r="372175" spans="21:21" x14ac:dyDescent="0.3">
      <c r="U372175" s="25"/>
    </row>
    <row r="372197" spans="21:21" x14ac:dyDescent="0.3">
      <c r="U372197" s="25"/>
    </row>
    <row r="372219" spans="21:21" x14ac:dyDescent="0.3">
      <c r="U372219" s="25"/>
    </row>
    <row r="372241" spans="21:21" x14ac:dyDescent="0.3">
      <c r="U372241" s="25"/>
    </row>
    <row r="372263" spans="21:21" x14ac:dyDescent="0.3">
      <c r="U372263" s="25"/>
    </row>
    <row r="372285" spans="21:21" x14ac:dyDescent="0.3">
      <c r="U372285" s="25"/>
    </row>
    <row r="372307" spans="21:21" x14ac:dyDescent="0.3">
      <c r="U372307" s="25"/>
    </row>
    <row r="372329" spans="21:21" x14ac:dyDescent="0.3">
      <c r="U372329" s="25"/>
    </row>
    <row r="372351" spans="21:21" x14ac:dyDescent="0.3">
      <c r="U372351" s="25"/>
    </row>
    <row r="372373" spans="21:21" x14ac:dyDescent="0.3">
      <c r="U372373" s="25"/>
    </row>
    <row r="372395" spans="21:21" x14ac:dyDescent="0.3">
      <c r="U372395" s="25"/>
    </row>
    <row r="372417" spans="21:21" x14ac:dyDescent="0.3">
      <c r="U372417" s="25"/>
    </row>
    <row r="372439" spans="21:21" x14ac:dyDescent="0.3">
      <c r="U372439" s="25"/>
    </row>
    <row r="372461" spans="21:21" x14ac:dyDescent="0.3">
      <c r="U372461" s="25"/>
    </row>
    <row r="372483" spans="21:21" x14ac:dyDescent="0.3">
      <c r="U372483" s="25"/>
    </row>
    <row r="372505" spans="21:21" x14ac:dyDescent="0.3">
      <c r="U372505" s="25"/>
    </row>
    <row r="372527" spans="21:21" x14ac:dyDescent="0.3">
      <c r="U372527" s="25"/>
    </row>
    <row r="372549" spans="21:21" x14ac:dyDescent="0.3">
      <c r="U372549" s="25"/>
    </row>
    <row r="372571" spans="21:21" x14ac:dyDescent="0.3">
      <c r="U372571" s="25"/>
    </row>
    <row r="372593" spans="21:21" x14ac:dyDescent="0.3">
      <c r="U372593" s="25"/>
    </row>
    <row r="372615" spans="21:21" x14ac:dyDescent="0.3">
      <c r="U372615" s="25"/>
    </row>
    <row r="372637" spans="21:21" x14ac:dyDescent="0.3">
      <c r="U372637" s="25"/>
    </row>
    <row r="372659" spans="21:21" x14ac:dyDescent="0.3">
      <c r="U372659" s="25"/>
    </row>
    <row r="372681" spans="21:21" x14ac:dyDescent="0.3">
      <c r="U372681" s="25"/>
    </row>
    <row r="372703" spans="21:21" x14ac:dyDescent="0.3">
      <c r="U372703" s="25"/>
    </row>
    <row r="372725" spans="21:21" x14ac:dyDescent="0.3">
      <c r="U372725" s="25"/>
    </row>
    <row r="372747" spans="21:21" x14ac:dyDescent="0.3">
      <c r="U372747" s="25"/>
    </row>
    <row r="372769" spans="21:21" x14ac:dyDescent="0.3">
      <c r="U372769" s="25"/>
    </row>
    <row r="372791" spans="21:21" x14ac:dyDescent="0.3">
      <c r="U372791" s="25"/>
    </row>
    <row r="372813" spans="21:21" x14ac:dyDescent="0.3">
      <c r="U372813" s="25"/>
    </row>
    <row r="372835" spans="21:21" x14ac:dyDescent="0.3">
      <c r="U372835" s="25"/>
    </row>
    <row r="372857" spans="21:21" x14ac:dyDescent="0.3">
      <c r="U372857" s="25"/>
    </row>
    <row r="372879" spans="21:21" x14ac:dyDescent="0.3">
      <c r="U372879" s="25"/>
    </row>
    <row r="372901" spans="21:21" x14ac:dyDescent="0.3">
      <c r="U372901" s="25"/>
    </row>
    <row r="372923" spans="21:21" x14ac:dyDescent="0.3">
      <c r="U372923" s="25"/>
    </row>
    <row r="372945" spans="21:21" x14ac:dyDescent="0.3">
      <c r="U372945" s="25"/>
    </row>
    <row r="372967" spans="21:21" x14ac:dyDescent="0.3">
      <c r="U372967" s="25"/>
    </row>
    <row r="372989" spans="21:21" x14ac:dyDescent="0.3">
      <c r="U372989" s="25"/>
    </row>
    <row r="373011" spans="21:21" x14ac:dyDescent="0.3">
      <c r="U373011" s="25"/>
    </row>
    <row r="373033" spans="21:21" x14ac:dyDescent="0.3">
      <c r="U373033" s="25"/>
    </row>
    <row r="373055" spans="21:21" x14ac:dyDescent="0.3">
      <c r="U373055" s="25"/>
    </row>
    <row r="373077" spans="21:21" x14ac:dyDescent="0.3">
      <c r="U373077" s="25"/>
    </row>
    <row r="373099" spans="21:21" x14ac:dyDescent="0.3">
      <c r="U373099" s="25"/>
    </row>
    <row r="373121" spans="21:21" x14ac:dyDescent="0.3">
      <c r="U373121" s="25"/>
    </row>
    <row r="373143" spans="21:21" x14ac:dyDescent="0.3">
      <c r="U373143" s="25"/>
    </row>
    <row r="373165" spans="21:21" x14ac:dyDescent="0.3">
      <c r="U373165" s="25"/>
    </row>
    <row r="373187" spans="21:21" x14ac:dyDescent="0.3">
      <c r="U373187" s="25"/>
    </row>
    <row r="373209" spans="21:21" x14ac:dyDescent="0.3">
      <c r="U373209" s="25"/>
    </row>
    <row r="373231" spans="21:21" x14ac:dyDescent="0.3">
      <c r="U373231" s="25"/>
    </row>
    <row r="373253" spans="21:21" x14ac:dyDescent="0.3">
      <c r="U373253" s="25"/>
    </row>
    <row r="373275" spans="21:21" x14ac:dyDescent="0.3">
      <c r="U373275" s="25"/>
    </row>
    <row r="373297" spans="21:21" x14ac:dyDescent="0.3">
      <c r="U373297" s="25"/>
    </row>
    <row r="373319" spans="21:21" x14ac:dyDescent="0.3">
      <c r="U373319" s="25"/>
    </row>
    <row r="373341" spans="21:21" x14ac:dyDescent="0.3">
      <c r="U373341" s="25"/>
    </row>
    <row r="373363" spans="21:21" x14ac:dyDescent="0.3">
      <c r="U373363" s="25"/>
    </row>
    <row r="373385" spans="21:21" x14ac:dyDescent="0.3">
      <c r="U373385" s="25"/>
    </row>
    <row r="373407" spans="21:21" x14ac:dyDescent="0.3">
      <c r="U373407" s="25"/>
    </row>
    <row r="373429" spans="21:21" x14ac:dyDescent="0.3">
      <c r="U373429" s="25"/>
    </row>
    <row r="373451" spans="21:21" x14ac:dyDescent="0.3">
      <c r="U373451" s="25"/>
    </row>
    <row r="373473" spans="21:21" x14ac:dyDescent="0.3">
      <c r="U373473" s="25"/>
    </row>
    <row r="373495" spans="21:21" x14ac:dyDescent="0.3">
      <c r="U373495" s="25"/>
    </row>
    <row r="373517" spans="21:21" x14ac:dyDescent="0.3">
      <c r="U373517" s="25"/>
    </row>
    <row r="373539" spans="21:21" x14ac:dyDescent="0.3">
      <c r="U373539" s="25"/>
    </row>
    <row r="373561" spans="21:21" x14ac:dyDescent="0.3">
      <c r="U373561" s="25"/>
    </row>
    <row r="373583" spans="21:21" x14ac:dyDescent="0.3">
      <c r="U373583" s="25"/>
    </row>
    <row r="373605" spans="21:21" x14ac:dyDescent="0.3">
      <c r="U373605" s="25"/>
    </row>
    <row r="373627" spans="21:21" x14ac:dyDescent="0.3">
      <c r="U373627" s="25"/>
    </row>
    <row r="373649" spans="21:21" x14ac:dyDescent="0.3">
      <c r="U373649" s="25"/>
    </row>
    <row r="373671" spans="21:21" x14ac:dyDescent="0.3">
      <c r="U373671" s="25"/>
    </row>
    <row r="373693" spans="21:21" x14ac:dyDescent="0.3">
      <c r="U373693" s="25"/>
    </row>
    <row r="373715" spans="21:21" x14ac:dyDescent="0.3">
      <c r="U373715" s="25"/>
    </row>
    <row r="373737" spans="21:21" x14ac:dyDescent="0.3">
      <c r="U373737" s="25"/>
    </row>
    <row r="373759" spans="21:21" x14ac:dyDescent="0.3">
      <c r="U373759" s="25"/>
    </row>
    <row r="373781" spans="21:21" x14ac:dyDescent="0.3">
      <c r="U373781" s="25"/>
    </row>
    <row r="373803" spans="21:21" x14ac:dyDescent="0.3">
      <c r="U373803" s="25"/>
    </row>
    <row r="373825" spans="21:21" x14ac:dyDescent="0.3">
      <c r="U373825" s="25"/>
    </row>
    <row r="373847" spans="21:21" x14ac:dyDescent="0.3">
      <c r="U373847" s="25"/>
    </row>
    <row r="373869" spans="21:21" x14ac:dyDescent="0.3">
      <c r="U373869" s="25"/>
    </row>
    <row r="373891" spans="21:21" x14ac:dyDescent="0.3">
      <c r="U373891" s="25"/>
    </row>
    <row r="373913" spans="21:21" x14ac:dyDescent="0.3">
      <c r="U373913" s="25"/>
    </row>
    <row r="373935" spans="21:21" x14ac:dyDescent="0.3">
      <c r="U373935" s="25"/>
    </row>
    <row r="373957" spans="21:21" x14ac:dyDescent="0.3">
      <c r="U373957" s="25"/>
    </row>
    <row r="373979" spans="21:21" x14ac:dyDescent="0.3">
      <c r="U373979" s="25"/>
    </row>
    <row r="374001" spans="21:21" x14ac:dyDescent="0.3">
      <c r="U374001" s="25"/>
    </row>
    <row r="374023" spans="21:21" x14ac:dyDescent="0.3">
      <c r="U374023" s="25"/>
    </row>
    <row r="374045" spans="21:21" x14ac:dyDescent="0.3">
      <c r="U374045" s="25"/>
    </row>
    <row r="374067" spans="21:21" x14ac:dyDescent="0.3">
      <c r="U374067" s="25"/>
    </row>
    <row r="374089" spans="21:21" x14ac:dyDescent="0.3">
      <c r="U374089" s="25"/>
    </row>
    <row r="374111" spans="21:21" x14ac:dyDescent="0.3">
      <c r="U374111" s="25"/>
    </row>
    <row r="374133" spans="21:21" x14ac:dyDescent="0.3">
      <c r="U374133" s="25"/>
    </row>
    <row r="374155" spans="21:21" x14ac:dyDescent="0.3">
      <c r="U374155" s="25"/>
    </row>
    <row r="374177" spans="21:21" x14ac:dyDescent="0.3">
      <c r="U374177" s="25"/>
    </row>
    <row r="374199" spans="21:21" x14ac:dyDescent="0.3">
      <c r="U374199" s="25"/>
    </row>
    <row r="374221" spans="21:21" x14ac:dyDescent="0.3">
      <c r="U374221" s="25"/>
    </row>
    <row r="374243" spans="21:21" x14ac:dyDescent="0.3">
      <c r="U374243" s="25"/>
    </row>
    <row r="374265" spans="21:21" x14ac:dyDescent="0.3">
      <c r="U374265" s="25"/>
    </row>
    <row r="374287" spans="21:21" x14ac:dyDescent="0.3">
      <c r="U374287" s="25"/>
    </row>
    <row r="374309" spans="21:21" x14ac:dyDescent="0.3">
      <c r="U374309" s="25"/>
    </row>
    <row r="374331" spans="21:21" x14ac:dyDescent="0.3">
      <c r="U374331" s="25"/>
    </row>
    <row r="374353" spans="21:21" x14ac:dyDescent="0.3">
      <c r="U374353" s="25"/>
    </row>
    <row r="374375" spans="21:21" x14ac:dyDescent="0.3">
      <c r="U374375" s="25"/>
    </row>
    <row r="374397" spans="21:21" x14ac:dyDescent="0.3">
      <c r="U374397" s="25"/>
    </row>
    <row r="374419" spans="21:21" x14ac:dyDescent="0.3">
      <c r="U374419" s="25"/>
    </row>
    <row r="374441" spans="21:21" x14ac:dyDescent="0.3">
      <c r="U374441" s="25"/>
    </row>
    <row r="374463" spans="21:21" x14ac:dyDescent="0.3">
      <c r="U374463" s="25"/>
    </row>
    <row r="374485" spans="21:21" x14ac:dyDescent="0.3">
      <c r="U374485" s="25"/>
    </row>
    <row r="374507" spans="21:21" x14ac:dyDescent="0.3">
      <c r="U374507" s="25"/>
    </row>
    <row r="374529" spans="21:21" x14ac:dyDescent="0.3">
      <c r="U374529" s="25"/>
    </row>
    <row r="374551" spans="21:21" x14ac:dyDescent="0.3">
      <c r="U374551" s="25"/>
    </row>
    <row r="374573" spans="21:21" x14ac:dyDescent="0.3">
      <c r="U374573" s="25"/>
    </row>
    <row r="374595" spans="21:21" x14ac:dyDescent="0.3">
      <c r="U374595" s="25"/>
    </row>
    <row r="374617" spans="21:21" x14ac:dyDescent="0.3">
      <c r="U374617" s="25"/>
    </row>
    <row r="374639" spans="21:21" x14ac:dyDescent="0.3">
      <c r="U374639" s="25"/>
    </row>
    <row r="374661" spans="21:21" x14ac:dyDescent="0.3">
      <c r="U374661" s="25"/>
    </row>
    <row r="374683" spans="21:21" x14ac:dyDescent="0.3">
      <c r="U374683" s="25"/>
    </row>
    <row r="374705" spans="21:21" x14ac:dyDescent="0.3">
      <c r="U374705" s="25"/>
    </row>
    <row r="374727" spans="21:21" x14ac:dyDescent="0.3">
      <c r="U374727" s="25"/>
    </row>
    <row r="374749" spans="21:21" x14ac:dyDescent="0.3">
      <c r="U374749" s="25"/>
    </row>
    <row r="374771" spans="21:21" x14ac:dyDescent="0.3">
      <c r="U374771" s="25"/>
    </row>
    <row r="374793" spans="21:21" x14ac:dyDescent="0.3">
      <c r="U374793" s="25"/>
    </row>
    <row r="374815" spans="21:21" x14ac:dyDescent="0.3">
      <c r="U374815" s="25"/>
    </row>
    <row r="374837" spans="21:21" x14ac:dyDescent="0.3">
      <c r="U374837" s="25"/>
    </row>
    <row r="374859" spans="21:21" x14ac:dyDescent="0.3">
      <c r="U374859" s="25"/>
    </row>
    <row r="374881" spans="21:21" x14ac:dyDescent="0.3">
      <c r="U374881" s="25"/>
    </row>
    <row r="374903" spans="21:21" x14ac:dyDescent="0.3">
      <c r="U374903" s="25"/>
    </row>
    <row r="374925" spans="21:21" x14ac:dyDescent="0.3">
      <c r="U374925" s="25"/>
    </row>
    <row r="374947" spans="21:21" x14ac:dyDescent="0.3">
      <c r="U374947" s="25"/>
    </row>
    <row r="374969" spans="21:21" x14ac:dyDescent="0.3">
      <c r="U374969" s="25"/>
    </row>
    <row r="374991" spans="21:21" x14ac:dyDescent="0.3">
      <c r="U374991" s="25"/>
    </row>
    <row r="375013" spans="21:21" x14ac:dyDescent="0.3">
      <c r="U375013" s="25"/>
    </row>
    <row r="375035" spans="21:21" x14ac:dyDescent="0.3">
      <c r="U375035" s="25"/>
    </row>
    <row r="375057" spans="21:21" x14ac:dyDescent="0.3">
      <c r="U375057" s="25"/>
    </row>
    <row r="375079" spans="21:21" x14ac:dyDescent="0.3">
      <c r="U375079" s="25"/>
    </row>
    <row r="375101" spans="21:21" x14ac:dyDescent="0.3">
      <c r="U375101" s="25"/>
    </row>
    <row r="375123" spans="21:21" x14ac:dyDescent="0.3">
      <c r="U375123" s="25"/>
    </row>
    <row r="375145" spans="21:21" x14ac:dyDescent="0.3">
      <c r="U375145" s="25"/>
    </row>
    <row r="375167" spans="21:21" x14ac:dyDescent="0.3">
      <c r="U375167" s="25"/>
    </row>
    <row r="375189" spans="21:21" x14ac:dyDescent="0.3">
      <c r="U375189" s="25"/>
    </row>
    <row r="375211" spans="21:21" x14ac:dyDescent="0.3">
      <c r="U375211" s="25"/>
    </row>
    <row r="375233" spans="21:21" x14ac:dyDescent="0.3">
      <c r="U375233" s="25"/>
    </row>
    <row r="375255" spans="21:21" x14ac:dyDescent="0.3">
      <c r="U375255" s="25"/>
    </row>
    <row r="375277" spans="21:21" x14ac:dyDescent="0.3">
      <c r="U375277" s="25"/>
    </row>
    <row r="375299" spans="21:21" x14ac:dyDescent="0.3">
      <c r="U375299" s="25"/>
    </row>
    <row r="375321" spans="21:21" x14ac:dyDescent="0.3">
      <c r="U375321" s="25"/>
    </row>
    <row r="375343" spans="21:21" x14ac:dyDescent="0.3">
      <c r="U375343" s="25"/>
    </row>
    <row r="375365" spans="21:21" x14ac:dyDescent="0.3">
      <c r="U375365" s="25"/>
    </row>
    <row r="375387" spans="21:21" x14ac:dyDescent="0.3">
      <c r="U375387" s="25"/>
    </row>
    <row r="375409" spans="21:21" x14ac:dyDescent="0.3">
      <c r="U375409" s="25"/>
    </row>
    <row r="375431" spans="21:21" x14ac:dyDescent="0.3">
      <c r="U375431" s="25"/>
    </row>
    <row r="375453" spans="21:21" x14ac:dyDescent="0.3">
      <c r="U375453" s="25"/>
    </row>
    <row r="375475" spans="21:21" x14ac:dyDescent="0.3">
      <c r="U375475" s="25"/>
    </row>
    <row r="375497" spans="21:21" x14ac:dyDescent="0.3">
      <c r="U375497" s="25"/>
    </row>
    <row r="375519" spans="21:21" x14ac:dyDescent="0.3">
      <c r="U375519" s="25"/>
    </row>
    <row r="375541" spans="21:21" x14ac:dyDescent="0.3">
      <c r="U375541" s="25"/>
    </row>
    <row r="375563" spans="21:21" x14ac:dyDescent="0.3">
      <c r="U375563" s="25"/>
    </row>
    <row r="375585" spans="21:21" x14ac:dyDescent="0.3">
      <c r="U375585" s="25"/>
    </row>
    <row r="375607" spans="21:21" x14ac:dyDescent="0.3">
      <c r="U375607" s="25"/>
    </row>
    <row r="375629" spans="21:21" x14ac:dyDescent="0.3">
      <c r="U375629" s="25"/>
    </row>
    <row r="375651" spans="21:21" x14ac:dyDescent="0.3">
      <c r="U375651" s="25"/>
    </row>
    <row r="375673" spans="21:21" x14ac:dyDescent="0.3">
      <c r="U375673" s="25"/>
    </row>
    <row r="375695" spans="21:21" x14ac:dyDescent="0.3">
      <c r="U375695" s="25"/>
    </row>
    <row r="375717" spans="21:21" x14ac:dyDescent="0.3">
      <c r="U375717" s="25"/>
    </row>
    <row r="375739" spans="21:21" x14ac:dyDescent="0.3">
      <c r="U375739" s="25"/>
    </row>
    <row r="375761" spans="21:21" x14ac:dyDescent="0.3">
      <c r="U375761" s="25"/>
    </row>
    <row r="375783" spans="21:21" x14ac:dyDescent="0.3">
      <c r="U375783" s="25"/>
    </row>
    <row r="375805" spans="21:21" x14ac:dyDescent="0.3">
      <c r="U375805" s="25"/>
    </row>
    <row r="375827" spans="21:21" x14ac:dyDescent="0.3">
      <c r="U375827" s="25"/>
    </row>
    <row r="375849" spans="21:21" x14ac:dyDescent="0.3">
      <c r="U375849" s="25"/>
    </row>
    <row r="375871" spans="21:21" x14ac:dyDescent="0.3">
      <c r="U375871" s="25"/>
    </row>
    <row r="375893" spans="21:21" x14ac:dyDescent="0.3">
      <c r="U375893" s="25"/>
    </row>
    <row r="375915" spans="21:21" x14ac:dyDescent="0.3">
      <c r="U375915" s="25"/>
    </row>
    <row r="375937" spans="21:21" x14ac:dyDescent="0.3">
      <c r="U375937" s="25"/>
    </row>
    <row r="375959" spans="21:21" x14ac:dyDescent="0.3">
      <c r="U375959" s="25"/>
    </row>
    <row r="375981" spans="21:21" x14ac:dyDescent="0.3">
      <c r="U375981" s="25"/>
    </row>
    <row r="376003" spans="21:21" x14ac:dyDescent="0.3">
      <c r="U376003" s="25"/>
    </row>
    <row r="376025" spans="21:21" x14ac:dyDescent="0.3">
      <c r="U376025" s="25"/>
    </row>
    <row r="376047" spans="21:21" x14ac:dyDescent="0.3">
      <c r="U376047" s="25"/>
    </row>
    <row r="376069" spans="21:21" x14ac:dyDescent="0.3">
      <c r="U376069" s="25"/>
    </row>
    <row r="376091" spans="21:21" x14ac:dyDescent="0.3">
      <c r="U376091" s="25"/>
    </row>
    <row r="376113" spans="21:21" x14ac:dyDescent="0.3">
      <c r="U376113" s="25"/>
    </row>
    <row r="376135" spans="21:21" x14ac:dyDescent="0.3">
      <c r="U376135" s="25"/>
    </row>
    <row r="376157" spans="21:21" x14ac:dyDescent="0.3">
      <c r="U376157" s="25"/>
    </row>
    <row r="376179" spans="21:21" x14ac:dyDescent="0.3">
      <c r="U376179" s="25"/>
    </row>
    <row r="376201" spans="21:21" x14ac:dyDescent="0.3">
      <c r="U376201" s="25"/>
    </row>
    <row r="376223" spans="21:21" x14ac:dyDescent="0.3">
      <c r="U376223" s="25"/>
    </row>
    <row r="376245" spans="21:21" x14ac:dyDescent="0.3">
      <c r="U376245" s="25"/>
    </row>
    <row r="376267" spans="21:21" x14ac:dyDescent="0.3">
      <c r="U376267" s="25"/>
    </row>
    <row r="376289" spans="21:21" x14ac:dyDescent="0.3">
      <c r="U376289" s="25"/>
    </row>
    <row r="376311" spans="21:21" x14ac:dyDescent="0.3">
      <c r="U376311" s="25"/>
    </row>
    <row r="376333" spans="21:21" x14ac:dyDescent="0.3">
      <c r="U376333" s="25"/>
    </row>
    <row r="376355" spans="21:21" x14ac:dyDescent="0.3">
      <c r="U376355" s="25"/>
    </row>
    <row r="376377" spans="21:21" x14ac:dyDescent="0.3">
      <c r="U376377" s="25"/>
    </row>
    <row r="376399" spans="21:21" x14ac:dyDescent="0.3">
      <c r="U376399" s="25"/>
    </row>
    <row r="376421" spans="21:21" x14ac:dyDescent="0.3">
      <c r="U376421" s="25"/>
    </row>
    <row r="376443" spans="21:21" x14ac:dyDescent="0.3">
      <c r="U376443" s="25"/>
    </row>
    <row r="376465" spans="21:21" x14ac:dyDescent="0.3">
      <c r="U376465" s="25"/>
    </row>
    <row r="376487" spans="21:21" x14ac:dyDescent="0.3">
      <c r="U376487" s="25"/>
    </row>
    <row r="376509" spans="21:21" x14ac:dyDescent="0.3">
      <c r="U376509" s="25"/>
    </row>
    <row r="376531" spans="21:21" x14ac:dyDescent="0.3">
      <c r="U376531" s="25"/>
    </row>
    <row r="376553" spans="21:21" x14ac:dyDescent="0.3">
      <c r="U376553" s="25"/>
    </row>
    <row r="376575" spans="21:21" x14ac:dyDescent="0.3">
      <c r="U376575" s="25"/>
    </row>
    <row r="376597" spans="21:21" x14ac:dyDescent="0.3">
      <c r="U376597" s="25"/>
    </row>
    <row r="376619" spans="21:21" x14ac:dyDescent="0.3">
      <c r="U376619" s="25"/>
    </row>
    <row r="376641" spans="21:21" x14ac:dyDescent="0.3">
      <c r="U376641" s="25"/>
    </row>
    <row r="376663" spans="21:21" x14ac:dyDescent="0.3">
      <c r="U376663" s="25"/>
    </row>
    <row r="376685" spans="21:21" x14ac:dyDescent="0.3">
      <c r="U376685" s="25"/>
    </row>
    <row r="376707" spans="21:21" x14ac:dyDescent="0.3">
      <c r="U376707" s="25"/>
    </row>
    <row r="376729" spans="21:21" x14ac:dyDescent="0.3">
      <c r="U376729" s="25"/>
    </row>
    <row r="376751" spans="21:21" x14ac:dyDescent="0.3">
      <c r="U376751" s="25"/>
    </row>
    <row r="376773" spans="21:21" x14ac:dyDescent="0.3">
      <c r="U376773" s="25"/>
    </row>
    <row r="376795" spans="21:21" x14ac:dyDescent="0.3">
      <c r="U376795" s="25"/>
    </row>
    <row r="376817" spans="21:21" x14ac:dyDescent="0.3">
      <c r="U376817" s="25"/>
    </row>
    <row r="376839" spans="21:21" x14ac:dyDescent="0.3">
      <c r="U376839" s="25"/>
    </row>
    <row r="376861" spans="21:21" x14ac:dyDescent="0.3">
      <c r="U376861" s="25"/>
    </row>
    <row r="376883" spans="21:21" x14ac:dyDescent="0.3">
      <c r="U376883" s="25"/>
    </row>
    <row r="376905" spans="21:21" x14ac:dyDescent="0.3">
      <c r="U376905" s="25"/>
    </row>
    <row r="376927" spans="21:21" x14ac:dyDescent="0.3">
      <c r="U376927" s="25"/>
    </row>
    <row r="376949" spans="21:21" x14ac:dyDescent="0.3">
      <c r="U376949" s="25"/>
    </row>
    <row r="376971" spans="21:21" x14ac:dyDescent="0.3">
      <c r="U376971" s="25"/>
    </row>
    <row r="376993" spans="21:21" x14ac:dyDescent="0.3">
      <c r="U376993" s="25"/>
    </row>
    <row r="377015" spans="21:21" x14ac:dyDescent="0.3">
      <c r="U377015" s="25"/>
    </row>
    <row r="377037" spans="21:21" x14ac:dyDescent="0.3">
      <c r="U377037" s="25"/>
    </row>
    <row r="377059" spans="21:21" x14ac:dyDescent="0.3">
      <c r="U377059" s="25"/>
    </row>
    <row r="377081" spans="21:21" x14ac:dyDescent="0.3">
      <c r="U377081" s="25"/>
    </row>
    <row r="377103" spans="21:21" x14ac:dyDescent="0.3">
      <c r="U377103" s="25"/>
    </row>
    <row r="377125" spans="21:21" x14ac:dyDescent="0.3">
      <c r="U377125" s="25"/>
    </row>
    <row r="377147" spans="21:21" x14ac:dyDescent="0.3">
      <c r="U377147" s="25"/>
    </row>
    <row r="377169" spans="21:21" x14ac:dyDescent="0.3">
      <c r="U377169" s="25"/>
    </row>
    <row r="377191" spans="21:21" x14ac:dyDescent="0.3">
      <c r="U377191" s="25"/>
    </row>
    <row r="377213" spans="21:21" x14ac:dyDescent="0.3">
      <c r="U377213" s="25"/>
    </row>
    <row r="377235" spans="21:21" x14ac:dyDescent="0.3">
      <c r="U377235" s="25"/>
    </row>
    <row r="377257" spans="21:21" x14ac:dyDescent="0.3">
      <c r="U377257" s="25"/>
    </row>
    <row r="377279" spans="21:21" x14ac:dyDescent="0.3">
      <c r="U377279" s="25"/>
    </row>
    <row r="377301" spans="21:21" x14ac:dyDescent="0.3">
      <c r="U377301" s="25"/>
    </row>
    <row r="377323" spans="21:21" x14ac:dyDescent="0.3">
      <c r="U377323" s="25"/>
    </row>
    <row r="377345" spans="21:21" x14ac:dyDescent="0.3">
      <c r="U377345" s="25"/>
    </row>
    <row r="377367" spans="21:21" x14ac:dyDescent="0.3">
      <c r="U377367" s="25"/>
    </row>
    <row r="377389" spans="21:21" x14ac:dyDescent="0.3">
      <c r="U377389" s="25"/>
    </row>
    <row r="377411" spans="21:21" x14ac:dyDescent="0.3">
      <c r="U377411" s="25"/>
    </row>
    <row r="377433" spans="21:21" x14ac:dyDescent="0.3">
      <c r="U377433" s="25"/>
    </row>
    <row r="377455" spans="21:21" x14ac:dyDescent="0.3">
      <c r="U377455" s="25"/>
    </row>
    <row r="377477" spans="21:21" x14ac:dyDescent="0.3">
      <c r="U377477" s="25"/>
    </row>
    <row r="377499" spans="21:21" x14ac:dyDescent="0.3">
      <c r="U377499" s="25"/>
    </row>
    <row r="377521" spans="21:21" x14ac:dyDescent="0.3">
      <c r="U377521" s="25"/>
    </row>
    <row r="377543" spans="21:21" x14ac:dyDescent="0.3">
      <c r="U377543" s="25"/>
    </row>
    <row r="377565" spans="21:21" x14ac:dyDescent="0.3">
      <c r="U377565" s="25"/>
    </row>
    <row r="377587" spans="21:21" x14ac:dyDescent="0.3">
      <c r="U377587" s="25"/>
    </row>
    <row r="377609" spans="21:21" x14ac:dyDescent="0.3">
      <c r="U377609" s="25"/>
    </row>
    <row r="377631" spans="21:21" x14ac:dyDescent="0.3">
      <c r="U377631" s="25"/>
    </row>
    <row r="377653" spans="21:21" x14ac:dyDescent="0.3">
      <c r="U377653" s="25"/>
    </row>
    <row r="377675" spans="21:21" x14ac:dyDescent="0.3">
      <c r="U377675" s="25"/>
    </row>
    <row r="377697" spans="21:21" x14ac:dyDescent="0.3">
      <c r="U377697" s="25"/>
    </row>
    <row r="377719" spans="21:21" x14ac:dyDescent="0.3">
      <c r="U377719" s="25"/>
    </row>
    <row r="377741" spans="21:21" x14ac:dyDescent="0.3">
      <c r="U377741" s="25"/>
    </row>
    <row r="377763" spans="21:21" x14ac:dyDescent="0.3">
      <c r="U377763" s="25"/>
    </row>
    <row r="377785" spans="21:21" x14ac:dyDescent="0.3">
      <c r="U377785" s="25"/>
    </row>
    <row r="377807" spans="21:21" x14ac:dyDescent="0.3">
      <c r="U377807" s="25"/>
    </row>
    <row r="377829" spans="21:21" x14ac:dyDescent="0.3">
      <c r="U377829" s="25"/>
    </row>
    <row r="377851" spans="21:21" x14ac:dyDescent="0.3">
      <c r="U377851" s="25"/>
    </row>
    <row r="377873" spans="21:21" x14ac:dyDescent="0.3">
      <c r="U377873" s="25"/>
    </row>
    <row r="377895" spans="21:21" x14ac:dyDescent="0.3">
      <c r="U377895" s="25"/>
    </row>
    <row r="377917" spans="21:21" x14ac:dyDescent="0.3">
      <c r="U377917" s="25"/>
    </row>
    <row r="377939" spans="21:21" x14ac:dyDescent="0.3">
      <c r="U377939" s="25"/>
    </row>
    <row r="377961" spans="21:21" x14ac:dyDescent="0.3">
      <c r="U377961" s="25"/>
    </row>
    <row r="377983" spans="21:21" x14ac:dyDescent="0.3">
      <c r="U377983" s="25"/>
    </row>
    <row r="378005" spans="21:21" x14ac:dyDescent="0.3">
      <c r="U378005" s="25"/>
    </row>
    <row r="378027" spans="21:21" x14ac:dyDescent="0.3">
      <c r="U378027" s="25"/>
    </row>
    <row r="378049" spans="21:21" x14ac:dyDescent="0.3">
      <c r="U378049" s="25"/>
    </row>
    <row r="378071" spans="21:21" x14ac:dyDescent="0.3">
      <c r="U378071" s="25"/>
    </row>
    <row r="378093" spans="21:21" x14ac:dyDescent="0.3">
      <c r="U378093" s="25"/>
    </row>
    <row r="378115" spans="21:21" x14ac:dyDescent="0.3">
      <c r="U378115" s="25"/>
    </row>
    <row r="378137" spans="21:21" x14ac:dyDescent="0.3">
      <c r="U378137" s="25"/>
    </row>
    <row r="378159" spans="21:21" x14ac:dyDescent="0.3">
      <c r="U378159" s="25"/>
    </row>
    <row r="378181" spans="21:21" x14ac:dyDescent="0.3">
      <c r="U378181" s="25"/>
    </row>
    <row r="378203" spans="21:21" x14ac:dyDescent="0.3">
      <c r="U378203" s="25"/>
    </row>
    <row r="378225" spans="21:21" x14ac:dyDescent="0.3">
      <c r="U378225" s="25"/>
    </row>
    <row r="378247" spans="21:21" x14ac:dyDescent="0.3">
      <c r="U378247" s="25"/>
    </row>
    <row r="378269" spans="21:21" x14ac:dyDescent="0.3">
      <c r="U378269" s="25"/>
    </row>
    <row r="378291" spans="21:21" x14ac:dyDescent="0.3">
      <c r="U378291" s="25"/>
    </row>
    <row r="378313" spans="21:21" x14ac:dyDescent="0.3">
      <c r="U378313" s="25"/>
    </row>
    <row r="378335" spans="21:21" x14ac:dyDescent="0.3">
      <c r="U378335" s="25"/>
    </row>
    <row r="378357" spans="21:21" x14ac:dyDescent="0.3">
      <c r="U378357" s="25"/>
    </row>
    <row r="378379" spans="21:21" x14ac:dyDescent="0.3">
      <c r="U378379" s="25"/>
    </row>
    <row r="378401" spans="21:21" x14ac:dyDescent="0.3">
      <c r="U378401" s="25"/>
    </row>
    <row r="378423" spans="21:21" x14ac:dyDescent="0.3">
      <c r="U378423" s="25"/>
    </row>
    <row r="378445" spans="21:21" x14ac:dyDescent="0.3">
      <c r="U378445" s="25"/>
    </row>
    <row r="378467" spans="21:21" x14ac:dyDescent="0.3">
      <c r="U378467" s="25"/>
    </row>
    <row r="378489" spans="21:21" x14ac:dyDescent="0.3">
      <c r="U378489" s="25"/>
    </row>
    <row r="378511" spans="21:21" x14ac:dyDescent="0.3">
      <c r="U378511" s="25"/>
    </row>
    <row r="378533" spans="21:21" x14ac:dyDescent="0.3">
      <c r="U378533" s="25"/>
    </row>
    <row r="378555" spans="21:21" x14ac:dyDescent="0.3">
      <c r="U378555" s="25"/>
    </row>
    <row r="378577" spans="21:21" x14ac:dyDescent="0.3">
      <c r="U378577" s="25"/>
    </row>
    <row r="378599" spans="21:21" x14ac:dyDescent="0.3">
      <c r="U378599" s="25"/>
    </row>
    <row r="378621" spans="21:21" x14ac:dyDescent="0.3">
      <c r="U378621" s="25"/>
    </row>
    <row r="378643" spans="21:21" x14ac:dyDescent="0.3">
      <c r="U378643" s="25"/>
    </row>
    <row r="378665" spans="21:21" x14ac:dyDescent="0.3">
      <c r="U378665" s="25"/>
    </row>
    <row r="378687" spans="21:21" x14ac:dyDescent="0.3">
      <c r="U378687" s="25"/>
    </row>
    <row r="378709" spans="21:21" x14ac:dyDescent="0.3">
      <c r="U378709" s="25"/>
    </row>
    <row r="378731" spans="21:21" x14ac:dyDescent="0.3">
      <c r="U378731" s="25"/>
    </row>
    <row r="378753" spans="21:21" x14ac:dyDescent="0.3">
      <c r="U378753" s="25"/>
    </row>
    <row r="378775" spans="21:21" x14ac:dyDescent="0.3">
      <c r="U378775" s="25"/>
    </row>
    <row r="378797" spans="21:21" x14ac:dyDescent="0.3">
      <c r="U378797" s="25"/>
    </row>
    <row r="378819" spans="21:21" x14ac:dyDescent="0.3">
      <c r="U378819" s="25"/>
    </row>
    <row r="378841" spans="21:21" x14ac:dyDescent="0.3">
      <c r="U378841" s="25"/>
    </row>
    <row r="378863" spans="21:21" x14ac:dyDescent="0.3">
      <c r="U378863" s="25"/>
    </row>
    <row r="378885" spans="21:21" x14ac:dyDescent="0.3">
      <c r="U378885" s="25"/>
    </row>
    <row r="378907" spans="21:21" x14ac:dyDescent="0.3">
      <c r="U378907" s="25"/>
    </row>
    <row r="378929" spans="21:21" x14ac:dyDescent="0.3">
      <c r="U378929" s="25"/>
    </row>
    <row r="378951" spans="21:21" x14ac:dyDescent="0.3">
      <c r="U378951" s="25"/>
    </row>
    <row r="378973" spans="21:21" x14ac:dyDescent="0.3">
      <c r="U378973" s="25"/>
    </row>
    <row r="378995" spans="21:21" x14ac:dyDescent="0.3">
      <c r="U378995" s="25"/>
    </row>
    <row r="379017" spans="21:21" x14ac:dyDescent="0.3">
      <c r="U379017" s="25"/>
    </row>
    <row r="379039" spans="21:21" x14ac:dyDescent="0.3">
      <c r="U379039" s="25"/>
    </row>
    <row r="379061" spans="21:21" x14ac:dyDescent="0.3">
      <c r="U379061" s="25"/>
    </row>
    <row r="379083" spans="21:21" x14ac:dyDescent="0.3">
      <c r="U379083" s="25"/>
    </row>
    <row r="379105" spans="21:21" x14ac:dyDescent="0.3">
      <c r="U379105" s="25"/>
    </row>
    <row r="379127" spans="21:21" x14ac:dyDescent="0.3">
      <c r="U379127" s="25"/>
    </row>
    <row r="379149" spans="21:21" x14ac:dyDescent="0.3">
      <c r="U379149" s="25"/>
    </row>
    <row r="379171" spans="21:21" x14ac:dyDescent="0.3">
      <c r="U379171" s="25"/>
    </row>
    <row r="379193" spans="21:21" x14ac:dyDescent="0.3">
      <c r="U379193" s="25"/>
    </row>
    <row r="379215" spans="21:21" x14ac:dyDescent="0.3">
      <c r="U379215" s="25"/>
    </row>
    <row r="379237" spans="21:21" x14ac:dyDescent="0.3">
      <c r="U379237" s="25"/>
    </row>
    <row r="379259" spans="21:21" x14ac:dyDescent="0.3">
      <c r="U379259" s="25"/>
    </row>
    <row r="379281" spans="21:21" x14ac:dyDescent="0.3">
      <c r="U379281" s="25"/>
    </row>
    <row r="379303" spans="21:21" x14ac:dyDescent="0.3">
      <c r="U379303" s="25"/>
    </row>
    <row r="379325" spans="21:21" x14ac:dyDescent="0.3">
      <c r="U379325" s="25"/>
    </row>
    <row r="379347" spans="21:21" x14ac:dyDescent="0.3">
      <c r="U379347" s="25"/>
    </row>
    <row r="379369" spans="21:21" x14ac:dyDescent="0.3">
      <c r="U379369" s="25"/>
    </row>
    <row r="379391" spans="21:21" x14ac:dyDescent="0.3">
      <c r="U379391" s="25"/>
    </row>
    <row r="379413" spans="21:21" x14ac:dyDescent="0.3">
      <c r="U379413" s="25"/>
    </row>
    <row r="379435" spans="21:21" x14ac:dyDescent="0.3">
      <c r="U379435" s="25"/>
    </row>
    <row r="379457" spans="21:21" x14ac:dyDescent="0.3">
      <c r="U379457" s="25"/>
    </row>
    <row r="379479" spans="21:21" x14ac:dyDescent="0.3">
      <c r="U379479" s="25"/>
    </row>
    <row r="379501" spans="21:21" x14ac:dyDescent="0.3">
      <c r="U379501" s="25"/>
    </row>
    <row r="379523" spans="21:21" x14ac:dyDescent="0.3">
      <c r="U379523" s="25"/>
    </row>
    <row r="379545" spans="21:21" x14ac:dyDescent="0.3">
      <c r="U379545" s="25"/>
    </row>
    <row r="379567" spans="21:21" x14ac:dyDescent="0.3">
      <c r="U379567" s="25"/>
    </row>
    <row r="379589" spans="21:21" x14ac:dyDescent="0.3">
      <c r="U379589" s="25"/>
    </row>
    <row r="379611" spans="21:21" x14ac:dyDescent="0.3">
      <c r="U379611" s="25"/>
    </row>
    <row r="379633" spans="21:21" x14ac:dyDescent="0.3">
      <c r="U379633" s="25"/>
    </row>
    <row r="379655" spans="21:21" x14ac:dyDescent="0.3">
      <c r="U379655" s="25"/>
    </row>
    <row r="379677" spans="21:21" x14ac:dyDescent="0.3">
      <c r="U379677" s="25"/>
    </row>
    <row r="379699" spans="21:21" x14ac:dyDescent="0.3">
      <c r="U379699" s="25"/>
    </row>
    <row r="379721" spans="21:21" x14ac:dyDescent="0.3">
      <c r="U379721" s="25"/>
    </row>
    <row r="379743" spans="21:21" x14ac:dyDescent="0.3">
      <c r="U379743" s="25"/>
    </row>
    <row r="379765" spans="21:21" x14ac:dyDescent="0.3">
      <c r="U379765" s="25"/>
    </row>
    <row r="379787" spans="21:21" x14ac:dyDescent="0.3">
      <c r="U379787" s="25"/>
    </row>
    <row r="379809" spans="21:21" x14ac:dyDescent="0.3">
      <c r="U379809" s="25"/>
    </row>
    <row r="379831" spans="21:21" x14ac:dyDescent="0.3">
      <c r="U379831" s="25"/>
    </row>
    <row r="379853" spans="21:21" x14ac:dyDescent="0.3">
      <c r="U379853" s="25"/>
    </row>
    <row r="379875" spans="21:21" x14ac:dyDescent="0.3">
      <c r="U379875" s="25"/>
    </row>
    <row r="379897" spans="21:21" x14ac:dyDescent="0.3">
      <c r="U379897" s="25"/>
    </row>
    <row r="379919" spans="21:21" x14ac:dyDescent="0.3">
      <c r="U379919" s="25"/>
    </row>
    <row r="379941" spans="21:21" x14ac:dyDescent="0.3">
      <c r="U379941" s="25"/>
    </row>
    <row r="379963" spans="21:21" x14ac:dyDescent="0.3">
      <c r="U379963" s="25"/>
    </row>
    <row r="379985" spans="21:21" x14ac:dyDescent="0.3">
      <c r="U379985" s="25"/>
    </row>
    <row r="380007" spans="21:21" x14ac:dyDescent="0.3">
      <c r="U380007" s="25"/>
    </row>
    <row r="380029" spans="21:21" x14ac:dyDescent="0.3">
      <c r="U380029" s="25"/>
    </row>
    <row r="380051" spans="21:21" x14ac:dyDescent="0.3">
      <c r="U380051" s="25"/>
    </row>
    <row r="380073" spans="21:21" x14ac:dyDescent="0.3">
      <c r="U380073" s="25"/>
    </row>
    <row r="380095" spans="21:21" x14ac:dyDescent="0.3">
      <c r="U380095" s="25"/>
    </row>
    <row r="380117" spans="21:21" x14ac:dyDescent="0.3">
      <c r="U380117" s="25"/>
    </row>
    <row r="380139" spans="21:21" x14ac:dyDescent="0.3">
      <c r="U380139" s="25"/>
    </row>
    <row r="380161" spans="21:21" x14ac:dyDescent="0.3">
      <c r="U380161" s="25"/>
    </row>
    <row r="380183" spans="21:21" x14ac:dyDescent="0.3">
      <c r="U380183" s="25"/>
    </row>
    <row r="380205" spans="21:21" x14ac:dyDescent="0.3">
      <c r="U380205" s="25"/>
    </row>
    <row r="380227" spans="21:21" x14ac:dyDescent="0.3">
      <c r="U380227" s="25"/>
    </row>
    <row r="380249" spans="21:21" x14ac:dyDescent="0.3">
      <c r="U380249" s="25"/>
    </row>
    <row r="380271" spans="21:21" x14ac:dyDescent="0.3">
      <c r="U380271" s="25"/>
    </row>
    <row r="380293" spans="21:21" x14ac:dyDescent="0.3">
      <c r="U380293" s="25"/>
    </row>
    <row r="380315" spans="21:21" x14ac:dyDescent="0.3">
      <c r="U380315" s="25"/>
    </row>
    <row r="380337" spans="21:21" x14ac:dyDescent="0.3">
      <c r="U380337" s="25"/>
    </row>
    <row r="380359" spans="21:21" x14ac:dyDescent="0.3">
      <c r="U380359" s="25"/>
    </row>
    <row r="380381" spans="21:21" x14ac:dyDescent="0.3">
      <c r="U380381" s="25"/>
    </row>
    <row r="380403" spans="21:21" x14ac:dyDescent="0.3">
      <c r="U380403" s="25"/>
    </row>
    <row r="380425" spans="21:21" x14ac:dyDescent="0.3">
      <c r="U380425" s="25"/>
    </row>
    <row r="380447" spans="21:21" x14ac:dyDescent="0.3">
      <c r="U380447" s="25"/>
    </row>
    <row r="380469" spans="21:21" x14ac:dyDescent="0.3">
      <c r="U380469" s="25"/>
    </row>
    <row r="380491" spans="21:21" x14ac:dyDescent="0.3">
      <c r="U380491" s="25"/>
    </row>
    <row r="380513" spans="21:21" x14ac:dyDescent="0.3">
      <c r="U380513" s="25"/>
    </row>
    <row r="380535" spans="21:21" x14ac:dyDescent="0.3">
      <c r="U380535" s="25"/>
    </row>
    <row r="380557" spans="21:21" x14ac:dyDescent="0.3">
      <c r="U380557" s="25"/>
    </row>
    <row r="380579" spans="21:21" x14ac:dyDescent="0.3">
      <c r="U380579" s="25"/>
    </row>
    <row r="380601" spans="21:21" x14ac:dyDescent="0.3">
      <c r="U380601" s="25"/>
    </row>
    <row r="380623" spans="21:21" x14ac:dyDescent="0.3">
      <c r="U380623" s="25"/>
    </row>
    <row r="380645" spans="21:21" x14ac:dyDescent="0.3">
      <c r="U380645" s="25"/>
    </row>
    <row r="380667" spans="21:21" x14ac:dyDescent="0.3">
      <c r="U380667" s="25"/>
    </row>
    <row r="380689" spans="21:21" x14ac:dyDescent="0.3">
      <c r="U380689" s="25"/>
    </row>
    <row r="380711" spans="21:21" x14ac:dyDescent="0.3">
      <c r="U380711" s="25"/>
    </row>
    <row r="380733" spans="21:21" x14ac:dyDescent="0.3">
      <c r="U380733" s="25"/>
    </row>
    <row r="380755" spans="21:21" x14ac:dyDescent="0.3">
      <c r="U380755" s="25"/>
    </row>
    <row r="380777" spans="21:21" x14ac:dyDescent="0.3">
      <c r="U380777" s="25"/>
    </row>
    <row r="380799" spans="21:21" x14ac:dyDescent="0.3">
      <c r="U380799" s="25"/>
    </row>
    <row r="380821" spans="21:21" x14ac:dyDescent="0.3">
      <c r="U380821" s="25"/>
    </row>
    <row r="380843" spans="21:21" x14ac:dyDescent="0.3">
      <c r="U380843" s="25"/>
    </row>
    <row r="380865" spans="21:21" x14ac:dyDescent="0.3">
      <c r="U380865" s="25"/>
    </row>
    <row r="380887" spans="21:21" x14ac:dyDescent="0.3">
      <c r="U380887" s="25"/>
    </row>
    <row r="380909" spans="21:21" x14ac:dyDescent="0.3">
      <c r="U380909" s="25"/>
    </row>
    <row r="380931" spans="21:21" x14ac:dyDescent="0.3">
      <c r="U380931" s="25"/>
    </row>
    <row r="380953" spans="21:21" x14ac:dyDescent="0.3">
      <c r="U380953" s="25"/>
    </row>
    <row r="380975" spans="21:21" x14ac:dyDescent="0.3">
      <c r="U380975" s="25"/>
    </row>
    <row r="380997" spans="21:21" x14ac:dyDescent="0.3">
      <c r="U380997" s="25"/>
    </row>
    <row r="381019" spans="21:21" x14ac:dyDescent="0.3">
      <c r="U381019" s="25"/>
    </row>
    <row r="381041" spans="21:21" x14ac:dyDescent="0.3">
      <c r="U381041" s="25"/>
    </row>
    <row r="381063" spans="21:21" x14ac:dyDescent="0.3">
      <c r="U381063" s="25"/>
    </row>
    <row r="381085" spans="21:21" x14ac:dyDescent="0.3">
      <c r="U381085" s="25"/>
    </row>
    <row r="381107" spans="21:21" x14ac:dyDescent="0.3">
      <c r="U381107" s="25"/>
    </row>
    <row r="381129" spans="21:21" x14ac:dyDescent="0.3">
      <c r="U381129" s="25"/>
    </row>
    <row r="381151" spans="21:21" x14ac:dyDescent="0.3">
      <c r="U381151" s="25"/>
    </row>
    <row r="381173" spans="21:21" x14ac:dyDescent="0.3">
      <c r="U381173" s="25"/>
    </row>
    <row r="381195" spans="21:21" x14ac:dyDescent="0.3">
      <c r="U381195" s="25"/>
    </row>
    <row r="381217" spans="21:21" x14ac:dyDescent="0.3">
      <c r="U381217" s="25"/>
    </row>
    <row r="381239" spans="21:21" x14ac:dyDescent="0.3">
      <c r="U381239" s="25"/>
    </row>
    <row r="381261" spans="21:21" x14ac:dyDescent="0.3">
      <c r="U381261" s="25"/>
    </row>
    <row r="381283" spans="21:21" x14ac:dyDescent="0.3">
      <c r="U381283" s="25"/>
    </row>
    <row r="381305" spans="21:21" x14ac:dyDescent="0.3">
      <c r="U381305" s="25"/>
    </row>
    <row r="381327" spans="21:21" x14ac:dyDescent="0.3">
      <c r="U381327" s="25"/>
    </row>
    <row r="381349" spans="21:21" x14ac:dyDescent="0.3">
      <c r="U381349" s="25"/>
    </row>
    <row r="381371" spans="21:21" x14ac:dyDescent="0.3">
      <c r="U381371" s="25"/>
    </row>
    <row r="381393" spans="21:21" x14ac:dyDescent="0.3">
      <c r="U381393" s="25"/>
    </row>
    <row r="381415" spans="21:21" x14ac:dyDescent="0.3">
      <c r="U381415" s="25"/>
    </row>
    <row r="381437" spans="21:21" x14ac:dyDescent="0.3">
      <c r="U381437" s="25"/>
    </row>
    <row r="381459" spans="21:21" x14ac:dyDescent="0.3">
      <c r="U381459" s="25"/>
    </row>
    <row r="381481" spans="21:21" x14ac:dyDescent="0.3">
      <c r="U381481" s="25"/>
    </row>
    <row r="381503" spans="21:21" x14ac:dyDescent="0.3">
      <c r="U381503" s="25"/>
    </row>
    <row r="381525" spans="21:21" x14ac:dyDescent="0.3">
      <c r="U381525" s="25"/>
    </row>
    <row r="381547" spans="21:21" x14ac:dyDescent="0.3">
      <c r="U381547" s="25"/>
    </row>
    <row r="381569" spans="21:21" x14ac:dyDescent="0.3">
      <c r="U381569" s="25"/>
    </row>
    <row r="381591" spans="21:21" x14ac:dyDescent="0.3">
      <c r="U381591" s="25"/>
    </row>
    <row r="381613" spans="21:21" x14ac:dyDescent="0.3">
      <c r="U381613" s="25"/>
    </row>
    <row r="381635" spans="21:21" x14ac:dyDescent="0.3">
      <c r="U381635" s="25"/>
    </row>
    <row r="381657" spans="21:21" x14ac:dyDescent="0.3">
      <c r="U381657" s="25"/>
    </row>
    <row r="381679" spans="21:21" x14ac:dyDescent="0.3">
      <c r="U381679" s="25"/>
    </row>
    <row r="381701" spans="21:21" x14ac:dyDescent="0.3">
      <c r="U381701" s="25"/>
    </row>
    <row r="381723" spans="21:21" x14ac:dyDescent="0.3">
      <c r="U381723" s="25"/>
    </row>
    <row r="381745" spans="21:21" x14ac:dyDescent="0.3">
      <c r="U381745" s="25"/>
    </row>
    <row r="381767" spans="21:21" x14ac:dyDescent="0.3">
      <c r="U381767" s="25"/>
    </row>
    <row r="381789" spans="21:21" x14ac:dyDescent="0.3">
      <c r="U381789" s="25"/>
    </row>
    <row r="381811" spans="21:21" x14ac:dyDescent="0.3">
      <c r="U381811" s="25"/>
    </row>
    <row r="381833" spans="21:21" x14ac:dyDescent="0.3">
      <c r="U381833" s="25"/>
    </row>
    <row r="381855" spans="21:21" x14ac:dyDescent="0.3">
      <c r="U381855" s="25"/>
    </row>
    <row r="381877" spans="21:21" x14ac:dyDescent="0.3">
      <c r="U381877" s="25"/>
    </row>
    <row r="381899" spans="21:21" x14ac:dyDescent="0.3">
      <c r="U381899" s="25"/>
    </row>
    <row r="381921" spans="21:21" x14ac:dyDescent="0.3">
      <c r="U381921" s="25"/>
    </row>
    <row r="381943" spans="21:21" x14ac:dyDescent="0.3">
      <c r="U381943" s="25"/>
    </row>
    <row r="381965" spans="21:21" x14ac:dyDescent="0.3">
      <c r="U381965" s="25"/>
    </row>
    <row r="381987" spans="21:21" x14ac:dyDescent="0.3">
      <c r="U381987" s="25"/>
    </row>
    <row r="382009" spans="21:21" x14ac:dyDescent="0.3">
      <c r="U382009" s="25"/>
    </row>
    <row r="382031" spans="21:21" x14ac:dyDescent="0.3">
      <c r="U382031" s="25"/>
    </row>
    <row r="382053" spans="21:21" x14ac:dyDescent="0.3">
      <c r="U382053" s="25"/>
    </row>
    <row r="382075" spans="21:21" x14ac:dyDescent="0.3">
      <c r="U382075" s="25"/>
    </row>
    <row r="382097" spans="21:21" x14ac:dyDescent="0.3">
      <c r="U382097" s="25"/>
    </row>
    <row r="382119" spans="21:21" x14ac:dyDescent="0.3">
      <c r="U382119" s="25"/>
    </row>
    <row r="382141" spans="21:21" x14ac:dyDescent="0.3">
      <c r="U382141" s="25"/>
    </row>
    <row r="382163" spans="21:21" x14ac:dyDescent="0.3">
      <c r="U382163" s="25"/>
    </row>
    <row r="382185" spans="21:21" x14ac:dyDescent="0.3">
      <c r="U382185" s="25"/>
    </row>
    <row r="382207" spans="21:21" x14ac:dyDescent="0.3">
      <c r="U382207" s="25"/>
    </row>
    <row r="382229" spans="21:21" x14ac:dyDescent="0.3">
      <c r="U382229" s="25"/>
    </row>
    <row r="382251" spans="21:21" x14ac:dyDescent="0.3">
      <c r="U382251" s="25"/>
    </row>
    <row r="382273" spans="21:21" x14ac:dyDescent="0.3">
      <c r="U382273" s="25"/>
    </row>
    <row r="382295" spans="21:21" x14ac:dyDescent="0.3">
      <c r="U382295" s="25"/>
    </row>
    <row r="382317" spans="21:21" x14ac:dyDescent="0.3">
      <c r="U382317" s="25"/>
    </row>
    <row r="382339" spans="21:21" x14ac:dyDescent="0.3">
      <c r="U382339" s="25"/>
    </row>
    <row r="382361" spans="21:21" x14ac:dyDescent="0.3">
      <c r="U382361" s="25"/>
    </row>
    <row r="382383" spans="21:21" x14ac:dyDescent="0.3">
      <c r="U382383" s="25"/>
    </row>
    <row r="382405" spans="21:21" x14ac:dyDescent="0.3">
      <c r="U382405" s="25"/>
    </row>
    <row r="382427" spans="21:21" x14ac:dyDescent="0.3">
      <c r="U382427" s="25"/>
    </row>
    <row r="382449" spans="21:21" x14ac:dyDescent="0.3">
      <c r="U382449" s="25"/>
    </row>
    <row r="382471" spans="21:21" x14ac:dyDescent="0.3">
      <c r="U382471" s="25"/>
    </row>
    <row r="382493" spans="21:21" x14ac:dyDescent="0.3">
      <c r="U382493" s="25"/>
    </row>
    <row r="382515" spans="21:21" x14ac:dyDescent="0.3">
      <c r="U382515" s="25"/>
    </row>
    <row r="382537" spans="21:21" x14ac:dyDescent="0.3">
      <c r="U382537" s="25"/>
    </row>
    <row r="382559" spans="21:21" x14ac:dyDescent="0.3">
      <c r="U382559" s="25"/>
    </row>
    <row r="382581" spans="21:21" x14ac:dyDescent="0.3">
      <c r="U382581" s="25"/>
    </row>
    <row r="382603" spans="21:21" x14ac:dyDescent="0.3">
      <c r="U382603" s="25"/>
    </row>
    <row r="382625" spans="21:21" x14ac:dyDescent="0.3">
      <c r="U382625" s="25"/>
    </row>
    <row r="382647" spans="21:21" x14ac:dyDescent="0.3">
      <c r="U382647" s="25"/>
    </row>
    <row r="382669" spans="21:21" x14ac:dyDescent="0.3">
      <c r="U382669" s="25"/>
    </row>
    <row r="382691" spans="21:21" x14ac:dyDescent="0.3">
      <c r="U382691" s="25"/>
    </row>
    <row r="382713" spans="21:21" x14ac:dyDescent="0.3">
      <c r="U382713" s="25"/>
    </row>
    <row r="382735" spans="21:21" x14ac:dyDescent="0.3">
      <c r="U382735" s="25"/>
    </row>
    <row r="382757" spans="21:21" x14ac:dyDescent="0.3">
      <c r="U382757" s="25"/>
    </row>
    <row r="382779" spans="21:21" x14ac:dyDescent="0.3">
      <c r="U382779" s="25"/>
    </row>
    <row r="382801" spans="21:21" x14ac:dyDescent="0.3">
      <c r="U382801" s="25"/>
    </row>
    <row r="382823" spans="21:21" x14ac:dyDescent="0.3">
      <c r="U382823" s="25"/>
    </row>
    <row r="382845" spans="21:21" x14ac:dyDescent="0.3">
      <c r="U382845" s="25"/>
    </row>
    <row r="382867" spans="21:21" x14ac:dyDescent="0.3">
      <c r="U382867" s="25"/>
    </row>
    <row r="382889" spans="21:21" x14ac:dyDescent="0.3">
      <c r="U382889" s="25"/>
    </row>
    <row r="382911" spans="21:21" x14ac:dyDescent="0.3">
      <c r="U382911" s="25"/>
    </row>
    <row r="382933" spans="21:21" x14ac:dyDescent="0.3">
      <c r="U382933" s="25"/>
    </row>
    <row r="382955" spans="21:21" x14ac:dyDescent="0.3">
      <c r="U382955" s="25"/>
    </row>
    <row r="382977" spans="21:21" x14ac:dyDescent="0.3">
      <c r="U382977" s="25"/>
    </row>
    <row r="382999" spans="21:21" x14ac:dyDescent="0.3">
      <c r="U382999" s="25"/>
    </row>
    <row r="383021" spans="21:21" x14ac:dyDescent="0.3">
      <c r="U383021" s="25"/>
    </row>
    <row r="383043" spans="21:21" x14ac:dyDescent="0.3">
      <c r="U383043" s="25"/>
    </row>
    <row r="383065" spans="21:21" x14ac:dyDescent="0.3">
      <c r="U383065" s="25"/>
    </row>
    <row r="383087" spans="21:21" x14ac:dyDescent="0.3">
      <c r="U383087" s="25"/>
    </row>
    <row r="383109" spans="21:21" x14ac:dyDescent="0.3">
      <c r="U383109" s="25"/>
    </row>
    <row r="383131" spans="21:21" x14ac:dyDescent="0.3">
      <c r="U383131" s="25"/>
    </row>
    <row r="383153" spans="21:21" x14ac:dyDescent="0.3">
      <c r="U383153" s="25"/>
    </row>
    <row r="383175" spans="21:21" x14ac:dyDescent="0.3">
      <c r="U383175" s="25"/>
    </row>
    <row r="383197" spans="21:21" x14ac:dyDescent="0.3">
      <c r="U383197" s="25"/>
    </row>
    <row r="383219" spans="21:21" x14ac:dyDescent="0.3">
      <c r="U383219" s="25"/>
    </row>
    <row r="383241" spans="21:21" x14ac:dyDescent="0.3">
      <c r="U383241" s="25"/>
    </row>
    <row r="383263" spans="21:21" x14ac:dyDescent="0.3">
      <c r="U383263" s="25"/>
    </row>
    <row r="383285" spans="21:21" x14ac:dyDescent="0.3">
      <c r="U383285" s="25"/>
    </row>
    <row r="383307" spans="21:21" x14ac:dyDescent="0.3">
      <c r="U383307" s="25"/>
    </row>
    <row r="383329" spans="21:21" x14ac:dyDescent="0.3">
      <c r="U383329" s="25"/>
    </row>
    <row r="383351" spans="21:21" x14ac:dyDescent="0.3">
      <c r="U383351" s="25"/>
    </row>
    <row r="383373" spans="21:21" x14ac:dyDescent="0.3">
      <c r="U383373" s="25"/>
    </row>
    <row r="383395" spans="21:21" x14ac:dyDescent="0.3">
      <c r="U383395" s="25"/>
    </row>
    <row r="383417" spans="21:21" x14ac:dyDescent="0.3">
      <c r="U383417" s="25"/>
    </row>
    <row r="383439" spans="21:21" x14ac:dyDescent="0.3">
      <c r="U383439" s="25"/>
    </row>
    <row r="383461" spans="21:21" x14ac:dyDescent="0.3">
      <c r="U383461" s="25"/>
    </row>
    <row r="383483" spans="21:21" x14ac:dyDescent="0.3">
      <c r="U383483" s="25"/>
    </row>
    <row r="383505" spans="21:21" x14ac:dyDescent="0.3">
      <c r="U383505" s="25"/>
    </row>
    <row r="383527" spans="21:21" x14ac:dyDescent="0.3">
      <c r="U383527" s="25"/>
    </row>
    <row r="383549" spans="21:21" x14ac:dyDescent="0.3">
      <c r="U383549" s="25"/>
    </row>
    <row r="383571" spans="21:21" x14ac:dyDescent="0.3">
      <c r="U383571" s="25"/>
    </row>
    <row r="383593" spans="21:21" x14ac:dyDescent="0.3">
      <c r="U383593" s="25"/>
    </row>
    <row r="383615" spans="21:21" x14ac:dyDescent="0.3">
      <c r="U383615" s="25"/>
    </row>
    <row r="383637" spans="21:21" x14ac:dyDescent="0.3">
      <c r="U383637" s="25"/>
    </row>
    <row r="383659" spans="21:21" x14ac:dyDescent="0.3">
      <c r="U383659" s="25"/>
    </row>
    <row r="383681" spans="21:21" x14ac:dyDescent="0.3">
      <c r="U383681" s="25"/>
    </row>
    <row r="383703" spans="21:21" x14ac:dyDescent="0.3">
      <c r="U383703" s="25"/>
    </row>
    <row r="383725" spans="21:21" x14ac:dyDescent="0.3">
      <c r="U383725" s="25"/>
    </row>
    <row r="383747" spans="21:21" x14ac:dyDescent="0.3">
      <c r="U383747" s="25"/>
    </row>
    <row r="383769" spans="21:21" x14ac:dyDescent="0.3">
      <c r="U383769" s="25"/>
    </row>
    <row r="383791" spans="21:21" x14ac:dyDescent="0.3">
      <c r="U383791" s="25"/>
    </row>
    <row r="383813" spans="21:21" x14ac:dyDescent="0.3">
      <c r="U383813" s="25"/>
    </row>
    <row r="383835" spans="21:21" x14ac:dyDescent="0.3">
      <c r="U383835" s="25"/>
    </row>
    <row r="383857" spans="21:21" x14ac:dyDescent="0.3">
      <c r="U383857" s="25"/>
    </row>
    <row r="383879" spans="21:21" x14ac:dyDescent="0.3">
      <c r="U383879" s="25"/>
    </row>
    <row r="383901" spans="21:21" x14ac:dyDescent="0.3">
      <c r="U383901" s="25"/>
    </row>
    <row r="383923" spans="21:21" x14ac:dyDescent="0.3">
      <c r="U383923" s="25"/>
    </row>
    <row r="383945" spans="21:21" x14ac:dyDescent="0.3">
      <c r="U383945" s="25"/>
    </row>
    <row r="383967" spans="21:21" x14ac:dyDescent="0.3">
      <c r="U383967" s="25"/>
    </row>
    <row r="383989" spans="21:21" x14ac:dyDescent="0.3">
      <c r="U383989" s="25"/>
    </row>
    <row r="384011" spans="21:21" x14ac:dyDescent="0.3">
      <c r="U384011" s="25"/>
    </row>
    <row r="384033" spans="21:21" x14ac:dyDescent="0.3">
      <c r="U384033" s="25"/>
    </row>
    <row r="384055" spans="21:21" x14ac:dyDescent="0.3">
      <c r="U384055" s="25"/>
    </row>
    <row r="384077" spans="21:21" x14ac:dyDescent="0.3">
      <c r="U384077" s="25"/>
    </row>
    <row r="384099" spans="21:21" x14ac:dyDescent="0.3">
      <c r="U384099" s="25"/>
    </row>
    <row r="384121" spans="21:21" x14ac:dyDescent="0.3">
      <c r="U384121" s="25"/>
    </row>
    <row r="384143" spans="21:21" x14ac:dyDescent="0.3">
      <c r="U384143" s="25"/>
    </row>
    <row r="384165" spans="21:21" x14ac:dyDescent="0.3">
      <c r="U384165" s="25"/>
    </row>
    <row r="384187" spans="21:21" x14ac:dyDescent="0.3">
      <c r="U384187" s="25"/>
    </row>
    <row r="384209" spans="21:21" x14ac:dyDescent="0.3">
      <c r="U384209" s="25"/>
    </row>
    <row r="384231" spans="21:21" x14ac:dyDescent="0.3">
      <c r="U384231" s="25"/>
    </row>
    <row r="384253" spans="21:21" x14ac:dyDescent="0.3">
      <c r="U384253" s="25"/>
    </row>
    <row r="384275" spans="21:21" x14ac:dyDescent="0.3">
      <c r="U384275" s="25"/>
    </row>
    <row r="384297" spans="21:21" x14ac:dyDescent="0.3">
      <c r="U384297" s="25"/>
    </row>
    <row r="384319" spans="21:21" x14ac:dyDescent="0.3">
      <c r="U384319" s="25"/>
    </row>
    <row r="384341" spans="21:21" x14ac:dyDescent="0.3">
      <c r="U384341" s="25"/>
    </row>
    <row r="384363" spans="21:21" x14ac:dyDescent="0.3">
      <c r="U384363" s="25"/>
    </row>
    <row r="384385" spans="21:21" x14ac:dyDescent="0.3">
      <c r="U384385" s="25"/>
    </row>
    <row r="384407" spans="21:21" x14ac:dyDescent="0.3">
      <c r="U384407" s="25"/>
    </row>
    <row r="384429" spans="21:21" x14ac:dyDescent="0.3">
      <c r="U384429" s="25"/>
    </row>
    <row r="384451" spans="21:21" x14ac:dyDescent="0.3">
      <c r="U384451" s="25"/>
    </row>
    <row r="384473" spans="21:21" x14ac:dyDescent="0.3">
      <c r="U384473" s="25"/>
    </row>
    <row r="384495" spans="21:21" x14ac:dyDescent="0.3">
      <c r="U384495" s="25"/>
    </row>
    <row r="384517" spans="21:21" x14ac:dyDescent="0.3">
      <c r="U384517" s="25"/>
    </row>
    <row r="384539" spans="21:21" x14ac:dyDescent="0.3">
      <c r="U384539" s="25"/>
    </row>
    <row r="384561" spans="21:21" x14ac:dyDescent="0.3">
      <c r="U384561" s="25"/>
    </row>
    <row r="384583" spans="21:21" x14ac:dyDescent="0.3">
      <c r="U384583" s="25"/>
    </row>
    <row r="384605" spans="21:21" x14ac:dyDescent="0.3">
      <c r="U384605" s="25"/>
    </row>
    <row r="384627" spans="21:21" x14ac:dyDescent="0.3">
      <c r="U384627" s="25"/>
    </row>
    <row r="384649" spans="21:21" x14ac:dyDescent="0.3">
      <c r="U384649" s="25"/>
    </row>
    <row r="384671" spans="21:21" x14ac:dyDescent="0.3">
      <c r="U384671" s="25"/>
    </row>
    <row r="384693" spans="21:21" x14ac:dyDescent="0.3">
      <c r="U384693" s="25"/>
    </row>
    <row r="384715" spans="21:21" x14ac:dyDescent="0.3">
      <c r="U384715" s="25"/>
    </row>
    <row r="384737" spans="21:21" x14ac:dyDescent="0.3">
      <c r="U384737" s="25"/>
    </row>
    <row r="384759" spans="21:21" x14ac:dyDescent="0.3">
      <c r="U384759" s="25"/>
    </row>
    <row r="384781" spans="21:21" x14ac:dyDescent="0.3">
      <c r="U384781" s="25"/>
    </row>
    <row r="384803" spans="21:21" x14ac:dyDescent="0.3">
      <c r="U384803" s="25"/>
    </row>
    <row r="384825" spans="21:21" x14ac:dyDescent="0.3">
      <c r="U384825" s="25"/>
    </row>
    <row r="384847" spans="21:21" x14ac:dyDescent="0.3">
      <c r="U384847" s="25"/>
    </row>
    <row r="384869" spans="21:21" x14ac:dyDescent="0.3">
      <c r="U384869" s="25"/>
    </row>
    <row r="384891" spans="21:21" x14ac:dyDescent="0.3">
      <c r="U384891" s="25"/>
    </row>
    <row r="384913" spans="21:21" x14ac:dyDescent="0.3">
      <c r="U384913" s="25"/>
    </row>
    <row r="384935" spans="21:21" x14ac:dyDescent="0.3">
      <c r="U384935" s="25"/>
    </row>
    <row r="384957" spans="21:21" x14ac:dyDescent="0.3">
      <c r="U384957" s="25"/>
    </row>
    <row r="384979" spans="21:21" x14ac:dyDescent="0.3">
      <c r="U384979" s="25"/>
    </row>
    <row r="385001" spans="21:21" x14ac:dyDescent="0.3">
      <c r="U385001" s="25"/>
    </row>
    <row r="385023" spans="21:21" x14ac:dyDescent="0.3">
      <c r="U385023" s="25"/>
    </row>
    <row r="385045" spans="21:21" x14ac:dyDescent="0.3">
      <c r="U385045" s="25"/>
    </row>
    <row r="385067" spans="21:21" x14ac:dyDescent="0.3">
      <c r="U385067" s="25"/>
    </row>
    <row r="385089" spans="21:21" x14ac:dyDescent="0.3">
      <c r="U385089" s="25"/>
    </row>
    <row r="385111" spans="21:21" x14ac:dyDescent="0.3">
      <c r="U385111" s="25"/>
    </row>
    <row r="385133" spans="21:21" x14ac:dyDescent="0.3">
      <c r="U385133" s="25"/>
    </row>
    <row r="385155" spans="21:21" x14ac:dyDescent="0.3">
      <c r="U385155" s="25"/>
    </row>
    <row r="385177" spans="21:21" x14ac:dyDescent="0.3">
      <c r="U385177" s="25"/>
    </row>
    <row r="385199" spans="21:21" x14ac:dyDescent="0.3">
      <c r="U385199" s="25"/>
    </row>
    <row r="385221" spans="21:21" x14ac:dyDescent="0.3">
      <c r="U385221" s="25"/>
    </row>
    <row r="385243" spans="21:21" x14ac:dyDescent="0.3">
      <c r="U385243" s="25"/>
    </row>
    <row r="385265" spans="21:21" x14ac:dyDescent="0.3">
      <c r="U385265" s="25"/>
    </row>
    <row r="385287" spans="21:21" x14ac:dyDescent="0.3">
      <c r="U385287" s="25"/>
    </row>
    <row r="385309" spans="21:21" x14ac:dyDescent="0.3">
      <c r="U385309" s="25"/>
    </row>
    <row r="385331" spans="21:21" x14ac:dyDescent="0.3">
      <c r="U385331" s="25"/>
    </row>
    <row r="385353" spans="21:21" x14ac:dyDescent="0.3">
      <c r="U385353" s="25"/>
    </row>
    <row r="385375" spans="21:21" x14ac:dyDescent="0.3">
      <c r="U385375" s="25"/>
    </row>
    <row r="385397" spans="21:21" x14ac:dyDescent="0.3">
      <c r="U385397" s="25"/>
    </row>
    <row r="385419" spans="21:21" x14ac:dyDescent="0.3">
      <c r="U385419" s="25"/>
    </row>
    <row r="385441" spans="21:21" x14ac:dyDescent="0.3">
      <c r="U385441" s="25"/>
    </row>
    <row r="385463" spans="21:21" x14ac:dyDescent="0.3">
      <c r="U385463" s="25"/>
    </row>
    <row r="385485" spans="21:21" x14ac:dyDescent="0.3">
      <c r="U385485" s="25"/>
    </row>
    <row r="385507" spans="21:21" x14ac:dyDescent="0.3">
      <c r="U385507" s="25"/>
    </row>
    <row r="385529" spans="21:21" x14ac:dyDescent="0.3">
      <c r="U385529" s="25"/>
    </row>
    <row r="385551" spans="21:21" x14ac:dyDescent="0.3">
      <c r="U385551" s="25"/>
    </row>
    <row r="385573" spans="21:21" x14ac:dyDescent="0.3">
      <c r="U385573" s="25"/>
    </row>
    <row r="385595" spans="21:21" x14ac:dyDescent="0.3">
      <c r="U385595" s="25"/>
    </row>
    <row r="385617" spans="21:21" x14ac:dyDescent="0.3">
      <c r="U385617" s="25"/>
    </row>
    <row r="385639" spans="21:21" x14ac:dyDescent="0.3">
      <c r="U385639" s="25"/>
    </row>
    <row r="385661" spans="21:21" x14ac:dyDescent="0.3">
      <c r="U385661" s="25"/>
    </row>
    <row r="385683" spans="21:21" x14ac:dyDescent="0.3">
      <c r="U385683" s="25"/>
    </row>
    <row r="385705" spans="21:21" x14ac:dyDescent="0.3">
      <c r="U385705" s="25"/>
    </row>
    <row r="385727" spans="21:21" x14ac:dyDescent="0.3">
      <c r="U385727" s="25"/>
    </row>
    <row r="385749" spans="21:21" x14ac:dyDescent="0.3">
      <c r="U385749" s="25"/>
    </row>
    <row r="385771" spans="21:21" x14ac:dyDescent="0.3">
      <c r="U385771" s="25"/>
    </row>
    <row r="385793" spans="21:21" x14ac:dyDescent="0.3">
      <c r="U385793" s="25"/>
    </row>
    <row r="385815" spans="21:21" x14ac:dyDescent="0.3">
      <c r="U385815" s="25"/>
    </row>
    <row r="385837" spans="21:21" x14ac:dyDescent="0.3">
      <c r="U385837" s="25"/>
    </row>
    <row r="385859" spans="21:21" x14ac:dyDescent="0.3">
      <c r="U385859" s="25"/>
    </row>
    <row r="385881" spans="21:21" x14ac:dyDescent="0.3">
      <c r="U385881" s="25"/>
    </row>
    <row r="385903" spans="21:21" x14ac:dyDescent="0.3">
      <c r="U385903" s="25"/>
    </row>
    <row r="385925" spans="21:21" x14ac:dyDescent="0.3">
      <c r="U385925" s="25"/>
    </row>
    <row r="385947" spans="21:21" x14ac:dyDescent="0.3">
      <c r="U385947" s="25"/>
    </row>
    <row r="385969" spans="21:21" x14ac:dyDescent="0.3">
      <c r="U385969" s="25"/>
    </row>
    <row r="385991" spans="21:21" x14ac:dyDescent="0.3">
      <c r="U385991" s="25"/>
    </row>
    <row r="386013" spans="21:21" x14ac:dyDescent="0.3">
      <c r="U386013" s="25"/>
    </row>
    <row r="386035" spans="21:21" x14ac:dyDescent="0.3">
      <c r="U386035" s="25"/>
    </row>
    <row r="386057" spans="21:21" x14ac:dyDescent="0.3">
      <c r="U386057" s="25"/>
    </row>
    <row r="386079" spans="21:21" x14ac:dyDescent="0.3">
      <c r="U386079" s="25"/>
    </row>
    <row r="386101" spans="21:21" x14ac:dyDescent="0.3">
      <c r="U386101" s="25"/>
    </row>
    <row r="386123" spans="21:21" x14ac:dyDescent="0.3">
      <c r="U386123" s="25"/>
    </row>
    <row r="386145" spans="21:21" x14ac:dyDescent="0.3">
      <c r="U386145" s="25"/>
    </row>
    <row r="386167" spans="21:21" x14ac:dyDescent="0.3">
      <c r="U386167" s="25"/>
    </row>
    <row r="386189" spans="21:21" x14ac:dyDescent="0.3">
      <c r="U386189" s="25"/>
    </row>
    <row r="386211" spans="21:21" x14ac:dyDescent="0.3">
      <c r="U386211" s="25"/>
    </row>
    <row r="386233" spans="21:21" x14ac:dyDescent="0.3">
      <c r="U386233" s="25"/>
    </row>
    <row r="386255" spans="21:21" x14ac:dyDescent="0.3">
      <c r="U386255" s="25"/>
    </row>
    <row r="386277" spans="21:21" x14ac:dyDescent="0.3">
      <c r="U386277" s="25"/>
    </row>
    <row r="386299" spans="21:21" x14ac:dyDescent="0.3">
      <c r="U386299" s="25"/>
    </row>
    <row r="386321" spans="21:21" x14ac:dyDescent="0.3">
      <c r="U386321" s="25"/>
    </row>
    <row r="386343" spans="21:21" x14ac:dyDescent="0.3">
      <c r="U386343" s="25"/>
    </row>
    <row r="386365" spans="21:21" x14ac:dyDescent="0.3">
      <c r="U386365" s="25"/>
    </row>
    <row r="386387" spans="21:21" x14ac:dyDescent="0.3">
      <c r="U386387" s="25"/>
    </row>
    <row r="386409" spans="21:21" x14ac:dyDescent="0.3">
      <c r="U386409" s="25"/>
    </row>
    <row r="386431" spans="21:21" x14ac:dyDescent="0.3">
      <c r="U386431" s="25"/>
    </row>
    <row r="386453" spans="21:21" x14ac:dyDescent="0.3">
      <c r="U386453" s="25"/>
    </row>
    <row r="386475" spans="21:21" x14ac:dyDescent="0.3">
      <c r="U386475" s="25"/>
    </row>
    <row r="386497" spans="21:21" x14ac:dyDescent="0.3">
      <c r="U386497" s="25"/>
    </row>
    <row r="386519" spans="21:21" x14ac:dyDescent="0.3">
      <c r="U386519" s="25"/>
    </row>
    <row r="386541" spans="21:21" x14ac:dyDescent="0.3">
      <c r="U386541" s="25"/>
    </row>
    <row r="386563" spans="21:21" x14ac:dyDescent="0.3">
      <c r="U386563" s="25"/>
    </row>
    <row r="386585" spans="21:21" x14ac:dyDescent="0.3">
      <c r="U386585" s="25"/>
    </row>
    <row r="386607" spans="21:21" x14ac:dyDescent="0.3">
      <c r="U386607" s="25"/>
    </row>
    <row r="386629" spans="21:21" x14ac:dyDescent="0.3">
      <c r="U386629" s="25"/>
    </row>
    <row r="386651" spans="21:21" x14ac:dyDescent="0.3">
      <c r="U386651" s="25"/>
    </row>
    <row r="386673" spans="21:21" x14ac:dyDescent="0.3">
      <c r="U386673" s="25"/>
    </row>
    <row r="386695" spans="21:21" x14ac:dyDescent="0.3">
      <c r="U386695" s="25"/>
    </row>
    <row r="386717" spans="21:21" x14ac:dyDescent="0.3">
      <c r="U386717" s="25"/>
    </row>
    <row r="386739" spans="21:21" x14ac:dyDescent="0.3">
      <c r="U386739" s="25"/>
    </row>
    <row r="386761" spans="21:21" x14ac:dyDescent="0.3">
      <c r="U386761" s="25"/>
    </row>
    <row r="386783" spans="21:21" x14ac:dyDescent="0.3">
      <c r="U386783" s="25"/>
    </row>
    <row r="386805" spans="21:21" x14ac:dyDescent="0.3">
      <c r="U386805" s="25"/>
    </row>
    <row r="386827" spans="21:21" x14ac:dyDescent="0.3">
      <c r="U386827" s="25"/>
    </row>
    <row r="386849" spans="21:21" x14ac:dyDescent="0.3">
      <c r="U386849" s="25"/>
    </row>
    <row r="386871" spans="21:21" x14ac:dyDescent="0.3">
      <c r="U386871" s="25"/>
    </row>
    <row r="386893" spans="21:21" x14ac:dyDescent="0.3">
      <c r="U386893" s="25"/>
    </row>
    <row r="386915" spans="21:21" x14ac:dyDescent="0.3">
      <c r="U386915" s="25"/>
    </row>
    <row r="386937" spans="21:21" x14ac:dyDescent="0.3">
      <c r="U386937" s="25"/>
    </row>
    <row r="386959" spans="21:21" x14ac:dyDescent="0.3">
      <c r="U386959" s="25"/>
    </row>
    <row r="386981" spans="21:21" x14ac:dyDescent="0.3">
      <c r="U386981" s="25"/>
    </row>
    <row r="387003" spans="21:21" x14ac:dyDescent="0.3">
      <c r="U387003" s="25"/>
    </row>
    <row r="387025" spans="21:21" x14ac:dyDescent="0.3">
      <c r="U387025" s="25"/>
    </row>
    <row r="387047" spans="21:21" x14ac:dyDescent="0.3">
      <c r="U387047" s="25"/>
    </row>
    <row r="387069" spans="21:21" x14ac:dyDescent="0.3">
      <c r="U387069" s="25"/>
    </row>
    <row r="387091" spans="21:21" x14ac:dyDescent="0.3">
      <c r="U387091" s="25"/>
    </row>
    <row r="387113" spans="21:21" x14ac:dyDescent="0.3">
      <c r="U387113" s="25"/>
    </row>
    <row r="387135" spans="21:21" x14ac:dyDescent="0.3">
      <c r="U387135" s="25"/>
    </row>
    <row r="387157" spans="21:21" x14ac:dyDescent="0.3">
      <c r="U387157" s="25"/>
    </row>
    <row r="387179" spans="21:21" x14ac:dyDescent="0.3">
      <c r="U387179" s="25"/>
    </row>
    <row r="387201" spans="21:21" x14ac:dyDescent="0.3">
      <c r="U387201" s="25"/>
    </row>
    <row r="387223" spans="21:21" x14ac:dyDescent="0.3">
      <c r="U387223" s="25"/>
    </row>
    <row r="387245" spans="21:21" x14ac:dyDescent="0.3">
      <c r="U387245" s="25"/>
    </row>
    <row r="387267" spans="21:21" x14ac:dyDescent="0.3">
      <c r="U387267" s="25"/>
    </row>
    <row r="387289" spans="21:21" x14ac:dyDescent="0.3">
      <c r="U387289" s="25"/>
    </row>
    <row r="387311" spans="21:21" x14ac:dyDescent="0.3">
      <c r="U387311" s="25"/>
    </row>
    <row r="387333" spans="21:21" x14ac:dyDescent="0.3">
      <c r="U387333" s="25"/>
    </row>
    <row r="387355" spans="21:21" x14ac:dyDescent="0.3">
      <c r="U387355" s="25"/>
    </row>
    <row r="387377" spans="21:21" x14ac:dyDescent="0.3">
      <c r="U387377" s="25"/>
    </row>
    <row r="387399" spans="21:21" x14ac:dyDescent="0.3">
      <c r="U387399" s="25"/>
    </row>
    <row r="387421" spans="21:21" x14ac:dyDescent="0.3">
      <c r="U387421" s="25"/>
    </row>
    <row r="387443" spans="21:21" x14ac:dyDescent="0.3">
      <c r="U387443" s="25"/>
    </row>
    <row r="387465" spans="21:21" x14ac:dyDescent="0.3">
      <c r="U387465" s="25"/>
    </row>
    <row r="387487" spans="21:21" x14ac:dyDescent="0.3">
      <c r="U387487" s="25"/>
    </row>
    <row r="387509" spans="21:21" x14ac:dyDescent="0.3">
      <c r="U387509" s="25"/>
    </row>
    <row r="387531" spans="21:21" x14ac:dyDescent="0.3">
      <c r="U387531" s="25"/>
    </row>
    <row r="387553" spans="21:21" x14ac:dyDescent="0.3">
      <c r="U387553" s="25"/>
    </row>
    <row r="387575" spans="21:21" x14ac:dyDescent="0.3">
      <c r="U387575" s="25"/>
    </row>
    <row r="387597" spans="21:21" x14ac:dyDescent="0.3">
      <c r="U387597" s="25"/>
    </row>
    <row r="387619" spans="21:21" x14ac:dyDescent="0.3">
      <c r="U387619" s="25"/>
    </row>
    <row r="387641" spans="21:21" x14ac:dyDescent="0.3">
      <c r="U387641" s="25"/>
    </row>
    <row r="387663" spans="21:21" x14ac:dyDescent="0.3">
      <c r="U387663" s="25"/>
    </row>
    <row r="387685" spans="21:21" x14ac:dyDescent="0.3">
      <c r="U387685" s="25"/>
    </row>
    <row r="387707" spans="21:21" x14ac:dyDescent="0.3">
      <c r="U387707" s="25"/>
    </row>
    <row r="387729" spans="21:21" x14ac:dyDescent="0.3">
      <c r="U387729" s="25"/>
    </row>
    <row r="387751" spans="21:21" x14ac:dyDescent="0.3">
      <c r="U387751" s="25"/>
    </row>
    <row r="387773" spans="21:21" x14ac:dyDescent="0.3">
      <c r="U387773" s="25"/>
    </row>
    <row r="387795" spans="21:21" x14ac:dyDescent="0.3">
      <c r="U387795" s="25"/>
    </row>
    <row r="387817" spans="21:21" x14ac:dyDescent="0.3">
      <c r="U387817" s="25"/>
    </row>
    <row r="387839" spans="21:21" x14ac:dyDescent="0.3">
      <c r="U387839" s="25"/>
    </row>
    <row r="387861" spans="21:21" x14ac:dyDescent="0.3">
      <c r="U387861" s="25"/>
    </row>
    <row r="387883" spans="21:21" x14ac:dyDescent="0.3">
      <c r="U387883" s="25"/>
    </row>
    <row r="387905" spans="21:21" x14ac:dyDescent="0.3">
      <c r="U387905" s="25"/>
    </row>
    <row r="387927" spans="21:21" x14ac:dyDescent="0.3">
      <c r="U387927" s="25"/>
    </row>
    <row r="387949" spans="21:21" x14ac:dyDescent="0.3">
      <c r="U387949" s="25"/>
    </row>
    <row r="387971" spans="21:21" x14ac:dyDescent="0.3">
      <c r="U387971" s="25"/>
    </row>
    <row r="387993" spans="21:21" x14ac:dyDescent="0.3">
      <c r="U387993" s="25"/>
    </row>
    <row r="388015" spans="21:21" x14ac:dyDescent="0.3">
      <c r="U388015" s="25"/>
    </row>
    <row r="388037" spans="21:21" x14ac:dyDescent="0.3">
      <c r="U388037" s="25"/>
    </row>
    <row r="388059" spans="21:21" x14ac:dyDescent="0.3">
      <c r="U388059" s="25"/>
    </row>
    <row r="388081" spans="21:21" x14ac:dyDescent="0.3">
      <c r="U388081" s="25"/>
    </row>
    <row r="388103" spans="21:21" x14ac:dyDescent="0.3">
      <c r="U388103" s="25"/>
    </row>
    <row r="388125" spans="21:21" x14ac:dyDescent="0.3">
      <c r="U388125" s="25"/>
    </row>
    <row r="388147" spans="21:21" x14ac:dyDescent="0.3">
      <c r="U388147" s="25"/>
    </row>
    <row r="388169" spans="21:21" x14ac:dyDescent="0.3">
      <c r="U388169" s="25"/>
    </row>
    <row r="388191" spans="21:21" x14ac:dyDescent="0.3">
      <c r="U388191" s="25"/>
    </row>
    <row r="388213" spans="21:21" x14ac:dyDescent="0.3">
      <c r="U388213" s="25"/>
    </row>
    <row r="388235" spans="21:21" x14ac:dyDescent="0.3">
      <c r="U388235" s="25"/>
    </row>
    <row r="388257" spans="21:21" x14ac:dyDescent="0.3">
      <c r="U388257" s="25"/>
    </row>
    <row r="388279" spans="21:21" x14ac:dyDescent="0.3">
      <c r="U388279" s="25"/>
    </row>
    <row r="388301" spans="21:21" x14ac:dyDescent="0.3">
      <c r="U388301" s="25"/>
    </row>
    <row r="388323" spans="21:21" x14ac:dyDescent="0.3">
      <c r="U388323" s="25"/>
    </row>
    <row r="388345" spans="21:21" x14ac:dyDescent="0.3">
      <c r="U388345" s="25"/>
    </row>
    <row r="388367" spans="21:21" x14ac:dyDescent="0.3">
      <c r="U388367" s="25"/>
    </row>
    <row r="388389" spans="21:21" x14ac:dyDescent="0.3">
      <c r="U388389" s="25"/>
    </row>
    <row r="388411" spans="21:21" x14ac:dyDescent="0.3">
      <c r="U388411" s="25"/>
    </row>
    <row r="388433" spans="21:21" x14ac:dyDescent="0.3">
      <c r="U388433" s="25"/>
    </row>
    <row r="388455" spans="21:21" x14ac:dyDescent="0.3">
      <c r="U388455" s="25"/>
    </row>
    <row r="388477" spans="21:21" x14ac:dyDescent="0.3">
      <c r="U388477" s="25"/>
    </row>
    <row r="388499" spans="21:21" x14ac:dyDescent="0.3">
      <c r="U388499" s="25"/>
    </row>
    <row r="388521" spans="21:21" x14ac:dyDescent="0.3">
      <c r="U388521" s="25"/>
    </row>
    <row r="388543" spans="21:21" x14ac:dyDescent="0.3">
      <c r="U388543" s="25"/>
    </row>
    <row r="388565" spans="21:21" x14ac:dyDescent="0.3">
      <c r="U388565" s="25"/>
    </row>
    <row r="388587" spans="21:21" x14ac:dyDescent="0.3">
      <c r="U388587" s="25"/>
    </row>
    <row r="388609" spans="21:21" x14ac:dyDescent="0.3">
      <c r="U388609" s="25"/>
    </row>
    <row r="388631" spans="21:21" x14ac:dyDescent="0.3">
      <c r="U388631" s="25"/>
    </row>
    <row r="388653" spans="21:21" x14ac:dyDescent="0.3">
      <c r="U388653" s="25"/>
    </row>
    <row r="388675" spans="21:21" x14ac:dyDescent="0.3">
      <c r="U388675" s="25"/>
    </row>
    <row r="388697" spans="21:21" x14ac:dyDescent="0.3">
      <c r="U388697" s="25"/>
    </row>
    <row r="388719" spans="21:21" x14ac:dyDescent="0.3">
      <c r="U388719" s="25"/>
    </row>
    <row r="388741" spans="21:21" x14ac:dyDescent="0.3">
      <c r="U388741" s="25"/>
    </row>
    <row r="388763" spans="21:21" x14ac:dyDescent="0.3">
      <c r="U388763" s="25"/>
    </row>
    <row r="388785" spans="21:21" x14ac:dyDescent="0.3">
      <c r="U388785" s="25"/>
    </row>
    <row r="388807" spans="21:21" x14ac:dyDescent="0.3">
      <c r="U388807" s="25"/>
    </row>
    <row r="388829" spans="21:21" x14ac:dyDescent="0.3">
      <c r="U388829" s="25"/>
    </row>
    <row r="388851" spans="21:21" x14ac:dyDescent="0.3">
      <c r="U388851" s="25"/>
    </row>
    <row r="388873" spans="21:21" x14ac:dyDescent="0.3">
      <c r="U388873" s="25"/>
    </row>
    <row r="388895" spans="21:21" x14ac:dyDescent="0.3">
      <c r="U388895" s="25"/>
    </row>
    <row r="388917" spans="21:21" x14ac:dyDescent="0.3">
      <c r="U388917" s="25"/>
    </row>
    <row r="388939" spans="21:21" x14ac:dyDescent="0.3">
      <c r="U388939" s="25"/>
    </row>
    <row r="388961" spans="21:21" x14ac:dyDescent="0.3">
      <c r="U388961" s="25"/>
    </row>
    <row r="388983" spans="21:21" x14ac:dyDescent="0.3">
      <c r="U388983" s="25"/>
    </row>
    <row r="389005" spans="21:21" x14ac:dyDescent="0.3">
      <c r="U389005" s="25"/>
    </row>
    <row r="389027" spans="21:21" x14ac:dyDescent="0.3">
      <c r="U389027" s="25"/>
    </row>
    <row r="389049" spans="21:21" x14ac:dyDescent="0.3">
      <c r="U389049" s="25"/>
    </row>
    <row r="389071" spans="21:21" x14ac:dyDescent="0.3">
      <c r="U389071" s="25"/>
    </row>
    <row r="389093" spans="21:21" x14ac:dyDescent="0.3">
      <c r="U389093" s="25"/>
    </row>
    <row r="389115" spans="21:21" x14ac:dyDescent="0.3">
      <c r="U389115" s="25"/>
    </row>
    <row r="389137" spans="21:21" x14ac:dyDescent="0.3">
      <c r="U389137" s="25"/>
    </row>
    <row r="389159" spans="21:21" x14ac:dyDescent="0.3">
      <c r="U389159" s="25"/>
    </row>
    <row r="389181" spans="21:21" x14ac:dyDescent="0.3">
      <c r="U389181" s="25"/>
    </row>
    <row r="389203" spans="21:21" x14ac:dyDescent="0.3">
      <c r="U389203" s="25"/>
    </row>
    <row r="389225" spans="21:21" x14ac:dyDescent="0.3">
      <c r="U389225" s="25"/>
    </row>
    <row r="389247" spans="21:21" x14ac:dyDescent="0.3">
      <c r="U389247" s="25"/>
    </row>
    <row r="389269" spans="21:21" x14ac:dyDescent="0.3">
      <c r="U389269" s="25"/>
    </row>
    <row r="389291" spans="21:21" x14ac:dyDescent="0.3">
      <c r="U389291" s="25"/>
    </row>
    <row r="389313" spans="21:21" x14ac:dyDescent="0.3">
      <c r="U389313" s="25"/>
    </row>
    <row r="389335" spans="21:21" x14ac:dyDescent="0.3">
      <c r="U389335" s="25"/>
    </row>
    <row r="389357" spans="21:21" x14ac:dyDescent="0.3">
      <c r="U389357" s="25"/>
    </row>
    <row r="389379" spans="21:21" x14ac:dyDescent="0.3">
      <c r="U389379" s="25"/>
    </row>
    <row r="389401" spans="21:21" x14ac:dyDescent="0.3">
      <c r="U389401" s="25"/>
    </row>
    <row r="389423" spans="21:21" x14ac:dyDescent="0.3">
      <c r="U389423" s="25"/>
    </row>
    <row r="389445" spans="21:21" x14ac:dyDescent="0.3">
      <c r="U389445" s="25"/>
    </row>
    <row r="389467" spans="21:21" x14ac:dyDescent="0.3">
      <c r="U389467" s="25"/>
    </row>
    <row r="389489" spans="21:21" x14ac:dyDescent="0.3">
      <c r="U389489" s="25"/>
    </row>
    <row r="389511" spans="21:21" x14ac:dyDescent="0.3">
      <c r="U389511" s="25"/>
    </row>
    <row r="389533" spans="21:21" x14ac:dyDescent="0.3">
      <c r="U389533" s="25"/>
    </row>
    <row r="389555" spans="21:21" x14ac:dyDescent="0.3">
      <c r="U389555" s="25"/>
    </row>
    <row r="389577" spans="21:21" x14ac:dyDescent="0.3">
      <c r="U389577" s="25"/>
    </row>
    <row r="389599" spans="21:21" x14ac:dyDescent="0.3">
      <c r="U389599" s="25"/>
    </row>
    <row r="389621" spans="21:21" x14ac:dyDescent="0.3">
      <c r="U389621" s="25"/>
    </row>
    <row r="389643" spans="21:21" x14ac:dyDescent="0.3">
      <c r="U389643" s="25"/>
    </row>
    <row r="389665" spans="21:21" x14ac:dyDescent="0.3">
      <c r="U389665" s="25"/>
    </row>
    <row r="389687" spans="21:21" x14ac:dyDescent="0.3">
      <c r="U389687" s="25"/>
    </row>
    <row r="389709" spans="21:21" x14ac:dyDescent="0.3">
      <c r="U389709" s="25"/>
    </row>
    <row r="389731" spans="21:21" x14ac:dyDescent="0.3">
      <c r="U389731" s="25"/>
    </row>
    <row r="389753" spans="21:21" x14ac:dyDescent="0.3">
      <c r="U389753" s="25"/>
    </row>
    <row r="389775" spans="21:21" x14ac:dyDescent="0.3">
      <c r="U389775" s="25"/>
    </row>
    <row r="389797" spans="21:21" x14ac:dyDescent="0.3">
      <c r="U389797" s="25"/>
    </row>
    <row r="389819" spans="21:21" x14ac:dyDescent="0.3">
      <c r="U389819" s="25"/>
    </row>
    <row r="389841" spans="21:21" x14ac:dyDescent="0.3">
      <c r="U389841" s="25"/>
    </row>
    <row r="389863" spans="21:21" x14ac:dyDescent="0.3">
      <c r="U389863" s="25"/>
    </row>
    <row r="389885" spans="21:21" x14ac:dyDescent="0.3">
      <c r="U389885" s="25"/>
    </row>
    <row r="389907" spans="21:21" x14ac:dyDescent="0.3">
      <c r="U389907" s="25"/>
    </row>
    <row r="389929" spans="21:21" x14ac:dyDescent="0.3">
      <c r="U389929" s="25"/>
    </row>
    <row r="389951" spans="21:21" x14ac:dyDescent="0.3">
      <c r="U389951" s="25"/>
    </row>
    <row r="389973" spans="21:21" x14ac:dyDescent="0.3">
      <c r="U389973" s="25"/>
    </row>
    <row r="389995" spans="21:21" x14ac:dyDescent="0.3">
      <c r="U389995" s="25"/>
    </row>
    <row r="390017" spans="21:21" x14ac:dyDescent="0.3">
      <c r="U390017" s="25"/>
    </row>
    <row r="390039" spans="21:21" x14ac:dyDescent="0.3">
      <c r="U390039" s="25"/>
    </row>
    <row r="390061" spans="21:21" x14ac:dyDescent="0.3">
      <c r="U390061" s="25"/>
    </row>
    <row r="390083" spans="21:21" x14ac:dyDescent="0.3">
      <c r="U390083" s="25"/>
    </row>
    <row r="390105" spans="21:21" x14ac:dyDescent="0.3">
      <c r="U390105" s="25"/>
    </row>
    <row r="390127" spans="21:21" x14ac:dyDescent="0.3">
      <c r="U390127" s="25"/>
    </row>
    <row r="390149" spans="21:21" x14ac:dyDescent="0.3">
      <c r="U390149" s="25"/>
    </row>
    <row r="390171" spans="21:21" x14ac:dyDescent="0.3">
      <c r="U390171" s="25"/>
    </row>
    <row r="390193" spans="21:21" x14ac:dyDescent="0.3">
      <c r="U390193" s="25"/>
    </row>
    <row r="390215" spans="21:21" x14ac:dyDescent="0.3">
      <c r="U390215" s="25"/>
    </row>
    <row r="390237" spans="21:21" x14ac:dyDescent="0.3">
      <c r="U390237" s="25"/>
    </row>
    <row r="390259" spans="21:21" x14ac:dyDescent="0.3">
      <c r="U390259" s="25"/>
    </row>
    <row r="390281" spans="21:21" x14ac:dyDescent="0.3">
      <c r="U390281" s="25"/>
    </row>
    <row r="390303" spans="21:21" x14ac:dyDescent="0.3">
      <c r="U390303" s="25"/>
    </row>
    <row r="390325" spans="21:21" x14ac:dyDescent="0.3">
      <c r="U390325" s="25"/>
    </row>
    <row r="390347" spans="21:21" x14ac:dyDescent="0.3">
      <c r="U390347" s="25"/>
    </row>
    <row r="390369" spans="21:21" x14ac:dyDescent="0.3">
      <c r="U390369" s="25"/>
    </row>
    <row r="390391" spans="21:21" x14ac:dyDescent="0.3">
      <c r="U390391" s="25"/>
    </row>
    <row r="390413" spans="21:21" x14ac:dyDescent="0.3">
      <c r="U390413" s="25"/>
    </row>
    <row r="390435" spans="21:21" x14ac:dyDescent="0.3">
      <c r="U390435" s="25"/>
    </row>
    <row r="390457" spans="21:21" x14ac:dyDescent="0.3">
      <c r="U390457" s="25"/>
    </row>
    <row r="390479" spans="21:21" x14ac:dyDescent="0.3">
      <c r="U390479" s="25"/>
    </row>
    <row r="390501" spans="21:21" x14ac:dyDescent="0.3">
      <c r="U390501" s="25"/>
    </row>
    <row r="390523" spans="21:21" x14ac:dyDescent="0.3">
      <c r="U390523" s="25"/>
    </row>
    <row r="390545" spans="21:21" x14ac:dyDescent="0.3">
      <c r="U390545" s="25"/>
    </row>
    <row r="390567" spans="21:21" x14ac:dyDescent="0.3">
      <c r="U390567" s="25"/>
    </row>
    <row r="390589" spans="21:21" x14ac:dyDescent="0.3">
      <c r="U390589" s="25"/>
    </row>
    <row r="390611" spans="21:21" x14ac:dyDescent="0.3">
      <c r="U390611" s="25"/>
    </row>
    <row r="390633" spans="21:21" x14ac:dyDescent="0.3">
      <c r="U390633" s="25"/>
    </row>
    <row r="390655" spans="21:21" x14ac:dyDescent="0.3">
      <c r="U390655" s="25"/>
    </row>
    <row r="390677" spans="21:21" x14ac:dyDescent="0.3">
      <c r="U390677" s="25"/>
    </row>
    <row r="390699" spans="21:21" x14ac:dyDescent="0.3">
      <c r="U390699" s="25"/>
    </row>
    <row r="390721" spans="21:21" x14ac:dyDescent="0.3">
      <c r="U390721" s="25"/>
    </row>
    <row r="390743" spans="21:21" x14ac:dyDescent="0.3">
      <c r="U390743" s="25"/>
    </row>
    <row r="390765" spans="21:21" x14ac:dyDescent="0.3">
      <c r="U390765" s="25"/>
    </row>
    <row r="390787" spans="21:21" x14ac:dyDescent="0.3">
      <c r="U390787" s="25"/>
    </row>
    <row r="390809" spans="21:21" x14ac:dyDescent="0.3">
      <c r="U390809" s="25"/>
    </row>
    <row r="390831" spans="21:21" x14ac:dyDescent="0.3">
      <c r="U390831" s="25"/>
    </row>
    <row r="390853" spans="21:21" x14ac:dyDescent="0.3">
      <c r="U390853" s="25"/>
    </row>
    <row r="390875" spans="21:21" x14ac:dyDescent="0.3">
      <c r="U390875" s="25"/>
    </row>
    <row r="390897" spans="21:21" x14ac:dyDescent="0.3">
      <c r="U390897" s="25"/>
    </row>
    <row r="390919" spans="21:21" x14ac:dyDescent="0.3">
      <c r="U390919" s="25"/>
    </row>
    <row r="390941" spans="21:21" x14ac:dyDescent="0.3">
      <c r="U390941" s="25"/>
    </row>
    <row r="390963" spans="21:21" x14ac:dyDescent="0.3">
      <c r="U390963" s="25"/>
    </row>
    <row r="390985" spans="21:21" x14ac:dyDescent="0.3">
      <c r="U390985" s="25"/>
    </row>
    <row r="391007" spans="21:21" x14ac:dyDescent="0.3">
      <c r="U391007" s="25"/>
    </row>
    <row r="391029" spans="21:21" x14ac:dyDescent="0.3">
      <c r="U391029" s="25"/>
    </row>
    <row r="391051" spans="21:21" x14ac:dyDescent="0.3">
      <c r="U391051" s="25"/>
    </row>
    <row r="391073" spans="21:21" x14ac:dyDescent="0.3">
      <c r="U391073" s="25"/>
    </row>
    <row r="391095" spans="21:21" x14ac:dyDescent="0.3">
      <c r="U391095" s="25"/>
    </row>
    <row r="391117" spans="21:21" x14ac:dyDescent="0.3">
      <c r="U391117" s="25"/>
    </row>
    <row r="391139" spans="21:21" x14ac:dyDescent="0.3">
      <c r="U391139" s="25"/>
    </row>
    <row r="391161" spans="21:21" x14ac:dyDescent="0.3">
      <c r="U391161" s="25"/>
    </row>
    <row r="391183" spans="21:21" x14ac:dyDescent="0.3">
      <c r="U391183" s="25"/>
    </row>
    <row r="391205" spans="21:21" x14ac:dyDescent="0.3">
      <c r="U391205" s="25"/>
    </row>
    <row r="391227" spans="21:21" x14ac:dyDescent="0.3">
      <c r="U391227" s="25"/>
    </row>
    <row r="391249" spans="21:21" x14ac:dyDescent="0.3">
      <c r="U391249" s="25"/>
    </row>
    <row r="391271" spans="21:21" x14ac:dyDescent="0.3">
      <c r="U391271" s="25"/>
    </row>
    <row r="391293" spans="21:21" x14ac:dyDescent="0.3">
      <c r="U391293" s="25"/>
    </row>
    <row r="391315" spans="21:21" x14ac:dyDescent="0.3">
      <c r="U391315" s="25"/>
    </row>
    <row r="391337" spans="21:21" x14ac:dyDescent="0.3">
      <c r="U391337" s="25"/>
    </row>
    <row r="391359" spans="21:21" x14ac:dyDescent="0.3">
      <c r="U391359" s="25"/>
    </row>
    <row r="391381" spans="21:21" x14ac:dyDescent="0.3">
      <c r="U391381" s="25"/>
    </row>
    <row r="391403" spans="21:21" x14ac:dyDescent="0.3">
      <c r="U391403" s="25"/>
    </row>
    <row r="391425" spans="21:21" x14ac:dyDescent="0.3">
      <c r="U391425" s="25"/>
    </row>
    <row r="391447" spans="21:21" x14ac:dyDescent="0.3">
      <c r="U391447" s="25"/>
    </row>
    <row r="391469" spans="21:21" x14ac:dyDescent="0.3">
      <c r="U391469" s="25"/>
    </row>
    <row r="391491" spans="21:21" x14ac:dyDescent="0.3">
      <c r="U391491" s="25"/>
    </row>
    <row r="391513" spans="21:21" x14ac:dyDescent="0.3">
      <c r="U391513" s="25"/>
    </row>
    <row r="391535" spans="21:21" x14ac:dyDescent="0.3">
      <c r="U391535" s="25"/>
    </row>
    <row r="391557" spans="21:21" x14ac:dyDescent="0.3">
      <c r="U391557" s="25"/>
    </row>
    <row r="391579" spans="21:21" x14ac:dyDescent="0.3">
      <c r="U391579" s="25"/>
    </row>
    <row r="391601" spans="21:21" x14ac:dyDescent="0.3">
      <c r="U391601" s="25"/>
    </row>
    <row r="391623" spans="21:21" x14ac:dyDescent="0.3">
      <c r="U391623" s="25"/>
    </row>
    <row r="391645" spans="21:21" x14ac:dyDescent="0.3">
      <c r="U391645" s="25"/>
    </row>
    <row r="391667" spans="21:21" x14ac:dyDescent="0.3">
      <c r="U391667" s="25"/>
    </row>
    <row r="391689" spans="21:21" x14ac:dyDescent="0.3">
      <c r="U391689" s="25"/>
    </row>
    <row r="391711" spans="21:21" x14ac:dyDescent="0.3">
      <c r="U391711" s="25"/>
    </row>
    <row r="391733" spans="21:21" x14ac:dyDescent="0.3">
      <c r="U391733" s="25"/>
    </row>
    <row r="391755" spans="21:21" x14ac:dyDescent="0.3">
      <c r="U391755" s="25"/>
    </row>
    <row r="391777" spans="21:21" x14ac:dyDescent="0.3">
      <c r="U391777" s="25"/>
    </row>
    <row r="391799" spans="21:21" x14ac:dyDescent="0.3">
      <c r="U391799" s="25"/>
    </row>
    <row r="391821" spans="21:21" x14ac:dyDescent="0.3">
      <c r="U391821" s="25"/>
    </row>
    <row r="391843" spans="21:21" x14ac:dyDescent="0.3">
      <c r="U391843" s="25"/>
    </row>
    <row r="391865" spans="21:21" x14ac:dyDescent="0.3">
      <c r="U391865" s="25"/>
    </row>
    <row r="391887" spans="21:21" x14ac:dyDescent="0.3">
      <c r="U391887" s="25"/>
    </row>
    <row r="391909" spans="21:21" x14ac:dyDescent="0.3">
      <c r="U391909" s="25"/>
    </row>
    <row r="391931" spans="21:21" x14ac:dyDescent="0.3">
      <c r="U391931" s="25"/>
    </row>
    <row r="391953" spans="21:21" x14ac:dyDescent="0.3">
      <c r="U391953" s="25"/>
    </row>
    <row r="391975" spans="21:21" x14ac:dyDescent="0.3">
      <c r="U391975" s="25"/>
    </row>
    <row r="391997" spans="21:21" x14ac:dyDescent="0.3">
      <c r="U391997" s="25"/>
    </row>
    <row r="392019" spans="21:21" x14ac:dyDescent="0.3">
      <c r="U392019" s="25"/>
    </row>
    <row r="392041" spans="21:21" x14ac:dyDescent="0.3">
      <c r="U392041" s="25"/>
    </row>
    <row r="392063" spans="21:21" x14ac:dyDescent="0.3">
      <c r="U392063" s="25"/>
    </row>
    <row r="392085" spans="21:21" x14ac:dyDescent="0.3">
      <c r="U392085" s="25"/>
    </row>
    <row r="392107" spans="21:21" x14ac:dyDescent="0.3">
      <c r="U392107" s="25"/>
    </row>
    <row r="392129" spans="21:21" x14ac:dyDescent="0.3">
      <c r="U392129" s="25"/>
    </row>
    <row r="392151" spans="21:21" x14ac:dyDescent="0.3">
      <c r="U392151" s="25"/>
    </row>
    <row r="392173" spans="21:21" x14ac:dyDescent="0.3">
      <c r="U392173" s="25"/>
    </row>
    <row r="392195" spans="21:21" x14ac:dyDescent="0.3">
      <c r="U392195" s="25"/>
    </row>
    <row r="392217" spans="21:21" x14ac:dyDescent="0.3">
      <c r="U392217" s="25"/>
    </row>
    <row r="392239" spans="21:21" x14ac:dyDescent="0.3">
      <c r="U392239" s="25"/>
    </row>
    <row r="392261" spans="21:21" x14ac:dyDescent="0.3">
      <c r="U392261" s="25"/>
    </row>
    <row r="392283" spans="21:21" x14ac:dyDescent="0.3">
      <c r="U392283" s="25"/>
    </row>
    <row r="392305" spans="21:21" x14ac:dyDescent="0.3">
      <c r="U392305" s="25"/>
    </row>
    <row r="392327" spans="21:21" x14ac:dyDescent="0.3">
      <c r="U392327" s="25"/>
    </row>
    <row r="392349" spans="21:21" x14ac:dyDescent="0.3">
      <c r="U392349" s="25"/>
    </row>
    <row r="392371" spans="21:21" x14ac:dyDescent="0.3">
      <c r="U392371" s="25"/>
    </row>
    <row r="392393" spans="21:21" x14ac:dyDescent="0.3">
      <c r="U392393" s="25"/>
    </row>
    <row r="392415" spans="21:21" x14ac:dyDescent="0.3">
      <c r="U392415" s="25"/>
    </row>
    <row r="392437" spans="21:21" x14ac:dyDescent="0.3">
      <c r="U392437" s="25"/>
    </row>
    <row r="392459" spans="21:21" x14ac:dyDescent="0.3">
      <c r="U392459" s="25"/>
    </row>
    <row r="392481" spans="21:21" x14ac:dyDescent="0.3">
      <c r="U392481" s="25"/>
    </row>
    <row r="392503" spans="21:21" x14ac:dyDescent="0.3">
      <c r="U392503" s="25"/>
    </row>
    <row r="392525" spans="21:21" x14ac:dyDescent="0.3">
      <c r="U392525" s="25"/>
    </row>
    <row r="392547" spans="21:21" x14ac:dyDescent="0.3">
      <c r="U392547" s="25"/>
    </row>
    <row r="392569" spans="21:21" x14ac:dyDescent="0.3">
      <c r="U392569" s="25"/>
    </row>
    <row r="392591" spans="21:21" x14ac:dyDescent="0.3">
      <c r="U392591" s="25"/>
    </row>
    <row r="392613" spans="21:21" x14ac:dyDescent="0.3">
      <c r="U392613" s="25"/>
    </row>
    <row r="392635" spans="21:21" x14ac:dyDescent="0.3">
      <c r="U392635" s="25"/>
    </row>
    <row r="392657" spans="21:21" x14ac:dyDescent="0.3">
      <c r="U392657" s="25"/>
    </row>
    <row r="392679" spans="21:21" x14ac:dyDescent="0.3">
      <c r="U392679" s="25"/>
    </row>
    <row r="392701" spans="21:21" x14ac:dyDescent="0.3">
      <c r="U392701" s="25"/>
    </row>
    <row r="392723" spans="21:21" x14ac:dyDescent="0.3">
      <c r="U392723" s="25"/>
    </row>
    <row r="392745" spans="21:21" x14ac:dyDescent="0.3">
      <c r="U392745" s="25"/>
    </row>
    <row r="392767" spans="21:21" x14ac:dyDescent="0.3">
      <c r="U392767" s="25"/>
    </row>
    <row r="392789" spans="21:21" x14ac:dyDescent="0.3">
      <c r="U392789" s="25"/>
    </row>
    <row r="392811" spans="21:21" x14ac:dyDescent="0.3">
      <c r="U392811" s="25"/>
    </row>
    <row r="392833" spans="21:21" x14ac:dyDescent="0.3">
      <c r="U392833" s="25"/>
    </row>
    <row r="392855" spans="21:21" x14ac:dyDescent="0.3">
      <c r="U392855" s="25"/>
    </row>
    <row r="392877" spans="21:21" x14ac:dyDescent="0.3">
      <c r="U392877" s="25"/>
    </row>
    <row r="392899" spans="21:21" x14ac:dyDescent="0.3">
      <c r="U392899" s="25"/>
    </row>
    <row r="392921" spans="21:21" x14ac:dyDescent="0.3">
      <c r="U392921" s="25"/>
    </row>
    <row r="392943" spans="21:21" x14ac:dyDescent="0.3">
      <c r="U392943" s="25"/>
    </row>
    <row r="392965" spans="21:21" x14ac:dyDescent="0.3">
      <c r="U392965" s="25"/>
    </row>
    <row r="392987" spans="21:21" x14ac:dyDescent="0.3">
      <c r="U392987" s="25"/>
    </row>
    <row r="393009" spans="21:21" x14ac:dyDescent="0.3">
      <c r="U393009" s="25"/>
    </row>
    <row r="393031" spans="21:21" x14ac:dyDescent="0.3">
      <c r="U393031" s="25"/>
    </row>
    <row r="393053" spans="21:21" x14ac:dyDescent="0.3">
      <c r="U393053" s="25"/>
    </row>
    <row r="393075" spans="21:21" x14ac:dyDescent="0.3">
      <c r="U393075" s="25"/>
    </row>
    <row r="393097" spans="21:21" x14ac:dyDescent="0.3">
      <c r="U393097" s="25"/>
    </row>
    <row r="393119" spans="21:21" x14ac:dyDescent="0.3">
      <c r="U393119" s="25"/>
    </row>
    <row r="393141" spans="21:21" x14ac:dyDescent="0.3">
      <c r="U393141" s="25"/>
    </row>
    <row r="393163" spans="21:21" x14ac:dyDescent="0.3">
      <c r="U393163" s="25"/>
    </row>
    <row r="393185" spans="21:21" x14ac:dyDescent="0.3">
      <c r="U393185" s="25"/>
    </row>
    <row r="393207" spans="21:21" x14ac:dyDescent="0.3">
      <c r="U393207" s="25"/>
    </row>
    <row r="393229" spans="21:21" x14ac:dyDescent="0.3">
      <c r="U393229" s="25"/>
    </row>
    <row r="393251" spans="21:21" x14ac:dyDescent="0.3">
      <c r="U393251" s="25"/>
    </row>
    <row r="393273" spans="21:21" x14ac:dyDescent="0.3">
      <c r="U393273" s="25"/>
    </row>
    <row r="393295" spans="21:21" x14ac:dyDescent="0.3">
      <c r="U393295" s="25"/>
    </row>
    <row r="393317" spans="21:21" x14ac:dyDescent="0.3">
      <c r="U393317" s="25"/>
    </row>
    <row r="393339" spans="21:21" x14ac:dyDescent="0.3">
      <c r="U393339" s="25"/>
    </row>
    <row r="393361" spans="21:21" x14ac:dyDescent="0.3">
      <c r="U393361" s="25"/>
    </row>
    <row r="393383" spans="21:21" x14ac:dyDescent="0.3">
      <c r="U393383" s="25"/>
    </row>
    <row r="393405" spans="21:21" x14ac:dyDescent="0.3">
      <c r="U393405" s="25"/>
    </row>
    <row r="393427" spans="21:21" x14ac:dyDescent="0.3">
      <c r="U393427" s="25"/>
    </row>
    <row r="393449" spans="21:21" x14ac:dyDescent="0.3">
      <c r="U393449" s="25"/>
    </row>
    <row r="393471" spans="21:21" x14ac:dyDescent="0.3">
      <c r="U393471" s="25"/>
    </row>
    <row r="393493" spans="21:21" x14ac:dyDescent="0.3">
      <c r="U393493" s="25"/>
    </row>
    <row r="393515" spans="21:21" x14ac:dyDescent="0.3">
      <c r="U393515" s="25"/>
    </row>
    <row r="393537" spans="21:21" x14ac:dyDescent="0.3">
      <c r="U393537" s="25"/>
    </row>
    <row r="393559" spans="21:21" x14ac:dyDescent="0.3">
      <c r="U393559" s="25"/>
    </row>
    <row r="393581" spans="21:21" x14ac:dyDescent="0.3">
      <c r="U393581" s="25"/>
    </row>
    <row r="393603" spans="21:21" x14ac:dyDescent="0.3">
      <c r="U393603" s="25"/>
    </row>
    <row r="393625" spans="21:21" x14ac:dyDescent="0.3">
      <c r="U393625" s="25"/>
    </row>
    <row r="393647" spans="21:21" x14ac:dyDescent="0.3">
      <c r="U393647" s="25"/>
    </row>
    <row r="393669" spans="21:21" x14ac:dyDescent="0.3">
      <c r="U393669" s="25"/>
    </row>
    <row r="393691" spans="21:21" x14ac:dyDescent="0.3">
      <c r="U393691" s="25"/>
    </row>
    <row r="393713" spans="21:21" x14ac:dyDescent="0.3">
      <c r="U393713" s="25"/>
    </row>
    <row r="393735" spans="21:21" x14ac:dyDescent="0.3">
      <c r="U393735" s="25"/>
    </row>
    <row r="393757" spans="21:21" x14ac:dyDescent="0.3">
      <c r="U393757" s="25"/>
    </row>
    <row r="393779" spans="21:21" x14ac:dyDescent="0.3">
      <c r="U393779" s="25"/>
    </row>
    <row r="393801" spans="21:21" x14ac:dyDescent="0.3">
      <c r="U393801" s="25"/>
    </row>
    <row r="393823" spans="21:21" x14ac:dyDescent="0.3">
      <c r="U393823" s="25"/>
    </row>
    <row r="393845" spans="21:21" x14ac:dyDescent="0.3">
      <c r="U393845" s="25"/>
    </row>
    <row r="393867" spans="21:21" x14ac:dyDescent="0.3">
      <c r="U393867" s="25"/>
    </row>
    <row r="393889" spans="21:21" x14ac:dyDescent="0.3">
      <c r="U393889" s="25"/>
    </row>
    <row r="393911" spans="21:21" x14ac:dyDescent="0.3">
      <c r="U393911" s="25"/>
    </row>
    <row r="393933" spans="21:21" x14ac:dyDescent="0.3">
      <c r="U393933" s="25"/>
    </row>
    <row r="393955" spans="21:21" x14ac:dyDescent="0.3">
      <c r="U393955" s="25"/>
    </row>
    <row r="393977" spans="21:21" x14ac:dyDescent="0.3">
      <c r="U393977" s="25"/>
    </row>
    <row r="393999" spans="21:21" x14ac:dyDescent="0.3">
      <c r="U393999" s="25"/>
    </row>
    <row r="394021" spans="21:21" x14ac:dyDescent="0.3">
      <c r="U394021" s="25"/>
    </row>
    <row r="394043" spans="21:21" x14ac:dyDescent="0.3">
      <c r="U394043" s="25"/>
    </row>
    <row r="394065" spans="21:21" x14ac:dyDescent="0.3">
      <c r="U394065" s="25"/>
    </row>
    <row r="394087" spans="21:21" x14ac:dyDescent="0.3">
      <c r="U394087" s="25"/>
    </row>
    <row r="394109" spans="21:21" x14ac:dyDescent="0.3">
      <c r="U394109" s="25"/>
    </row>
    <row r="394131" spans="21:21" x14ac:dyDescent="0.3">
      <c r="U394131" s="25"/>
    </row>
    <row r="394153" spans="21:21" x14ac:dyDescent="0.3">
      <c r="U394153" s="25"/>
    </row>
    <row r="394175" spans="21:21" x14ac:dyDescent="0.3">
      <c r="U394175" s="25"/>
    </row>
    <row r="394197" spans="21:21" x14ac:dyDescent="0.3">
      <c r="U394197" s="25"/>
    </row>
    <row r="394219" spans="21:21" x14ac:dyDescent="0.3">
      <c r="U394219" s="25"/>
    </row>
    <row r="394241" spans="21:21" x14ac:dyDescent="0.3">
      <c r="U394241" s="25"/>
    </row>
    <row r="394263" spans="21:21" x14ac:dyDescent="0.3">
      <c r="U394263" s="25"/>
    </row>
    <row r="394285" spans="21:21" x14ac:dyDescent="0.3">
      <c r="U394285" s="25"/>
    </row>
    <row r="394307" spans="21:21" x14ac:dyDescent="0.3">
      <c r="U394307" s="25"/>
    </row>
    <row r="394329" spans="21:21" x14ac:dyDescent="0.3">
      <c r="U394329" s="25"/>
    </row>
    <row r="394351" spans="21:21" x14ac:dyDescent="0.3">
      <c r="U394351" s="25"/>
    </row>
    <row r="394373" spans="21:21" x14ac:dyDescent="0.3">
      <c r="U394373" s="25"/>
    </row>
    <row r="394395" spans="21:21" x14ac:dyDescent="0.3">
      <c r="U394395" s="25"/>
    </row>
    <row r="394417" spans="21:21" x14ac:dyDescent="0.3">
      <c r="U394417" s="25"/>
    </row>
    <row r="394439" spans="21:21" x14ac:dyDescent="0.3">
      <c r="U394439" s="25"/>
    </row>
    <row r="394461" spans="21:21" x14ac:dyDescent="0.3">
      <c r="U394461" s="25"/>
    </row>
    <row r="394483" spans="21:21" x14ac:dyDescent="0.3">
      <c r="U394483" s="25"/>
    </row>
    <row r="394505" spans="21:21" x14ac:dyDescent="0.3">
      <c r="U394505" s="25"/>
    </row>
    <row r="394527" spans="21:21" x14ac:dyDescent="0.3">
      <c r="U394527" s="25"/>
    </row>
    <row r="394549" spans="21:21" x14ac:dyDescent="0.3">
      <c r="U394549" s="25"/>
    </row>
    <row r="394571" spans="21:21" x14ac:dyDescent="0.3">
      <c r="U394571" s="25"/>
    </row>
    <row r="394593" spans="21:21" x14ac:dyDescent="0.3">
      <c r="U394593" s="25"/>
    </row>
    <row r="394615" spans="21:21" x14ac:dyDescent="0.3">
      <c r="U394615" s="25"/>
    </row>
    <row r="394637" spans="21:21" x14ac:dyDescent="0.3">
      <c r="U394637" s="25"/>
    </row>
    <row r="394659" spans="21:21" x14ac:dyDescent="0.3">
      <c r="U394659" s="25"/>
    </row>
    <row r="394681" spans="21:21" x14ac:dyDescent="0.3">
      <c r="U394681" s="25"/>
    </row>
    <row r="394703" spans="21:21" x14ac:dyDescent="0.3">
      <c r="U394703" s="25"/>
    </row>
    <row r="394725" spans="21:21" x14ac:dyDescent="0.3">
      <c r="U394725" s="25"/>
    </row>
    <row r="394747" spans="21:21" x14ac:dyDescent="0.3">
      <c r="U394747" s="25"/>
    </row>
    <row r="394769" spans="21:21" x14ac:dyDescent="0.3">
      <c r="U394769" s="25"/>
    </row>
    <row r="394791" spans="21:21" x14ac:dyDescent="0.3">
      <c r="U394791" s="25"/>
    </row>
    <row r="394813" spans="21:21" x14ac:dyDescent="0.3">
      <c r="U394813" s="25"/>
    </row>
    <row r="394835" spans="21:21" x14ac:dyDescent="0.3">
      <c r="U394835" s="25"/>
    </row>
    <row r="394857" spans="21:21" x14ac:dyDescent="0.3">
      <c r="U394857" s="25"/>
    </row>
    <row r="394879" spans="21:21" x14ac:dyDescent="0.3">
      <c r="U394879" s="25"/>
    </row>
    <row r="394901" spans="21:21" x14ac:dyDescent="0.3">
      <c r="U394901" s="25"/>
    </row>
    <row r="394923" spans="21:21" x14ac:dyDescent="0.3">
      <c r="U394923" s="25"/>
    </row>
    <row r="394945" spans="21:21" x14ac:dyDescent="0.3">
      <c r="U394945" s="25"/>
    </row>
    <row r="394967" spans="21:21" x14ac:dyDescent="0.3">
      <c r="U394967" s="25"/>
    </row>
    <row r="394989" spans="21:21" x14ac:dyDescent="0.3">
      <c r="U394989" s="25"/>
    </row>
    <row r="395011" spans="21:21" x14ac:dyDescent="0.3">
      <c r="U395011" s="25"/>
    </row>
    <row r="395033" spans="21:21" x14ac:dyDescent="0.3">
      <c r="U395033" s="25"/>
    </row>
    <row r="395055" spans="21:21" x14ac:dyDescent="0.3">
      <c r="U395055" s="25"/>
    </row>
    <row r="395077" spans="21:21" x14ac:dyDescent="0.3">
      <c r="U395077" s="25"/>
    </row>
    <row r="395099" spans="21:21" x14ac:dyDescent="0.3">
      <c r="U395099" s="25"/>
    </row>
    <row r="395121" spans="21:21" x14ac:dyDescent="0.3">
      <c r="U395121" s="25"/>
    </row>
    <row r="395143" spans="21:21" x14ac:dyDescent="0.3">
      <c r="U395143" s="25"/>
    </row>
    <row r="395165" spans="21:21" x14ac:dyDescent="0.3">
      <c r="U395165" s="25"/>
    </row>
    <row r="395187" spans="21:21" x14ac:dyDescent="0.3">
      <c r="U395187" s="25"/>
    </row>
    <row r="395209" spans="21:21" x14ac:dyDescent="0.3">
      <c r="U395209" s="25"/>
    </row>
    <row r="395231" spans="21:21" x14ac:dyDescent="0.3">
      <c r="U395231" s="25"/>
    </row>
    <row r="395253" spans="21:21" x14ac:dyDescent="0.3">
      <c r="U395253" s="25"/>
    </row>
    <row r="395275" spans="21:21" x14ac:dyDescent="0.3">
      <c r="U395275" s="25"/>
    </row>
    <row r="395297" spans="21:21" x14ac:dyDescent="0.3">
      <c r="U395297" s="25"/>
    </row>
    <row r="395319" spans="21:21" x14ac:dyDescent="0.3">
      <c r="U395319" s="25"/>
    </row>
    <row r="395341" spans="21:21" x14ac:dyDescent="0.3">
      <c r="U395341" s="25"/>
    </row>
    <row r="395363" spans="21:21" x14ac:dyDescent="0.3">
      <c r="U395363" s="25"/>
    </row>
    <row r="395385" spans="21:21" x14ac:dyDescent="0.3">
      <c r="U395385" s="25"/>
    </row>
    <row r="395407" spans="21:21" x14ac:dyDescent="0.3">
      <c r="U395407" s="25"/>
    </row>
    <row r="395429" spans="21:21" x14ac:dyDescent="0.3">
      <c r="U395429" s="25"/>
    </row>
    <row r="395451" spans="21:21" x14ac:dyDescent="0.3">
      <c r="U395451" s="25"/>
    </row>
    <row r="395473" spans="21:21" x14ac:dyDescent="0.3">
      <c r="U395473" s="25"/>
    </row>
    <row r="395495" spans="21:21" x14ac:dyDescent="0.3">
      <c r="U395495" s="25"/>
    </row>
    <row r="395517" spans="21:21" x14ac:dyDescent="0.3">
      <c r="U395517" s="25"/>
    </row>
    <row r="395539" spans="21:21" x14ac:dyDescent="0.3">
      <c r="U395539" s="25"/>
    </row>
    <row r="395561" spans="21:21" x14ac:dyDescent="0.3">
      <c r="U395561" s="25"/>
    </row>
    <row r="395583" spans="21:21" x14ac:dyDescent="0.3">
      <c r="U395583" s="25"/>
    </row>
    <row r="395605" spans="21:21" x14ac:dyDescent="0.3">
      <c r="U395605" s="25"/>
    </row>
    <row r="395627" spans="21:21" x14ac:dyDescent="0.3">
      <c r="U395627" s="25"/>
    </row>
    <row r="395649" spans="21:21" x14ac:dyDescent="0.3">
      <c r="U395649" s="25"/>
    </row>
    <row r="395671" spans="21:21" x14ac:dyDescent="0.3">
      <c r="U395671" s="25"/>
    </row>
    <row r="395693" spans="21:21" x14ac:dyDescent="0.3">
      <c r="U395693" s="25"/>
    </row>
    <row r="395715" spans="21:21" x14ac:dyDescent="0.3">
      <c r="U395715" s="25"/>
    </row>
    <row r="395737" spans="21:21" x14ac:dyDescent="0.3">
      <c r="U395737" s="25"/>
    </row>
    <row r="395759" spans="21:21" x14ac:dyDescent="0.3">
      <c r="U395759" s="25"/>
    </row>
    <row r="395781" spans="21:21" x14ac:dyDescent="0.3">
      <c r="U395781" s="25"/>
    </row>
    <row r="395803" spans="21:21" x14ac:dyDescent="0.3">
      <c r="U395803" s="25"/>
    </row>
    <row r="395825" spans="21:21" x14ac:dyDescent="0.3">
      <c r="U395825" s="25"/>
    </row>
    <row r="395847" spans="21:21" x14ac:dyDescent="0.3">
      <c r="U395847" s="25"/>
    </row>
    <row r="395869" spans="21:21" x14ac:dyDescent="0.3">
      <c r="U395869" s="25"/>
    </row>
    <row r="395891" spans="21:21" x14ac:dyDescent="0.3">
      <c r="U395891" s="25"/>
    </row>
    <row r="395913" spans="21:21" x14ac:dyDescent="0.3">
      <c r="U395913" s="25"/>
    </row>
    <row r="395935" spans="21:21" x14ac:dyDescent="0.3">
      <c r="U395935" s="25"/>
    </row>
    <row r="395957" spans="21:21" x14ac:dyDescent="0.3">
      <c r="U395957" s="25"/>
    </row>
    <row r="395979" spans="21:21" x14ac:dyDescent="0.3">
      <c r="U395979" s="25"/>
    </row>
    <row r="396001" spans="21:21" x14ac:dyDescent="0.3">
      <c r="U396001" s="25"/>
    </row>
    <row r="396023" spans="21:21" x14ac:dyDescent="0.3">
      <c r="U396023" s="25"/>
    </row>
    <row r="396045" spans="21:21" x14ac:dyDescent="0.3">
      <c r="U396045" s="25"/>
    </row>
    <row r="396067" spans="21:21" x14ac:dyDescent="0.3">
      <c r="U396067" s="25"/>
    </row>
    <row r="396089" spans="21:21" x14ac:dyDescent="0.3">
      <c r="U396089" s="25"/>
    </row>
    <row r="396111" spans="21:21" x14ac:dyDescent="0.3">
      <c r="U396111" s="25"/>
    </row>
    <row r="396133" spans="21:21" x14ac:dyDescent="0.3">
      <c r="U396133" s="25"/>
    </row>
    <row r="396155" spans="21:21" x14ac:dyDescent="0.3">
      <c r="U396155" s="25"/>
    </row>
    <row r="396177" spans="21:21" x14ac:dyDescent="0.3">
      <c r="U396177" s="25"/>
    </row>
    <row r="396199" spans="21:21" x14ac:dyDescent="0.3">
      <c r="U396199" s="25"/>
    </row>
    <row r="396221" spans="21:21" x14ac:dyDescent="0.3">
      <c r="U396221" s="25"/>
    </row>
    <row r="396243" spans="21:21" x14ac:dyDescent="0.3">
      <c r="U396243" s="25"/>
    </row>
    <row r="396265" spans="21:21" x14ac:dyDescent="0.3">
      <c r="U396265" s="25"/>
    </row>
    <row r="396287" spans="21:21" x14ac:dyDescent="0.3">
      <c r="U396287" s="25"/>
    </row>
    <row r="396309" spans="21:21" x14ac:dyDescent="0.3">
      <c r="U396309" s="25"/>
    </row>
    <row r="396331" spans="21:21" x14ac:dyDescent="0.3">
      <c r="U396331" s="25"/>
    </row>
    <row r="396353" spans="21:21" x14ac:dyDescent="0.3">
      <c r="U396353" s="25"/>
    </row>
    <row r="396375" spans="21:21" x14ac:dyDescent="0.3">
      <c r="U396375" s="25"/>
    </row>
    <row r="396397" spans="21:21" x14ac:dyDescent="0.3">
      <c r="U396397" s="25"/>
    </row>
    <row r="396419" spans="21:21" x14ac:dyDescent="0.3">
      <c r="U396419" s="25"/>
    </row>
    <row r="396441" spans="21:21" x14ac:dyDescent="0.3">
      <c r="U396441" s="25"/>
    </row>
    <row r="396463" spans="21:21" x14ac:dyDescent="0.3">
      <c r="U396463" s="25"/>
    </row>
    <row r="396485" spans="21:21" x14ac:dyDescent="0.3">
      <c r="U396485" s="25"/>
    </row>
    <row r="396507" spans="21:21" x14ac:dyDescent="0.3">
      <c r="U396507" s="25"/>
    </row>
    <row r="396529" spans="21:21" x14ac:dyDescent="0.3">
      <c r="U396529" s="25"/>
    </row>
    <row r="396551" spans="21:21" x14ac:dyDescent="0.3">
      <c r="U396551" s="25"/>
    </row>
    <row r="396573" spans="21:21" x14ac:dyDescent="0.3">
      <c r="U396573" s="25"/>
    </row>
    <row r="396595" spans="21:21" x14ac:dyDescent="0.3">
      <c r="U396595" s="25"/>
    </row>
    <row r="396617" spans="21:21" x14ac:dyDescent="0.3">
      <c r="U396617" s="25"/>
    </row>
    <row r="396639" spans="21:21" x14ac:dyDescent="0.3">
      <c r="U396639" s="25"/>
    </row>
    <row r="396661" spans="21:21" x14ac:dyDescent="0.3">
      <c r="U396661" s="25"/>
    </row>
    <row r="396683" spans="21:21" x14ac:dyDescent="0.3">
      <c r="U396683" s="25"/>
    </row>
    <row r="396705" spans="21:21" x14ac:dyDescent="0.3">
      <c r="U396705" s="25"/>
    </row>
    <row r="396727" spans="21:21" x14ac:dyDescent="0.3">
      <c r="U396727" s="25"/>
    </row>
    <row r="396749" spans="21:21" x14ac:dyDescent="0.3">
      <c r="U396749" s="25"/>
    </row>
    <row r="396771" spans="21:21" x14ac:dyDescent="0.3">
      <c r="U396771" s="25"/>
    </row>
    <row r="396793" spans="21:21" x14ac:dyDescent="0.3">
      <c r="U396793" s="25"/>
    </row>
    <row r="396815" spans="21:21" x14ac:dyDescent="0.3">
      <c r="U396815" s="25"/>
    </row>
    <row r="396837" spans="21:21" x14ac:dyDescent="0.3">
      <c r="U396837" s="25"/>
    </row>
    <row r="396859" spans="21:21" x14ac:dyDescent="0.3">
      <c r="U396859" s="25"/>
    </row>
    <row r="396881" spans="21:21" x14ac:dyDescent="0.3">
      <c r="U396881" s="25"/>
    </row>
    <row r="396903" spans="21:21" x14ac:dyDescent="0.3">
      <c r="U396903" s="25"/>
    </row>
    <row r="396925" spans="21:21" x14ac:dyDescent="0.3">
      <c r="U396925" s="25"/>
    </row>
    <row r="396947" spans="21:21" x14ac:dyDescent="0.3">
      <c r="U396947" s="25"/>
    </row>
    <row r="396969" spans="21:21" x14ac:dyDescent="0.3">
      <c r="U396969" s="25"/>
    </row>
    <row r="396991" spans="21:21" x14ac:dyDescent="0.3">
      <c r="U396991" s="25"/>
    </row>
    <row r="397013" spans="21:21" x14ac:dyDescent="0.3">
      <c r="U397013" s="25"/>
    </row>
    <row r="397035" spans="21:21" x14ac:dyDescent="0.3">
      <c r="U397035" s="25"/>
    </row>
    <row r="397057" spans="21:21" x14ac:dyDescent="0.3">
      <c r="U397057" s="25"/>
    </row>
    <row r="397079" spans="21:21" x14ac:dyDescent="0.3">
      <c r="U397079" s="25"/>
    </row>
    <row r="397101" spans="21:21" x14ac:dyDescent="0.3">
      <c r="U397101" s="25"/>
    </row>
    <row r="397123" spans="21:21" x14ac:dyDescent="0.3">
      <c r="U397123" s="25"/>
    </row>
    <row r="397145" spans="21:21" x14ac:dyDescent="0.3">
      <c r="U397145" s="25"/>
    </row>
    <row r="397167" spans="21:21" x14ac:dyDescent="0.3">
      <c r="U397167" s="25"/>
    </row>
    <row r="397189" spans="21:21" x14ac:dyDescent="0.3">
      <c r="U397189" s="25"/>
    </row>
    <row r="397211" spans="21:21" x14ac:dyDescent="0.3">
      <c r="U397211" s="25"/>
    </row>
    <row r="397233" spans="21:21" x14ac:dyDescent="0.3">
      <c r="U397233" s="25"/>
    </row>
    <row r="397255" spans="21:21" x14ac:dyDescent="0.3">
      <c r="U397255" s="25"/>
    </row>
    <row r="397277" spans="21:21" x14ac:dyDescent="0.3">
      <c r="U397277" s="25"/>
    </row>
    <row r="397299" spans="21:21" x14ac:dyDescent="0.3">
      <c r="U397299" s="25"/>
    </row>
    <row r="397321" spans="21:21" x14ac:dyDescent="0.3">
      <c r="U397321" s="25"/>
    </row>
    <row r="397343" spans="21:21" x14ac:dyDescent="0.3">
      <c r="U397343" s="25"/>
    </row>
    <row r="397365" spans="21:21" x14ac:dyDescent="0.3">
      <c r="U397365" s="25"/>
    </row>
    <row r="397387" spans="21:21" x14ac:dyDescent="0.3">
      <c r="U397387" s="25"/>
    </row>
    <row r="397409" spans="21:21" x14ac:dyDescent="0.3">
      <c r="U397409" s="25"/>
    </row>
    <row r="397431" spans="21:21" x14ac:dyDescent="0.3">
      <c r="U397431" s="25"/>
    </row>
    <row r="397453" spans="21:21" x14ac:dyDescent="0.3">
      <c r="U397453" s="25"/>
    </row>
    <row r="397475" spans="21:21" x14ac:dyDescent="0.3">
      <c r="U397475" s="25"/>
    </row>
    <row r="397497" spans="21:21" x14ac:dyDescent="0.3">
      <c r="U397497" s="25"/>
    </row>
    <row r="397519" spans="21:21" x14ac:dyDescent="0.3">
      <c r="U397519" s="25"/>
    </row>
    <row r="397541" spans="21:21" x14ac:dyDescent="0.3">
      <c r="U397541" s="25"/>
    </row>
    <row r="397563" spans="21:21" x14ac:dyDescent="0.3">
      <c r="U397563" s="25"/>
    </row>
    <row r="397585" spans="21:21" x14ac:dyDescent="0.3">
      <c r="U397585" s="25"/>
    </row>
    <row r="397607" spans="21:21" x14ac:dyDescent="0.3">
      <c r="U397607" s="25"/>
    </row>
    <row r="397629" spans="21:21" x14ac:dyDescent="0.3">
      <c r="U397629" s="25"/>
    </row>
    <row r="397651" spans="21:21" x14ac:dyDescent="0.3">
      <c r="U397651" s="25"/>
    </row>
    <row r="397673" spans="21:21" x14ac:dyDescent="0.3">
      <c r="U397673" s="25"/>
    </row>
    <row r="397695" spans="21:21" x14ac:dyDescent="0.3">
      <c r="U397695" s="25"/>
    </row>
    <row r="397717" spans="21:21" x14ac:dyDescent="0.3">
      <c r="U397717" s="25"/>
    </row>
    <row r="397739" spans="21:21" x14ac:dyDescent="0.3">
      <c r="U397739" s="25"/>
    </row>
    <row r="397761" spans="21:21" x14ac:dyDescent="0.3">
      <c r="U397761" s="25"/>
    </row>
    <row r="397783" spans="21:21" x14ac:dyDescent="0.3">
      <c r="U397783" s="25"/>
    </row>
    <row r="397805" spans="21:21" x14ac:dyDescent="0.3">
      <c r="U397805" s="25"/>
    </row>
    <row r="397827" spans="21:21" x14ac:dyDescent="0.3">
      <c r="U397827" s="25"/>
    </row>
    <row r="397849" spans="21:21" x14ac:dyDescent="0.3">
      <c r="U397849" s="25"/>
    </row>
    <row r="397871" spans="21:21" x14ac:dyDescent="0.3">
      <c r="U397871" s="25"/>
    </row>
    <row r="397893" spans="21:21" x14ac:dyDescent="0.3">
      <c r="U397893" s="25"/>
    </row>
    <row r="397915" spans="21:21" x14ac:dyDescent="0.3">
      <c r="U397915" s="25"/>
    </row>
    <row r="397937" spans="21:21" x14ac:dyDescent="0.3">
      <c r="U397937" s="25"/>
    </row>
    <row r="397959" spans="21:21" x14ac:dyDescent="0.3">
      <c r="U397959" s="25"/>
    </row>
    <row r="397981" spans="21:21" x14ac:dyDescent="0.3">
      <c r="U397981" s="25"/>
    </row>
    <row r="398003" spans="21:21" x14ac:dyDescent="0.3">
      <c r="U398003" s="25"/>
    </row>
    <row r="398025" spans="21:21" x14ac:dyDescent="0.3">
      <c r="U398025" s="25"/>
    </row>
    <row r="398047" spans="21:21" x14ac:dyDescent="0.3">
      <c r="U398047" s="25"/>
    </row>
    <row r="398069" spans="21:21" x14ac:dyDescent="0.3">
      <c r="U398069" s="25"/>
    </row>
    <row r="398091" spans="21:21" x14ac:dyDescent="0.3">
      <c r="U398091" s="25"/>
    </row>
    <row r="398113" spans="21:21" x14ac:dyDescent="0.3">
      <c r="U398113" s="25"/>
    </row>
    <row r="398135" spans="21:21" x14ac:dyDescent="0.3">
      <c r="U398135" s="25"/>
    </row>
    <row r="398157" spans="21:21" x14ac:dyDescent="0.3">
      <c r="U398157" s="25"/>
    </row>
    <row r="398179" spans="21:21" x14ac:dyDescent="0.3">
      <c r="U398179" s="25"/>
    </row>
    <row r="398201" spans="21:21" x14ac:dyDescent="0.3">
      <c r="U398201" s="25"/>
    </row>
    <row r="398223" spans="21:21" x14ac:dyDescent="0.3">
      <c r="U398223" s="25"/>
    </row>
    <row r="398245" spans="21:21" x14ac:dyDescent="0.3">
      <c r="U398245" s="25"/>
    </row>
    <row r="398267" spans="21:21" x14ac:dyDescent="0.3">
      <c r="U398267" s="25"/>
    </row>
    <row r="398289" spans="21:21" x14ac:dyDescent="0.3">
      <c r="U398289" s="25"/>
    </row>
    <row r="398311" spans="21:21" x14ac:dyDescent="0.3">
      <c r="U398311" s="25"/>
    </row>
    <row r="398333" spans="21:21" x14ac:dyDescent="0.3">
      <c r="U398333" s="25"/>
    </row>
    <row r="398355" spans="21:21" x14ac:dyDescent="0.3">
      <c r="U398355" s="25"/>
    </row>
    <row r="398377" spans="21:21" x14ac:dyDescent="0.3">
      <c r="U398377" s="25"/>
    </row>
    <row r="398399" spans="21:21" x14ac:dyDescent="0.3">
      <c r="U398399" s="25"/>
    </row>
    <row r="398421" spans="21:21" x14ac:dyDescent="0.3">
      <c r="U398421" s="25"/>
    </row>
    <row r="398443" spans="21:21" x14ac:dyDescent="0.3">
      <c r="U398443" s="25"/>
    </row>
    <row r="398465" spans="21:21" x14ac:dyDescent="0.3">
      <c r="U398465" s="25"/>
    </row>
    <row r="398487" spans="21:21" x14ac:dyDescent="0.3">
      <c r="U398487" s="25"/>
    </row>
    <row r="398509" spans="21:21" x14ac:dyDescent="0.3">
      <c r="U398509" s="25"/>
    </row>
    <row r="398531" spans="21:21" x14ac:dyDescent="0.3">
      <c r="U398531" s="25"/>
    </row>
    <row r="398553" spans="21:21" x14ac:dyDescent="0.3">
      <c r="U398553" s="25"/>
    </row>
    <row r="398575" spans="21:21" x14ac:dyDescent="0.3">
      <c r="U398575" s="25"/>
    </row>
    <row r="398597" spans="21:21" x14ac:dyDescent="0.3">
      <c r="U398597" s="25"/>
    </row>
    <row r="398619" spans="21:21" x14ac:dyDescent="0.3">
      <c r="U398619" s="25"/>
    </row>
    <row r="398641" spans="21:21" x14ac:dyDescent="0.3">
      <c r="U398641" s="25"/>
    </row>
    <row r="398663" spans="21:21" x14ac:dyDescent="0.3">
      <c r="U398663" s="25"/>
    </row>
    <row r="398685" spans="21:21" x14ac:dyDescent="0.3">
      <c r="U398685" s="25"/>
    </row>
    <row r="398707" spans="21:21" x14ac:dyDescent="0.3">
      <c r="U398707" s="25"/>
    </row>
    <row r="398729" spans="21:21" x14ac:dyDescent="0.3">
      <c r="U398729" s="25"/>
    </row>
    <row r="398751" spans="21:21" x14ac:dyDescent="0.3">
      <c r="U398751" s="25"/>
    </row>
    <row r="398773" spans="21:21" x14ac:dyDescent="0.3">
      <c r="U398773" s="25"/>
    </row>
    <row r="398795" spans="21:21" x14ac:dyDescent="0.3">
      <c r="U398795" s="25"/>
    </row>
    <row r="398817" spans="21:21" x14ac:dyDescent="0.3">
      <c r="U398817" s="25"/>
    </row>
    <row r="398839" spans="21:21" x14ac:dyDescent="0.3">
      <c r="U398839" s="25"/>
    </row>
    <row r="398861" spans="21:21" x14ac:dyDescent="0.3">
      <c r="U398861" s="25"/>
    </row>
    <row r="398883" spans="21:21" x14ac:dyDescent="0.3">
      <c r="U398883" s="25"/>
    </row>
    <row r="398905" spans="21:21" x14ac:dyDescent="0.3">
      <c r="U398905" s="25"/>
    </row>
    <row r="398927" spans="21:21" x14ac:dyDescent="0.3">
      <c r="U398927" s="25"/>
    </row>
    <row r="398949" spans="21:21" x14ac:dyDescent="0.3">
      <c r="U398949" s="25"/>
    </row>
    <row r="398971" spans="21:21" x14ac:dyDescent="0.3">
      <c r="U398971" s="25"/>
    </row>
    <row r="398993" spans="21:21" x14ac:dyDescent="0.3">
      <c r="U398993" s="25"/>
    </row>
    <row r="399015" spans="21:21" x14ac:dyDescent="0.3">
      <c r="U399015" s="25"/>
    </row>
    <row r="399037" spans="21:21" x14ac:dyDescent="0.3">
      <c r="U399037" s="25"/>
    </row>
    <row r="399059" spans="21:21" x14ac:dyDescent="0.3">
      <c r="U399059" s="25"/>
    </row>
    <row r="399081" spans="21:21" x14ac:dyDescent="0.3">
      <c r="U399081" s="25"/>
    </row>
    <row r="399103" spans="21:21" x14ac:dyDescent="0.3">
      <c r="U399103" s="25"/>
    </row>
    <row r="399125" spans="21:21" x14ac:dyDescent="0.3">
      <c r="U399125" s="25"/>
    </row>
    <row r="399147" spans="21:21" x14ac:dyDescent="0.3">
      <c r="U399147" s="25"/>
    </row>
    <row r="399169" spans="21:21" x14ac:dyDescent="0.3">
      <c r="U399169" s="25"/>
    </row>
    <row r="399191" spans="21:21" x14ac:dyDescent="0.3">
      <c r="U399191" s="25"/>
    </row>
    <row r="399213" spans="21:21" x14ac:dyDescent="0.3">
      <c r="U399213" s="25"/>
    </row>
    <row r="399235" spans="21:21" x14ac:dyDescent="0.3">
      <c r="U399235" s="25"/>
    </row>
    <row r="399257" spans="21:21" x14ac:dyDescent="0.3">
      <c r="U399257" s="25"/>
    </row>
    <row r="399279" spans="21:21" x14ac:dyDescent="0.3">
      <c r="U399279" s="25"/>
    </row>
    <row r="399301" spans="21:21" x14ac:dyDescent="0.3">
      <c r="U399301" s="25"/>
    </row>
    <row r="399323" spans="21:21" x14ac:dyDescent="0.3">
      <c r="U399323" s="25"/>
    </row>
    <row r="399345" spans="21:21" x14ac:dyDescent="0.3">
      <c r="U399345" s="25"/>
    </row>
    <row r="399367" spans="21:21" x14ac:dyDescent="0.3">
      <c r="U399367" s="25"/>
    </row>
    <row r="399389" spans="21:21" x14ac:dyDescent="0.3">
      <c r="U399389" s="25"/>
    </row>
    <row r="399411" spans="21:21" x14ac:dyDescent="0.3">
      <c r="U399411" s="25"/>
    </row>
    <row r="399433" spans="21:21" x14ac:dyDescent="0.3">
      <c r="U399433" s="25"/>
    </row>
    <row r="399455" spans="21:21" x14ac:dyDescent="0.3">
      <c r="U399455" s="25"/>
    </row>
    <row r="399477" spans="21:21" x14ac:dyDescent="0.3">
      <c r="U399477" s="25"/>
    </row>
    <row r="399499" spans="21:21" x14ac:dyDescent="0.3">
      <c r="U399499" s="25"/>
    </row>
    <row r="399521" spans="21:21" x14ac:dyDescent="0.3">
      <c r="U399521" s="25"/>
    </row>
    <row r="399543" spans="21:21" x14ac:dyDescent="0.3">
      <c r="U399543" s="25"/>
    </row>
    <row r="399565" spans="21:21" x14ac:dyDescent="0.3">
      <c r="U399565" s="25"/>
    </row>
    <row r="399587" spans="21:21" x14ac:dyDescent="0.3">
      <c r="U399587" s="25"/>
    </row>
    <row r="399609" spans="21:21" x14ac:dyDescent="0.3">
      <c r="U399609" s="25"/>
    </row>
    <row r="399631" spans="21:21" x14ac:dyDescent="0.3">
      <c r="U399631" s="25"/>
    </row>
    <row r="399653" spans="21:21" x14ac:dyDescent="0.3">
      <c r="U399653" s="25"/>
    </row>
    <row r="399675" spans="21:21" x14ac:dyDescent="0.3">
      <c r="U399675" s="25"/>
    </row>
    <row r="399697" spans="21:21" x14ac:dyDescent="0.3">
      <c r="U399697" s="25"/>
    </row>
    <row r="399719" spans="21:21" x14ac:dyDescent="0.3">
      <c r="U399719" s="25"/>
    </row>
    <row r="399741" spans="21:21" x14ac:dyDescent="0.3">
      <c r="U399741" s="25"/>
    </row>
    <row r="399763" spans="21:21" x14ac:dyDescent="0.3">
      <c r="U399763" s="25"/>
    </row>
    <row r="399785" spans="21:21" x14ac:dyDescent="0.3">
      <c r="U399785" s="25"/>
    </row>
    <row r="399807" spans="21:21" x14ac:dyDescent="0.3">
      <c r="U399807" s="25"/>
    </row>
    <row r="399829" spans="21:21" x14ac:dyDescent="0.3">
      <c r="U399829" s="25"/>
    </row>
    <row r="399851" spans="21:21" x14ac:dyDescent="0.3">
      <c r="U399851" s="25"/>
    </row>
    <row r="399873" spans="21:21" x14ac:dyDescent="0.3">
      <c r="U399873" s="25"/>
    </row>
    <row r="399895" spans="21:21" x14ac:dyDescent="0.3">
      <c r="U399895" s="25"/>
    </row>
    <row r="399917" spans="21:21" x14ac:dyDescent="0.3">
      <c r="U399917" s="25"/>
    </row>
    <row r="399939" spans="21:21" x14ac:dyDescent="0.3">
      <c r="U399939" s="25"/>
    </row>
    <row r="399961" spans="21:21" x14ac:dyDescent="0.3">
      <c r="U399961" s="25"/>
    </row>
    <row r="399983" spans="21:21" x14ac:dyDescent="0.3">
      <c r="U399983" s="25"/>
    </row>
    <row r="400005" spans="21:21" x14ac:dyDescent="0.3">
      <c r="U400005" s="25"/>
    </row>
    <row r="400027" spans="21:21" x14ac:dyDescent="0.3">
      <c r="U400027" s="25"/>
    </row>
    <row r="400049" spans="21:21" x14ac:dyDescent="0.3">
      <c r="U400049" s="25"/>
    </row>
    <row r="400071" spans="21:21" x14ac:dyDescent="0.3">
      <c r="U400071" s="25"/>
    </row>
    <row r="400093" spans="21:21" x14ac:dyDescent="0.3">
      <c r="U400093" s="25"/>
    </row>
    <row r="400115" spans="21:21" x14ac:dyDescent="0.3">
      <c r="U400115" s="25"/>
    </row>
    <row r="400137" spans="21:21" x14ac:dyDescent="0.3">
      <c r="U400137" s="25"/>
    </row>
    <row r="400159" spans="21:21" x14ac:dyDescent="0.3">
      <c r="U400159" s="25"/>
    </row>
    <row r="400181" spans="21:21" x14ac:dyDescent="0.3">
      <c r="U400181" s="25"/>
    </row>
    <row r="400203" spans="21:21" x14ac:dyDescent="0.3">
      <c r="U400203" s="25"/>
    </row>
    <row r="400225" spans="21:21" x14ac:dyDescent="0.3">
      <c r="U400225" s="25"/>
    </row>
    <row r="400247" spans="21:21" x14ac:dyDescent="0.3">
      <c r="U400247" s="25"/>
    </row>
    <row r="400269" spans="21:21" x14ac:dyDescent="0.3">
      <c r="U400269" s="25"/>
    </row>
    <row r="400291" spans="21:21" x14ac:dyDescent="0.3">
      <c r="U400291" s="25"/>
    </row>
    <row r="400313" spans="21:21" x14ac:dyDescent="0.3">
      <c r="U400313" s="25"/>
    </row>
    <row r="400335" spans="21:21" x14ac:dyDescent="0.3">
      <c r="U400335" s="25"/>
    </row>
    <row r="400357" spans="21:21" x14ac:dyDescent="0.3">
      <c r="U400357" s="25"/>
    </row>
    <row r="400379" spans="21:21" x14ac:dyDescent="0.3">
      <c r="U400379" s="25"/>
    </row>
    <row r="400401" spans="21:21" x14ac:dyDescent="0.3">
      <c r="U400401" s="25"/>
    </row>
    <row r="400423" spans="21:21" x14ac:dyDescent="0.3">
      <c r="U400423" s="25"/>
    </row>
    <row r="400445" spans="21:21" x14ac:dyDescent="0.3">
      <c r="U400445" s="25"/>
    </row>
    <row r="400467" spans="21:21" x14ac:dyDescent="0.3">
      <c r="U400467" s="25"/>
    </row>
    <row r="400489" spans="21:21" x14ac:dyDescent="0.3">
      <c r="U400489" s="25"/>
    </row>
    <row r="400511" spans="21:21" x14ac:dyDescent="0.3">
      <c r="U400511" s="25"/>
    </row>
    <row r="400533" spans="21:21" x14ac:dyDescent="0.3">
      <c r="U400533" s="25"/>
    </row>
    <row r="400555" spans="21:21" x14ac:dyDescent="0.3">
      <c r="U400555" s="25"/>
    </row>
    <row r="400577" spans="21:21" x14ac:dyDescent="0.3">
      <c r="U400577" s="25"/>
    </row>
    <row r="400599" spans="21:21" x14ac:dyDescent="0.3">
      <c r="U400599" s="25"/>
    </row>
    <row r="400621" spans="21:21" x14ac:dyDescent="0.3">
      <c r="U400621" s="25"/>
    </row>
    <row r="400643" spans="21:21" x14ac:dyDescent="0.3">
      <c r="U400643" s="25"/>
    </row>
    <row r="400665" spans="21:21" x14ac:dyDescent="0.3">
      <c r="U400665" s="25"/>
    </row>
    <row r="400687" spans="21:21" x14ac:dyDescent="0.3">
      <c r="U400687" s="25"/>
    </row>
    <row r="400709" spans="21:21" x14ac:dyDescent="0.3">
      <c r="U400709" s="25"/>
    </row>
    <row r="400731" spans="21:21" x14ac:dyDescent="0.3">
      <c r="U400731" s="25"/>
    </row>
    <row r="400753" spans="21:21" x14ac:dyDescent="0.3">
      <c r="U400753" s="25"/>
    </row>
    <row r="400775" spans="21:21" x14ac:dyDescent="0.3">
      <c r="U400775" s="25"/>
    </row>
    <row r="400797" spans="21:21" x14ac:dyDescent="0.3">
      <c r="U400797" s="25"/>
    </row>
    <row r="400819" spans="21:21" x14ac:dyDescent="0.3">
      <c r="U400819" s="25"/>
    </row>
    <row r="400841" spans="21:21" x14ac:dyDescent="0.3">
      <c r="U400841" s="25"/>
    </row>
    <row r="400863" spans="21:21" x14ac:dyDescent="0.3">
      <c r="U400863" s="25"/>
    </row>
    <row r="400885" spans="21:21" x14ac:dyDescent="0.3">
      <c r="U400885" s="25"/>
    </row>
    <row r="400907" spans="21:21" x14ac:dyDescent="0.3">
      <c r="U400907" s="25"/>
    </row>
    <row r="400929" spans="21:21" x14ac:dyDescent="0.3">
      <c r="U400929" s="25"/>
    </row>
    <row r="400951" spans="21:21" x14ac:dyDescent="0.3">
      <c r="U400951" s="25"/>
    </row>
    <row r="400973" spans="21:21" x14ac:dyDescent="0.3">
      <c r="U400973" s="25"/>
    </row>
    <row r="400995" spans="21:21" x14ac:dyDescent="0.3">
      <c r="U400995" s="25"/>
    </row>
    <row r="401017" spans="21:21" x14ac:dyDescent="0.3">
      <c r="U401017" s="25"/>
    </row>
    <row r="401039" spans="21:21" x14ac:dyDescent="0.3">
      <c r="U401039" s="25"/>
    </row>
    <row r="401061" spans="21:21" x14ac:dyDescent="0.3">
      <c r="U401061" s="25"/>
    </row>
    <row r="401083" spans="21:21" x14ac:dyDescent="0.3">
      <c r="U401083" s="25"/>
    </row>
    <row r="401105" spans="21:21" x14ac:dyDescent="0.3">
      <c r="U401105" s="25"/>
    </row>
    <row r="401127" spans="21:21" x14ac:dyDescent="0.3">
      <c r="U401127" s="25"/>
    </row>
    <row r="401149" spans="21:21" x14ac:dyDescent="0.3">
      <c r="U401149" s="25"/>
    </row>
    <row r="401171" spans="21:21" x14ac:dyDescent="0.3">
      <c r="U401171" s="25"/>
    </row>
    <row r="401193" spans="21:21" x14ac:dyDescent="0.3">
      <c r="U401193" s="25"/>
    </row>
    <row r="401215" spans="21:21" x14ac:dyDescent="0.3">
      <c r="U401215" s="25"/>
    </row>
    <row r="401237" spans="21:21" x14ac:dyDescent="0.3">
      <c r="U401237" s="25"/>
    </row>
    <row r="401259" spans="21:21" x14ac:dyDescent="0.3">
      <c r="U401259" s="25"/>
    </row>
    <row r="401281" spans="21:21" x14ac:dyDescent="0.3">
      <c r="U401281" s="25"/>
    </row>
    <row r="401303" spans="21:21" x14ac:dyDescent="0.3">
      <c r="U401303" s="25"/>
    </row>
    <row r="401325" spans="21:21" x14ac:dyDescent="0.3">
      <c r="U401325" s="25"/>
    </row>
    <row r="401347" spans="21:21" x14ac:dyDescent="0.3">
      <c r="U401347" s="25"/>
    </row>
    <row r="401369" spans="21:21" x14ac:dyDescent="0.3">
      <c r="U401369" s="25"/>
    </row>
    <row r="401391" spans="21:21" x14ac:dyDescent="0.3">
      <c r="U401391" s="25"/>
    </row>
    <row r="401413" spans="21:21" x14ac:dyDescent="0.3">
      <c r="U401413" s="25"/>
    </row>
    <row r="401435" spans="21:21" x14ac:dyDescent="0.3">
      <c r="U401435" s="25"/>
    </row>
    <row r="401457" spans="21:21" x14ac:dyDescent="0.3">
      <c r="U401457" s="25"/>
    </row>
    <row r="401479" spans="21:21" x14ac:dyDescent="0.3">
      <c r="U401479" s="25"/>
    </row>
    <row r="401501" spans="21:21" x14ac:dyDescent="0.3">
      <c r="U401501" s="25"/>
    </row>
    <row r="401523" spans="21:21" x14ac:dyDescent="0.3">
      <c r="U401523" s="25"/>
    </row>
    <row r="401545" spans="21:21" x14ac:dyDescent="0.3">
      <c r="U401545" s="25"/>
    </row>
    <row r="401567" spans="21:21" x14ac:dyDescent="0.3">
      <c r="U401567" s="25"/>
    </row>
    <row r="401589" spans="21:21" x14ac:dyDescent="0.3">
      <c r="U401589" s="25"/>
    </row>
    <row r="401611" spans="21:21" x14ac:dyDescent="0.3">
      <c r="U401611" s="25"/>
    </row>
    <row r="401633" spans="21:21" x14ac:dyDescent="0.3">
      <c r="U401633" s="25"/>
    </row>
    <row r="401655" spans="21:21" x14ac:dyDescent="0.3">
      <c r="U401655" s="25"/>
    </row>
    <row r="401677" spans="21:21" x14ac:dyDescent="0.3">
      <c r="U401677" s="25"/>
    </row>
    <row r="401699" spans="21:21" x14ac:dyDescent="0.3">
      <c r="U401699" s="25"/>
    </row>
    <row r="401721" spans="21:21" x14ac:dyDescent="0.3">
      <c r="U401721" s="25"/>
    </row>
    <row r="401743" spans="21:21" x14ac:dyDescent="0.3">
      <c r="U401743" s="25"/>
    </row>
    <row r="401765" spans="21:21" x14ac:dyDescent="0.3">
      <c r="U401765" s="25"/>
    </row>
    <row r="401787" spans="21:21" x14ac:dyDescent="0.3">
      <c r="U401787" s="25"/>
    </row>
    <row r="401809" spans="21:21" x14ac:dyDescent="0.3">
      <c r="U401809" s="25"/>
    </row>
    <row r="401831" spans="21:21" x14ac:dyDescent="0.3">
      <c r="U401831" s="25"/>
    </row>
    <row r="401853" spans="21:21" x14ac:dyDescent="0.3">
      <c r="U401853" s="25"/>
    </row>
    <row r="401875" spans="21:21" x14ac:dyDescent="0.3">
      <c r="U401875" s="25"/>
    </row>
    <row r="401897" spans="21:21" x14ac:dyDescent="0.3">
      <c r="U401897" s="25"/>
    </row>
    <row r="401919" spans="21:21" x14ac:dyDescent="0.3">
      <c r="U401919" s="25"/>
    </row>
    <row r="401941" spans="21:21" x14ac:dyDescent="0.3">
      <c r="U401941" s="25"/>
    </row>
    <row r="401963" spans="21:21" x14ac:dyDescent="0.3">
      <c r="U401963" s="25"/>
    </row>
    <row r="401985" spans="21:21" x14ac:dyDescent="0.3">
      <c r="U401985" s="25"/>
    </row>
    <row r="402007" spans="21:21" x14ac:dyDescent="0.3">
      <c r="U402007" s="25"/>
    </row>
    <row r="402029" spans="21:21" x14ac:dyDescent="0.3">
      <c r="U402029" s="25"/>
    </row>
    <row r="402051" spans="21:21" x14ac:dyDescent="0.3">
      <c r="U402051" s="25"/>
    </row>
    <row r="402073" spans="21:21" x14ac:dyDescent="0.3">
      <c r="U402073" s="25"/>
    </row>
    <row r="402095" spans="21:21" x14ac:dyDescent="0.3">
      <c r="U402095" s="25"/>
    </row>
    <row r="402117" spans="21:21" x14ac:dyDescent="0.3">
      <c r="U402117" s="25"/>
    </row>
    <row r="402139" spans="21:21" x14ac:dyDescent="0.3">
      <c r="U402139" s="25"/>
    </row>
    <row r="402161" spans="21:21" x14ac:dyDescent="0.3">
      <c r="U402161" s="25"/>
    </row>
    <row r="402183" spans="21:21" x14ac:dyDescent="0.3">
      <c r="U402183" s="25"/>
    </row>
    <row r="402205" spans="21:21" x14ac:dyDescent="0.3">
      <c r="U402205" s="25"/>
    </row>
    <row r="402227" spans="21:21" x14ac:dyDescent="0.3">
      <c r="U402227" s="25"/>
    </row>
    <row r="402249" spans="21:21" x14ac:dyDescent="0.3">
      <c r="U402249" s="25"/>
    </row>
    <row r="402271" spans="21:21" x14ac:dyDescent="0.3">
      <c r="U402271" s="25"/>
    </row>
    <row r="402293" spans="21:21" x14ac:dyDescent="0.3">
      <c r="U402293" s="25"/>
    </row>
    <row r="402315" spans="21:21" x14ac:dyDescent="0.3">
      <c r="U402315" s="25"/>
    </row>
    <row r="402337" spans="21:21" x14ac:dyDescent="0.3">
      <c r="U402337" s="25"/>
    </row>
    <row r="402359" spans="21:21" x14ac:dyDescent="0.3">
      <c r="U402359" s="25"/>
    </row>
    <row r="402381" spans="21:21" x14ac:dyDescent="0.3">
      <c r="U402381" s="25"/>
    </row>
    <row r="402403" spans="21:21" x14ac:dyDescent="0.3">
      <c r="U402403" s="25"/>
    </row>
    <row r="402425" spans="21:21" x14ac:dyDescent="0.3">
      <c r="U402425" s="25"/>
    </row>
    <row r="402447" spans="21:21" x14ac:dyDescent="0.3">
      <c r="U402447" s="25"/>
    </row>
    <row r="402469" spans="21:21" x14ac:dyDescent="0.3">
      <c r="U402469" s="25"/>
    </row>
    <row r="402491" spans="21:21" x14ac:dyDescent="0.3">
      <c r="U402491" s="25"/>
    </row>
    <row r="402513" spans="21:21" x14ac:dyDescent="0.3">
      <c r="U402513" s="25"/>
    </row>
    <row r="402535" spans="21:21" x14ac:dyDescent="0.3">
      <c r="U402535" s="25"/>
    </row>
    <row r="402557" spans="21:21" x14ac:dyDescent="0.3">
      <c r="U402557" s="25"/>
    </row>
    <row r="402579" spans="21:21" x14ac:dyDescent="0.3">
      <c r="U402579" s="25"/>
    </row>
    <row r="402601" spans="21:21" x14ac:dyDescent="0.3">
      <c r="U402601" s="25"/>
    </row>
    <row r="402623" spans="21:21" x14ac:dyDescent="0.3">
      <c r="U402623" s="25"/>
    </row>
    <row r="402645" spans="21:21" x14ac:dyDescent="0.3">
      <c r="U402645" s="25"/>
    </row>
    <row r="402667" spans="21:21" x14ac:dyDescent="0.3">
      <c r="U402667" s="25"/>
    </row>
    <row r="402689" spans="21:21" x14ac:dyDescent="0.3">
      <c r="U402689" s="25"/>
    </row>
    <row r="402711" spans="21:21" x14ac:dyDescent="0.3">
      <c r="U402711" s="25"/>
    </row>
    <row r="402733" spans="21:21" x14ac:dyDescent="0.3">
      <c r="U402733" s="25"/>
    </row>
    <row r="402755" spans="21:21" x14ac:dyDescent="0.3">
      <c r="U402755" s="25"/>
    </row>
    <row r="402777" spans="21:21" x14ac:dyDescent="0.3">
      <c r="U402777" s="25"/>
    </row>
    <row r="402799" spans="21:21" x14ac:dyDescent="0.3">
      <c r="U402799" s="25"/>
    </row>
    <row r="402821" spans="21:21" x14ac:dyDescent="0.3">
      <c r="U402821" s="25"/>
    </row>
    <row r="402843" spans="21:21" x14ac:dyDescent="0.3">
      <c r="U402843" s="25"/>
    </row>
    <row r="402865" spans="21:21" x14ac:dyDescent="0.3">
      <c r="U402865" s="25"/>
    </row>
    <row r="402887" spans="21:21" x14ac:dyDescent="0.3">
      <c r="U402887" s="25"/>
    </row>
    <row r="402909" spans="21:21" x14ac:dyDescent="0.3">
      <c r="U402909" s="25"/>
    </row>
    <row r="402931" spans="21:21" x14ac:dyDescent="0.3">
      <c r="U402931" s="25"/>
    </row>
    <row r="402953" spans="21:21" x14ac:dyDescent="0.3">
      <c r="U402953" s="25"/>
    </row>
    <row r="402975" spans="21:21" x14ac:dyDescent="0.3">
      <c r="U402975" s="25"/>
    </row>
    <row r="402997" spans="21:21" x14ac:dyDescent="0.3">
      <c r="U402997" s="25"/>
    </row>
    <row r="403019" spans="21:21" x14ac:dyDescent="0.3">
      <c r="U403019" s="25"/>
    </row>
    <row r="403041" spans="21:21" x14ac:dyDescent="0.3">
      <c r="U403041" s="25"/>
    </row>
    <row r="403063" spans="21:21" x14ac:dyDescent="0.3">
      <c r="U403063" s="25"/>
    </row>
    <row r="403085" spans="21:21" x14ac:dyDescent="0.3">
      <c r="U403085" s="25"/>
    </row>
    <row r="403107" spans="21:21" x14ac:dyDescent="0.3">
      <c r="U403107" s="25"/>
    </row>
    <row r="403129" spans="21:21" x14ac:dyDescent="0.3">
      <c r="U403129" s="25"/>
    </row>
    <row r="403151" spans="21:21" x14ac:dyDescent="0.3">
      <c r="U403151" s="25"/>
    </row>
    <row r="403173" spans="21:21" x14ac:dyDescent="0.3">
      <c r="U403173" s="25"/>
    </row>
    <row r="403195" spans="21:21" x14ac:dyDescent="0.3">
      <c r="U403195" s="25"/>
    </row>
    <row r="403217" spans="21:21" x14ac:dyDescent="0.3">
      <c r="U403217" s="25"/>
    </row>
    <row r="403239" spans="21:21" x14ac:dyDescent="0.3">
      <c r="U403239" s="25"/>
    </row>
    <row r="403261" spans="21:21" x14ac:dyDescent="0.3">
      <c r="U403261" s="25"/>
    </row>
    <row r="403283" spans="21:21" x14ac:dyDescent="0.3">
      <c r="U403283" s="25"/>
    </row>
    <row r="403305" spans="21:21" x14ac:dyDescent="0.3">
      <c r="U403305" s="25"/>
    </row>
    <row r="403327" spans="21:21" x14ac:dyDescent="0.3">
      <c r="U403327" s="25"/>
    </row>
    <row r="403349" spans="21:21" x14ac:dyDescent="0.3">
      <c r="U403349" s="25"/>
    </row>
    <row r="403371" spans="21:21" x14ac:dyDescent="0.3">
      <c r="U403371" s="25"/>
    </row>
    <row r="403393" spans="21:21" x14ac:dyDescent="0.3">
      <c r="U403393" s="25"/>
    </row>
    <row r="403415" spans="21:21" x14ac:dyDescent="0.3">
      <c r="U403415" s="25"/>
    </row>
    <row r="403437" spans="21:21" x14ac:dyDescent="0.3">
      <c r="U403437" s="25"/>
    </row>
    <row r="403459" spans="21:21" x14ac:dyDescent="0.3">
      <c r="U403459" s="25"/>
    </row>
    <row r="403481" spans="21:21" x14ac:dyDescent="0.3">
      <c r="U403481" s="25"/>
    </row>
    <row r="403503" spans="21:21" x14ac:dyDescent="0.3">
      <c r="U403503" s="25"/>
    </row>
    <row r="403525" spans="21:21" x14ac:dyDescent="0.3">
      <c r="U403525" s="25"/>
    </row>
    <row r="403547" spans="21:21" x14ac:dyDescent="0.3">
      <c r="U403547" s="25"/>
    </row>
    <row r="403569" spans="21:21" x14ac:dyDescent="0.3">
      <c r="U403569" s="25"/>
    </row>
    <row r="403591" spans="21:21" x14ac:dyDescent="0.3">
      <c r="U403591" s="25"/>
    </row>
    <row r="403613" spans="21:21" x14ac:dyDescent="0.3">
      <c r="U403613" s="25"/>
    </row>
    <row r="403635" spans="21:21" x14ac:dyDescent="0.3">
      <c r="U403635" s="25"/>
    </row>
    <row r="403657" spans="21:21" x14ac:dyDescent="0.3">
      <c r="U403657" s="25"/>
    </row>
    <row r="403679" spans="21:21" x14ac:dyDescent="0.3">
      <c r="U403679" s="25"/>
    </row>
    <row r="403701" spans="21:21" x14ac:dyDescent="0.3">
      <c r="U403701" s="25"/>
    </row>
    <row r="403723" spans="21:21" x14ac:dyDescent="0.3">
      <c r="U403723" s="25"/>
    </row>
    <row r="403745" spans="21:21" x14ac:dyDescent="0.3">
      <c r="U403745" s="25"/>
    </row>
    <row r="403767" spans="21:21" x14ac:dyDescent="0.3">
      <c r="U403767" s="25"/>
    </row>
    <row r="403789" spans="21:21" x14ac:dyDescent="0.3">
      <c r="U403789" s="25"/>
    </row>
    <row r="403811" spans="21:21" x14ac:dyDescent="0.3">
      <c r="U403811" s="25"/>
    </row>
    <row r="403833" spans="21:21" x14ac:dyDescent="0.3">
      <c r="U403833" s="25"/>
    </row>
    <row r="403855" spans="21:21" x14ac:dyDescent="0.3">
      <c r="U403855" s="25"/>
    </row>
    <row r="403877" spans="21:21" x14ac:dyDescent="0.3">
      <c r="U403877" s="25"/>
    </row>
    <row r="403899" spans="21:21" x14ac:dyDescent="0.3">
      <c r="U403899" s="25"/>
    </row>
    <row r="403921" spans="21:21" x14ac:dyDescent="0.3">
      <c r="U403921" s="25"/>
    </row>
    <row r="403943" spans="21:21" x14ac:dyDescent="0.3">
      <c r="U403943" s="25"/>
    </row>
    <row r="403965" spans="21:21" x14ac:dyDescent="0.3">
      <c r="U403965" s="25"/>
    </row>
    <row r="403987" spans="21:21" x14ac:dyDescent="0.3">
      <c r="U403987" s="25"/>
    </row>
    <row r="404009" spans="21:21" x14ac:dyDescent="0.3">
      <c r="U404009" s="25"/>
    </row>
    <row r="404031" spans="21:21" x14ac:dyDescent="0.3">
      <c r="U404031" s="25"/>
    </row>
    <row r="404053" spans="21:21" x14ac:dyDescent="0.3">
      <c r="U404053" s="25"/>
    </row>
    <row r="404075" spans="21:21" x14ac:dyDescent="0.3">
      <c r="U404075" s="25"/>
    </row>
    <row r="404097" spans="21:21" x14ac:dyDescent="0.3">
      <c r="U404097" s="25"/>
    </row>
    <row r="404119" spans="21:21" x14ac:dyDescent="0.3">
      <c r="U404119" s="25"/>
    </row>
    <row r="404141" spans="21:21" x14ac:dyDescent="0.3">
      <c r="U404141" s="25"/>
    </row>
    <row r="404163" spans="21:21" x14ac:dyDescent="0.3">
      <c r="U404163" s="25"/>
    </row>
    <row r="404185" spans="21:21" x14ac:dyDescent="0.3">
      <c r="U404185" s="25"/>
    </row>
    <row r="404207" spans="21:21" x14ac:dyDescent="0.3">
      <c r="U404207" s="25"/>
    </row>
    <row r="404229" spans="21:21" x14ac:dyDescent="0.3">
      <c r="U404229" s="25"/>
    </row>
    <row r="404251" spans="21:21" x14ac:dyDescent="0.3">
      <c r="U404251" s="25"/>
    </row>
    <row r="404273" spans="21:21" x14ac:dyDescent="0.3">
      <c r="U404273" s="25"/>
    </row>
    <row r="404295" spans="21:21" x14ac:dyDescent="0.3">
      <c r="U404295" s="25"/>
    </row>
    <row r="404317" spans="21:21" x14ac:dyDescent="0.3">
      <c r="U404317" s="25"/>
    </row>
    <row r="404339" spans="21:21" x14ac:dyDescent="0.3">
      <c r="U404339" s="25"/>
    </row>
    <row r="404361" spans="21:21" x14ac:dyDescent="0.3">
      <c r="U404361" s="25"/>
    </row>
    <row r="404383" spans="21:21" x14ac:dyDescent="0.3">
      <c r="U404383" s="25"/>
    </row>
    <row r="404405" spans="21:21" x14ac:dyDescent="0.3">
      <c r="U404405" s="25"/>
    </row>
    <row r="404427" spans="21:21" x14ac:dyDescent="0.3">
      <c r="U404427" s="25"/>
    </row>
    <row r="404449" spans="21:21" x14ac:dyDescent="0.3">
      <c r="U404449" s="25"/>
    </row>
    <row r="404471" spans="21:21" x14ac:dyDescent="0.3">
      <c r="U404471" s="25"/>
    </row>
    <row r="404493" spans="21:21" x14ac:dyDescent="0.3">
      <c r="U404493" s="25"/>
    </row>
    <row r="404515" spans="21:21" x14ac:dyDescent="0.3">
      <c r="U404515" s="25"/>
    </row>
    <row r="404537" spans="21:21" x14ac:dyDescent="0.3">
      <c r="U404537" s="25"/>
    </row>
    <row r="404559" spans="21:21" x14ac:dyDescent="0.3">
      <c r="U404559" s="25"/>
    </row>
    <row r="404581" spans="21:21" x14ac:dyDescent="0.3">
      <c r="U404581" s="25"/>
    </row>
    <row r="404603" spans="21:21" x14ac:dyDescent="0.3">
      <c r="U404603" s="25"/>
    </row>
    <row r="404625" spans="21:21" x14ac:dyDescent="0.3">
      <c r="U404625" s="25"/>
    </row>
    <row r="404647" spans="21:21" x14ac:dyDescent="0.3">
      <c r="U404647" s="25"/>
    </row>
    <row r="404669" spans="21:21" x14ac:dyDescent="0.3">
      <c r="U404669" s="25"/>
    </row>
    <row r="404691" spans="21:21" x14ac:dyDescent="0.3">
      <c r="U404691" s="25"/>
    </row>
    <row r="404713" spans="21:21" x14ac:dyDescent="0.3">
      <c r="U404713" s="25"/>
    </row>
    <row r="404735" spans="21:21" x14ac:dyDescent="0.3">
      <c r="U404735" s="25"/>
    </row>
    <row r="404757" spans="21:21" x14ac:dyDescent="0.3">
      <c r="U404757" s="25"/>
    </row>
    <row r="404779" spans="21:21" x14ac:dyDescent="0.3">
      <c r="U404779" s="25"/>
    </row>
    <row r="404801" spans="21:21" x14ac:dyDescent="0.3">
      <c r="U404801" s="25"/>
    </row>
    <row r="404823" spans="21:21" x14ac:dyDescent="0.3">
      <c r="U404823" s="25"/>
    </row>
    <row r="404845" spans="21:21" x14ac:dyDescent="0.3">
      <c r="U404845" s="25"/>
    </row>
    <row r="404867" spans="21:21" x14ac:dyDescent="0.3">
      <c r="U404867" s="25"/>
    </row>
    <row r="404889" spans="21:21" x14ac:dyDescent="0.3">
      <c r="U404889" s="25"/>
    </row>
    <row r="404911" spans="21:21" x14ac:dyDescent="0.3">
      <c r="U404911" s="25"/>
    </row>
    <row r="404933" spans="21:21" x14ac:dyDescent="0.3">
      <c r="U404933" s="25"/>
    </row>
    <row r="404955" spans="21:21" x14ac:dyDescent="0.3">
      <c r="U404955" s="25"/>
    </row>
    <row r="404977" spans="21:21" x14ac:dyDescent="0.3">
      <c r="U404977" s="25"/>
    </row>
    <row r="404999" spans="21:21" x14ac:dyDescent="0.3">
      <c r="U404999" s="25"/>
    </row>
    <row r="405021" spans="21:21" x14ac:dyDescent="0.3">
      <c r="U405021" s="25"/>
    </row>
    <row r="405043" spans="21:21" x14ac:dyDescent="0.3">
      <c r="U405043" s="25"/>
    </row>
    <row r="405065" spans="21:21" x14ac:dyDescent="0.3">
      <c r="U405065" s="25"/>
    </row>
    <row r="405087" spans="21:21" x14ac:dyDescent="0.3">
      <c r="U405087" s="25"/>
    </row>
    <row r="405109" spans="21:21" x14ac:dyDescent="0.3">
      <c r="U405109" s="25"/>
    </row>
    <row r="405131" spans="21:21" x14ac:dyDescent="0.3">
      <c r="U405131" s="25"/>
    </row>
    <row r="405153" spans="21:21" x14ac:dyDescent="0.3">
      <c r="U405153" s="25"/>
    </row>
    <row r="405175" spans="21:21" x14ac:dyDescent="0.3">
      <c r="U405175" s="25"/>
    </row>
    <row r="405197" spans="21:21" x14ac:dyDescent="0.3">
      <c r="U405197" s="25"/>
    </row>
    <row r="405219" spans="21:21" x14ac:dyDescent="0.3">
      <c r="U405219" s="25"/>
    </row>
    <row r="405241" spans="21:21" x14ac:dyDescent="0.3">
      <c r="U405241" s="25"/>
    </row>
    <row r="405263" spans="21:21" x14ac:dyDescent="0.3">
      <c r="U405263" s="25"/>
    </row>
    <row r="405285" spans="21:21" x14ac:dyDescent="0.3">
      <c r="U405285" s="25"/>
    </row>
    <row r="405307" spans="21:21" x14ac:dyDescent="0.3">
      <c r="U405307" s="25"/>
    </row>
    <row r="405329" spans="21:21" x14ac:dyDescent="0.3">
      <c r="U405329" s="25"/>
    </row>
    <row r="405351" spans="21:21" x14ac:dyDescent="0.3">
      <c r="U405351" s="25"/>
    </row>
    <row r="405373" spans="21:21" x14ac:dyDescent="0.3">
      <c r="U405373" s="25"/>
    </row>
    <row r="405395" spans="21:21" x14ac:dyDescent="0.3">
      <c r="U405395" s="25"/>
    </row>
    <row r="405417" spans="21:21" x14ac:dyDescent="0.3">
      <c r="U405417" s="25"/>
    </row>
    <row r="405439" spans="21:21" x14ac:dyDescent="0.3">
      <c r="U405439" s="25"/>
    </row>
    <row r="405461" spans="21:21" x14ac:dyDescent="0.3">
      <c r="U405461" s="25"/>
    </row>
    <row r="405483" spans="21:21" x14ac:dyDescent="0.3">
      <c r="U405483" s="25"/>
    </row>
    <row r="405505" spans="21:21" x14ac:dyDescent="0.3">
      <c r="U405505" s="25"/>
    </row>
    <row r="405527" spans="21:21" x14ac:dyDescent="0.3">
      <c r="U405527" s="25"/>
    </row>
    <row r="405549" spans="21:21" x14ac:dyDescent="0.3">
      <c r="U405549" s="25"/>
    </row>
    <row r="405571" spans="21:21" x14ac:dyDescent="0.3">
      <c r="U405571" s="25"/>
    </row>
    <row r="405593" spans="21:21" x14ac:dyDescent="0.3">
      <c r="U405593" s="25"/>
    </row>
    <row r="405615" spans="21:21" x14ac:dyDescent="0.3">
      <c r="U405615" s="25"/>
    </row>
    <row r="405637" spans="21:21" x14ac:dyDescent="0.3">
      <c r="U405637" s="25"/>
    </row>
    <row r="405659" spans="21:21" x14ac:dyDescent="0.3">
      <c r="U405659" s="25"/>
    </row>
    <row r="405681" spans="21:21" x14ac:dyDescent="0.3">
      <c r="U405681" s="25"/>
    </row>
    <row r="405703" spans="21:21" x14ac:dyDescent="0.3">
      <c r="U405703" s="25"/>
    </row>
    <row r="405725" spans="21:21" x14ac:dyDescent="0.3">
      <c r="U405725" s="25"/>
    </row>
    <row r="405747" spans="21:21" x14ac:dyDescent="0.3">
      <c r="U405747" s="25"/>
    </row>
    <row r="405769" spans="21:21" x14ac:dyDescent="0.3">
      <c r="U405769" s="25"/>
    </row>
    <row r="405791" spans="21:21" x14ac:dyDescent="0.3">
      <c r="U405791" s="25"/>
    </row>
    <row r="405813" spans="21:21" x14ac:dyDescent="0.3">
      <c r="U405813" s="25"/>
    </row>
    <row r="405835" spans="21:21" x14ac:dyDescent="0.3">
      <c r="U405835" s="25"/>
    </row>
    <row r="405857" spans="21:21" x14ac:dyDescent="0.3">
      <c r="U405857" s="25"/>
    </row>
    <row r="405879" spans="21:21" x14ac:dyDescent="0.3">
      <c r="U405879" s="25"/>
    </row>
    <row r="405901" spans="21:21" x14ac:dyDescent="0.3">
      <c r="U405901" s="25"/>
    </row>
    <row r="405923" spans="21:21" x14ac:dyDescent="0.3">
      <c r="U405923" s="25"/>
    </row>
    <row r="405945" spans="21:21" x14ac:dyDescent="0.3">
      <c r="U405945" s="25"/>
    </row>
    <row r="405967" spans="21:21" x14ac:dyDescent="0.3">
      <c r="U405967" s="25"/>
    </row>
    <row r="405989" spans="21:21" x14ac:dyDescent="0.3">
      <c r="U405989" s="25"/>
    </row>
    <row r="406011" spans="21:21" x14ac:dyDescent="0.3">
      <c r="U406011" s="25"/>
    </row>
    <row r="406033" spans="21:21" x14ac:dyDescent="0.3">
      <c r="U406033" s="25"/>
    </row>
    <row r="406055" spans="21:21" x14ac:dyDescent="0.3">
      <c r="U406055" s="25"/>
    </row>
    <row r="406077" spans="21:21" x14ac:dyDescent="0.3">
      <c r="U406077" s="25"/>
    </row>
    <row r="406099" spans="21:21" x14ac:dyDescent="0.3">
      <c r="U406099" s="25"/>
    </row>
    <row r="406121" spans="21:21" x14ac:dyDescent="0.3">
      <c r="U406121" s="25"/>
    </row>
    <row r="406143" spans="21:21" x14ac:dyDescent="0.3">
      <c r="U406143" s="25"/>
    </row>
    <row r="406165" spans="21:21" x14ac:dyDescent="0.3">
      <c r="U406165" s="25"/>
    </row>
    <row r="406187" spans="21:21" x14ac:dyDescent="0.3">
      <c r="U406187" s="25"/>
    </row>
    <row r="406209" spans="21:21" x14ac:dyDescent="0.3">
      <c r="U406209" s="25"/>
    </row>
    <row r="406231" spans="21:21" x14ac:dyDescent="0.3">
      <c r="U406231" s="25"/>
    </row>
    <row r="406253" spans="21:21" x14ac:dyDescent="0.3">
      <c r="U406253" s="25"/>
    </row>
    <row r="406275" spans="21:21" x14ac:dyDescent="0.3">
      <c r="U406275" s="25"/>
    </row>
    <row r="406297" spans="21:21" x14ac:dyDescent="0.3">
      <c r="U406297" s="25"/>
    </row>
    <row r="406319" spans="21:21" x14ac:dyDescent="0.3">
      <c r="U406319" s="25"/>
    </row>
    <row r="406341" spans="21:21" x14ac:dyDescent="0.3">
      <c r="U406341" s="25"/>
    </row>
    <row r="406363" spans="21:21" x14ac:dyDescent="0.3">
      <c r="U406363" s="25"/>
    </row>
    <row r="406385" spans="21:21" x14ac:dyDescent="0.3">
      <c r="U406385" s="25"/>
    </row>
    <row r="406407" spans="21:21" x14ac:dyDescent="0.3">
      <c r="U406407" s="25"/>
    </row>
    <row r="406429" spans="21:21" x14ac:dyDescent="0.3">
      <c r="U406429" s="25"/>
    </row>
    <row r="406451" spans="21:21" x14ac:dyDescent="0.3">
      <c r="U406451" s="25"/>
    </row>
    <row r="406473" spans="21:21" x14ac:dyDescent="0.3">
      <c r="U406473" s="25"/>
    </row>
    <row r="406495" spans="21:21" x14ac:dyDescent="0.3">
      <c r="U406495" s="25"/>
    </row>
    <row r="406517" spans="21:21" x14ac:dyDescent="0.3">
      <c r="U406517" s="25"/>
    </row>
    <row r="406539" spans="21:21" x14ac:dyDescent="0.3">
      <c r="U406539" s="25"/>
    </row>
    <row r="406561" spans="21:21" x14ac:dyDescent="0.3">
      <c r="U406561" s="25"/>
    </row>
    <row r="406583" spans="21:21" x14ac:dyDescent="0.3">
      <c r="U406583" s="25"/>
    </row>
    <row r="406605" spans="21:21" x14ac:dyDescent="0.3">
      <c r="U406605" s="25"/>
    </row>
    <row r="406627" spans="21:21" x14ac:dyDescent="0.3">
      <c r="U406627" s="25"/>
    </row>
    <row r="406649" spans="21:21" x14ac:dyDescent="0.3">
      <c r="U406649" s="25"/>
    </row>
    <row r="406671" spans="21:21" x14ac:dyDescent="0.3">
      <c r="U406671" s="25"/>
    </row>
    <row r="406693" spans="21:21" x14ac:dyDescent="0.3">
      <c r="U406693" s="25"/>
    </row>
    <row r="406715" spans="21:21" x14ac:dyDescent="0.3">
      <c r="U406715" s="25"/>
    </row>
    <row r="406737" spans="21:21" x14ac:dyDescent="0.3">
      <c r="U406737" s="25"/>
    </row>
    <row r="406759" spans="21:21" x14ac:dyDescent="0.3">
      <c r="U406759" s="25"/>
    </row>
    <row r="406781" spans="21:21" x14ac:dyDescent="0.3">
      <c r="U406781" s="25"/>
    </row>
    <row r="406803" spans="21:21" x14ac:dyDescent="0.3">
      <c r="U406803" s="25"/>
    </row>
    <row r="406825" spans="21:21" x14ac:dyDescent="0.3">
      <c r="U406825" s="25"/>
    </row>
    <row r="406847" spans="21:21" x14ac:dyDescent="0.3">
      <c r="U406847" s="25"/>
    </row>
    <row r="406869" spans="21:21" x14ac:dyDescent="0.3">
      <c r="U406869" s="25"/>
    </row>
    <row r="406891" spans="21:21" x14ac:dyDescent="0.3">
      <c r="U406891" s="25"/>
    </row>
    <row r="406913" spans="21:21" x14ac:dyDescent="0.3">
      <c r="U406913" s="25"/>
    </row>
    <row r="406935" spans="21:21" x14ac:dyDescent="0.3">
      <c r="U406935" s="25"/>
    </row>
    <row r="406957" spans="21:21" x14ac:dyDescent="0.3">
      <c r="U406957" s="25"/>
    </row>
    <row r="406979" spans="21:21" x14ac:dyDescent="0.3">
      <c r="U406979" s="25"/>
    </row>
    <row r="407001" spans="21:21" x14ac:dyDescent="0.3">
      <c r="U407001" s="25"/>
    </row>
    <row r="407023" spans="21:21" x14ac:dyDescent="0.3">
      <c r="U407023" s="25"/>
    </row>
    <row r="407045" spans="21:21" x14ac:dyDescent="0.3">
      <c r="U407045" s="25"/>
    </row>
    <row r="407067" spans="21:21" x14ac:dyDescent="0.3">
      <c r="U407067" s="25"/>
    </row>
    <row r="407089" spans="21:21" x14ac:dyDescent="0.3">
      <c r="U407089" s="25"/>
    </row>
    <row r="407111" spans="21:21" x14ac:dyDescent="0.3">
      <c r="U407111" s="25"/>
    </row>
    <row r="407133" spans="21:21" x14ac:dyDescent="0.3">
      <c r="U407133" s="25"/>
    </row>
    <row r="407155" spans="21:21" x14ac:dyDescent="0.3">
      <c r="U407155" s="25"/>
    </row>
    <row r="407177" spans="21:21" x14ac:dyDescent="0.3">
      <c r="U407177" s="25"/>
    </row>
    <row r="407199" spans="21:21" x14ac:dyDescent="0.3">
      <c r="U407199" s="25"/>
    </row>
    <row r="407221" spans="21:21" x14ac:dyDescent="0.3">
      <c r="U407221" s="25"/>
    </row>
    <row r="407243" spans="21:21" x14ac:dyDescent="0.3">
      <c r="U407243" s="25"/>
    </row>
    <row r="407265" spans="21:21" x14ac:dyDescent="0.3">
      <c r="U407265" s="25"/>
    </row>
    <row r="407287" spans="21:21" x14ac:dyDescent="0.3">
      <c r="U407287" s="25"/>
    </row>
    <row r="407309" spans="21:21" x14ac:dyDescent="0.3">
      <c r="U407309" s="25"/>
    </row>
    <row r="407331" spans="21:21" x14ac:dyDescent="0.3">
      <c r="U407331" s="25"/>
    </row>
    <row r="407353" spans="21:21" x14ac:dyDescent="0.3">
      <c r="U407353" s="25"/>
    </row>
    <row r="407375" spans="21:21" x14ac:dyDescent="0.3">
      <c r="U407375" s="25"/>
    </row>
    <row r="407397" spans="21:21" x14ac:dyDescent="0.3">
      <c r="U407397" s="25"/>
    </row>
    <row r="407419" spans="21:21" x14ac:dyDescent="0.3">
      <c r="U407419" s="25"/>
    </row>
    <row r="407441" spans="21:21" x14ac:dyDescent="0.3">
      <c r="U407441" s="25"/>
    </row>
    <row r="407463" spans="21:21" x14ac:dyDescent="0.3">
      <c r="U407463" s="25"/>
    </row>
    <row r="407485" spans="21:21" x14ac:dyDescent="0.3">
      <c r="U407485" s="25"/>
    </row>
    <row r="407507" spans="21:21" x14ac:dyDescent="0.3">
      <c r="U407507" s="25"/>
    </row>
    <row r="407529" spans="21:21" x14ac:dyDescent="0.3">
      <c r="U407529" s="25"/>
    </row>
    <row r="407551" spans="21:21" x14ac:dyDescent="0.3">
      <c r="U407551" s="25"/>
    </row>
    <row r="407573" spans="21:21" x14ac:dyDescent="0.3">
      <c r="U407573" s="25"/>
    </row>
    <row r="407595" spans="21:21" x14ac:dyDescent="0.3">
      <c r="U407595" s="25"/>
    </row>
    <row r="407617" spans="21:21" x14ac:dyDescent="0.3">
      <c r="U407617" s="25"/>
    </row>
    <row r="407639" spans="21:21" x14ac:dyDescent="0.3">
      <c r="U407639" s="25"/>
    </row>
    <row r="407661" spans="21:21" x14ac:dyDescent="0.3">
      <c r="U407661" s="25"/>
    </row>
    <row r="407683" spans="21:21" x14ac:dyDescent="0.3">
      <c r="U407683" s="25"/>
    </row>
    <row r="407705" spans="21:21" x14ac:dyDescent="0.3">
      <c r="U407705" s="25"/>
    </row>
    <row r="407727" spans="21:21" x14ac:dyDescent="0.3">
      <c r="U407727" s="25"/>
    </row>
    <row r="407749" spans="21:21" x14ac:dyDescent="0.3">
      <c r="U407749" s="25"/>
    </row>
    <row r="407771" spans="21:21" x14ac:dyDescent="0.3">
      <c r="U407771" s="25"/>
    </row>
    <row r="407793" spans="21:21" x14ac:dyDescent="0.3">
      <c r="U407793" s="25"/>
    </row>
    <row r="407815" spans="21:21" x14ac:dyDescent="0.3">
      <c r="U407815" s="25"/>
    </row>
    <row r="407837" spans="21:21" x14ac:dyDescent="0.3">
      <c r="U407837" s="25"/>
    </row>
    <row r="407859" spans="21:21" x14ac:dyDescent="0.3">
      <c r="U407859" s="25"/>
    </row>
    <row r="407881" spans="21:21" x14ac:dyDescent="0.3">
      <c r="U407881" s="25"/>
    </row>
    <row r="407903" spans="21:21" x14ac:dyDescent="0.3">
      <c r="U407903" s="25"/>
    </row>
    <row r="407925" spans="21:21" x14ac:dyDescent="0.3">
      <c r="U407925" s="25"/>
    </row>
    <row r="407947" spans="21:21" x14ac:dyDescent="0.3">
      <c r="U407947" s="25"/>
    </row>
    <row r="407969" spans="21:21" x14ac:dyDescent="0.3">
      <c r="U407969" s="25"/>
    </row>
    <row r="407991" spans="21:21" x14ac:dyDescent="0.3">
      <c r="U407991" s="25"/>
    </row>
    <row r="408013" spans="21:21" x14ac:dyDescent="0.3">
      <c r="U408013" s="25"/>
    </row>
    <row r="408035" spans="21:21" x14ac:dyDescent="0.3">
      <c r="U408035" s="25"/>
    </row>
    <row r="408057" spans="21:21" x14ac:dyDescent="0.3">
      <c r="U408057" s="25"/>
    </row>
    <row r="408079" spans="21:21" x14ac:dyDescent="0.3">
      <c r="U408079" s="25"/>
    </row>
    <row r="408101" spans="21:21" x14ac:dyDescent="0.3">
      <c r="U408101" s="25"/>
    </row>
    <row r="408123" spans="21:21" x14ac:dyDescent="0.3">
      <c r="U408123" s="25"/>
    </row>
    <row r="408145" spans="21:21" x14ac:dyDescent="0.3">
      <c r="U408145" s="25"/>
    </row>
    <row r="408167" spans="21:21" x14ac:dyDescent="0.3">
      <c r="U408167" s="25"/>
    </row>
    <row r="408189" spans="21:21" x14ac:dyDescent="0.3">
      <c r="U408189" s="25"/>
    </row>
    <row r="408211" spans="21:21" x14ac:dyDescent="0.3">
      <c r="U408211" s="25"/>
    </row>
    <row r="408233" spans="21:21" x14ac:dyDescent="0.3">
      <c r="U408233" s="25"/>
    </row>
    <row r="408255" spans="21:21" x14ac:dyDescent="0.3">
      <c r="U408255" s="25"/>
    </row>
    <row r="408277" spans="21:21" x14ac:dyDescent="0.3">
      <c r="U408277" s="25"/>
    </row>
    <row r="408299" spans="21:21" x14ac:dyDescent="0.3">
      <c r="U408299" s="25"/>
    </row>
    <row r="408321" spans="21:21" x14ac:dyDescent="0.3">
      <c r="U408321" s="25"/>
    </row>
    <row r="408343" spans="21:21" x14ac:dyDescent="0.3">
      <c r="U408343" s="25"/>
    </row>
    <row r="408365" spans="21:21" x14ac:dyDescent="0.3">
      <c r="U408365" s="25"/>
    </row>
    <row r="408387" spans="21:21" x14ac:dyDescent="0.3">
      <c r="U408387" s="25"/>
    </row>
    <row r="408409" spans="21:21" x14ac:dyDescent="0.3">
      <c r="U408409" s="25"/>
    </row>
    <row r="408431" spans="21:21" x14ac:dyDescent="0.3">
      <c r="U408431" s="25"/>
    </row>
    <row r="408453" spans="21:21" x14ac:dyDescent="0.3">
      <c r="U408453" s="25"/>
    </row>
    <row r="408475" spans="21:21" x14ac:dyDescent="0.3">
      <c r="U408475" s="25"/>
    </row>
    <row r="408497" spans="21:21" x14ac:dyDescent="0.3">
      <c r="U408497" s="25"/>
    </row>
    <row r="408519" spans="21:21" x14ac:dyDescent="0.3">
      <c r="U408519" s="25"/>
    </row>
    <row r="408541" spans="21:21" x14ac:dyDescent="0.3">
      <c r="U408541" s="25"/>
    </row>
    <row r="408563" spans="21:21" x14ac:dyDescent="0.3">
      <c r="U408563" s="25"/>
    </row>
    <row r="408585" spans="21:21" x14ac:dyDescent="0.3">
      <c r="U408585" s="25"/>
    </row>
    <row r="408607" spans="21:21" x14ac:dyDescent="0.3">
      <c r="U408607" s="25"/>
    </row>
    <row r="408629" spans="21:21" x14ac:dyDescent="0.3">
      <c r="U408629" s="25"/>
    </row>
    <row r="408651" spans="21:21" x14ac:dyDescent="0.3">
      <c r="U408651" s="25"/>
    </row>
    <row r="408673" spans="21:21" x14ac:dyDescent="0.3">
      <c r="U408673" s="25"/>
    </row>
    <row r="408695" spans="21:21" x14ac:dyDescent="0.3">
      <c r="U408695" s="25"/>
    </row>
    <row r="408717" spans="21:21" x14ac:dyDescent="0.3">
      <c r="U408717" s="25"/>
    </row>
    <row r="408739" spans="21:21" x14ac:dyDescent="0.3">
      <c r="U408739" s="25"/>
    </row>
    <row r="408761" spans="21:21" x14ac:dyDescent="0.3">
      <c r="U408761" s="25"/>
    </row>
    <row r="408783" spans="21:21" x14ac:dyDescent="0.3">
      <c r="U408783" s="25"/>
    </row>
    <row r="408805" spans="21:21" x14ac:dyDescent="0.3">
      <c r="U408805" s="25"/>
    </row>
    <row r="408827" spans="21:21" x14ac:dyDescent="0.3">
      <c r="U408827" s="25"/>
    </row>
    <row r="408849" spans="21:21" x14ac:dyDescent="0.3">
      <c r="U408849" s="25"/>
    </row>
    <row r="408871" spans="21:21" x14ac:dyDescent="0.3">
      <c r="U408871" s="25"/>
    </row>
    <row r="408893" spans="21:21" x14ac:dyDescent="0.3">
      <c r="U408893" s="25"/>
    </row>
    <row r="408915" spans="21:21" x14ac:dyDescent="0.3">
      <c r="U408915" s="25"/>
    </row>
    <row r="408937" spans="21:21" x14ac:dyDescent="0.3">
      <c r="U408937" s="25"/>
    </row>
    <row r="408959" spans="21:21" x14ac:dyDescent="0.3">
      <c r="U408959" s="25"/>
    </row>
    <row r="408981" spans="21:21" x14ac:dyDescent="0.3">
      <c r="U408981" s="25"/>
    </row>
    <row r="409003" spans="21:21" x14ac:dyDescent="0.3">
      <c r="U409003" s="25"/>
    </row>
    <row r="409025" spans="21:21" x14ac:dyDescent="0.3">
      <c r="U409025" s="25"/>
    </row>
    <row r="409047" spans="21:21" x14ac:dyDescent="0.3">
      <c r="U409047" s="25"/>
    </row>
    <row r="409069" spans="21:21" x14ac:dyDescent="0.3">
      <c r="U409069" s="25"/>
    </row>
    <row r="409091" spans="21:21" x14ac:dyDescent="0.3">
      <c r="U409091" s="25"/>
    </row>
    <row r="409113" spans="21:21" x14ac:dyDescent="0.3">
      <c r="U409113" s="25"/>
    </row>
    <row r="409135" spans="21:21" x14ac:dyDescent="0.3">
      <c r="U409135" s="25"/>
    </row>
    <row r="409157" spans="21:21" x14ac:dyDescent="0.3">
      <c r="U409157" s="25"/>
    </row>
    <row r="409179" spans="21:21" x14ac:dyDescent="0.3">
      <c r="U409179" s="25"/>
    </row>
    <row r="409201" spans="21:21" x14ac:dyDescent="0.3">
      <c r="U409201" s="25"/>
    </row>
    <row r="409223" spans="21:21" x14ac:dyDescent="0.3">
      <c r="U409223" s="25"/>
    </row>
    <row r="409245" spans="21:21" x14ac:dyDescent="0.3">
      <c r="U409245" s="25"/>
    </row>
    <row r="409267" spans="21:21" x14ac:dyDescent="0.3">
      <c r="U409267" s="25"/>
    </row>
    <row r="409289" spans="21:21" x14ac:dyDescent="0.3">
      <c r="U409289" s="25"/>
    </row>
    <row r="409311" spans="21:21" x14ac:dyDescent="0.3">
      <c r="U409311" s="25"/>
    </row>
    <row r="409333" spans="21:21" x14ac:dyDescent="0.3">
      <c r="U409333" s="25"/>
    </row>
    <row r="409355" spans="21:21" x14ac:dyDescent="0.3">
      <c r="U409355" s="25"/>
    </row>
    <row r="409377" spans="21:21" x14ac:dyDescent="0.3">
      <c r="U409377" s="25"/>
    </row>
    <row r="409399" spans="21:21" x14ac:dyDescent="0.3">
      <c r="U409399" s="25"/>
    </row>
    <row r="409421" spans="21:21" x14ac:dyDescent="0.3">
      <c r="U409421" s="25"/>
    </row>
    <row r="409443" spans="21:21" x14ac:dyDescent="0.3">
      <c r="U409443" s="25"/>
    </row>
    <row r="409465" spans="21:21" x14ac:dyDescent="0.3">
      <c r="U409465" s="25"/>
    </row>
    <row r="409487" spans="21:21" x14ac:dyDescent="0.3">
      <c r="U409487" s="25"/>
    </row>
    <row r="409509" spans="21:21" x14ac:dyDescent="0.3">
      <c r="U409509" s="25"/>
    </row>
    <row r="409531" spans="21:21" x14ac:dyDescent="0.3">
      <c r="U409531" s="25"/>
    </row>
    <row r="409553" spans="21:21" x14ac:dyDescent="0.3">
      <c r="U409553" s="25"/>
    </row>
    <row r="409575" spans="21:21" x14ac:dyDescent="0.3">
      <c r="U409575" s="25"/>
    </row>
    <row r="409597" spans="21:21" x14ac:dyDescent="0.3">
      <c r="U409597" s="25"/>
    </row>
    <row r="409619" spans="21:21" x14ac:dyDescent="0.3">
      <c r="U409619" s="25"/>
    </row>
    <row r="409641" spans="21:21" x14ac:dyDescent="0.3">
      <c r="U409641" s="25"/>
    </row>
    <row r="409663" spans="21:21" x14ac:dyDescent="0.3">
      <c r="U409663" s="25"/>
    </row>
    <row r="409685" spans="21:21" x14ac:dyDescent="0.3">
      <c r="U409685" s="25"/>
    </row>
    <row r="409707" spans="21:21" x14ac:dyDescent="0.3">
      <c r="U409707" s="25"/>
    </row>
    <row r="409729" spans="21:21" x14ac:dyDescent="0.3">
      <c r="U409729" s="25"/>
    </row>
    <row r="409751" spans="21:21" x14ac:dyDescent="0.3">
      <c r="U409751" s="25"/>
    </row>
    <row r="409773" spans="21:21" x14ac:dyDescent="0.3">
      <c r="U409773" s="25"/>
    </row>
    <row r="409795" spans="21:21" x14ac:dyDescent="0.3">
      <c r="U409795" s="25"/>
    </row>
    <row r="409817" spans="21:21" x14ac:dyDescent="0.3">
      <c r="U409817" s="25"/>
    </row>
    <row r="409839" spans="21:21" x14ac:dyDescent="0.3">
      <c r="U409839" s="25"/>
    </row>
    <row r="409861" spans="21:21" x14ac:dyDescent="0.3">
      <c r="U409861" s="25"/>
    </row>
    <row r="409883" spans="21:21" x14ac:dyDescent="0.3">
      <c r="U409883" s="25"/>
    </row>
    <row r="409905" spans="21:21" x14ac:dyDescent="0.3">
      <c r="U409905" s="25"/>
    </row>
    <row r="409927" spans="21:21" x14ac:dyDescent="0.3">
      <c r="U409927" s="25"/>
    </row>
    <row r="409949" spans="21:21" x14ac:dyDescent="0.3">
      <c r="U409949" s="25"/>
    </row>
    <row r="409971" spans="21:21" x14ac:dyDescent="0.3">
      <c r="U409971" s="25"/>
    </row>
    <row r="409993" spans="21:21" x14ac:dyDescent="0.3">
      <c r="U409993" s="25"/>
    </row>
    <row r="410015" spans="21:21" x14ac:dyDescent="0.3">
      <c r="U410015" s="25"/>
    </row>
    <row r="410037" spans="21:21" x14ac:dyDescent="0.3">
      <c r="U410037" s="25"/>
    </row>
    <row r="410059" spans="21:21" x14ac:dyDescent="0.3">
      <c r="U410059" s="25"/>
    </row>
    <row r="410081" spans="21:21" x14ac:dyDescent="0.3">
      <c r="U410081" s="25"/>
    </row>
    <row r="410103" spans="21:21" x14ac:dyDescent="0.3">
      <c r="U410103" s="25"/>
    </row>
    <row r="410125" spans="21:21" x14ac:dyDescent="0.3">
      <c r="U410125" s="25"/>
    </row>
    <row r="410147" spans="21:21" x14ac:dyDescent="0.3">
      <c r="U410147" s="25"/>
    </row>
    <row r="410169" spans="21:21" x14ac:dyDescent="0.3">
      <c r="U410169" s="25"/>
    </row>
    <row r="410191" spans="21:21" x14ac:dyDescent="0.3">
      <c r="U410191" s="25"/>
    </row>
    <row r="410213" spans="21:21" x14ac:dyDescent="0.3">
      <c r="U410213" s="25"/>
    </row>
    <row r="410235" spans="21:21" x14ac:dyDescent="0.3">
      <c r="U410235" s="25"/>
    </row>
    <row r="410257" spans="21:21" x14ac:dyDescent="0.3">
      <c r="U410257" s="25"/>
    </row>
    <row r="410279" spans="21:21" x14ac:dyDescent="0.3">
      <c r="U410279" s="25"/>
    </row>
    <row r="410301" spans="21:21" x14ac:dyDescent="0.3">
      <c r="U410301" s="25"/>
    </row>
    <row r="410323" spans="21:21" x14ac:dyDescent="0.3">
      <c r="U410323" s="25"/>
    </row>
    <row r="410345" spans="21:21" x14ac:dyDescent="0.3">
      <c r="U410345" s="25"/>
    </row>
    <row r="410367" spans="21:21" x14ac:dyDescent="0.3">
      <c r="U410367" s="25"/>
    </row>
    <row r="410389" spans="21:21" x14ac:dyDescent="0.3">
      <c r="U410389" s="25"/>
    </row>
    <row r="410411" spans="21:21" x14ac:dyDescent="0.3">
      <c r="U410411" s="25"/>
    </row>
    <row r="410433" spans="21:21" x14ac:dyDescent="0.3">
      <c r="U410433" s="25"/>
    </row>
    <row r="410455" spans="21:21" x14ac:dyDescent="0.3">
      <c r="U410455" s="25"/>
    </row>
    <row r="410477" spans="21:21" x14ac:dyDescent="0.3">
      <c r="U410477" s="25"/>
    </row>
    <row r="410499" spans="21:21" x14ac:dyDescent="0.3">
      <c r="U410499" s="25"/>
    </row>
    <row r="410521" spans="21:21" x14ac:dyDescent="0.3">
      <c r="U410521" s="25"/>
    </row>
    <row r="410543" spans="21:21" x14ac:dyDescent="0.3">
      <c r="U410543" s="25"/>
    </row>
    <row r="410565" spans="21:21" x14ac:dyDescent="0.3">
      <c r="U410565" s="25"/>
    </row>
    <row r="410587" spans="21:21" x14ac:dyDescent="0.3">
      <c r="U410587" s="25"/>
    </row>
    <row r="410609" spans="21:21" x14ac:dyDescent="0.3">
      <c r="U410609" s="25"/>
    </row>
    <row r="410631" spans="21:21" x14ac:dyDescent="0.3">
      <c r="U410631" s="25"/>
    </row>
    <row r="410653" spans="21:21" x14ac:dyDescent="0.3">
      <c r="U410653" s="25"/>
    </row>
    <row r="410675" spans="21:21" x14ac:dyDescent="0.3">
      <c r="U410675" s="25"/>
    </row>
    <row r="410697" spans="21:21" x14ac:dyDescent="0.3">
      <c r="U410697" s="25"/>
    </row>
    <row r="410719" spans="21:21" x14ac:dyDescent="0.3">
      <c r="U410719" s="25"/>
    </row>
    <row r="410741" spans="21:21" x14ac:dyDescent="0.3">
      <c r="U410741" s="25"/>
    </row>
    <row r="410763" spans="21:21" x14ac:dyDescent="0.3">
      <c r="U410763" s="25"/>
    </row>
    <row r="410785" spans="21:21" x14ac:dyDescent="0.3">
      <c r="U410785" s="25"/>
    </row>
    <row r="410807" spans="21:21" x14ac:dyDescent="0.3">
      <c r="U410807" s="25"/>
    </row>
    <row r="410829" spans="21:21" x14ac:dyDescent="0.3">
      <c r="U410829" s="25"/>
    </row>
    <row r="410851" spans="21:21" x14ac:dyDescent="0.3">
      <c r="U410851" s="25"/>
    </row>
    <row r="410873" spans="21:21" x14ac:dyDescent="0.3">
      <c r="U410873" s="25"/>
    </row>
    <row r="410895" spans="21:21" x14ac:dyDescent="0.3">
      <c r="U410895" s="25"/>
    </row>
    <row r="410917" spans="21:21" x14ac:dyDescent="0.3">
      <c r="U410917" s="25"/>
    </row>
    <row r="410939" spans="21:21" x14ac:dyDescent="0.3">
      <c r="U410939" s="25"/>
    </row>
    <row r="410961" spans="21:21" x14ac:dyDescent="0.3">
      <c r="U410961" s="25"/>
    </row>
    <row r="410983" spans="21:21" x14ac:dyDescent="0.3">
      <c r="U410983" s="25"/>
    </row>
    <row r="411005" spans="21:21" x14ac:dyDescent="0.3">
      <c r="U411005" s="25"/>
    </row>
    <row r="411027" spans="21:21" x14ac:dyDescent="0.3">
      <c r="U411027" s="25"/>
    </row>
    <row r="411049" spans="21:21" x14ac:dyDescent="0.3">
      <c r="U411049" s="25"/>
    </row>
    <row r="411071" spans="21:21" x14ac:dyDescent="0.3">
      <c r="U411071" s="25"/>
    </row>
    <row r="411093" spans="21:21" x14ac:dyDescent="0.3">
      <c r="U411093" s="25"/>
    </row>
    <row r="411115" spans="21:21" x14ac:dyDescent="0.3">
      <c r="U411115" s="25"/>
    </row>
    <row r="411137" spans="21:21" x14ac:dyDescent="0.3">
      <c r="U411137" s="25"/>
    </row>
    <row r="411159" spans="21:21" x14ac:dyDescent="0.3">
      <c r="U411159" s="25"/>
    </row>
    <row r="411181" spans="21:21" x14ac:dyDescent="0.3">
      <c r="U411181" s="25"/>
    </row>
    <row r="411203" spans="21:21" x14ac:dyDescent="0.3">
      <c r="U411203" s="25"/>
    </row>
    <row r="411225" spans="21:21" x14ac:dyDescent="0.3">
      <c r="U411225" s="25"/>
    </row>
    <row r="411247" spans="21:21" x14ac:dyDescent="0.3">
      <c r="U411247" s="25"/>
    </row>
    <row r="411269" spans="21:21" x14ac:dyDescent="0.3">
      <c r="U411269" s="25"/>
    </row>
    <row r="411291" spans="21:21" x14ac:dyDescent="0.3">
      <c r="U411291" s="25"/>
    </row>
    <row r="411313" spans="21:21" x14ac:dyDescent="0.3">
      <c r="U411313" s="25"/>
    </row>
    <row r="411335" spans="21:21" x14ac:dyDescent="0.3">
      <c r="U411335" s="25"/>
    </row>
    <row r="411357" spans="21:21" x14ac:dyDescent="0.3">
      <c r="U411357" s="25"/>
    </row>
    <row r="411379" spans="21:21" x14ac:dyDescent="0.3">
      <c r="U411379" s="25"/>
    </row>
    <row r="411401" spans="21:21" x14ac:dyDescent="0.3">
      <c r="U411401" s="25"/>
    </row>
    <row r="411423" spans="21:21" x14ac:dyDescent="0.3">
      <c r="U411423" s="25"/>
    </row>
    <row r="411445" spans="21:21" x14ac:dyDescent="0.3">
      <c r="U411445" s="25"/>
    </row>
    <row r="411467" spans="21:21" x14ac:dyDescent="0.3">
      <c r="U411467" s="25"/>
    </row>
    <row r="411489" spans="21:21" x14ac:dyDescent="0.3">
      <c r="U411489" s="25"/>
    </row>
    <row r="411511" spans="21:21" x14ac:dyDescent="0.3">
      <c r="U411511" s="25"/>
    </row>
    <row r="411533" spans="21:21" x14ac:dyDescent="0.3">
      <c r="U411533" s="25"/>
    </row>
    <row r="411555" spans="21:21" x14ac:dyDescent="0.3">
      <c r="U411555" s="25"/>
    </row>
    <row r="411577" spans="21:21" x14ac:dyDescent="0.3">
      <c r="U411577" s="25"/>
    </row>
    <row r="411599" spans="21:21" x14ac:dyDescent="0.3">
      <c r="U411599" s="25"/>
    </row>
    <row r="411621" spans="21:21" x14ac:dyDescent="0.3">
      <c r="U411621" s="25"/>
    </row>
    <row r="411643" spans="21:21" x14ac:dyDescent="0.3">
      <c r="U411643" s="25"/>
    </row>
    <row r="411665" spans="21:21" x14ac:dyDescent="0.3">
      <c r="U411665" s="25"/>
    </row>
    <row r="411687" spans="21:21" x14ac:dyDescent="0.3">
      <c r="U411687" s="25"/>
    </row>
    <row r="411709" spans="21:21" x14ac:dyDescent="0.3">
      <c r="U411709" s="25"/>
    </row>
    <row r="411731" spans="21:21" x14ac:dyDescent="0.3">
      <c r="U411731" s="25"/>
    </row>
    <row r="411753" spans="21:21" x14ac:dyDescent="0.3">
      <c r="U411753" s="25"/>
    </row>
    <row r="411775" spans="21:21" x14ac:dyDescent="0.3">
      <c r="U411775" s="25"/>
    </row>
    <row r="411797" spans="21:21" x14ac:dyDescent="0.3">
      <c r="U411797" s="25"/>
    </row>
    <row r="411819" spans="21:21" x14ac:dyDescent="0.3">
      <c r="U411819" s="25"/>
    </row>
    <row r="411841" spans="21:21" x14ac:dyDescent="0.3">
      <c r="U411841" s="25"/>
    </row>
    <row r="411863" spans="21:21" x14ac:dyDescent="0.3">
      <c r="U411863" s="25"/>
    </row>
    <row r="411885" spans="21:21" x14ac:dyDescent="0.3">
      <c r="U411885" s="25"/>
    </row>
    <row r="411907" spans="21:21" x14ac:dyDescent="0.3">
      <c r="U411907" s="25"/>
    </row>
    <row r="411929" spans="21:21" x14ac:dyDescent="0.3">
      <c r="U411929" s="25"/>
    </row>
    <row r="411951" spans="21:21" x14ac:dyDescent="0.3">
      <c r="U411951" s="25"/>
    </row>
    <row r="411973" spans="21:21" x14ac:dyDescent="0.3">
      <c r="U411973" s="25"/>
    </row>
    <row r="411995" spans="21:21" x14ac:dyDescent="0.3">
      <c r="U411995" s="25"/>
    </row>
    <row r="412017" spans="21:21" x14ac:dyDescent="0.3">
      <c r="U412017" s="25"/>
    </row>
    <row r="412039" spans="21:21" x14ac:dyDescent="0.3">
      <c r="U412039" s="25"/>
    </row>
    <row r="412061" spans="21:21" x14ac:dyDescent="0.3">
      <c r="U412061" s="25"/>
    </row>
    <row r="412083" spans="21:21" x14ac:dyDescent="0.3">
      <c r="U412083" s="25"/>
    </row>
    <row r="412105" spans="21:21" x14ac:dyDescent="0.3">
      <c r="U412105" s="25"/>
    </row>
    <row r="412127" spans="21:21" x14ac:dyDescent="0.3">
      <c r="U412127" s="25"/>
    </row>
    <row r="412149" spans="21:21" x14ac:dyDescent="0.3">
      <c r="U412149" s="25"/>
    </row>
    <row r="412171" spans="21:21" x14ac:dyDescent="0.3">
      <c r="U412171" s="25"/>
    </row>
    <row r="412193" spans="21:21" x14ac:dyDescent="0.3">
      <c r="U412193" s="25"/>
    </row>
    <row r="412215" spans="21:21" x14ac:dyDescent="0.3">
      <c r="U412215" s="25"/>
    </row>
    <row r="412237" spans="21:21" x14ac:dyDescent="0.3">
      <c r="U412237" s="25"/>
    </row>
    <row r="412259" spans="21:21" x14ac:dyDescent="0.3">
      <c r="U412259" s="25"/>
    </row>
    <row r="412281" spans="21:21" x14ac:dyDescent="0.3">
      <c r="U412281" s="25"/>
    </row>
    <row r="412303" spans="21:21" x14ac:dyDescent="0.3">
      <c r="U412303" s="25"/>
    </row>
    <row r="412325" spans="21:21" x14ac:dyDescent="0.3">
      <c r="U412325" s="25"/>
    </row>
    <row r="412347" spans="21:21" x14ac:dyDescent="0.3">
      <c r="U412347" s="25"/>
    </row>
    <row r="412369" spans="21:21" x14ac:dyDescent="0.3">
      <c r="U412369" s="25"/>
    </row>
    <row r="412391" spans="21:21" x14ac:dyDescent="0.3">
      <c r="U412391" s="25"/>
    </row>
    <row r="412413" spans="21:21" x14ac:dyDescent="0.3">
      <c r="U412413" s="25"/>
    </row>
    <row r="412435" spans="21:21" x14ac:dyDescent="0.3">
      <c r="U412435" s="25"/>
    </row>
    <row r="412457" spans="21:21" x14ac:dyDescent="0.3">
      <c r="U412457" s="25"/>
    </row>
    <row r="412479" spans="21:21" x14ac:dyDescent="0.3">
      <c r="U412479" s="25"/>
    </row>
    <row r="412501" spans="21:21" x14ac:dyDescent="0.3">
      <c r="U412501" s="25"/>
    </row>
    <row r="412523" spans="21:21" x14ac:dyDescent="0.3">
      <c r="U412523" s="25"/>
    </row>
    <row r="412545" spans="21:21" x14ac:dyDescent="0.3">
      <c r="U412545" s="25"/>
    </row>
    <row r="412567" spans="21:21" x14ac:dyDescent="0.3">
      <c r="U412567" s="25"/>
    </row>
    <row r="412589" spans="21:21" x14ac:dyDescent="0.3">
      <c r="U412589" s="25"/>
    </row>
    <row r="412611" spans="21:21" x14ac:dyDescent="0.3">
      <c r="U412611" s="25"/>
    </row>
    <row r="412633" spans="21:21" x14ac:dyDescent="0.3">
      <c r="U412633" s="25"/>
    </row>
    <row r="412655" spans="21:21" x14ac:dyDescent="0.3">
      <c r="U412655" s="25"/>
    </row>
    <row r="412677" spans="21:21" x14ac:dyDescent="0.3">
      <c r="U412677" s="25"/>
    </row>
    <row r="412699" spans="21:21" x14ac:dyDescent="0.3">
      <c r="U412699" s="25"/>
    </row>
    <row r="412721" spans="21:21" x14ac:dyDescent="0.3">
      <c r="U412721" s="25"/>
    </row>
    <row r="412743" spans="21:21" x14ac:dyDescent="0.3">
      <c r="U412743" s="25"/>
    </row>
    <row r="412765" spans="21:21" x14ac:dyDescent="0.3">
      <c r="U412765" s="25"/>
    </row>
    <row r="412787" spans="21:21" x14ac:dyDescent="0.3">
      <c r="U412787" s="25"/>
    </row>
    <row r="412809" spans="21:21" x14ac:dyDescent="0.3">
      <c r="U412809" s="25"/>
    </row>
    <row r="412831" spans="21:21" x14ac:dyDescent="0.3">
      <c r="U412831" s="25"/>
    </row>
    <row r="412853" spans="21:21" x14ac:dyDescent="0.3">
      <c r="U412853" s="25"/>
    </row>
    <row r="412875" spans="21:21" x14ac:dyDescent="0.3">
      <c r="U412875" s="25"/>
    </row>
    <row r="412897" spans="21:21" x14ac:dyDescent="0.3">
      <c r="U412897" s="25"/>
    </row>
    <row r="412919" spans="21:21" x14ac:dyDescent="0.3">
      <c r="U412919" s="25"/>
    </row>
    <row r="412941" spans="21:21" x14ac:dyDescent="0.3">
      <c r="U412941" s="25"/>
    </row>
    <row r="412963" spans="21:21" x14ac:dyDescent="0.3">
      <c r="U412963" s="25"/>
    </row>
    <row r="412985" spans="21:21" x14ac:dyDescent="0.3">
      <c r="U412985" s="25"/>
    </row>
    <row r="413007" spans="21:21" x14ac:dyDescent="0.3">
      <c r="U413007" s="25"/>
    </row>
    <row r="413029" spans="21:21" x14ac:dyDescent="0.3">
      <c r="U413029" s="25"/>
    </row>
    <row r="413051" spans="21:21" x14ac:dyDescent="0.3">
      <c r="U413051" s="25"/>
    </row>
    <row r="413073" spans="21:21" x14ac:dyDescent="0.3">
      <c r="U413073" s="25"/>
    </row>
    <row r="413095" spans="21:21" x14ac:dyDescent="0.3">
      <c r="U413095" s="25"/>
    </row>
    <row r="413117" spans="21:21" x14ac:dyDescent="0.3">
      <c r="U413117" s="25"/>
    </row>
    <row r="413139" spans="21:21" x14ac:dyDescent="0.3">
      <c r="U413139" s="25"/>
    </row>
    <row r="413161" spans="21:21" x14ac:dyDescent="0.3">
      <c r="U413161" s="25"/>
    </row>
    <row r="413183" spans="21:21" x14ac:dyDescent="0.3">
      <c r="U413183" s="25"/>
    </row>
    <row r="413205" spans="21:21" x14ac:dyDescent="0.3">
      <c r="U413205" s="25"/>
    </row>
    <row r="413227" spans="21:21" x14ac:dyDescent="0.3">
      <c r="U413227" s="25"/>
    </row>
    <row r="413249" spans="21:21" x14ac:dyDescent="0.3">
      <c r="U413249" s="25"/>
    </row>
    <row r="413271" spans="21:21" x14ac:dyDescent="0.3">
      <c r="U413271" s="25"/>
    </row>
    <row r="413293" spans="21:21" x14ac:dyDescent="0.3">
      <c r="U413293" s="25"/>
    </row>
    <row r="413315" spans="21:21" x14ac:dyDescent="0.3">
      <c r="U413315" s="25"/>
    </row>
    <row r="413337" spans="21:21" x14ac:dyDescent="0.3">
      <c r="U413337" s="25"/>
    </row>
    <row r="413359" spans="21:21" x14ac:dyDescent="0.3">
      <c r="U413359" s="25"/>
    </row>
    <row r="413381" spans="21:21" x14ac:dyDescent="0.3">
      <c r="U413381" s="25"/>
    </row>
    <row r="413403" spans="21:21" x14ac:dyDescent="0.3">
      <c r="U413403" s="25"/>
    </row>
    <row r="413425" spans="21:21" x14ac:dyDescent="0.3">
      <c r="U413425" s="25"/>
    </row>
    <row r="413447" spans="21:21" x14ac:dyDescent="0.3">
      <c r="U413447" s="25"/>
    </row>
    <row r="413469" spans="21:21" x14ac:dyDescent="0.3">
      <c r="U413469" s="25"/>
    </row>
    <row r="413491" spans="21:21" x14ac:dyDescent="0.3">
      <c r="U413491" s="25"/>
    </row>
    <row r="413513" spans="21:21" x14ac:dyDescent="0.3">
      <c r="U413513" s="25"/>
    </row>
    <row r="413535" spans="21:21" x14ac:dyDescent="0.3">
      <c r="U413535" s="25"/>
    </row>
    <row r="413557" spans="21:21" x14ac:dyDescent="0.3">
      <c r="U413557" s="25"/>
    </row>
    <row r="413579" spans="21:21" x14ac:dyDescent="0.3">
      <c r="U413579" s="25"/>
    </row>
    <row r="413601" spans="21:21" x14ac:dyDescent="0.3">
      <c r="U413601" s="25"/>
    </row>
    <row r="413623" spans="21:21" x14ac:dyDescent="0.3">
      <c r="U413623" s="25"/>
    </row>
    <row r="413645" spans="21:21" x14ac:dyDescent="0.3">
      <c r="U413645" s="25"/>
    </row>
    <row r="413667" spans="21:21" x14ac:dyDescent="0.3">
      <c r="U413667" s="25"/>
    </row>
    <row r="413689" spans="21:21" x14ac:dyDescent="0.3">
      <c r="U413689" s="25"/>
    </row>
    <row r="413711" spans="21:21" x14ac:dyDescent="0.3">
      <c r="U413711" s="25"/>
    </row>
    <row r="413733" spans="21:21" x14ac:dyDescent="0.3">
      <c r="U413733" s="25"/>
    </row>
    <row r="413755" spans="21:21" x14ac:dyDescent="0.3">
      <c r="U413755" s="25"/>
    </row>
    <row r="413777" spans="21:21" x14ac:dyDescent="0.3">
      <c r="U413777" s="25"/>
    </row>
    <row r="413799" spans="21:21" x14ac:dyDescent="0.3">
      <c r="U413799" s="25"/>
    </row>
    <row r="413821" spans="21:21" x14ac:dyDescent="0.3">
      <c r="U413821" s="25"/>
    </row>
    <row r="413843" spans="21:21" x14ac:dyDescent="0.3">
      <c r="U413843" s="25"/>
    </row>
    <row r="413865" spans="21:21" x14ac:dyDescent="0.3">
      <c r="U413865" s="25"/>
    </row>
    <row r="413887" spans="21:21" x14ac:dyDescent="0.3">
      <c r="U413887" s="25"/>
    </row>
    <row r="413909" spans="21:21" x14ac:dyDescent="0.3">
      <c r="U413909" s="25"/>
    </row>
    <row r="413931" spans="21:21" x14ac:dyDescent="0.3">
      <c r="U413931" s="25"/>
    </row>
    <row r="413953" spans="21:21" x14ac:dyDescent="0.3">
      <c r="U413953" s="25"/>
    </row>
    <row r="413975" spans="21:21" x14ac:dyDescent="0.3">
      <c r="U413975" s="25"/>
    </row>
    <row r="413997" spans="21:21" x14ac:dyDescent="0.3">
      <c r="U413997" s="25"/>
    </row>
    <row r="414019" spans="21:21" x14ac:dyDescent="0.3">
      <c r="U414019" s="25"/>
    </row>
    <row r="414041" spans="21:21" x14ac:dyDescent="0.3">
      <c r="U414041" s="25"/>
    </row>
    <row r="414063" spans="21:21" x14ac:dyDescent="0.3">
      <c r="U414063" s="25"/>
    </row>
    <row r="414085" spans="21:21" x14ac:dyDescent="0.3">
      <c r="U414085" s="25"/>
    </row>
    <row r="414107" spans="21:21" x14ac:dyDescent="0.3">
      <c r="U414107" s="25"/>
    </row>
    <row r="414129" spans="21:21" x14ac:dyDescent="0.3">
      <c r="U414129" s="25"/>
    </row>
    <row r="414151" spans="21:21" x14ac:dyDescent="0.3">
      <c r="U414151" s="25"/>
    </row>
    <row r="414173" spans="21:21" x14ac:dyDescent="0.3">
      <c r="U414173" s="25"/>
    </row>
    <row r="414195" spans="21:21" x14ac:dyDescent="0.3">
      <c r="U414195" s="25"/>
    </row>
    <row r="414217" spans="21:21" x14ac:dyDescent="0.3">
      <c r="U414217" s="25"/>
    </row>
    <row r="414239" spans="21:21" x14ac:dyDescent="0.3">
      <c r="U414239" s="25"/>
    </row>
    <row r="414261" spans="21:21" x14ac:dyDescent="0.3">
      <c r="U414261" s="25"/>
    </row>
    <row r="414283" spans="21:21" x14ac:dyDescent="0.3">
      <c r="U414283" s="25"/>
    </row>
    <row r="414305" spans="21:21" x14ac:dyDescent="0.3">
      <c r="U414305" s="25"/>
    </row>
    <row r="414327" spans="21:21" x14ac:dyDescent="0.3">
      <c r="U414327" s="25"/>
    </row>
    <row r="414349" spans="21:21" x14ac:dyDescent="0.3">
      <c r="U414349" s="25"/>
    </row>
    <row r="414371" spans="21:21" x14ac:dyDescent="0.3">
      <c r="U414371" s="25"/>
    </row>
    <row r="414393" spans="21:21" x14ac:dyDescent="0.3">
      <c r="U414393" s="25"/>
    </row>
    <row r="414415" spans="21:21" x14ac:dyDescent="0.3">
      <c r="U414415" s="25"/>
    </row>
    <row r="414437" spans="21:21" x14ac:dyDescent="0.3">
      <c r="U414437" s="25"/>
    </row>
    <row r="414459" spans="21:21" x14ac:dyDescent="0.3">
      <c r="U414459" s="25"/>
    </row>
    <row r="414481" spans="21:21" x14ac:dyDescent="0.3">
      <c r="U414481" s="25"/>
    </row>
    <row r="414503" spans="21:21" x14ac:dyDescent="0.3">
      <c r="U414503" s="25"/>
    </row>
    <row r="414525" spans="21:21" x14ac:dyDescent="0.3">
      <c r="U414525" s="25"/>
    </row>
    <row r="414547" spans="21:21" x14ac:dyDescent="0.3">
      <c r="U414547" s="25"/>
    </row>
    <row r="414569" spans="21:21" x14ac:dyDescent="0.3">
      <c r="U414569" s="25"/>
    </row>
    <row r="414591" spans="21:21" x14ac:dyDescent="0.3">
      <c r="U414591" s="25"/>
    </row>
    <row r="414613" spans="21:21" x14ac:dyDescent="0.3">
      <c r="U414613" s="25"/>
    </row>
    <row r="414635" spans="21:21" x14ac:dyDescent="0.3">
      <c r="U414635" s="25"/>
    </row>
    <row r="414657" spans="21:21" x14ac:dyDescent="0.3">
      <c r="U414657" s="25"/>
    </row>
    <row r="414679" spans="21:21" x14ac:dyDescent="0.3">
      <c r="U414679" s="25"/>
    </row>
    <row r="414701" spans="21:21" x14ac:dyDescent="0.3">
      <c r="U414701" s="25"/>
    </row>
    <row r="414723" spans="21:21" x14ac:dyDescent="0.3">
      <c r="U414723" s="25"/>
    </row>
    <row r="414745" spans="21:21" x14ac:dyDescent="0.3">
      <c r="U414745" s="25"/>
    </row>
    <row r="414767" spans="21:21" x14ac:dyDescent="0.3">
      <c r="U414767" s="25"/>
    </row>
    <row r="414789" spans="21:21" x14ac:dyDescent="0.3">
      <c r="U414789" s="25"/>
    </row>
    <row r="414811" spans="21:21" x14ac:dyDescent="0.3">
      <c r="U414811" s="25"/>
    </row>
    <row r="414833" spans="21:21" x14ac:dyDescent="0.3">
      <c r="U414833" s="25"/>
    </row>
    <row r="414855" spans="21:21" x14ac:dyDescent="0.3">
      <c r="U414855" s="25"/>
    </row>
    <row r="414877" spans="21:21" x14ac:dyDescent="0.3">
      <c r="U414877" s="25"/>
    </row>
    <row r="414899" spans="21:21" x14ac:dyDescent="0.3">
      <c r="U414899" s="25"/>
    </row>
    <row r="414921" spans="21:21" x14ac:dyDescent="0.3">
      <c r="U414921" s="25"/>
    </row>
    <row r="414943" spans="21:21" x14ac:dyDescent="0.3">
      <c r="U414943" s="25"/>
    </row>
    <row r="414965" spans="21:21" x14ac:dyDescent="0.3">
      <c r="U414965" s="25"/>
    </row>
    <row r="414987" spans="21:21" x14ac:dyDescent="0.3">
      <c r="U414987" s="25"/>
    </row>
    <row r="415009" spans="21:21" x14ac:dyDescent="0.3">
      <c r="U415009" s="25"/>
    </row>
    <row r="415031" spans="21:21" x14ac:dyDescent="0.3">
      <c r="U415031" s="25"/>
    </row>
    <row r="415053" spans="21:21" x14ac:dyDescent="0.3">
      <c r="U415053" s="25"/>
    </row>
    <row r="415075" spans="21:21" x14ac:dyDescent="0.3">
      <c r="U415075" s="25"/>
    </row>
    <row r="415097" spans="21:21" x14ac:dyDescent="0.3">
      <c r="U415097" s="25"/>
    </row>
    <row r="415119" spans="21:21" x14ac:dyDescent="0.3">
      <c r="U415119" s="25"/>
    </row>
    <row r="415141" spans="21:21" x14ac:dyDescent="0.3">
      <c r="U415141" s="25"/>
    </row>
    <row r="415163" spans="21:21" x14ac:dyDescent="0.3">
      <c r="U415163" s="25"/>
    </row>
    <row r="415185" spans="21:21" x14ac:dyDescent="0.3">
      <c r="U415185" s="25"/>
    </row>
    <row r="415207" spans="21:21" x14ac:dyDescent="0.3">
      <c r="U415207" s="25"/>
    </row>
    <row r="415229" spans="21:21" x14ac:dyDescent="0.3">
      <c r="U415229" s="25"/>
    </row>
    <row r="415251" spans="21:21" x14ac:dyDescent="0.3">
      <c r="U415251" s="25"/>
    </row>
    <row r="415273" spans="21:21" x14ac:dyDescent="0.3">
      <c r="U415273" s="25"/>
    </row>
    <row r="415295" spans="21:21" x14ac:dyDescent="0.3">
      <c r="U415295" s="25"/>
    </row>
    <row r="415317" spans="21:21" x14ac:dyDescent="0.3">
      <c r="U415317" s="25"/>
    </row>
    <row r="415339" spans="21:21" x14ac:dyDescent="0.3">
      <c r="U415339" s="25"/>
    </row>
    <row r="415361" spans="21:21" x14ac:dyDescent="0.3">
      <c r="U415361" s="25"/>
    </row>
    <row r="415383" spans="21:21" x14ac:dyDescent="0.3">
      <c r="U415383" s="25"/>
    </row>
    <row r="415405" spans="21:21" x14ac:dyDescent="0.3">
      <c r="U415405" s="25"/>
    </row>
    <row r="415427" spans="21:21" x14ac:dyDescent="0.3">
      <c r="U415427" s="25"/>
    </row>
    <row r="415449" spans="21:21" x14ac:dyDescent="0.3">
      <c r="U415449" s="25"/>
    </row>
    <row r="415471" spans="21:21" x14ac:dyDescent="0.3">
      <c r="U415471" s="25"/>
    </row>
    <row r="415493" spans="21:21" x14ac:dyDescent="0.3">
      <c r="U415493" s="25"/>
    </row>
    <row r="415515" spans="21:21" x14ac:dyDescent="0.3">
      <c r="U415515" s="25"/>
    </row>
    <row r="415537" spans="21:21" x14ac:dyDescent="0.3">
      <c r="U415537" s="25"/>
    </row>
    <row r="415559" spans="21:21" x14ac:dyDescent="0.3">
      <c r="U415559" s="25"/>
    </row>
    <row r="415581" spans="21:21" x14ac:dyDescent="0.3">
      <c r="U415581" s="25"/>
    </row>
    <row r="415603" spans="21:21" x14ac:dyDescent="0.3">
      <c r="U415603" s="25"/>
    </row>
    <row r="415625" spans="21:21" x14ac:dyDescent="0.3">
      <c r="U415625" s="25"/>
    </row>
    <row r="415647" spans="21:21" x14ac:dyDescent="0.3">
      <c r="U415647" s="25"/>
    </row>
    <row r="415669" spans="21:21" x14ac:dyDescent="0.3">
      <c r="U415669" s="25"/>
    </row>
    <row r="415691" spans="21:21" x14ac:dyDescent="0.3">
      <c r="U415691" s="25"/>
    </row>
    <row r="415713" spans="21:21" x14ac:dyDescent="0.3">
      <c r="U415713" s="25"/>
    </row>
    <row r="415735" spans="21:21" x14ac:dyDescent="0.3">
      <c r="U415735" s="25"/>
    </row>
    <row r="415757" spans="21:21" x14ac:dyDescent="0.3">
      <c r="U415757" s="25"/>
    </row>
    <row r="415779" spans="21:21" x14ac:dyDescent="0.3">
      <c r="U415779" s="25"/>
    </row>
    <row r="415801" spans="21:21" x14ac:dyDescent="0.3">
      <c r="U415801" s="25"/>
    </row>
    <row r="415823" spans="21:21" x14ac:dyDescent="0.3">
      <c r="U415823" s="25"/>
    </row>
    <row r="415845" spans="21:21" x14ac:dyDescent="0.3">
      <c r="U415845" s="25"/>
    </row>
    <row r="415867" spans="21:21" x14ac:dyDescent="0.3">
      <c r="U415867" s="25"/>
    </row>
    <row r="415889" spans="21:21" x14ac:dyDescent="0.3">
      <c r="U415889" s="25"/>
    </row>
    <row r="415911" spans="21:21" x14ac:dyDescent="0.3">
      <c r="U415911" s="25"/>
    </row>
    <row r="415933" spans="21:21" x14ac:dyDescent="0.3">
      <c r="U415933" s="25"/>
    </row>
    <row r="415955" spans="21:21" x14ac:dyDescent="0.3">
      <c r="U415955" s="25"/>
    </row>
    <row r="415977" spans="21:21" x14ac:dyDescent="0.3">
      <c r="U415977" s="25"/>
    </row>
    <row r="415999" spans="21:21" x14ac:dyDescent="0.3">
      <c r="U415999" s="25"/>
    </row>
    <row r="416021" spans="21:21" x14ac:dyDescent="0.3">
      <c r="U416021" s="25"/>
    </row>
    <row r="416043" spans="21:21" x14ac:dyDescent="0.3">
      <c r="U416043" s="25"/>
    </row>
    <row r="416065" spans="21:21" x14ac:dyDescent="0.3">
      <c r="U416065" s="25"/>
    </row>
    <row r="416087" spans="21:21" x14ac:dyDescent="0.3">
      <c r="U416087" s="25"/>
    </row>
    <row r="416109" spans="21:21" x14ac:dyDescent="0.3">
      <c r="U416109" s="25"/>
    </row>
    <row r="416131" spans="21:21" x14ac:dyDescent="0.3">
      <c r="U416131" s="25"/>
    </row>
    <row r="416153" spans="21:21" x14ac:dyDescent="0.3">
      <c r="U416153" s="25"/>
    </row>
    <row r="416175" spans="21:21" x14ac:dyDescent="0.3">
      <c r="U416175" s="25"/>
    </row>
    <row r="416197" spans="21:21" x14ac:dyDescent="0.3">
      <c r="U416197" s="25"/>
    </row>
    <row r="416219" spans="21:21" x14ac:dyDescent="0.3">
      <c r="U416219" s="25"/>
    </row>
    <row r="416241" spans="21:21" x14ac:dyDescent="0.3">
      <c r="U416241" s="25"/>
    </row>
    <row r="416263" spans="21:21" x14ac:dyDescent="0.3">
      <c r="U416263" s="25"/>
    </row>
    <row r="416285" spans="21:21" x14ac:dyDescent="0.3">
      <c r="U416285" s="25"/>
    </row>
    <row r="416307" spans="21:21" x14ac:dyDescent="0.3">
      <c r="U416307" s="25"/>
    </row>
    <row r="416329" spans="21:21" x14ac:dyDescent="0.3">
      <c r="U416329" s="25"/>
    </row>
    <row r="416351" spans="21:21" x14ac:dyDescent="0.3">
      <c r="U416351" s="25"/>
    </row>
    <row r="416373" spans="21:21" x14ac:dyDescent="0.3">
      <c r="U416373" s="25"/>
    </row>
    <row r="416395" spans="21:21" x14ac:dyDescent="0.3">
      <c r="U416395" s="25"/>
    </row>
    <row r="416417" spans="21:21" x14ac:dyDescent="0.3">
      <c r="U416417" s="25"/>
    </row>
    <row r="416439" spans="21:21" x14ac:dyDescent="0.3">
      <c r="U416439" s="25"/>
    </row>
    <row r="416461" spans="21:21" x14ac:dyDescent="0.3">
      <c r="U416461" s="25"/>
    </row>
    <row r="416483" spans="21:21" x14ac:dyDescent="0.3">
      <c r="U416483" s="25"/>
    </row>
    <row r="416505" spans="21:21" x14ac:dyDescent="0.3">
      <c r="U416505" s="25"/>
    </row>
    <row r="416527" spans="21:21" x14ac:dyDescent="0.3">
      <c r="U416527" s="25"/>
    </row>
    <row r="416549" spans="21:21" x14ac:dyDescent="0.3">
      <c r="U416549" s="25"/>
    </row>
    <row r="416571" spans="21:21" x14ac:dyDescent="0.3">
      <c r="U416571" s="25"/>
    </row>
    <row r="416593" spans="21:21" x14ac:dyDescent="0.3">
      <c r="U416593" s="25"/>
    </row>
    <row r="416615" spans="21:21" x14ac:dyDescent="0.3">
      <c r="U416615" s="25"/>
    </row>
    <row r="416637" spans="21:21" x14ac:dyDescent="0.3">
      <c r="U416637" s="25"/>
    </row>
    <row r="416659" spans="21:21" x14ac:dyDescent="0.3">
      <c r="U416659" s="25"/>
    </row>
    <row r="416681" spans="21:21" x14ac:dyDescent="0.3">
      <c r="U416681" s="25"/>
    </row>
    <row r="416703" spans="21:21" x14ac:dyDescent="0.3">
      <c r="U416703" s="25"/>
    </row>
    <row r="416725" spans="21:21" x14ac:dyDescent="0.3">
      <c r="U416725" s="25"/>
    </row>
    <row r="416747" spans="21:21" x14ac:dyDescent="0.3">
      <c r="U416747" s="25"/>
    </row>
    <row r="416769" spans="21:21" x14ac:dyDescent="0.3">
      <c r="U416769" s="25"/>
    </row>
    <row r="416791" spans="21:21" x14ac:dyDescent="0.3">
      <c r="U416791" s="25"/>
    </row>
    <row r="416813" spans="21:21" x14ac:dyDescent="0.3">
      <c r="U416813" s="25"/>
    </row>
    <row r="416835" spans="21:21" x14ac:dyDescent="0.3">
      <c r="U416835" s="25"/>
    </row>
    <row r="416857" spans="21:21" x14ac:dyDescent="0.3">
      <c r="U416857" s="25"/>
    </row>
    <row r="416879" spans="21:21" x14ac:dyDescent="0.3">
      <c r="U416879" s="25"/>
    </row>
    <row r="416901" spans="21:21" x14ac:dyDescent="0.3">
      <c r="U416901" s="25"/>
    </row>
    <row r="416923" spans="21:21" x14ac:dyDescent="0.3">
      <c r="U416923" s="25"/>
    </row>
    <row r="416945" spans="21:21" x14ac:dyDescent="0.3">
      <c r="U416945" s="25"/>
    </row>
    <row r="416967" spans="21:21" x14ac:dyDescent="0.3">
      <c r="U416967" s="25"/>
    </row>
    <row r="416989" spans="21:21" x14ac:dyDescent="0.3">
      <c r="U416989" s="25"/>
    </row>
    <row r="417011" spans="21:21" x14ac:dyDescent="0.3">
      <c r="U417011" s="25"/>
    </row>
    <row r="417033" spans="21:21" x14ac:dyDescent="0.3">
      <c r="U417033" s="25"/>
    </row>
    <row r="417055" spans="21:21" x14ac:dyDescent="0.3">
      <c r="U417055" s="25"/>
    </row>
    <row r="417077" spans="21:21" x14ac:dyDescent="0.3">
      <c r="U417077" s="25"/>
    </row>
    <row r="417099" spans="21:21" x14ac:dyDescent="0.3">
      <c r="U417099" s="25"/>
    </row>
    <row r="417121" spans="21:21" x14ac:dyDescent="0.3">
      <c r="U417121" s="25"/>
    </row>
    <row r="417143" spans="21:21" x14ac:dyDescent="0.3">
      <c r="U417143" s="25"/>
    </row>
    <row r="417165" spans="21:21" x14ac:dyDescent="0.3">
      <c r="U417165" s="25"/>
    </row>
    <row r="417187" spans="21:21" x14ac:dyDescent="0.3">
      <c r="U417187" s="25"/>
    </row>
    <row r="417209" spans="21:21" x14ac:dyDescent="0.3">
      <c r="U417209" s="25"/>
    </row>
    <row r="417231" spans="21:21" x14ac:dyDescent="0.3">
      <c r="U417231" s="25"/>
    </row>
    <row r="417253" spans="21:21" x14ac:dyDescent="0.3">
      <c r="U417253" s="25"/>
    </row>
    <row r="417275" spans="21:21" x14ac:dyDescent="0.3">
      <c r="U417275" s="25"/>
    </row>
    <row r="417297" spans="21:21" x14ac:dyDescent="0.3">
      <c r="U417297" s="25"/>
    </row>
    <row r="417319" spans="21:21" x14ac:dyDescent="0.3">
      <c r="U417319" s="25"/>
    </row>
    <row r="417341" spans="21:21" x14ac:dyDescent="0.3">
      <c r="U417341" s="25"/>
    </row>
    <row r="417363" spans="21:21" x14ac:dyDescent="0.3">
      <c r="U417363" s="25"/>
    </row>
    <row r="417385" spans="21:21" x14ac:dyDescent="0.3">
      <c r="U417385" s="25"/>
    </row>
    <row r="417407" spans="21:21" x14ac:dyDescent="0.3">
      <c r="U417407" s="25"/>
    </row>
    <row r="417429" spans="21:21" x14ac:dyDescent="0.3">
      <c r="U417429" s="25"/>
    </row>
    <row r="417451" spans="21:21" x14ac:dyDescent="0.3">
      <c r="U417451" s="25"/>
    </row>
    <row r="417473" spans="21:21" x14ac:dyDescent="0.3">
      <c r="U417473" s="25"/>
    </row>
    <row r="417495" spans="21:21" x14ac:dyDescent="0.3">
      <c r="U417495" s="25"/>
    </row>
    <row r="417517" spans="21:21" x14ac:dyDescent="0.3">
      <c r="U417517" s="25"/>
    </row>
    <row r="417539" spans="21:21" x14ac:dyDescent="0.3">
      <c r="U417539" s="25"/>
    </row>
    <row r="417561" spans="21:21" x14ac:dyDescent="0.3">
      <c r="U417561" s="25"/>
    </row>
    <row r="417583" spans="21:21" x14ac:dyDescent="0.3">
      <c r="U417583" s="25"/>
    </row>
    <row r="417605" spans="21:21" x14ac:dyDescent="0.3">
      <c r="U417605" s="25"/>
    </row>
    <row r="417627" spans="21:21" x14ac:dyDescent="0.3">
      <c r="U417627" s="25"/>
    </row>
    <row r="417649" spans="21:21" x14ac:dyDescent="0.3">
      <c r="U417649" s="25"/>
    </row>
    <row r="417671" spans="21:21" x14ac:dyDescent="0.3">
      <c r="U417671" s="25"/>
    </row>
    <row r="417693" spans="21:21" x14ac:dyDescent="0.3">
      <c r="U417693" s="25"/>
    </row>
    <row r="417715" spans="21:21" x14ac:dyDescent="0.3">
      <c r="U417715" s="25"/>
    </row>
    <row r="417737" spans="21:21" x14ac:dyDescent="0.3">
      <c r="U417737" s="25"/>
    </row>
    <row r="417759" spans="21:21" x14ac:dyDescent="0.3">
      <c r="U417759" s="25"/>
    </row>
    <row r="417781" spans="21:21" x14ac:dyDescent="0.3">
      <c r="U417781" s="25"/>
    </row>
    <row r="417803" spans="21:21" x14ac:dyDescent="0.3">
      <c r="U417803" s="25"/>
    </row>
    <row r="417825" spans="21:21" x14ac:dyDescent="0.3">
      <c r="U417825" s="25"/>
    </row>
    <row r="417847" spans="21:21" x14ac:dyDescent="0.3">
      <c r="U417847" s="25"/>
    </row>
    <row r="417869" spans="21:21" x14ac:dyDescent="0.3">
      <c r="U417869" s="25"/>
    </row>
    <row r="417891" spans="21:21" x14ac:dyDescent="0.3">
      <c r="U417891" s="25"/>
    </row>
    <row r="417913" spans="21:21" x14ac:dyDescent="0.3">
      <c r="U417913" s="25"/>
    </row>
    <row r="417935" spans="21:21" x14ac:dyDescent="0.3">
      <c r="U417935" s="25"/>
    </row>
    <row r="417957" spans="21:21" x14ac:dyDescent="0.3">
      <c r="U417957" s="25"/>
    </row>
    <row r="417979" spans="21:21" x14ac:dyDescent="0.3">
      <c r="U417979" s="25"/>
    </row>
    <row r="418001" spans="21:21" x14ac:dyDescent="0.3">
      <c r="U418001" s="25"/>
    </row>
    <row r="418023" spans="21:21" x14ac:dyDescent="0.3">
      <c r="U418023" s="25"/>
    </row>
    <row r="418045" spans="21:21" x14ac:dyDescent="0.3">
      <c r="U418045" s="25"/>
    </row>
    <row r="418067" spans="21:21" x14ac:dyDescent="0.3">
      <c r="U418067" s="25"/>
    </row>
    <row r="418089" spans="21:21" x14ac:dyDescent="0.3">
      <c r="U418089" s="25"/>
    </row>
    <row r="418111" spans="21:21" x14ac:dyDescent="0.3">
      <c r="U418111" s="25"/>
    </row>
    <row r="418133" spans="21:21" x14ac:dyDescent="0.3">
      <c r="U418133" s="25"/>
    </row>
    <row r="418155" spans="21:21" x14ac:dyDescent="0.3">
      <c r="U418155" s="25"/>
    </row>
    <row r="418177" spans="21:21" x14ac:dyDescent="0.3">
      <c r="U418177" s="25"/>
    </row>
    <row r="418199" spans="21:21" x14ac:dyDescent="0.3">
      <c r="U418199" s="25"/>
    </row>
    <row r="418221" spans="21:21" x14ac:dyDescent="0.3">
      <c r="U418221" s="25"/>
    </row>
    <row r="418243" spans="21:21" x14ac:dyDescent="0.3">
      <c r="U418243" s="25"/>
    </row>
    <row r="418265" spans="21:21" x14ac:dyDescent="0.3">
      <c r="U418265" s="25"/>
    </row>
    <row r="418287" spans="21:21" x14ac:dyDescent="0.3">
      <c r="U418287" s="25"/>
    </row>
    <row r="418309" spans="21:21" x14ac:dyDescent="0.3">
      <c r="U418309" s="25"/>
    </row>
    <row r="418331" spans="21:21" x14ac:dyDescent="0.3">
      <c r="U418331" s="25"/>
    </row>
    <row r="418353" spans="21:21" x14ac:dyDescent="0.3">
      <c r="U418353" s="25"/>
    </row>
    <row r="418375" spans="21:21" x14ac:dyDescent="0.3">
      <c r="U418375" s="25"/>
    </row>
    <row r="418397" spans="21:21" x14ac:dyDescent="0.3">
      <c r="U418397" s="25"/>
    </row>
    <row r="418419" spans="21:21" x14ac:dyDescent="0.3">
      <c r="U418419" s="25"/>
    </row>
    <row r="418441" spans="21:21" x14ac:dyDescent="0.3">
      <c r="U418441" s="25"/>
    </row>
    <row r="418463" spans="21:21" x14ac:dyDescent="0.3">
      <c r="U418463" s="25"/>
    </row>
    <row r="418485" spans="21:21" x14ac:dyDescent="0.3">
      <c r="U418485" s="25"/>
    </row>
    <row r="418507" spans="21:21" x14ac:dyDescent="0.3">
      <c r="U418507" s="25"/>
    </row>
    <row r="418529" spans="21:21" x14ac:dyDescent="0.3">
      <c r="U418529" s="25"/>
    </row>
    <row r="418551" spans="21:21" x14ac:dyDescent="0.3">
      <c r="U418551" s="25"/>
    </row>
    <row r="418573" spans="21:21" x14ac:dyDescent="0.3">
      <c r="U418573" s="25"/>
    </row>
    <row r="418595" spans="21:21" x14ac:dyDescent="0.3">
      <c r="U418595" s="25"/>
    </row>
    <row r="418617" spans="21:21" x14ac:dyDescent="0.3">
      <c r="U418617" s="25"/>
    </row>
    <row r="418639" spans="21:21" x14ac:dyDescent="0.3">
      <c r="U418639" s="25"/>
    </row>
    <row r="418661" spans="21:21" x14ac:dyDescent="0.3">
      <c r="U418661" s="25"/>
    </row>
    <row r="418683" spans="21:21" x14ac:dyDescent="0.3">
      <c r="U418683" s="25"/>
    </row>
    <row r="418705" spans="21:21" x14ac:dyDescent="0.3">
      <c r="U418705" s="25"/>
    </row>
    <row r="418727" spans="21:21" x14ac:dyDescent="0.3">
      <c r="U418727" s="25"/>
    </row>
    <row r="418749" spans="21:21" x14ac:dyDescent="0.3">
      <c r="U418749" s="25"/>
    </row>
    <row r="418771" spans="21:21" x14ac:dyDescent="0.3">
      <c r="U418771" s="25"/>
    </row>
    <row r="418793" spans="21:21" x14ac:dyDescent="0.3">
      <c r="U418793" s="25"/>
    </row>
    <row r="418815" spans="21:21" x14ac:dyDescent="0.3">
      <c r="U418815" s="25"/>
    </row>
    <row r="418837" spans="21:21" x14ac:dyDescent="0.3">
      <c r="U418837" s="25"/>
    </row>
    <row r="418859" spans="21:21" x14ac:dyDescent="0.3">
      <c r="U418859" s="25"/>
    </row>
    <row r="418881" spans="21:21" x14ac:dyDescent="0.3">
      <c r="U418881" s="25"/>
    </row>
    <row r="418903" spans="21:21" x14ac:dyDescent="0.3">
      <c r="U418903" s="25"/>
    </row>
    <row r="418925" spans="21:21" x14ac:dyDescent="0.3">
      <c r="U418925" s="25"/>
    </row>
    <row r="418947" spans="21:21" x14ac:dyDescent="0.3">
      <c r="U418947" s="25"/>
    </row>
    <row r="418969" spans="21:21" x14ac:dyDescent="0.3">
      <c r="U418969" s="25"/>
    </row>
    <row r="418991" spans="21:21" x14ac:dyDescent="0.3">
      <c r="U418991" s="25"/>
    </row>
    <row r="419013" spans="21:21" x14ac:dyDescent="0.3">
      <c r="U419013" s="25"/>
    </row>
    <row r="419035" spans="21:21" x14ac:dyDescent="0.3">
      <c r="U419035" s="25"/>
    </row>
    <row r="419057" spans="21:21" x14ac:dyDescent="0.3">
      <c r="U419057" s="25"/>
    </row>
    <row r="419079" spans="21:21" x14ac:dyDescent="0.3">
      <c r="U419079" s="25"/>
    </row>
    <row r="419101" spans="21:21" x14ac:dyDescent="0.3">
      <c r="U419101" s="25"/>
    </row>
    <row r="419123" spans="21:21" x14ac:dyDescent="0.3">
      <c r="U419123" s="25"/>
    </row>
    <row r="419145" spans="21:21" x14ac:dyDescent="0.3">
      <c r="U419145" s="25"/>
    </row>
    <row r="419167" spans="21:21" x14ac:dyDescent="0.3">
      <c r="U419167" s="25"/>
    </row>
    <row r="419189" spans="21:21" x14ac:dyDescent="0.3">
      <c r="U419189" s="25"/>
    </row>
    <row r="419211" spans="21:21" x14ac:dyDescent="0.3">
      <c r="U419211" s="25"/>
    </row>
    <row r="419233" spans="21:21" x14ac:dyDescent="0.3">
      <c r="U419233" s="25"/>
    </row>
    <row r="419255" spans="21:21" x14ac:dyDescent="0.3">
      <c r="U419255" s="25"/>
    </row>
    <row r="419277" spans="21:21" x14ac:dyDescent="0.3">
      <c r="U419277" s="25"/>
    </row>
    <row r="419299" spans="21:21" x14ac:dyDescent="0.3">
      <c r="U419299" s="25"/>
    </row>
    <row r="419321" spans="21:21" x14ac:dyDescent="0.3">
      <c r="U419321" s="25"/>
    </row>
    <row r="419343" spans="21:21" x14ac:dyDescent="0.3">
      <c r="U419343" s="25"/>
    </row>
    <row r="419365" spans="21:21" x14ac:dyDescent="0.3">
      <c r="U419365" s="25"/>
    </row>
    <row r="419387" spans="21:21" x14ac:dyDescent="0.3">
      <c r="U419387" s="25"/>
    </row>
    <row r="419409" spans="21:21" x14ac:dyDescent="0.3">
      <c r="U419409" s="25"/>
    </row>
    <row r="419431" spans="21:21" x14ac:dyDescent="0.3">
      <c r="U419431" s="25"/>
    </row>
    <row r="419453" spans="21:21" x14ac:dyDescent="0.3">
      <c r="U419453" s="25"/>
    </row>
    <row r="419475" spans="21:21" x14ac:dyDescent="0.3">
      <c r="U419475" s="25"/>
    </row>
    <row r="419497" spans="21:21" x14ac:dyDescent="0.3">
      <c r="U419497" s="25"/>
    </row>
    <row r="419519" spans="21:21" x14ac:dyDescent="0.3">
      <c r="U419519" s="25"/>
    </row>
    <row r="419541" spans="21:21" x14ac:dyDescent="0.3">
      <c r="U419541" s="25"/>
    </row>
    <row r="419563" spans="21:21" x14ac:dyDescent="0.3">
      <c r="U419563" s="25"/>
    </row>
    <row r="419585" spans="21:21" x14ac:dyDescent="0.3">
      <c r="U419585" s="25"/>
    </row>
    <row r="419607" spans="21:21" x14ac:dyDescent="0.3">
      <c r="U419607" s="25"/>
    </row>
    <row r="419629" spans="21:21" x14ac:dyDescent="0.3">
      <c r="U419629" s="25"/>
    </row>
    <row r="419651" spans="21:21" x14ac:dyDescent="0.3">
      <c r="U419651" s="25"/>
    </row>
    <row r="419673" spans="21:21" x14ac:dyDescent="0.3">
      <c r="U419673" s="25"/>
    </row>
    <row r="419695" spans="21:21" x14ac:dyDescent="0.3">
      <c r="U419695" s="25"/>
    </row>
    <row r="419717" spans="21:21" x14ac:dyDescent="0.3">
      <c r="U419717" s="25"/>
    </row>
    <row r="419739" spans="21:21" x14ac:dyDescent="0.3">
      <c r="U419739" s="25"/>
    </row>
    <row r="419761" spans="21:21" x14ac:dyDescent="0.3">
      <c r="U419761" s="25"/>
    </row>
    <row r="419783" spans="21:21" x14ac:dyDescent="0.3">
      <c r="U419783" s="25"/>
    </row>
    <row r="419805" spans="21:21" x14ac:dyDescent="0.3">
      <c r="U419805" s="25"/>
    </row>
    <row r="419827" spans="21:21" x14ac:dyDescent="0.3">
      <c r="U419827" s="25"/>
    </row>
    <row r="419849" spans="21:21" x14ac:dyDescent="0.3">
      <c r="U419849" s="25"/>
    </row>
    <row r="419871" spans="21:21" x14ac:dyDescent="0.3">
      <c r="U419871" s="25"/>
    </row>
    <row r="419893" spans="21:21" x14ac:dyDescent="0.3">
      <c r="U419893" s="25"/>
    </row>
    <row r="419915" spans="21:21" x14ac:dyDescent="0.3">
      <c r="U419915" s="25"/>
    </row>
    <row r="419937" spans="21:21" x14ac:dyDescent="0.3">
      <c r="U419937" s="25"/>
    </row>
    <row r="419959" spans="21:21" x14ac:dyDescent="0.3">
      <c r="U419959" s="25"/>
    </row>
    <row r="419981" spans="21:21" x14ac:dyDescent="0.3">
      <c r="U419981" s="25"/>
    </row>
    <row r="420003" spans="21:21" x14ac:dyDescent="0.3">
      <c r="U420003" s="25"/>
    </row>
    <row r="420025" spans="21:21" x14ac:dyDescent="0.3">
      <c r="U420025" s="25"/>
    </row>
    <row r="420047" spans="21:21" x14ac:dyDescent="0.3">
      <c r="U420047" s="25"/>
    </row>
    <row r="420069" spans="21:21" x14ac:dyDescent="0.3">
      <c r="U420069" s="25"/>
    </row>
    <row r="420091" spans="21:21" x14ac:dyDescent="0.3">
      <c r="U420091" s="25"/>
    </row>
    <row r="420113" spans="21:21" x14ac:dyDescent="0.3">
      <c r="U420113" s="25"/>
    </row>
    <row r="420135" spans="21:21" x14ac:dyDescent="0.3">
      <c r="U420135" s="25"/>
    </row>
    <row r="420157" spans="21:21" x14ac:dyDescent="0.3">
      <c r="U420157" s="25"/>
    </row>
    <row r="420179" spans="21:21" x14ac:dyDescent="0.3">
      <c r="U420179" s="25"/>
    </row>
    <row r="420201" spans="21:21" x14ac:dyDescent="0.3">
      <c r="U420201" s="25"/>
    </row>
    <row r="420223" spans="21:21" x14ac:dyDescent="0.3">
      <c r="U420223" s="25"/>
    </row>
    <row r="420245" spans="21:21" x14ac:dyDescent="0.3">
      <c r="U420245" s="25"/>
    </row>
    <row r="420267" spans="21:21" x14ac:dyDescent="0.3">
      <c r="U420267" s="25"/>
    </row>
    <row r="420289" spans="21:21" x14ac:dyDescent="0.3">
      <c r="U420289" s="25"/>
    </row>
    <row r="420311" spans="21:21" x14ac:dyDescent="0.3">
      <c r="U420311" s="25"/>
    </row>
    <row r="420333" spans="21:21" x14ac:dyDescent="0.3">
      <c r="U420333" s="25"/>
    </row>
    <row r="420355" spans="21:21" x14ac:dyDescent="0.3">
      <c r="U420355" s="25"/>
    </row>
    <row r="420377" spans="21:21" x14ac:dyDescent="0.3">
      <c r="U420377" s="25"/>
    </row>
    <row r="420399" spans="21:21" x14ac:dyDescent="0.3">
      <c r="U420399" s="25"/>
    </row>
    <row r="420421" spans="21:21" x14ac:dyDescent="0.3">
      <c r="U420421" s="25"/>
    </row>
    <row r="420443" spans="21:21" x14ac:dyDescent="0.3">
      <c r="U420443" s="25"/>
    </row>
    <row r="420465" spans="21:21" x14ac:dyDescent="0.3">
      <c r="U420465" s="25"/>
    </row>
    <row r="420487" spans="21:21" x14ac:dyDescent="0.3">
      <c r="U420487" s="25"/>
    </row>
    <row r="420509" spans="21:21" x14ac:dyDescent="0.3">
      <c r="U420509" s="25"/>
    </row>
    <row r="420531" spans="21:21" x14ac:dyDescent="0.3">
      <c r="U420531" s="25"/>
    </row>
    <row r="420553" spans="21:21" x14ac:dyDescent="0.3">
      <c r="U420553" s="25"/>
    </row>
    <row r="420575" spans="21:21" x14ac:dyDescent="0.3">
      <c r="U420575" s="25"/>
    </row>
    <row r="420597" spans="21:21" x14ac:dyDescent="0.3">
      <c r="U420597" s="25"/>
    </row>
    <row r="420619" spans="21:21" x14ac:dyDescent="0.3">
      <c r="U420619" s="25"/>
    </row>
    <row r="420641" spans="21:21" x14ac:dyDescent="0.3">
      <c r="U420641" s="25"/>
    </row>
    <row r="420663" spans="21:21" x14ac:dyDescent="0.3">
      <c r="U420663" s="25"/>
    </row>
    <row r="420685" spans="21:21" x14ac:dyDescent="0.3">
      <c r="U420685" s="25"/>
    </row>
    <row r="420707" spans="21:21" x14ac:dyDescent="0.3">
      <c r="U420707" s="25"/>
    </row>
    <row r="420729" spans="21:21" x14ac:dyDescent="0.3">
      <c r="U420729" s="25"/>
    </row>
    <row r="420751" spans="21:21" x14ac:dyDescent="0.3">
      <c r="U420751" s="25"/>
    </row>
    <row r="420773" spans="21:21" x14ac:dyDescent="0.3">
      <c r="U420773" s="25"/>
    </row>
    <row r="420795" spans="21:21" x14ac:dyDescent="0.3">
      <c r="U420795" s="25"/>
    </row>
    <row r="420817" spans="21:21" x14ac:dyDescent="0.3">
      <c r="U420817" s="25"/>
    </row>
    <row r="420839" spans="21:21" x14ac:dyDescent="0.3">
      <c r="U420839" s="25"/>
    </row>
    <row r="420861" spans="21:21" x14ac:dyDescent="0.3">
      <c r="U420861" s="25"/>
    </row>
    <row r="420883" spans="21:21" x14ac:dyDescent="0.3">
      <c r="U420883" s="25"/>
    </row>
    <row r="420905" spans="21:21" x14ac:dyDescent="0.3">
      <c r="U420905" s="25"/>
    </row>
    <row r="420927" spans="21:21" x14ac:dyDescent="0.3">
      <c r="U420927" s="25"/>
    </row>
    <row r="420949" spans="21:21" x14ac:dyDescent="0.3">
      <c r="U420949" s="25"/>
    </row>
    <row r="420971" spans="21:21" x14ac:dyDescent="0.3">
      <c r="U420971" s="25"/>
    </row>
    <row r="420993" spans="21:21" x14ac:dyDescent="0.3">
      <c r="U420993" s="25"/>
    </row>
    <row r="421015" spans="21:21" x14ac:dyDescent="0.3">
      <c r="U421015" s="25"/>
    </row>
    <row r="421037" spans="21:21" x14ac:dyDescent="0.3">
      <c r="U421037" s="25"/>
    </row>
    <row r="421059" spans="21:21" x14ac:dyDescent="0.3">
      <c r="U421059" s="25"/>
    </row>
    <row r="421081" spans="21:21" x14ac:dyDescent="0.3">
      <c r="U421081" s="25"/>
    </row>
    <row r="421103" spans="21:21" x14ac:dyDescent="0.3">
      <c r="U421103" s="25"/>
    </row>
    <row r="421125" spans="21:21" x14ac:dyDescent="0.3">
      <c r="U421125" s="25"/>
    </row>
    <row r="421147" spans="21:21" x14ac:dyDescent="0.3">
      <c r="U421147" s="25"/>
    </row>
    <row r="421169" spans="21:21" x14ac:dyDescent="0.3">
      <c r="U421169" s="25"/>
    </row>
    <row r="421191" spans="21:21" x14ac:dyDescent="0.3">
      <c r="U421191" s="25"/>
    </row>
    <row r="421213" spans="21:21" x14ac:dyDescent="0.3">
      <c r="U421213" s="25"/>
    </row>
    <row r="421235" spans="21:21" x14ac:dyDescent="0.3">
      <c r="U421235" s="25"/>
    </row>
    <row r="421257" spans="21:21" x14ac:dyDescent="0.3">
      <c r="U421257" s="25"/>
    </row>
    <row r="421279" spans="21:21" x14ac:dyDescent="0.3">
      <c r="U421279" s="25"/>
    </row>
    <row r="421301" spans="21:21" x14ac:dyDescent="0.3">
      <c r="U421301" s="25"/>
    </row>
    <row r="421323" spans="21:21" x14ac:dyDescent="0.3">
      <c r="U421323" s="25"/>
    </row>
    <row r="421345" spans="21:21" x14ac:dyDescent="0.3">
      <c r="U421345" s="25"/>
    </row>
    <row r="421367" spans="21:21" x14ac:dyDescent="0.3">
      <c r="U421367" s="25"/>
    </row>
    <row r="421389" spans="21:21" x14ac:dyDescent="0.3">
      <c r="U421389" s="25"/>
    </row>
    <row r="421411" spans="21:21" x14ac:dyDescent="0.3">
      <c r="U421411" s="25"/>
    </row>
    <row r="421433" spans="21:21" x14ac:dyDescent="0.3">
      <c r="U421433" s="25"/>
    </row>
    <row r="421455" spans="21:21" x14ac:dyDescent="0.3">
      <c r="U421455" s="25"/>
    </row>
    <row r="421477" spans="21:21" x14ac:dyDescent="0.3">
      <c r="U421477" s="25"/>
    </row>
    <row r="421499" spans="21:21" x14ac:dyDescent="0.3">
      <c r="U421499" s="25"/>
    </row>
    <row r="421521" spans="21:21" x14ac:dyDescent="0.3">
      <c r="U421521" s="25"/>
    </row>
    <row r="421543" spans="21:21" x14ac:dyDescent="0.3">
      <c r="U421543" s="25"/>
    </row>
    <row r="421565" spans="21:21" x14ac:dyDescent="0.3">
      <c r="U421565" s="25"/>
    </row>
    <row r="421587" spans="21:21" x14ac:dyDescent="0.3">
      <c r="U421587" s="25"/>
    </row>
    <row r="421609" spans="21:21" x14ac:dyDescent="0.3">
      <c r="U421609" s="25"/>
    </row>
    <row r="421631" spans="21:21" x14ac:dyDescent="0.3">
      <c r="U421631" s="25"/>
    </row>
    <row r="421653" spans="21:21" x14ac:dyDescent="0.3">
      <c r="U421653" s="25"/>
    </row>
    <row r="421675" spans="21:21" x14ac:dyDescent="0.3">
      <c r="U421675" s="25"/>
    </row>
    <row r="421697" spans="21:21" x14ac:dyDescent="0.3">
      <c r="U421697" s="25"/>
    </row>
    <row r="421719" spans="21:21" x14ac:dyDescent="0.3">
      <c r="U421719" s="25"/>
    </row>
    <row r="421741" spans="21:21" x14ac:dyDescent="0.3">
      <c r="U421741" s="25"/>
    </row>
    <row r="421763" spans="21:21" x14ac:dyDescent="0.3">
      <c r="U421763" s="25"/>
    </row>
    <row r="421785" spans="21:21" x14ac:dyDescent="0.3">
      <c r="U421785" s="25"/>
    </row>
    <row r="421807" spans="21:21" x14ac:dyDescent="0.3">
      <c r="U421807" s="25"/>
    </row>
    <row r="421829" spans="21:21" x14ac:dyDescent="0.3">
      <c r="U421829" s="25"/>
    </row>
    <row r="421851" spans="21:21" x14ac:dyDescent="0.3">
      <c r="U421851" s="25"/>
    </row>
    <row r="421873" spans="21:21" x14ac:dyDescent="0.3">
      <c r="U421873" s="25"/>
    </row>
    <row r="421895" spans="21:21" x14ac:dyDescent="0.3">
      <c r="U421895" s="25"/>
    </row>
    <row r="421917" spans="21:21" x14ac:dyDescent="0.3">
      <c r="U421917" s="25"/>
    </row>
    <row r="421939" spans="21:21" x14ac:dyDescent="0.3">
      <c r="U421939" s="25"/>
    </row>
    <row r="421961" spans="21:21" x14ac:dyDescent="0.3">
      <c r="U421961" s="25"/>
    </row>
    <row r="421983" spans="21:21" x14ac:dyDescent="0.3">
      <c r="U421983" s="25"/>
    </row>
    <row r="422005" spans="21:21" x14ac:dyDescent="0.3">
      <c r="U422005" s="25"/>
    </row>
    <row r="422027" spans="21:21" x14ac:dyDescent="0.3">
      <c r="U422027" s="25"/>
    </row>
    <row r="422049" spans="21:21" x14ac:dyDescent="0.3">
      <c r="U422049" s="25"/>
    </row>
    <row r="422071" spans="21:21" x14ac:dyDescent="0.3">
      <c r="U422071" s="25"/>
    </row>
    <row r="422093" spans="21:21" x14ac:dyDescent="0.3">
      <c r="U422093" s="25"/>
    </row>
    <row r="422115" spans="21:21" x14ac:dyDescent="0.3">
      <c r="U422115" s="25"/>
    </row>
    <row r="422137" spans="21:21" x14ac:dyDescent="0.3">
      <c r="U422137" s="25"/>
    </row>
    <row r="422159" spans="21:21" x14ac:dyDescent="0.3">
      <c r="U422159" s="25"/>
    </row>
    <row r="422181" spans="21:21" x14ac:dyDescent="0.3">
      <c r="U422181" s="25"/>
    </row>
    <row r="422203" spans="21:21" x14ac:dyDescent="0.3">
      <c r="U422203" s="25"/>
    </row>
    <row r="422225" spans="21:21" x14ac:dyDescent="0.3">
      <c r="U422225" s="25"/>
    </row>
    <row r="422247" spans="21:21" x14ac:dyDescent="0.3">
      <c r="U422247" s="25"/>
    </row>
    <row r="422269" spans="21:21" x14ac:dyDescent="0.3">
      <c r="U422269" s="25"/>
    </row>
    <row r="422291" spans="21:21" x14ac:dyDescent="0.3">
      <c r="U422291" s="25"/>
    </row>
    <row r="422313" spans="21:21" x14ac:dyDescent="0.3">
      <c r="U422313" s="25"/>
    </row>
    <row r="422335" spans="21:21" x14ac:dyDescent="0.3">
      <c r="U422335" s="25"/>
    </row>
    <row r="422357" spans="21:21" x14ac:dyDescent="0.3">
      <c r="U422357" s="25"/>
    </row>
    <row r="422379" spans="21:21" x14ac:dyDescent="0.3">
      <c r="U422379" s="25"/>
    </row>
    <row r="422401" spans="21:21" x14ac:dyDescent="0.3">
      <c r="U422401" s="25"/>
    </row>
    <row r="422423" spans="21:21" x14ac:dyDescent="0.3">
      <c r="U422423" s="25"/>
    </row>
    <row r="422445" spans="21:21" x14ac:dyDescent="0.3">
      <c r="U422445" s="25"/>
    </row>
    <row r="422467" spans="21:21" x14ac:dyDescent="0.3">
      <c r="U422467" s="25"/>
    </row>
    <row r="422489" spans="21:21" x14ac:dyDescent="0.3">
      <c r="U422489" s="25"/>
    </row>
    <row r="422511" spans="21:21" x14ac:dyDescent="0.3">
      <c r="U422511" s="25"/>
    </row>
    <row r="422533" spans="21:21" x14ac:dyDescent="0.3">
      <c r="U422533" s="25"/>
    </row>
    <row r="422555" spans="21:21" x14ac:dyDescent="0.3">
      <c r="U422555" s="25"/>
    </row>
    <row r="422577" spans="21:21" x14ac:dyDescent="0.3">
      <c r="U422577" s="25"/>
    </row>
    <row r="422599" spans="21:21" x14ac:dyDescent="0.3">
      <c r="U422599" s="25"/>
    </row>
    <row r="422621" spans="21:21" x14ac:dyDescent="0.3">
      <c r="U422621" s="25"/>
    </row>
    <row r="422643" spans="21:21" x14ac:dyDescent="0.3">
      <c r="U422643" s="25"/>
    </row>
    <row r="422665" spans="21:21" x14ac:dyDescent="0.3">
      <c r="U422665" s="25"/>
    </row>
    <row r="422687" spans="21:21" x14ac:dyDescent="0.3">
      <c r="U422687" s="25"/>
    </row>
    <row r="422709" spans="21:21" x14ac:dyDescent="0.3">
      <c r="U422709" s="25"/>
    </row>
    <row r="422731" spans="21:21" x14ac:dyDescent="0.3">
      <c r="U422731" s="25"/>
    </row>
    <row r="422753" spans="21:21" x14ac:dyDescent="0.3">
      <c r="U422753" s="25"/>
    </row>
    <row r="422775" spans="21:21" x14ac:dyDescent="0.3">
      <c r="U422775" s="25"/>
    </row>
    <row r="422797" spans="21:21" x14ac:dyDescent="0.3">
      <c r="U422797" s="25"/>
    </row>
    <row r="422819" spans="21:21" x14ac:dyDescent="0.3">
      <c r="U422819" s="25"/>
    </row>
    <row r="422841" spans="21:21" x14ac:dyDescent="0.3">
      <c r="U422841" s="25"/>
    </row>
    <row r="422863" spans="21:21" x14ac:dyDescent="0.3">
      <c r="U422863" s="25"/>
    </row>
    <row r="422885" spans="21:21" x14ac:dyDescent="0.3">
      <c r="U422885" s="25"/>
    </row>
    <row r="422907" spans="21:21" x14ac:dyDescent="0.3">
      <c r="U422907" s="25"/>
    </row>
    <row r="422929" spans="21:21" x14ac:dyDescent="0.3">
      <c r="U422929" s="25"/>
    </row>
    <row r="422951" spans="21:21" x14ac:dyDescent="0.3">
      <c r="U422951" s="25"/>
    </row>
    <row r="422973" spans="21:21" x14ac:dyDescent="0.3">
      <c r="U422973" s="25"/>
    </row>
    <row r="422995" spans="21:21" x14ac:dyDescent="0.3">
      <c r="U422995" s="25"/>
    </row>
    <row r="423017" spans="21:21" x14ac:dyDescent="0.3">
      <c r="U423017" s="25"/>
    </row>
    <row r="423039" spans="21:21" x14ac:dyDescent="0.3">
      <c r="U423039" s="25"/>
    </row>
    <row r="423061" spans="21:21" x14ac:dyDescent="0.3">
      <c r="U423061" s="25"/>
    </row>
    <row r="423083" spans="21:21" x14ac:dyDescent="0.3">
      <c r="U423083" s="25"/>
    </row>
    <row r="423105" spans="21:21" x14ac:dyDescent="0.3">
      <c r="U423105" s="25"/>
    </row>
    <row r="423127" spans="21:21" x14ac:dyDescent="0.3">
      <c r="U423127" s="25"/>
    </row>
    <row r="423149" spans="21:21" x14ac:dyDescent="0.3">
      <c r="U423149" s="25"/>
    </row>
    <row r="423171" spans="21:21" x14ac:dyDescent="0.3">
      <c r="U423171" s="25"/>
    </row>
    <row r="423193" spans="21:21" x14ac:dyDescent="0.3">
      <c r="U423193" s="25"/>
    </row>
    <row r="423215" spans="21:21" x14ac:dyDescent="0.3">
      <c r="U423215" s="25"/>
    </row>
    <row r="423237" spans="21:21" x14ac:dyDescent="0.3">
      <c r="U423237" s="25"/>
    </row>
    <row r="423259" spans="21:21" x14ac:dyDescent="0.3">
      <c r="U423259" s="25"/>
    </row>
    <row r="423281" spans="21:21" x14ac:dyDescent="0.3">
      <c r="U423281" s="25"/>
    </row>
    <row r="423303" spans="21:21" x14ac:dyDescent="0.3">
      <c r="U423303" s="25"/>
    </row>
    <row r="423325" spans="21:21" x14ac:dyDescent="0.3">
      <c r="U423325" s="25"/>
    </row>
    <row r="423347" spans="21:21" x14ac:dyDescent="0.3">
      <c r="U423347" s="25"/>
    </row>
    <row r="423369" spans="21:21" x14ac:dyDescent="0.3">
      <c r="U423369" s="25"/>
    </row>
    <row r="423391" spans="21:21" x14ac:dyDescent="0.3">
      <c r="U423391" s="25"/>
    </row>
    <row r="423413" spans="21:21" x14ac:dyDescent="0.3">
      <c r="U423413" s="25"/>
    </row>
    <row r="423435" spans="21:21" x14ac:dyDescent="0.3">
      <c r="U423435" s="25"/>
    </row>
    <row r="423457" spans="21:21" x14ac:dyDescent="0.3">
      <c r="U423457" s="25"/>
    </row>
    <row r="423479" spans="21:21" x14ac:dyDescent="0.3">
      <c r="U423479" s="25"/>
    </row>
    <row r="423501" spans="21:21" x14ac:dyDescent="0.3">
      <c r="U423501" s="25"/>
    </row>
    <row r="423523" spans="21:21" x14ac:dyDescent="0.3">
      <c r="U423523" s="25"/>
    </row>
    <row r="423545" spans="21:21" x14ac:dyDescent="0.3">
      <c r="U423545" s="25"/>
    </row>
    <row r="423567" spans="21:21" x14ac:dyDescent="0.3">
      <c r="U423567" s="25"/>
    </row>
    <row r="423589" spans="21:21" x14ac:dyDescent="0.3">
      <c r="U423589" s="25"/>
    </row>
    <row r="423611" spans="21:21" x14ac:dyDescent="0.3">
      <c r="U423611" s="25"/>
    </row>
    <row r="423633" spans="21:21" x14ac:dyDescent="0.3">
      <c r="U423633" s="25"/>
    </row>
    <row r="423655" spans="21:21" x14ac:dyDescent="0.3">
      <c r="U423655" s="25"/>
    </row>
    <row r="423677" spans="21:21" x14ac:dyDescent="0.3">
      <c r="U423677" s="25"/>
    </row>
    <row r="423699" spans="21:21" x14ac:dyDescent="0.3">
      <c r="U423699" s="25"/>
    </row>
    <row r="423721" spans="21:21" x14ac:dyDescent="0.3">
      <c r="U423721" s="25"/>
    </row>
    <row r="423743" spans="21:21" x14ac:dyDescent="0.3">
      <c r="U423743" s="25"/>
    </row>
    <row r="423765" spans="21:21" x14ac:dyDescent="0.3">
      <c r="U423765" s="25"/>
    </row>
    <row r="423787" spans="21:21" x14ac:dyDescent="0.3">
      <c r="U423787" s="25"/>
    </row>
    <row r="423809" spans="21:21" x14ac:dyDescent="0.3">
      <c r="U423809" s="25"/>
    </row>
    <row r="423831" spans="21:21" x14ac:dyDescent="0.3">
      <c r="U423831" s="25"/>
    </row>
    <row r="423853" spans="21:21" x14ac:dyDescent="0.3">
      <c r="U423853" s="25"/>
    </row>
    <row r="423875" spans="21:21" x14ac:dyDescent="0.3">
      <c r="U423875" s="25"/>
    </row>
    <row r="423897" spans="21:21" x14ac:dyDescent="0.3">
      <c r="U423897" s="25"/>
    </row>
    <row r="423919" spans="21:21" x14ac:dyDescent="0.3">
      <c r="U423919" s="25"/>
    </row>
    <row r="423941" spans="21:21" x14ac:dyDescent="0.3">
      <c r="U423941" s="25"/>
    </row>
    <row r="423963" spans="21:21" x14ac:dyDescent="0.3">
      <c r="U423963" s="25"/>
    </row>
    <row r="423985" spans="21:21" x14ac:dyDescent="0.3">
      <c r="U423985" s="25"/>
    </row>
    <row r="424007" spans="21:21" x14ac:dyDescent="0.3">
      <c r="U424007" s="25"/>
    </row>
    <row r="424029" spans="21:21" x14ac:dyDescent="0.3">
      <c r="U424029" s="25"/>
    </row>
    <row r="424051" spans="21:21" x14ac:dyDescent="0.3">
      <c r="U424051" s="25"/>
    </row>
    <row r="424073" spans="21:21" x14ac:dyDescent="0.3">
      <c r="U424073" s="25"/>
    </row>
    <row r="424095" spans="21:21" x14ac:dyDescent="0.3">
      <c r="U424095" s="25"/>
    </row>
    <row r="424117" spans="21:21" x14ac:dyDescent="0.3">
      <c r="U424117" s="25"/>
    </row>
    <row r="424139" spans="21:21" x14ac:dyDescent="0.3">
      <c r="U424139" s="25"/>
    </row>
    <row r="424161" spans="21:21" x14ac:dyDescent="0.3">
      <c r="U424161" s="25"/>
    </row>
    <row r="424183" spans="21:21" x14ac:dyDescent="0.3">
      <c r="U424183" s="25"/>
    </row>
    <row r="424205" spans="21:21" x14ac:dyDescent="0.3">
      <c r="U424205" s="25"/>
    </row>
    <row r="424227" spans="21:21" x14ac:dyDescent="0.3">
      <c r="U424227" s="25"/>
    </row>
    <row r="424249" spans="21:21" x14ac:dyDescent="0.3">
      <c r="U424249" s="25"/>
    </row>
    <row r="424271" spans="21:21" x14ac:dyDescent="0.3">
      <c r="U424271" s="25"/>
    </row>
    <row r="424293" spans="21:21" x14ac:dyDescent="0.3">
      <c r="U424293" s="25"/>
    </row>
    <row r="424315" spans="21:21" x14ac:dyDescent="0.3">
      <c r="U424315" s="25"/>
    </row>
    <row r="424337" spans="21:21" x14ac:dyDescent="0.3">
      <c r="U424337" s="25"/>
    </row>
    <row r="424359" spans="21:21" x14ac:dyDescent="0.3">
      <c r="U424359" s="25"/>
    </row>
    <row r="424381" spans="21:21" x14ac:dyDescent="0.3">
      <c r="U424381" s="25"/>
    </row>
    <row r="424403" spans="21:21" x14ac:dyDescent="0.3">
      <c r="U424403" s="25"/>
    </row>
    <row r="424425" spans="21:21" x14ac:dyDescent="0.3">
      <c r="U424425" s="25"/>
    </row>
    <row r="424447" spans="21:21" x14ac:dyDescent="0.3">
      <c r="U424447" s="25"/>
    </row>
    <row r="424469" spans="21:21" x14ac:dyDescent="0.3">
      <c r="U424469" s="25"/>
    </row>
    <row r="424491" spans="21:21" x14ac:dyDescent="0.3">
      <c r="U424491" s="25"/>
    </row>
    <row r="424513" spans="21:21" x14ac:dyDescent="0.3">
      <c r="U424513" s="25"/>
    </row>
    <row r="424535" spans="21:21" x14ac:dyDescent="0.3">
      <c r="U424535" s="25"/>
    </row>
    <row r="424557" spans="21:21" x14ac:dyDescent="0.3">
      <c r="U424557" s="25"/>
    </row>
    <row r="424579" spans="21:21" x14ac:dyDescent="0.3">
      <c r="U424579" s="25"/>
    </row>
    <row r="424601" spans="21:21" x14ac:dyDescent="0.3">
      <c r="U424601" s="25"/>
    </row>
    <row r="424623" spans="21:21" x14ac:dyDescent="0.3">
      <c r="U424623" s="25"/>
    </row>
    <row r="424645" spans="21:21" x14ac:dyDescent="0.3">
      <c r="U424645" s="25"/>
    </row>
    <row r="424667" spans="21:21" x14ac:dyDescent="0.3">
      <c r="U424667" s="25"/>
    </row>
    <row r="424689" spans="21:21" x14ac:dyDescent="0.3">
      <c r="U424689" s="25"/>
    </row>
    <row r="424711" spans="21:21" x14ac:dyDescent="0.3">
      <c r="U424711" s="25"/>
    </row>
    <row r="424733" spans="21:21" x14ac:dyDescent="0.3">
      <c r="U424733" s="25"/>
    </row>
    <row r="424755" spans="21:21" x14ac:dyDescent="0.3">
      <c r="U424755" s="25"/>
    </row>
    <row r="424777" spans="21:21" x14ac:dyDescent="0.3">
      <c r="U424777" s="25"/>
    </row>
    <row r="424799" spans="21:21" x14ac:dyDescent="0.3">
      <c r="U424799" s="25"/>
    </row>
    <row r="424821" spans="21:21" x14ac:dyDescent="0.3">
      <c r="U424821" s="25"/>
    </row>
    <row r="424843" spans="21:21" x14ac:dyDescent="0.3">
      <c r="U424843" s="25"/>
    </row>
    <row r="424865" spans="21:21" x14ac:dyDescent="0.3">
      <c r="U424865" s="25"/>
    </row>
    <row r="424887" spans="21:21" x14ac:dyDescent="0.3">
      <c r="U424887" s="25"/>
    </row>
    <row r="424909" spans="21:21" x14ac:dyDescent="0.3">
      <c r="U424909" s="25"/>
    </row>
    <row r="424931" spans="21:21" x14ac:dyDescent="0.3">
      <c r="U424931" s="25"/>
    </row>
    <row r="424953" spans="21:21" x14ac:dyDescent="0.3">
      <c r="U424953" s="25"/>
    </row>
    <row r="424975" spans="21:21" x14ac:dyDescent="0.3">
      <c r="U424975" s="25"/>
    </row>
    <row r="424997" spans="21:21" x14ac:dyDescent="0.3">
      <c r="U424997" s="25"/>
    </row>
    <row r="425019" spans="21:21" x14ac:dyDescent="0.3">
      <c r="U425019" s="25"/>
    </row>
    <row r="425041" spans="21:21" x14ac:dyDescent="0.3">
      <c r="U425041" s="25"/>
    </row>
    <row r="425063" spans="21:21" x14ac:dyDescent="0.3">
      <c r="U425063" s="25"/>
    </row>
    <row r="425085" spans="21:21" x14ac:dyDescent="0.3">
      <c r="U425085" s="25"/>
    </row>
    <row r="425107" spans="21:21" x14ac:dyDescent="0.3">
      <c r="U425107" s="25"/>
    </row>
    <row r="425129" spans="21:21" x14ac:dyDescent="0.3">
      <c r="U425129" s="25"/>
    </row>
    <row r="425151" spans="21:21" x14ac:dyDescent="0.3">
      <c r="U425151" s="25"/>
    </row>
    <row r="425173" spans="21:21" x14ac:dyDescent="0.3">
      <c r="U425173" s="25"/>
    </row>
    <row r="425195" spans="21:21" x14ac:dyDescent="0.3">
      <c r="U425195" s="25"/>
    </row>
    <row r="425217" spans="21:21" x14ac:dyDescent="0.3">
      <c r="U425217" s="25"/>
    </row>
    <row r="425239" spans="21:21" x14ac:dyDescent="0.3">
      <c r="U425239" s="25"/>
    </row>
    <row r="425261" spans="21:21" x14ac:dyDescent="0.3">
      <c r="U425261" s="25"/>
    </row>
    <row r="425283" spans="21:21" x14ac:dyDescent="0.3">
      <c r="U425283" s="25"/>
    </row>
    <row r="425305" spans="21:21" x14ac:dyDescent="0.3">
      <c r="U425305" s="25"/>
    </row>
    <row r="425327" spans="21:21" x14ac:dyDescent="0.3">
      <c r="U425327" s="25"/>
    </row>
    <row r="425349" spans="21:21" x14ac:dyDescent="0.3">
      <c r="U425349" s="25"/>
    </row>
    <row r="425371" spans="21:21" x14ac:dyDescent="0.3">
      <c r="U425371" s="25"/>
    </row>
    <row r="425393" spans="21:21" x14ac:dyDescent="0.3">
      <c r="U425393" s="25"/>
    </row>
    <row r="425415" spans="21:21" x14ac:dyDescent="0.3">
      <c r="U425415" s="25"/>
    </row>
    <row r="425437" spans="21:21" x14ac:dyDescent="0.3">
      <c r="U425437" s="25"/>
    </row>
    <row r="425459" spans="21:21" x14ac:dyDescent="0.3">
      <c r="U425459" s="25"/>
    </row>
    <row r="425481" spans="21:21" x14ac:dyDescent="0.3">
      <c r="U425481" s="25"/>
    </row>
    <row r="425503" spans="21:21" x14ac:dyDescent="0.3">
      <c r="U425503" s="25"/>
    </row>
    <row r="425525" spans="21:21" x14ac:dyDescent="0.3">
      <c r="U425525" s="25"/>
    </row>
    <row r="425547" spans="21:21" x14ac:dyDescent="0.3">
      <c r="U425547" s="25"/>
    </row>
    <row r="425569" spans="21:21" x14ac:dyDescent="0.3">
      <c r="U425569" s="25"/>
    </row>
    <row r="425591" spans="21:21" x14ac:dyDescent="0.3">
      <c r="U425591" s="25"/>
    </row>
    <row r="425613" spans="21:21" x14ac:dyDescent="0.3">
      <c r="U425613" s="25"/>
    </row>
    <row r="425635" spans="21:21" x14ac:dyDescent="0.3">
      <c r="U425635" s="25"/>
    </row>
    <row r="425657" spans="21:21" x14ac:dyDescent="0.3">
      <c r="U425657" s="25"/>
    </row>
    <row r="425679" spans="21:21" x14ac:dyDescent="0.3">
      <c r="U425679" s="25"/>
    </row>
    <row r="425701" spans="21:21" x14ac:dyDescent="0.3">
      <c r="U425701" s="25"/>
    </row>
    <row r="425723" spans="21:21" x14ac:dyDescent="0.3">
      <c r="U425723" s="25"/>
    </row>
    <row r="425745" spans="21:21" x14ac:dyDescent="0.3">
      <c r="U425745" s="25"/>
    </row>
    <row r="425767" spans="21:21" x14ac:dyDescent="0.3">
      <c r="U425767" s="25"/>
    </row>
    <row r="425789" spans="21:21" x14ac:dyDescent="0.3">
      <c r="U425789" s="25"/>
    </row>
    <row r="425811" spans="21:21" x14ac:dyDescent="0.3">
      <c r="U425811" s="25"/>
    </row>
    <row r="425833" spans="21:21" x14ac:dyDescent="0.3">
      <c r="U425833" s="25"/>
    </row>
    <row r="425855" spans="21:21" x14ac:dyDescent="0.3">
      <c r="U425855" s="25"/>
    </row>
    <row r="425877" spans="21:21" x14ac:dyDescent="0.3">
      <c r="U425877" s="25"/>
    </row>
    <row r="425899" spans="21:21" x14ac:dyDescent="0.3">
      <c r="U425899" s="25"/>
    </row>
    <row r="425921" spans="21:21" x14ac:dyDescent="0.3">
      <c r="U425921" s="25"/>
    </row>
    <row r="425943" spans="21:21" x14ac:dyDescent="0.3">
      <c r="U425943" s="25"/>
    </row>
    <row r="425965" spans="21:21" x14ac:dyDescent="0.3">
      <c r="U425965" s="25"/>
    </row>
    <row r="425987" spans="21:21" x14ac:dyDescent="0.3">
      <c r="U425987" s="25"/>
    </row>
    <row r="426009" spans="21:21" x14ac:dyDescent="0.3">
      <c r="U426009" s="25"/>
    </row>
    <row r="426031" spans="21:21" x14ac:dyDescent="0.3">
      <c r="U426031" s="25"/>
    </row>
    <row r="426053" spans="21:21" x14ac:dyDescent="0.3">
      <c r="U426053" s="25"/>
    </row>
    <row r="426075" spans="21:21" x14ac:dyDescent="0.3">
      <c r="U426075" s="25"/>
    </row>
    <row r="426097" spans="21:21" x14ac:dyDescent="0.3">
      <c r="U426097" s="25"/>
    </row>
    <row r="426119" spans="21:21" x14ac:dyDescent="0.3">
      <c r="U426119" s="25"/>
    </row>
    <row r="426141" spans="21:21" x14ac:dyDescent="0.3">
      <c r="U426141" s="25"/>
    </row>
    <row r="426163" spans="21:21" x14ac:dyDescent="0.3">
      <c r="U426163" s="25"/>
    </row>
    <row r="426185" spans="21:21" x14ac:dyDescent="0.3">
      <c r="U426185" s="25"/>
    </row>
    <row r="426207" spans="21:21" x14ac:dyDescent="0.3">
      <c r="U426207" s="25"/>
    </row>
    <row r="426229" spans="21:21" x14ac:dyDescent="0.3">
      <c r="U426229" s="25"/>
    </row>
    <row r="426251" spans="21:21" x14ac:dyDescent="0.3">
      <c r="U426251" s="25"/>
    </row>
    <row r="426273" spans="21:21" x14ac:dyDescent="0.3">
      <c r="U426273" s="25"/>
    </row>
    <row r="426295" spans="21:21" x14ac:dyDescent="0.3">
      <c r="U426295" s="25"/>
    </row>
    <row r="426317" spans="21:21" x14ac:dyDescent="0.3">
      <c r="U426317" s="25"/>
    </row>
    <row r="426339" spans="21:21" x14ac:dyDescent="0.3">
      <c r="U426339" s="25"/>
    </row>
    <row r="426361" spans="21:21" x14ac:dyDescent="0.3">
      <c r="U426361" s="25"/>
    </row>
    <row r="426383" spans="21:21" x14ac:dyDescent="0.3">
      <c r="U426383" s="25"/>
    </row>
    <row r="426405" spans="21:21" x14ac:dyDescent="0.3">
      <c r="U426405" s="25"/>
    </row>
    <row r="426427" spans="21:21" x14ac:dyDescent="0.3">
      <c r="U426427" s="25"/>
    </row>
    <row r="426449" spans="21:21" x14ac:dyDescent="0.3">
      <c r="U426449" s="25"/>
    </row>
    <row r="426471" spans="21:21" x14ac:dyDescent="0.3">
      <c r="U426471" s="25"/>
    </row>
    <row r="426493" spans="21:21" x14ac:dyDescent="0.3">
      <c r="U426493" s="25"/>
    </row>
    <row r="426515" spans="21:21" x14ac:dyDescent="0.3">
      <c r="U426515" s="25"/>
    </row>
    <row r="426537" spans="21:21" x14ac:dyDescent="0.3">
      <c r="U426537" s="25"/>
    </row>
    <row r="426559" spans="21:21" x14ac:dyDescent="0.3">
      <c r="U426559" s="25"/>
    </row>
    <row r="426581" spans="21:21" x14ac:dyDescent="0.3">
      <c r="U426581" s="25"/>
    </row>
    <row r="426603" spans="21:21" x14ac:dyDescent="0.3">
      <c r="U426603" s="25"/>
    </row>
    <row r="426625" spans="21:21" x14ac:dyDescent="0.3">
      <c r="U426625" s="25"/>
    </row>
    <row r="426647" spans="21:21" x14ac:dyDescent="0.3">
      <c r="U426647" s="25"/>
    </row>
    <row r="426669" spans="21:21" x14ac:dyDescent="0.3">
      <c r="U426669" s="25"/>
    </row>
    <row r="426691" spans="21:21" x14ac:dyDescent="0.3">
      <c r="U426691" s="25"/>
    </row>
    <row r="426713" spans="21:21" x14ac:dyDescent="0.3">
      <c r="U426713" s="25"/>
    </row>
    <row r="426735" spans="21:21" x14ac:dyDescent="0.3">
      <c r="U426735" s="25"/>
    </row>
    <row r="426757" spans="21:21" x14ac:dyDescent="0.3">
      <c r="U426757" s="25"/>
    </row>
    <row r="426779" spans="21:21" x14ac:dyDescent="0.3">
      <c r="U426779" s="25"/>
    </row>
    <row r="426801" spans="21:21" x14ac:dyDescent="0.3">
      <c r="U426801" s="25"/>
    </row>
    <row r="426823" spans="21:21" x14ac:dyDescent="0.3">
      <c r="U426823" s="25"/>
    </row>
    <row r="426845" spans="21:21" x14ac:dyDescent="0.3">
      <c r="U426845" s="25"/>
    </row>
    <row r="426867" spans="21:21" x14ac:dyDescent="0.3">
      <c r="U426867" s="25"/>
    </row>
    <row r="426889" spans="21:21" x14ac:dyDescent="0.3">
      <c r="U426889" s="25"/>
    </row>
    <row r="426911" spans="21:21" x14ac:dyDescent="0.3">
      <c r="U426911" s="25"/>
    </row>
    <row r="426933" spans="21:21" x14ac:dyDescent="0.3">
      <c r="U426933" s="25"/>
    </row>
    <row r="426955" spans="21:21" x14ac:dyDescent="0.3">
      <c r="U426955" s="25"/>
    </row>
    <row r="426977" spans="21:21" x14ac:dyDescent="0.3">
      <c r="U426977" s="25"/>
    </row>
    <row r="426999" spans="21:21" x14ac:dyDescent="0.3">
      <c r="U426999" s="25"/>
    </row>
    <row r="427021" spans="21:21" x14ac:dyDescent="0.3">
      <c r="U427021" s="25"/>
    </row>
    <row r="427043" spans="21:21" x14ac:dyDescent="0.3">
      <c r="U427043" s="25"/>
    </row>
    <row r="427065" spans="21:21" x14ac:dyDescent="0.3">
      <c r="U427065" s="25"/>
    </row>
    <row r="427087" spans="21:21" x14ac:dyDescent="0.3">
      <c r="U427087" s="25"/>
    </row>
    <row r="427109" spans="21:21" x14ac:dyDescent="0.3">
      <c r="U427109" s="25"/>
    </row>
    <row r="427131" spans="21:21" x14ac:dyDescent="0.3">
      <c r="U427131" s="25"/>
    </row>
    <row r="427153" spans="21:21" x14ac:dyDescent="0.3">
      <c r="U427153" s="25"/>
    </row>
    <row r="427175" spans="21:21" x14ac:dyDescent="0.3">
      <c r="U427175" s="25"/>
    </row>
    <row r="427197" spans="21:21" x14ac:dyDescent="0.3">
      <c r="U427197" s="25"/>
    </row>
    <row r="427219" spans="21:21" x14ac:dyDescent="0.3">
      <c r="U427219" s="25"/>
    </row>
    <row r="427241" spans="21:21" x14ac:dyDescent="0.3">
      <c r="U427241" s="25"/>
    </row>
    <row r="427263" spans="21:21" x14ac:dyDescent="0.3">
      <c r="U427263" s="25"/>
    </row>
    <row r="427285" spans="21:21" x14ac:dyDescent="0.3">
      <c r="U427285" s="25"/>
    </row>
    <row r="427307" spans="21:21" x14ac:dyDescent="0.3">
      <c r="U427307" s="25"/>
    </row>
    <row r="427329" spans="21:21" x14ac:dyDescent="0.3">
      <c r="U427329" s="25"/>
    </row>
    <row r="427351" spans="21:21" x14ac:dyDescent="0.3">
      <c r="U427351" s="25"/>
    </row>
    <row r="427373" spans="21:21" x14ac:dyDescent="0.3">
      <c r="U427373" s="25"/>
    </row>
    <row r="427395" spans="21:21" x14ac:dyDescent="0.3">
      <c r="U427395" s="25"/>
    </row>
    <row r="427417" spans="21:21" x14ac:dyDescent="0.3">
      <c r="U427417" s="25"/>
    </row>
    <row r="427439" spans="21:21" x14ac:dyDescent="0.3">
      <c r="U427439" s="25"/>
    </row>
    <row r="427461" spans="21:21" x14ac:dyDescent="0.3">
      <c r="U427461" s="25"/>
    </row>
    <row r="427483" spans="21:21" x14ac:dyDescent="0.3">
      <c r="U427483" s="25"/>
    </row>
    <row r="427505" spans="21:21" x14ac:dyDescent="0.3">
      <c r="U427505" s="25"/>
    </row>
    <row r="427527" spans="21:21" x14ac:dyDescent="0.3">
      <c r="U427527" s="25"/>
    </row>
    <row r="427549" spans="21:21" x14ac:dyDescent="0.3">
      <c r="U427549" s="25"/>
    </row>
    <row r="427571" spans="21:21" x14ac:dyDescent="0.3">
      <c r="U427571" s="25"/>
    </row>
    <row r="427593" spans="21:21" x14ac:dyDescent="0.3">
      <c r="U427593" s="25"/>
    </row>
    <row r="427615" spans="21:21" x14ac:dyDescent="0.3">
      <c r="U427615" s="25"/>
    </row>
    <row r="427637" spans="21:21" x14ac:dyDescent="0.3">
      <c r="U427637" s="25"/>
    </row>
    <row r="427659" spans="21:21" x14ac:dyDescent="0.3">
      <c r="U427659" s="25"/>
    </row>
    <row r="427681" spans="21:21" x14ac:dyDescent="0.3">
      <c r="U427681" s="25"/>
    </row>
    <row r="427703" spans="21:21" x14ac:dyDescent="0.3">
      <c r="U427703" s="25"/>
    </row>
    <row r="427725" spans="21:21" x14ac:dyDescent="0.3">
      <c r="U427725" s="25"/>
    </row>
    <row r="427747" spans="21:21" x14ac:dyDescent="0.3">
      <c r="U427747" s="25"/>
    </row>
    <row r="427769" spans="21:21" x14ac:dyDescent="0.3">
      <c r="U427769" s="25"/>
    </row>
    <row r="427791" spans="21:21" x14ac:dyDescent="0.3">
      <c r="U427791" s="25"/>
    </row>
    <row r="427813" spans="21:21" x14ac:dyDescent="0.3">
      <c r="U427813" s="25"/>
    </row>
    <row r="427835" spans="21:21" x14ac:dyDescent="0.3">
      <c r="U427835" s="25"/>
    </row>
    <row r="427857" spans="21:21" x14ac:dyDescent="0.3">
      <c r="U427857" s="25"/>
    </row>
    <row r="427879" spans="21:21" x14ac:dyDescent="0.3">
      <c r="U427879" s="25"/>
    </row>
    <row r="427901" spans="21:21" x14ac:dyDescent="0.3">
      <c r="U427901" s="25"/>
    </row>
    <row r="427923" spans="21:21" x14ac:dyDescent="0.3">
      <c r="U427923" s="25"/>
    </row>
    <row r="427945" spans="21:21" x14ac:dyDescent="0.3">
      <c r="U427945" s="25"/>
    </row>
    <row r="427967" spans="21:21" x14ac:dyDescent="0.3">
      <c r="U427967" s="25"/>
    </row>
    <row r="427989" spans="21:21" x14ac:dyDescent="0.3">
      <c r="U427989" s="25"/>
    </row>
    <row r="428011" spans="21:21" x14ac:dyDescent="0.3">
      <c r="U428011" s="25"/>
    </row>
    <row r="428033" spans="21:21" x14ac:dyDescent="0.3">
      <c r="U428033" s="25"/>
    </row>
    <row r="428055" spans="21:21" x14ac:dyDescent="0.3">
      <c r="U428055" s="25"/>
    </row>
    <row r="428077" spans="21:21" x14ac:dyDescent="0.3">
      <c r="U428077" s="25"/>
    </row>
    <row r="428099" spans="21:21" x14ac:dyDescent="0.3">
      <c r="U428099" s="25"/>
    </row>
    <row r="428121" spans="21:21" x14ac:dyDescent="0.3">
      <c r="U428121" s="25"/>
    </row>
    <row r="428143" spans="21:21" x14ac:dyDescent="0.3">
      <c r="U428143" s="25"/>
    </row>
    <row r="428165" spans="21:21" x14ac:dyDescent="0.3">
      <c r="U428165" s="25"/>
    </row>
    <row r="428187" spans="21:21" x14ac:dyDescent="0.3">
      <c r="U428187" s="25"/>
    </row>
    <row r="428209" spans="21:21" x14ac:dyDescent="0.3">
      <c r="U428209" s="25"/>
    </row>
    <row r="428231" spans="21:21" x14ac:dyDescent="0.3">
      <c r="U428231" s="25"/>
    </row>
    <row r="428253" spans="21:21" x14ac:dyDescent="0.3">
      <c r="U428253" s="25"/>
    </row>
    <row r="428275" spans="21:21" x14ac:dyDescent="0.3">
      <c r="U428275" s="25"/>
    </row>
    <row r="428297" spans="21:21" x14ac:dyDescent="0.3">
      <c r="U428297" s="25"/>
    </row>
    <row r="428319" spans="21:21" x14ac:dyDescent="0.3">
      <c r="U428319" s="25"/>
    </row>
    <row r="428341" spans="21:21" x14ac:dyDescent="0.3">
      <c r="U428341" s="25"/>
    </row>
    <row r="428363" spans="21:21" x14ac:dyDescent="0.3">
      <c r="U428363" s="25"/>
    </row>
    <row r="428385" spans="21:21" x14ac:dyDescent="0.3">
      <c r="U428385" s="25"/>
    </row>
    <row r="428407" spans="21:21" x14ac:dyDescent="0.3">
      <c r="U428407" s="25"/>
    </row>
    <row r="428429" spans="21:21" x14ac:dyDescent="0.3">
      <c r="U428429" s="25"/>
    </row>
    <row r="428451" spans="21:21" x14ac:dyDescent="0.3">
      <c r="U428451" s="25"/>
    </row>
    <row r="428473" spans="21:21" x14ac:dyDescent="0.3">
      <c r="U428473" s="25"/>
    </row>
    <row r="428495" spans="21:21" x14ac:dyDescent="0.3">
      <c r="U428495" s="25"/>
    </row>
    <row r="428517" spans="21:21" x14ac:dyDescent="0.3">
      <c r="U428517" s="25"/>
    </row>
    <row r="428539" spans="21:21" x14ac:dyDescent="0.3">
      <c r="U428539" s="25"/>
    </row>
    <row r="428561" spans="21:21" x14ac:dyDescent="0.3">
      <c r="U428561" s="25"/>
    </row>
    <row r="428583" spans="21:21" x14ac:dyDescent="0.3">
      <c r="U428583" s="25"/>
    </row>
    <row r="428605" spans="21:21" x14ac:dyDescent="0.3">
      <c r="U428605" s="25"/>
    </row>
    <row r="428627" spans="21:21" x14ac:dyDescent="0.3">
      <c r="U428627" s="25"/>
    </row>
    <row r="428649" spans="21:21" x14ac:dyDescent="0.3">
      <c r="U428649" s="25"/>
    </row>
    <row r="428671" spans="21:21" x14ac:dyDescent="0.3">
      <c r="U428671" s="25"/>
    </row>
    <row r="428693" spans="21:21" x14ac:dyDescent="0.3">
      <c r="U428693" s="25"/>
    </row>
    <row r="428715" spans="21:21" x14ac:dyDescent="0.3">
      <c r="U428715" s="25"/>
    </row>
    <row r="428737" spans="21:21" x14ac:dyDescent="0.3">
      <c r="U428737" s="25"/>
    </row>
    <row r="428759" spans="21:21" x14ac:dyDescent="0.3">
      <c r="U428759" s="25"/>
    </row>
    <row r="428781" spans="21:21" x14ac:dyDescent="0.3">
      <c r="U428781" s="25"/>
    </row>
    <row r="428803" spans="21:21" x14ac:dyDescent="0.3">
      <c r="U428803" s="25"/>
    </row>
    <row r="428825" spans="21:21" x14ac:dyDescent="0.3">
      <c r="U428825" s="25"/>
    </row>
    <row r="428847" spans="21:21" x14ac:dyDescent="0.3">
      <c r="U428847" s="25"/>
    </row>
    <row r="428869" spans="21:21" x14ac:dyDescent="0.3">
      <c r="U428869" s="25"/>
    </row>
    <row r="428891" spans="21:21" x14ac:dyDescent="0.3">
      <c r="U428891" s="25"/>
    </row>
    <row r="428913" spans="21:21" x14ac:dyDescent="0.3">
      <c r="U428913" s="25"/>
    </row>
    <row r="428935" spans="21:21" x14ac:dyDescent="0.3">
      <c r="U428935" s="25"/>
    </row>
    <row r="428957" spans="21:21" x14ac:dyDescent="0.3">
      <c r="U428957" s="25"/>
    </row>
    <row r="428979" spans="21:21" x14ac:dyDescent="0.3">
      <c r="U428979" s="25"/>
    </row>
    <row r="429001" spans="21:21" x14ac:dyDescent="0.3">
      <c r="U429001" s="25"/>
    </row>
    <row r="429023" spans="21:21" x14ac:dyDescent="0.3">
      <c r="U429023" s="25"/>
    </row>
    <row r="429045" spans="21:21" x14ac:dyDescent="0.3">
      <c r="U429045" s="25"/>
    </row>
    <row r="429067" spans="21:21" x14ac:dyDescent="0.3">
      <c r="U429067" s="25"/>
    </row>
    <row r="429089" spans="21:21" x14ac:dyDescent="0.3">
      <c r="U429089" s="25"/>
    </row>
    <row r="429111" spans="21:21" x14ac:dyDescent="0.3">
      <c r="U429111" s="25"/>
    </row>
    <row r="429133" spans="21:21" x14ac:dyDescent="0.3">
      <c r="U429133" s="25"/>
    </row>
    <row r="429155" spans="21:21" x14ac:dyDescent="0.3">
      <c r="U429155" s="25"/>
    </row>
    <row r="429177" spans="21:21" x14ac:dyDescent="0.3">
      <c r="U429177" s="25"/>
    </row>
    <row r="429199" spans="21:21" x14ac:dyDescent="0.3">
      <c r="U429199" s="25"/>
    </row>
    <row r="429221" spans="21:21" x14ac:dyDescent="0.3">
      <c r="U429221" s="25"/>
    </row>
    <row r="429243" spans="21:21" x14ac:dyDescent="0.3">
      <c r="U429243" s="25"/>
    </row>
    <row r="429265" spans="21:21" x14ac:dyDescent="0.3">
      <c r="U429265" s="25"/>
    </row>
    <row r="429287" spans="21:21" x14ac:dyDescent="0.3">
      <c r="U429287" s="25"/>
    </row>
    <row r="429309" spans="21:21" x14ac:dyDescent="0.3">
      <c r="U429309" s="25"/>
    </row>
    <row r="429331" spans="21:21" x14ac:dyDescent="0.3">
      <c r="U429331" s="25"/>
    </row>
    <row r="429353" spans="21:21" x14ac:dyDescent="0.3">
      <c r="U429353" s="25"/>
    </row>
    <row r="429375" spans="21:21" x14ac:dyDescent="0.3">
      <c r="U429375" s="25"/>
    </row>
    <row r="429397" spans="21:21" x14ac:dyDescent="0.3">
      <c r="U429397" s="25"/>
    </row>
    <row r="429419" spans="21:21" x14ac:dyDescent="0.3">
      <c r="U429419" s="25"/>
    </row>
    <row r="429441" spans="21:21" x14ac:dyDescent="0.3">
      <c r="U429441" s="25"/>
    </row>
    <row r="429463" spans="21:21" x14ac:dyDescent="0.3">
      <c r="U429463" s="25"/>
    </row>
    <row r="429485" spans="21:21" x14ac:dyDescent="0.3">
      <c r="U429485" s="25"/>
    </row>
    <row r="429507" spans="21:21" x14ac:dyDescent="0.3">
      <c r="U429507" s="25"/>
    </row>
    <row r="429529" spans="21:21" x14ac:dyDescent="0.3">
      <c r="U429529" s="25"/>
    </row>
    <row r="429551" spans="21:21" x14ac:dyDescent="0.3">
      <c r="U429551" s="25"/>
    </row>
    <row r="429573" spans="21:21" x14ac:dyDescent="0.3">
      <c r="U429573" s="25"/>
    </row>
    <row r="429595" spans="21:21" x14ac:dyDescent="0.3">
      <c r="U429595" s="25"/>
    </row>
    <row r="429617" spans="21:21" x14ac:dyDescent="0.3">
      <c r="U429617" s="25"/>
    </row>
    <row r="429639" spans="21:21" x14ac:dyDescent="0.3">
      <c r="U429639" s="25"/>
    </row>
    <row r="429661" spans="21:21" x14ac:dyDescent="0.3">
      <c r="U429661" s="25"/>
    </row>
    <row r="429683" spans="21:21" x14ac:dyDescent="0.3">
      <c r="U429683" s="25"/>
    </row>
    <row r="429705" spans="21:21" x14ac:dyDescent="0.3">
      <c r="U429705" s="25"/>
    </row>
    <row r="429727" spans="21:21" x14ac:dyDescent="0.3">
      <c r="U429727" s="25"/>
    </row>
    <row r="429749" spans="21:21" x14ac:dyDescent="0.3">
      <c r="U429749" s="25"/>
    </row>
    <row r="429771" spans="21:21" x14ac:dyDescent="0.3">
      <c r="U429771" s="25"/>
    </row>
    <row r="429793" spans="21:21" x14ac:dyDescent="0.3">
      <c r="U429793" s="25"/>
    </row>
    <row r="429815" spans="21:21" x14ac:dyDescent="0.3">
      <c r="U429815" s="25"/>
    </row>
    <row r="429837" spans="21:21" x14ac:dyDescent="0.3">
      <c r="U429837" s="25"/>
    </row>
    <row r="429859" spans="21:21" x14ac:dyDescent="0.3">
      <c r="U429859" s="25"/>
    </row>
    <row r="429881" spans="21:21" x14ac:dyDescent="0.3">
      <c r="U429881" s="25"/>
    </row>
    <row r="429903" spans="21:21" x14ac:dyDescent="0.3">
      <c r="U429903" s="25"/>
    </row>
    <row r="429925" spans="21:21" x14ac:dyDescent="0.3">
      <c r="U429925" s="25"/>
    </row>
    <row r="429947" spans="21:21" x14ac:dyDescent="0.3">
      <c r="U429947" s="25"/>
    </row>
    <row r="429969" spans="21:21" x14ac:dyDescent="0.3">
      <c r="U429969" s="25"/>
    </row>
    <row r="429991" spans="21:21" x14ac:dyDescent="0.3">
      <c r="U429991" s="25"/>
    </row>
    <row r="430013" spans="21:21" x14ac:dyDescent="0.3">
      <c r="U430013" s="25"/>
    </row>
    <row r="430035" spans="21:21" x14ac:dyDescent="0.3">
      <c r="U430035" s="25"/>
    </row>
    <row r="430057" spans="21:21" x14ac:dyDescent="0.3">
      <c r="U430057" s="25"/>
    </row>
    <row r="430079" spans="21:21" x14ac:dyDescent="0.3">
      <c r="U430079" s="25"/>
    </row>
    <row r="430101" spans="21:21" x14ac:dyDescent="0.3">
      <c r="U430101" s="25"/>
    </row>
    <row r="430123" spans="21:21" x14ac:dyDescent="0.3">
      <c r="U430123" s="25"/>
    </row>
    <row r="430145" spans="21:21" x14ac:dyDescent="0.3">
      <c r="U430145" s="25"/>
    </row>
    <row r="430167" spans="21:21" x14ac:dyDescent="0.3">
      <c r="U430167" s="25"/>
    </row>
    <row r="430189" spans="21:21" x14ac:dyDescent="0.3">
      <c r="U430189" s="25"/>
    </row>
    <row r="430211" spans="21:21" x14ac:dyDescent="0.3">
      <c r="U430211" s="25"/>
    </row>
    <row r="430233" spans="21:21" x14ac:dyDescent="0.3">
      <c r="U430233" s="25"/>
    </row>
    <row r="430255" spans="21:21" x14ac:dyDescent="0.3">
      <c r="U430255" s="25"/>
    </row>
    <row r="430277" spans="21:21" x14ac:dyDescent="0.3">
      <c r="U430277" s="25"/>
    </row>
    <row r="430299" spans="21:21" x14ac:dyDescent="0.3">
      <c r="U430299" s="25"/>
    </row>
    <row r="430321" spans="21:21" x14ac:dyDescent="0.3">
      <c r="U430321" s="25"/>
    </row>
    <row r="430343" spans="21:21" x14ac:dyDescent="0.3">
      <c r="U430343" s="25"/>
    </row>
    <row r="430365" spans="21:21" x14ac:dyDescent="0.3">
      <c r="U430365" s="25"/>
    </row>
    <row r="430387" spans="21:21" x14ac:dyDescent="0.3">
      <c r="U430387" s="25"/>
    </row>
    <row r="430409" spans="21:21" x14ac:dyDescent="0.3">
      <c r="U430409" s="25"/>
    </row>
    <row r="430431" spans="21:21" x14ac:dyDescent="0.3">
      <c r="U430431" s="25"/>
    </row>
    <row r="430453" spans="21:21" x14ac:dyDescent="0.3">
      <c r="U430453" s="25"/>
    </row>
    <row r="430475" spans="21:21" x14ac:dyDescent="0.3">
      <c r="U430475" s="25"/>
    </row>
    <row r="430497" spans="21:21" x14ac:dyDescent="0.3">
      <c r="U430497" s="25"/>
    </row>
    <row r="430519" spans="21:21" x14ac:dyDescent="0.3">
      <c r="U430519" s="25"/>
    </row>
    <row r="430541" spans="21:21" x14ac:dyDescent="0.3">
      <c r="U430541" s="25"/>
    </row>
    <row r="430563" spans="21:21" x14ac:dyDescent="0.3">
      <c r="U430563" s="25"/>
    </row>
    <row r="430585" spans="21:21" x14ac:dyDescent="0.3">
      <c r="U430585" s="25"/>
    </row>
    <row r="430607" spans="21:21" x14ac:dyDescent="0.3">
      <c r="U430607" s="25"/>
    </row>
    <row r="430629" spans="21:21" x14ac:dyDescent="0.3">
      <c r="U430629" s="25"/>
    </row>
    <row r="430651" spans="21:21" x14ac:dyDescent="0.3">
      <c r="U430651" s="25"/>
    </row>
    <row r="430673" spans="21:21" x14ac:dyDescent="0.3">
      <c r="U430673" s="25"/>
    </row>
    <row r="430695" spans="21:21" x14ac:dyDescent="0.3">
      <c r="U430695" s="25"/>
    </row>
    <row r="430717" spans="21:21" x14ac:dyDescent="0.3">
      <c r="U430717" s="25"/>
    </row>
    <row r="430739" spans="21:21" x14ac:dyDescent="0.3">
      <c r="U430739" s="25"/>
    </row>
    <row r="430761" spans="21:21" x14ac:dyDescent="0.3">
      <c r="U430761" s="25"/>
    </row>
    <row r="430783" spans="21:21" x14ac:dyDescent="0.3">
      <c r="U430783" s="25"/>
    </row>
    <row r="430805" spans="21:21" x14ac:dyDescent="0.3">
      <c r="U430805" s="25"/>
    </row>
    <row r="430827" spans="21:21" x14ac:dyDescent="0.3">
      <c r="U430827" s="25"/>
    </row>
    <row r="430849" spans="21:21" x14ac:dyDescent="0.3">
      <c r="U430849" s="25"/>
    </row>
    <row r="430871" spans="21:21" x14ac:dyDescent="0.3">
      <c r="U430871" s="25"/>
    </row>
    <row r="430893" spans="21:21" x14ac:dyDescent="0.3">
      <c r="U430893" s="25"/>
    </row>
    <row r="430915" spans="21:21" x14ac:dyDescent="0.3">
      <c r="U430915" s="25"/>
    </row>
    <row r="430937" spans="21:21" x14ac:dyDescent="0.3">
      <c r="U430937" s="25"/>
    </row>
    <row r="430959" spans="21:21" x14ac:dyDescent="0.3">
      <c r="U430959" s="25"/>
    </row>
    <row r="430981" spans="21:21" x14ac:dyDescent="0.3">
      <c r="U430981" s="25"/>
    </row>
    <row r="431003" spans="21:21" x14ac:dyDescent="0.3">
      <c r="U431003" s="25"/>
    </row>
    <row r="431025" spans="21:21" x14ac:dyDescent="0.3">
      <c r="U431025" s="25"/>
    </row>
    <row r="431047" spans="21:21" x14ac:dyDescent="0.3">
      <c r="U431047" s="25"/>
    </row>
    <row r="431069" spans="21:21" x14ac:dyDescent="0.3">
      <c r="U431069" s="25"/>
    </row>
    <row r="431091" spans="21:21" x14ac:dyDescent="0.3">
      <c r="U431091" s="25"/>
    </row>
    <row r="431113" spans="21:21" x14ac:dyDescent="0.3">
      <c r="U431113" s="25"/>
    </row>
    <row r="431135" spans="21:21" x14ac:dyDescent="0.3">
      <c r="U431135" s="25"/>
    </row>
    <row r="431157" spans="21:21" x14ac:dyDescent="0.3">
      <c r="U431157" s="25"/>
    </row>
    <row r="431179" spans="21:21" x14ac:dyDescent="0.3">
      <c r="U431179" s="25"/>
    </row>
    <row r="431201" spans="21:21" x14ac:dyDescent="0.3">
      <c r="U431201" s="25"/>
    </row>
    <row r="431223" spans="21:21" x14ac:dyDescent="0.3">
      <c r="U431223" s="25"/>
    </row>
    <row r="431245" spans="21:21" x14ac:dyDescent="0.3">
      <c r="U431245" s="25"/>
    </row>
    <row r="431267" spans="21:21" x14ac:dyDescent="0.3">
      <c r="U431267" s="25"/>
    </row>
    <row r="431289" spans="21:21" x14ac:dyDescent="0.3">
      <c r="U431289" s="25"/>
    </row>
    <row r="431311" spans="21:21" x14ac:dyDescent="0.3">
      <c r="U431311" s="25"/>
    </row>
    <row r="431333" spans="21:21" x14ac:dyDescent="0.3">
      <c r="U431333" s="25"/>
    </row>
    <row r="431355" spans="21:21" x14ac:dyDescent="0.3">
      <c r="U431355" s="25"/>
    </row>
    <row r="431377" spans="21:21" x14ac:dyDescent="0.3">
      <c r="U431377" s="25"/>
    </row>
    <row r="431399" spans="21:21" x14ac:dyDescent="0.3">
      <c r="U431399" s="25"/>
    </row>
    <row r="431421" spans="21:21" x14ac:dyDescent="0.3">
      <c r="U431421" s="25"/>
    </row>
    <row r="431443" spans="21:21" x14ac:dyDescent="0.3">
      <c r="U431443" s="25"/>
    </row>
    <row r="431465" spans="21:21" x14ac:dyDescent="0.3">
      <c r="U431465" s="25"/>
    </row>
    <row r="431487" spans="21:21" x14ac:dyDescent="0.3">
      <c r="U431487" s="25"/>
    </row>
    <row r="431509" spans="21:21" x14ac:dyDescent="0.3">
      <c r="U431509" s="25"/>
    </row>
    <row r="431531" spans="21:21" x14ac:dyDescent="0.3">
      <c r="U431531" s="25"/>
    </row>
    <row r="431553" spans="21:21" x14ac:dyDescent="0.3">
      <c r="U431553" s="25"/>
    </row>
    <row r="431575" spans="21:21" x14ac:dyDescent="0.3">
      <c r="U431575" s="25"/>
    </row>
    <row r="431597" spans="21:21" x14ac:dyDescent="0.3">
      <c r="U431597" s="25"/>
    </row>
    <row r="431619" spans="21:21" x14ac:dyDescent="0.3">
      <c r="U431619" s="25"/>
    </row>
    <row r="431641" spans="21:21" x14ac:dyDescent="0.3">
      <c r="U431641" s="25"/>
    </row>
    <row r="431663" spans="21:21" x14ac:dyDescent="0.3">
      <c r="U431663" s="25"/>
    </row>
    <row r="431685" spans="21:21" x14ac:dyDescent="0.3">
      <c r="U431685" s="25"/>
    </row>
    <row r="431707" spans="21:21" x14ac:dyDescent="0.3">
      <c r="U431707" s="25"/>
    </row>
    <row r="431729" spans="21:21" x14ac:dyDescent="0.3">
      <c r="U431729" s="25"/>
    </row>
    <row r="431751" spans="21:21" x14ac:dyDescent="0.3">
      <c r="U431751" s="25"/>
    </row>
    <row r="431773" spans="21:21" x14ac:dyDescent="0.3">
      <c r="U431773" s="25"/>
    </row>
    <row r="431795" spans="21:21" x14ac:dyDescent="0.3">
      <c r="U431795" s="25"/>
    </row>
    <row r="431817" spans="21:21" x14ac:dyDescent="0.3">
      <c r="U431817" s="25"/>
    </row>
    <row r="431839" spans="21:21" x14ac:dyDescent="0.3">
      <c r="U431839" s="25"/>
    </row>
    <row r="431861" spans="21:21" x14ac:dyDescent="0.3">
      <c r="U431861" s="25"/>
    </row>
    <row r="431883" spans="21:21" x14ac:dyDescent="0.3">
      <c r="U431883" s="25"/>
    </row>
    <row r="431905" spans="21:21" x14ac:dyDescent="0.3">
      <c r="U431905" s="25"/>
    </row>
    <row r="431927" spans="21:21" x14ac:dyDescent="0.3">
      <c r="U431927" s="25"/>
    </row>
    <row r="431949" spans="21:21" x14ac:dyDescent="0.3">
      <c r="U431949" s="25"/>
    </row>
    <row r="431971" spans="21:21" x14ac:dyDescent="0.3">
      <c r="U431971" s="25"/>
    </row>
    <row r="431993" spans="21:21" x14ac:dyDescent="0.3">
      <c r="U431993" s="25"/>
    </row>
    <row r="432015" spans="21:21" x14ac:dyDescent="0.3">
      <c r="U432015" s="25"/>
    </row>
    <row r="432037" spans="21:21" x14ac:dyDescent="0.3">
      <c r="U432037" s="25"/>
    </row>
    <row r="432059" spans="21:21" x14ac:dyDescent="0.3">
      <c r="U432059" s="25"/>
    </row>
    <row r="432081" spans="21:21" x14ac:dyDescent="0.3">
      <c r="U432081" s="25"/>
    </row>
    <row r="432103" spans="21:21" x14ac:dyDescent="0.3">
      <c r="U432103" s="25"/>
    </row>
    <row r="432125" spans="21:21" x14ac:dyDescent="0.3">
      <c r="U432125" s="25"/>
    </row>
    <row r="432147" spans="21:21" x14ac:dyDescent="0.3">
      <c r="U432147" s="25"/>
    </row>
    <row r="432169" spans="21:21" x14ac:dyDescent="0.3">
      <c r="U432169" s="25"/>
    </row>
    <row r="432191" spans="21:21" x14ac:dyDescent="0.3">
      <c r="U432191" s="25"/>
    </row>
    <row r="432213" spans="21:21" x14ac:dyDescent="0.3">
      <c r="U432213" s="25"/>
    </row>
    <row r="432235" spans="21:21" x14ac:dyDescent="0.3">
      <c r="U432235" s="25"/>
    </row>
    <row r="432257" spans="21:21" x14ac:dyDescent="0.3">
      <c r="U432257" s="25"/>
    </row>
    <row r="432279" spans="21:21" x14ac:dyDescent="0.3">
      <c r="U432279" s="25"/>
    </row>
    <row r="432301" spans="21:21" x14ac:dyDescent="0.3">
      <c r="U432301" s="25"/>
    </row>
    <row r="432323" spans="21:21" x14ac:dyDescent="0.3">
      <c r="U432323" s="25"/>
    </row>
    <row r="432345" spans="21:21" x14ac:dyDescent="0.3">
      <c r="U432345" s="25"/>
    </row>
    <row r="432367" spans="21:21" x14ac:dyDescent="0.3">
      <c r="U432367" s="25"/>
    </row>
    <row r="432389" spans="21:21" x14ac:dyDescent="0.3">
      <c r="U432389" s="25"/>
    </row>
    <row r="432411" spans="21:21" x14ac:dyDescent="0.3">
      <c r="U432411" s="25"/>
    </row>
    <row r="432433" spans="21:21" x14ac:dyDescent="0.3">
      <c r="U432433" s="25"/>
    </row>
    <row r="432455" spans="21:21" x14ac:dyDescent="0.3">
      <c r="U432455" s="25"/>
    </row>
    <row r="432477" spans="21:21" x14ac:dyDescent="0.3">
      <c r="U432477" s="25"/>
    </row>
    <row r="432499" spans="21:21" x14ac:dyDescent="0.3">
      <c r="U432499" s="25"/>
    </row>
    <row r="432521" spans="21:21" x14ac:dyDescent="0.3">
      <c r="U432521" s="25"/>
    </row>
    <row r="432543" spans="21:21" x14ac:dyDescent="0.3">
      <c r="U432543" s="25"/>
    </row>
    <row r="432565" spans="21:21" x14ac:dyDescent="0.3">
      <c r="U432565" s="25"/>
    </row>
    <row r="432587" spans="21:21" x14ac:dyDescent="0.3">
      <c r="U432587" s="25"/>
    </row>
    <row r="432609" spans="21:21" x14ac:dyDescent="0.3">
      <c r="U432609" s="25"/>
    </row>
    <row r="432631" spans="21:21" x14ac:dyDescent="0.3">
      <c r="U432631" s="25"/>
    </row>
    <row r="432653" spans="21:21" x14ac:dyDescent="0.3">
      <c r="U432653" s="25"/>
    </row>
    <row r="432675" spans="21:21" x14ac:dyDescent="0.3">
      <c r="U432675" s="25"/>
    </row>
    <row r="432697" spans="21:21" x14ac:dyDescent="0.3">
      <c r="U432697" s="25"/>
    </row>
    <row r="432719" spans="21:21" x14ac:dyDescent="0.3">
      <c r="U432719" s="25"/>
    </row>
    <row r="432741" spans="21:21" x14ac:dyDescent="0.3">
      <c r="U432741" s="25"/>
    </row>
    <row r="432763" spans="21:21" x14ac:dyDescent="0.3">
      <c r="U432763" s="25"/>
    </row>
    <row r="432785" spans="21:21" x14ac:dyDescent="0.3">
      <c r="U432785" s="25"/>
    </row>
    <row r="432807" spans="21:21" x14ac:dyDescent="0.3">
      <c r="U432807" s="25"/>
    </row>
    <row r="432829" spans="21:21" x14ac:dyDescent="0.3">
      <c r="U432829" s="25"/>
    </row>
    <row r="432851" spans="21:21" x14ac:dyDescent="0.3">
      <c r="U432851" s="25"/>
    </row>
    <row r="432873" spans="21:21" x14ac:dyDescent="0.3">
      <c r="U432873" s="25"/>
    </row>
    <row r="432895" spans="21:21" x14ac:dyDescent="0.3">
      <c r="U432895" s="25"/>
    </row>
    <row r="432917" spans="21:21" x14ac:dyDescent="0.3">
      <c r="U432917" s="25"/>
    </row>
    <row r="432939" spans="21:21" x14ac:dyDescent="0.3">
      <c r="U432939" s="25"/>
    </row>
    <row r="432961" spans="21:21" x14ac:dyDescent="0.3">
      <c r="U432961" s="25"/>
    </row>
    <row r="432983" spans="21:21" x14ac:dyDescent="0.3">
      <c r="U432983" s="25"/>
    </row>
    <row r="433005" spans="21:21" x14ac:dyDescent="0.3">
      <c r="U433005" s="25"/>
    </row>
    <row r="433027" spans="21:21" x14ac:dyDescent="0.3">
      <c r="U433027" s="25"/>
    </row>
    <row r="433049" spans="21:21" x14ac:dyDescent="0.3">
      <c r="U433049" s="25"/>
    </row>
    <row r="433071" spans="21:21" x14ac:dyDescent="0.3">
      <c r="U433071" s="25"/>
    </row>
    <row r="433093" spans="21:21" x14ac:dyDescent="0.3">
      <c r="U433093" s="25"/>
    </row>
    <row r="433115" spans="21:21" x14ac:dyDescent="0.3">
      <c r="U433115" s="25"/>
    </row>
    <row r="433137" spans="21:21" x14ac:dyDescent="0.3">
      <c r="U433137" s="25"/>
    </row>
    <row r="433159" spans="21:21" x14ac:dyDescent="0.3">
      <c r="U433159" s="25"/>
    </row>
    <row r="433181" spans="21:21" x14ac:dyDescent="0.3">
      <c r="U433181" s="25"/>
    </row>
    <row r="433203" spans="21:21" x14ac:dyDescent="0.3">
      <c r="U433203" s="25"/>
    </row>
    <row r="433225" spans="21:21" x14ac:dyDescent="0.3">
      <c r="U433225" s="25"/>
    </row>
    <row r="433247" spans="21:21" x14ac:dyDescent="0.3">
      <c r="U433247" s="25"/>
    </row>
    <row r="433269" spans="21:21" x14ac:dyDescent="0.3">
      <c r="U433269" s="25"/>
    </row>
    <row r="433291" spans="21:21" x14ac:dyDescent="0.3">
      <c r="U433291" s="25"/>
    </row>
    <row r="433313" spans="21:21" x14ac:dyDescent="0.3">
      <c r="U433313" s="25"/>
    </row>
    <row r="433335" spans="21:21" x14ac:dyDescent="0.3">
      <c r="U433335" s="25"/>
    </row>
    <row r="433357" spans="21:21" x14ac:dyDescent="0.3">
      <c r="U433357" s="25"/>
    </row>
    <row r="433379" spans="21:21" x14ac:dyDescent="0.3">
      <c r="U433379" s="25"/>
    </row>
    <row r="433401" spans="21:21" x14ac:dyDescent="0.3">
      <c r="U433401" s="25"/>
    </row>
    <row r="433423" spans="21:21" x14ac:dyDescent="0.3">
      <c r="U433423" s="25"/>
    </row>
    <row r="433445" spans="21:21" x14ac:dyDescent="0.3">
      <c r="U433445" s="25"/>
    </row>
    <row r="433467" spans="21:21" x14ac:dyDescent="0.3">
      <c r="U433467" s="25"/>
    </row>
    <row r="433489" spans="21:21" x14ac:dyDescent="0.3">
      <c r="U433489" s="25"/>
    </row>
    <row r="433511" spans="21:21" x14ac:dyDescent="0.3">
      <c r="U433511" s="25"/>
    </row>
    <row r="433533" spans="21:21" x14ac:dyDescent="0.3">
      <c r="U433533" s="25"/>
    </row>
    <row r="433555" spans="21:21" x14ac:dyDescent="0.3">
      <c r="U433555" s="25"/>
    </row>
    <row r="433577" spans="21:21" x14ac:dyDescent="0.3">
      <c r="U433577" s="25"/>
    </row>
    <row r="433599" spans="21:21" x14ac:dyDescent="0.3">
      <c r="U433599" s="25"/>
    </row>
    <row r="433621" spans="21:21" x14ac:dyDescent="0.3">
      <c r="U433621" s="25"/>
    </row>
    <row r="433643" spans="21:21" x14ac:dyDescent="0.3">
      <c r="U433643" s="25"/>
    </row>
    <row r="433665" spans="21:21" x14ac:dyDescent="0.3">
      <c r="U433665" s="25"/>
    </row>
    <row r="433687" spans="21:21" x14ac:dyDescent="0.3">
      <c r="U433687" s="25"/>
    </row>
    <row r="433709" spans="21:21" x14ac:dyDescent="0.3">
      <c r="U433709" s="25"/>
    </row>
    <row r="433731" spans="21:21" x14ac:dyDescent="0.3">
      <c r="U433731" s="25"/>
    </row>
    <row r="433753" spans="21:21" x14ac:dyDescent="0.3">
      <c r="U433753" s="25"/>
    </row>
    <row r="433775" spans="21:21" x14ac:dyDescent="0.3">
      <c r="U433775" s="25"/>
    </row>
    <row r="433797" spans="21:21" x14ac:dyDescent="0.3">
      <c r="U433797" s="25"/>
    </row>
    <row r="433819" spans="21:21" x14ac:dyDescent="0.3">
      <c r="U433819" s="25"/>
    </row>
    <row r="433841" spans="21:21" x14ac:dyDescent="0.3">
      <c r="U433841" s="25"/>
    </row>
    <row r="433863" spans="21:21" x14ac:dyDescent="0.3">
      <c r="U433863" s="25"/>
    </row>
    <row r="433885" spans="21:21" x14ac:dyDescent="0.3">
      <c r="U433885" s="25"/>
    </row>
    <row r="433907" spans="21:21" x14ac:dyDescent="0.3">
      <c r="U433907" s="25"/>
    </row>
    <row r="433929" spans="21:21" x14ac:dyDescent="0.3">
      <c r="U433929" s="25"/>
    </row>
    <row r="433951" spans="21:21" x14ac:dyDescent="0.3">
      <c r="U433951" s="25"/>
    </row>
    <row r="433973" spans="21:21" x14ac:dyDescent="0.3">
      <c r="U433973" s="25"/>
    </row>
    <row r="433995" spans="21:21" x14ac:dyDescent="0.3">
      <c r="U433995" s="25"/>
    </row>
    <row r="434017" spans="21:21" x14ac:dyDescent="0.3">
      <c r="U434017" s="25"/>
    </row>
    <row r="434039" spans="21:21" x14ac:dyDescent="0.3">
      <c r="U434039" s="25"/>
    </row>
    <row r="434061" spans="21:21" x14ac:dyDescent="0.3">
      <c r="U434061" s="25"/>
    </row>
    <row r="434083" spans="21:21" x14ac:dyDescent="0.3">
      <c r="U434083" s="25"/>
    </row>
    <row r="434105" spans="21:21" x14ac:dyDescent="0.3">
      <c r="U434105" s="25"/>
    </row>
    <row r="434127" spans="21:21" x14ac:dyDescent="0.3">
      <c r="U434127" s="25"/>
    </row>
    <row r="434149" spans="21:21" x14ac:dyDescent="0.3">
      <c r="U434149" s="25"/>
    </row>
    <row r="434171" spans="21:21" x14ac:dyDescent="0.3">
      <c r="U434171" s="25"/>
    </row>
    <row r="434193" spans="21:21" x14ac:dyDescent="0.3">
      <c r="U434193" s="25"/>
    </row>
    <row r="434215" spans="21:21" x14ac:dyDescent="0.3">
      <c r="U434215" s="25"/>
    </row>
    <row r="434237" spans="21:21" x14ac:dyDescent="0.3">
      <c r="U434237" s="25"/>
    </row>
    <row r="434259" spans="21:21" x14ac:dyDescent="0.3">
      <c r="U434259" s="25"/>
    </row>
    <row r="434281" spans="21:21" x14ac:dyDescent="0.3">
      <c r="U434281" s="25"/>
    </row>
    <row r="434303" spans="21:21" x14ac:dyDescent="0.3">
      <c r="U434303" s="25"/>
    </row>
    <row r="434325" spans="21:21" x14ac:dyDescent="0.3">
      <c r="U434325" s="25"/>
    </row>
    <row r="434347" spans="21:21" x14ac:dyDescent="0.3">
      <c r="U434347" s="25"/>
    </row>
    <row r="434369" spans="21:21" x14ac:dyDescent="0.3">
      <c r="U434369" s="25"/>
    </row>
    <row r="434391" spans="21:21" x14ac:dyDescent="0.3">
      <c r="U434391" s="25"/>
    </row>
    <row r="434413" spans="21:21" x14ac:dyDescent="0.3">
      <c r="U434413" s="25"/>
    </row>
    <row r="434435" spans="21:21" x14ac:dyDescent="0.3">
      <c r="U434435" s="25"/>
    </row>
    <row r="434457" spans="21:21" x14ac:dyDescent="0.3">
      <c r="U434457" s="25"/>
    </row>
    <row r="434479" spans="21:21" x14ac:dyDescent="0.3">
      <c r="U434479" s="25"/>
    </row>
    <row r="434501" spans="21:21" x14ac:dyDescent="0.3">
      <c r="U434501" s="25"/>
    </row>
    <row r="434523" spans="21:21" x14ac:dyDescent="0.3">
      <c r="U434523" s="25"/>
    </row>
    <row r="434545" spans="21:21" x14ac:dyDescent="0.3">
      <c r="U434545" s="25"/>
    </row>
    <row r="434567" spans="21:21" x14ac:dyDescent="0.3">
      <c r="U434567" s="25"/>
    </row>
    <row r="434589" spans="21:21" x14ac:dyDescent="0.3">
      <c r="U434589" s="25"/>
    </row>
    <row r="434611" spans="21:21" x14ac:dyDescent="0.3">
      <c r="U434611" s="25"/>
    </row>
    <row r="434633" spans="21:21" x14ac:dyDescent="0.3">
      <c r="U434633" s="25"/>
    </row>
    <row r="434655" spans="21:21" x14ac:dyDescent="0.3">
      <c r="U434655" s="25"/>
    </row>
    <row r="434677" spans="21:21" x14ac:dyDescent="0.3">
      <c r="U434677" s="25"/>
    </row>
    <row r="434699" spans="21:21" x14ac:dyDescent="0.3">
      <c r="U434699" s="25"/>
    </row>
    <row r="434721" spans="21:21" x14ac:dyDescent="0.3">
      <c r="U434721" s="25"/>
    </row>
    <row r="434743" spans="21:21" x14ac:dyDescent="0.3">
      <c r="U434743" s="25"/>
    </row>
    <row r="434765" spans="21:21" x14ac:dyDescent="0.3">
      <c r="U434765" s="25"/>
    </row>
    <row r="434787" spans="21:21" x14ac:dyDescent="0.3">
      <c r="U434787" s="25"/>
    </row>
    <row r="434809" spans="21:21" x14ac:dyDescent="0.3">
      <c r="U434809" s="25"/>
    </row>
    <row r="434831" spans="21:21" x14ac:dyDescent="0.3">
      <c r="U434831" s="25"/>
    </row>
    <row r="434853" spans="21:21" x14ac:dyDescent="0.3">
      <c r="U434853" s="25"/>
    </row>
    <row r="434875" spans="21:21" x14ac:dyDescent="0.3">
      <c r="U434875" s="25"/>
    </row>
    <row r="434897" spans="21:21" x14ac:dyDescent="0.3">
      <c r="U434897" s="25"/>
    </row>
    <row r="434919" spans="21:21" x14ac:dyDescent="0.3">
      <c r="U434919" s="25"/>
    </row>
    <row r="434941" spans="21:21" x14ac:dyDescent="0.3">
      <c r="U434941" s="25"/>
    </row>
    <row r="434963" spans="21:21" x14ac:dyDescent="0.3">
      <c r="U434963" s="25"/>
    </row>
    <row r="434985" spans="21:21" x14ac:dyDescent="0.3">
      <c r="U434985" s="25"/>
    </row>
    <row r="435007" spans="21:21" x14ac:dyDescent="0.3">
      <c r="U435007" s="25"/>
    </row>
    <row r="435029" spans="21:21" x14ac:dyDescent="0.3">
      <c r="U435029" s="25"/>
    </row>
    <row r="435051" spans="21:21" x14ac:dyDescent="0.3">
      <c r="U435051" s="25"/>
    </row>
    <row r="435073" spans="21:21" x14ac:dyDescent="0.3">
      <c r="U435073" s="25"/>
    </row>
    <row r="435095" spans="21:21" x14ac:dyDescent="0.3">
      <c r="U435095" s="25"/>
    </row>
    <row r="435117" spans="21:21" x14ac:dyDescent="0.3">
      <c r="U435117" s="25"/>
    </row>
    <row r="435139" spans="21:21" x14ac:dyDescent="0.3">
      <c r="U435139" s="25"/>
    </row>
    <row r="435161" spans="21:21" x14ac:dyDescent="0.3">
      <c r="U435161" s="25"/>
    </row>
    <row r="435183" spans="21:21" x14ac:dyDescent="0.3">
      <c r="U435183" s="25"/>
    </row>
    <row r="435205" spans="21:21" x14ac:dyDescent="0.3">
      <c r="U435205" s="25"/>
    </row>
    <row r="435227" spans="21:21" x14ac:dyDescent="0.3">
      <c r="U435227" s="25"/>
    </row>
    <row r="435249" spans="21:21" x14ac:dyDescent="0.3">
      <c r="U435249" s="25"/>
    </row>
    <row r="435271" spans="21:21" x14ac:dyDescent="0.3">
      <c r="U435271" s="25"/>
    </row>
    <row r="435293" spans="21:21" x14ac:dyDescent="0.3">
      <c r="U435293" s="25"/>
    </row>
    <row r="435315" spans="21:21" x14ac:dyDescent="0.3">
      <c r="U435315" s="25"/>
    </row>
    <row r="435337" spans="21:21" x14ac:dyDescent="0.3">
      <c r="U435337" s="25"/>
    </row>
    <row r="435359" spans="21:21" x14ac:dyDescent="0.3">
      <c r="U435359" s="25"/>
    </row>
    <row r="435381" spans="21:21" x14ac:dyDescent="0.3">
      <c r="U435381" s="25"/>
    </row>
    <row r="435403" spans="21:21" x14ac:dyDescent="0.3">
      <c r="U435403" s="25"/>
    </row>
    <row r="435425" spans="21:21" x14ac:dyDescent="0.3">
      <c r="U435425" s="25"/>
    </row>
    <row r="435447" spans="21:21" x14ac:dyDescent="0.3">
      <c r="U435447" s="25"/>
    </row>
    <row r="435469" spans="21:21" x14ac:dyDescent="0.3">
      <c r="U435469" s="25"/>
    </row>
    <row r="435491" spans="21:21" x14ac:dyDescent="0.3">
      <c r="U435491" s="25"/>
    </row>
    <row r="435513" spans="21:21" x14ac:dyDescent="0.3">
      <c r="U435513" s="25"/>
    </row>
    <row r="435535" spans="21:21" x14ac:dyDescent="0.3">
      <c r="U435535" s="25"/>
    </row>
    <row r="435557" spans="21:21" x14ac:dyDescent="0.3">
      <c r="U435557" s="25"/>
    </row>
    <row r="435579" spans="21:21" x14ac:dyDescent="0.3">
      <c r="U435579" s="25"/>
    </row>
    <row r="435601" spans="21:21" x14ac:dyDescent="0.3">
      <c r="U435601" s="25"/>
    </row>
    <row r="435623" spans="21:21" x14ac:dyDescent="0.3">
      <c r="U435623" s="25"/>
    </row>
    <row r="435645" spans="21:21" x14ac:dyDescent="0.3">
      <c r="U435645" s="25"/>
    </row>
    <row r="435667" spans="21:21" x14ac:dyDescent="0.3">
      <c r="U435667" s="25"/>
    </row>
    <row r="435689" spans="21:21" x14ac:dyDescent="0.3">
      <c r="U435689" s="25"/>
    </row>
    <row r="435711" spans="21:21" x14ac:dyDescent="0.3">
      <c r="U435711" s="25"/>
    </row>
    <row r="435733" spans="21:21" x14ac:dyDescent="0.3">
      <c r="U435733" s="25"/>
    </row>
    <row r="435755" spans="21:21" x14ac:dyDescent="0.3">
      <c r="U435755" s="25"/>
    </row>
    <row r="435777" spans="21:21" x14ac:dyDescent="0.3">
      <c r="U435777" s="25"/>
    </row>
    <row r="435799" spans="21:21" x14ac:dyDescent="0.3">
      <c r="U435799" s="25"/>
    </row>
    <row r="435821" spans="21:21" x14ac:dyDescent="0.3">
      <c r="U435821" s="25"/>
    </row>
    <row r="435843" spans="21:21" x14ac:dyDescent="0.3">
      <c r="U435843" s="25"/>
    </row>
    <row r="435865" spans="21:21" x14ac:dyDescent="0.3">
      <c r="U435865" s="25"/>
    </row>
    <row r="435887" spans="21:21" x14ac:dyDescent="0.3">
      <c r="U435887" s="25"/>
    </row>
    <row r="435909" spans="21:21" x14ac:dyDescent="0.3">
      <c r="U435909" s="25"/>
    </row>
    <row r="435931" spans="21:21" x14ac:dyDescent="0.3">
      <c r="U435931" s="25"/>
    </row>
    <row r="435953" spans="21:21" x14ac:dyDescent="0.3">
      <c r="U435953" s="25"/>
    </row>
    <row r="435975" spans="21:21" x14ac:dyDescent="0.3">
      <c r="U435975" s="25"/>
    </row>
    <row r="435997" spans="21:21" x14ac:dyDescent="0.3">
      <c r="U435997" s="25"/>
    </row>
    <row r="436019" spans="21:21" x14ac:dyDescent="0.3">
      <c r="U436019" s="25"/>
    </row>
    <row r="436041" spans="21:21" x14ac:dyDescent="0.3">
      <c r="U436041" s="25"/>
    </row>
    <row r="436063" spans="21:21" x14ac:dyDescent="0.3">
      <c r="U436063" s="25"/>
    </row>
    <row r="436085" spans="21:21" x14ac:dyDescent="0.3">
      <c r="U436085" s="25"/>
    </row>
    <row r="436107" spans="21:21" x14ac:dyDescent="0.3">
      <c r="U436107" s="25"/>
    </row>
    <row r="436129" spans="21:21" x14ac:dyDescent="0.3">
      <c r="U436129" s="25"/>
    </row>
    <row r="436151" spans="21:21" x14ac:dyDescent="0.3">
      <c r="U436151" s="25"/>
    </row>
    <row r="436173" spans="21:21" x14ac:dyDescent="0.3">
      <c r="U436173" s="25"/>
    </row>
    <row r="436195" spans="21:21" x14ac:dyDescent="0.3">
      <c r="U436195" s="25"/>
    </row>
    <row r="436217" spans="21:21" x14ac:dyDescent="0.3">
      <c r="U436217" s="25"/>
    </row>
    <row r="436239" spans="21:21" x14ac:dyDescent="0.3">
      <c r="U436239" s="25"/>
    </row>
    <row r="436261" spans="21:21" x14ac:dyDescent="0.3">
      <c r="U436261" s="25"/>
    </row>
    <row r="436283" spans="21:21" x14ac:dyDescent="0.3">
      <c r="U436283" s="25"/>
    </row>
    <row r="436305" spans="21:21" x14ac:dyDescent="0.3">
      <c r="U436305" s="25"/>
    </row>
    <row r="436327" spans="21:21" x14ac:dyDescent="0.3">
      <c r="U436327" s="25"/>
    </row>
    <row r="436349" spans="21:21" x14ac:dyDescent="0.3">
      <c r="U436349" s="25"/>
    </row>
    <row r="436371" spans="21:21" x14ac:dyDescent="0.3">
      <c r="U436371" s="25"/>
    </row>
    <row r="436393" spans="21:21" x14ac:dyDescent="0.3">
      <c r="U436393" s="25"/>
    </row>
    <row r="436415" spans="21:21" x14ac:dyDescent="0.3">
      <c r="U436415" s="25"/>
    </row>
    <row r="436437" spans="21:21" x14ac:dyDescent="0.3">
      <c r="U436437" s="25"/>
    </row>
    <row r="436459" spans="21:21" x14ac:dyDescent="0.3">
      <c r="U436459" s="25"/>
    </row>
    <row r="436481" spans="21:21" x14ac:dyDescent="0.3">
      <c r="U436481" s="25"/>
    </row>
    <row r="436503" spans="21:21" x14ac:dyDescent="0.3">
      <c r="U436503" s="25"/>
    </row>
    <row r="436525" spans="21:21" x14ac:dyDescent="0.3">
      <c r="U436525" s="25"/>
    </row>
    <row r="436547" spans="21:21" x14ac:dyDescent="0.3">
      <c r="U436547" s="25"/>
    </row>
    <row r="436569" spans="21:21" x14ac:dyDescent="0.3">
      <c r="U436569" s="25"/>
    </row>
    <row r="436591" spans="21:21" x14ac:dyDescent="0.3">
      <c r="U436591" s="25"/>
    </row>
    <row r="436613" spans="21:21" x14ac:dyDescent="0.3">
      <c r="U436613" s="25"/>
    </row>
    <row r="436635" spans="21:21" x14ac:dyDescent="0.3">
      <c r="U436635" s="25"/>
    </row>
    <row r="436657" spans="21:21" x14ac:dyDescent="0.3">
      <c r="U436657" s="25"/>
    </row>
    <row r="436679" spans="21:21" x14ac:dyDescent="0.3">
      <c r="U436679" s="25"/>
    </row>
    <row r="436701" spans="21:21" x14ac:dyDescent="0.3">
      <c r="U436701" s="25"/>
    </row>
    <row r="436723" spans="21:21" x14ac:dyDescent="0.3">
      <c r="U436723" s="25"/>
    </row>
    <row r="436745" spans="21:21" x14ac:dyDescent="0.3">
      <c r="U436745" s="25"/>
    </row>
    <row r="436767" spans="21:21" x14ac:dyDescent="0.3">
      <c r="U436767" s="25"/>
    </row>
    <row r="436789" spans="21:21" x14ac:dyDescent="0.3">
      <c r="U436789" s="25"/>
    </row>
    <row r="436811" spans="21:21" x14ac:dyDescent="0.3">
      <c r="U436811" s="25"/>
    </row>
    <row r="436833" spans="21:21" x14ac:dyDescent="0.3">
      <c r="U436833" s="25"/>
    </row>
    <row r="436855" spans="21:21" x14ac:dyDescent="0.3">
      <c r="U436855" s="25"/>
    </row>
    <row r="436877" spans="21:21" x14ac:dyDescent="0.3">
      <c r="U436877" s="25"/>
    </row>
    <row r="436899" spans="21:21" x14ac:dyDescent="0.3">
      <c r="U436899" s="25"/>
    </row>
    <row r="436921" spans="21:21" x14ac:dyDescent="0.3">
      <c r="U436921" s="25"/>
    </row>
    <row r="436943" spans="21:21" x14ac:dyDescent="0.3">
      <c r="U436943" s="25"/>
    </row>
    <row r="436965" spans="21:21" x14ac:dyDescent="0.3">
      <c r="U436965" s="25"/>
    </row>
    <row r="436987" spans="21:21" x14ac:dyDescent="0.3">
      <c r="U436987" s="25"/>
    </row>
    <row r="437009" spans="21:21" x14ac:dyDescent="0.3">
      <c r="U437009" s="25"/>
    </row>
    <row r="437031" spans="21:21" x14ac:dyDescent="0.3">
      <c r="U437031" s="25"/>
    </row>
    <row r="437053" spans="21:21" x14ac:dyDescent="0.3">
      <c r="U437053" s="25"/>
    </row>
    <row r="437075" spans="21:21" x14ac:dyDescent="0.3">
      <c r="U437075" s="25"/>
    </row>
    <row r="437097" spans="21:21" x14ac:dyDescent="0.3">
      <c r="U437097" s="25"/>
    </row>
    <row r="437119" spans="21:21" x14ac:dyDescent="0.3">
      <c r="U437119" s="25"/>
    </row>
    <row r="437141" spans="21:21" x14ac:dyDescent="0.3">
      <c r="U437141" s="25"/>
    </row>
    <row r="437163" spans="21:21" x14ac:dyDescent="0.3">
      <c r="U437163" s="25"/>
    </row>
    <row r="437185" spans="21:21" x14ac:dyDescent="0.3">
      <c r="U437185" s="25"/>
    </row>
    <row r="437207" spans="21:21" x14ac:dyDescent="0.3">
      <c r="U437207" s="25"/>
    </row>
    <row r="437229" spans="21:21" x14ac:dyDescent="0.3">
      <c r="U437229" s="25"/>
    </row>
    <row r="437251" spans="21:21" x14ac:dyDescent="0.3">
      <c r="U437251" s="25"/>
    </row>
    <row r="437273" spans="21:21" x14ac:dyDescent="0.3">
      <c r="U437273" s="25"/>
    </row>
    <row r="437295" spans="21:21" x14ac:dyDescent="0.3">
      <c r="U437295" s="25"/>
    </row>
    <row r="437317" spans="21:21" x14ac:dyDescent="0.3">
      <c r="U437317" s="25"/>
    </row>
    <row r="437339" spans="21:21" x14ac:dyDescent="0.3">
      <c r="U437339" s="25"/>
    </row>
    <row r="437361" spans="21:21" x14ac:dyDescent="0.3">
      <c r="U437361" s="25"/>
    </row>
    <row r="437383" spans="21:21" x14ac:dyDescent="0.3">
      <c r="U437383" s="25"/>
    </row>
    <row r="437405" spans="21:21" x14ac:dyDescent="0.3">
      <c r="U437405" s="25"/>
    </row>
    <row r="437427" spans="21:21" x14ac:dyDescent="0.3">
      <c r="U437427" s="25"/>
    </row>
    <row r="437449" spans="21:21" x14ac:dyDescent="0.3">
      <c r="U437449" s="25"/>
    </row>
    <row r="437471" spans="21:21" x14ac:dyDescent="0.3">
      <c r="U437471" s="25"/>
    </row>
    <row r="437493" spans="21:21" x14ac:dyDescent="0.3">
      <c r="U437493" s="25"/>
    </row>
    <row r="437515" spans="21:21" x14ac:dyDescent="0.3">
      <c r="U437515" s="25"/>
    </row>
    <row r="437537" spans="21:21" x14ac:dyDescent="0.3">
      <c r="U437537" s="25"/>
    </row>
    <row r="437559" spans="21:21" x14ac:dyDescent="0.3">
      <c r="U437559" s="25"/>
    </row>
    <row r="437581" spans="21:21" x14ac:dyDescent="0.3">
      <c r="U437581" s="25"/>
    </row>
    <row r="437603" spans="21:21" x14ac:dyDescent="0.3">
      <c r="U437603" s="25"/>
    </row>
    <row r="437625" spans="21:21" x14ac:dyDescent="0.3">
      <c r="U437625" s="25"/>
    </row>
    <row r="437647" spans="21:21" x14ac:dyDescent="0.3">
      <c r="U437647" s="25"/>
    </row>
    <row r="437669" spans="21:21" x14ac:dyDescent="0.3">
      <c r="U437669" s="25"/>
    </row>
    <row r="437691" spans="21:21" x14ac:dyDescent="0.3">
      <c r="U437691" s="25"/>
    </row>
    <row r="437713" spans="21:21" x14ac:dyDescent="0.3">
      <c r="U437713" s="25"/>
    </row>
    <row r="437735" spans="21:21" x14ac:dyDescent="0.3">
      <c r="U437735" s="25"/>
    </row>
    <row r="437757" spans="21:21" x14ac:dyDescent="0.3">
      <c r="U437757" s="25"/>
    </row>
    <row r="437779" spans="21:21" x14ac:dyDescent="0.3">
      <c r="U437779" s="25"/>
    </row>
    <row r="437801" spans="21:21" x14ac:dyDescent="0.3">
      <c r="U437801" s="25"/>
    </row>
    <row r="437823" spans="21:21" x14ac:dyDescent="0.3">
      <c r="U437823" s="25"/>
    </row>
    <row r="437845" spans="21:21" x14ac:dyDescent="0.3">
      <c r="U437845" s="25"/>
    </row>
    <row r="437867" spans="21:21" x14ac:dyDescent="0.3">
      <c r="U437867" s="25"/>
    </row>
    <row r="437889" spans="21:21" x14ac:dyDescent="0.3">
      <c r="U437889" s="25"/>
    </row>
    <row r="437911" spans="21:21" x14ac:dyDescent="0.3">
      <c r="U437911" s="25"/>
    </row>
    <row r="437933" spans="21:21" x14ac:dyDescent="0.3">
      <c r="U437933" s="25"/>
    </row>
    <row r="437955" spans="21:21" x14ac:dyDescent="0.3">
      <c r="U437955" s="25"/>
    </row>
    <row r="437977" spans="21:21" x14ac:dyDescent="0.3">
      <c r="U437977" s="25"/>
    </row>
    <row r="437999" spans="21:21" x14ac:dyDescent="0.3">
      <c r="U437999" s="25"/>
    </row>
    <row r="438021" spans="21:21" x14ac:dyDescent="0.3">
      <c r="U438021" s="25"/>
    </row>
    <row r="438043" spans="21:21" x14ac:dyDescent="0.3">
      <c r="U438043" s="25"/>
    </row>
    <row r="438065" spans="21:21" x14ac:dyDescent="0.3">
      <c r="U438065" s="25"/>
    </row>
    <row r="438087" spans="21:21" x14ac:dyDescent="0.3">
      <c r="U438087" s="25"/>
    </row>
    <row r="438109" spans="21:21" x14ac:dyDescent="0.3">
      <c r="U438109" s="25"/>
    </row>
    <row r="438131" spans="21:21" x14ac:dyDescent="0.3">
      <c r="U438131" s="25"/>
    </row>
    <row r="438153" spans="21:21" x14ac:dyDescent="0.3">
      <c r="U438153" s="25"/>
    </row>
    <row r="438175" spans="21:21" x14ac:dyDescent="0.3">
      <c r="U438175" s="25"/>
    </row>
    <row r="438197" spans="21:21" x14ac:dyDescent="0.3">
      <c r="U438197" s="25"/>
    </row>
    <row r="438219" spans="21:21" x14ac:dyDescent="0.3">
      <c r="U438219" s="25"/>
    </row>
    <row r="438241" spans="21:21" x14ac:dyDescent="0.3">
      <c r="U438241" s="25"/>
    </row>
    <row r="438263" spans="21:21" x14ac:dyDescent="0.3">
      <c r="U438263" s="25"/>
    </row>
    <row r="438285" spans="21:21" x14ac:dyDescent="0.3">
      <c r="U438285" s="25"/>
    </row>
    <row r="438307" spans="21:21" x14ac:dyDescent="0.3">
      <c r="U438307" s="25"/>
    </row>
    <row r="438329" spans="21:21" x14ac:dyDescent="0.3">
      <c r="U438329" s="25"/>
    </row>
    <row r="438351" spans="21:21" x14ac:dyDescent="0.3">
      <c r="U438351" s="25"/>
    </row>
    <row r="438373" spans="21:21" x14ac:dyDescent="0.3">
      <c r="U438373" s="25"/>
    </row>
    <row r="438395" spans="21:21" x14ac:dyDescent="0.3">
      <c r="U438395" s="25"/>
    </row>
    <row r="438417" spans="21:21" x14ac:dyDescent="0.3">
      <c r="U438417" s="25"/>
    </row>
    <row r="438439" spans="21:21" x14ac:dyDescent="0.3">
      <c r="U438439" s="25"/>
    </row>
    <row r="438461" spans="21:21" x14ac:dyDescent="0.3">
      <c r="U438461" s="25"/>
    </row>
    <row r="438483" spans="21:21" x14ac:dyDescent="0.3">
      <c r="U438483" s="25"/>
    </row>
    <row r="438505" spans="21:21" x14ac:dyDescent="0.3">
      <c r="U438505" s="25"/>
    </row>
    <row r="438527" spans="21:21" x14ac:dyDescent="0.3">
      <c r="U438527" s="25"/>
    </row>
    <row r="438549" spans="21:21" x14ac:dyDescent="0.3">
      <c r="U438549" s="25"/>
    </row>
    <row r="438571" spans="21:21" x14ac:dyDescent="0.3">
      <c r="U438571" s="25"/>
    </row>
    <row r="438593" spans="21:21" x14ac:dyDescent="0.3">
      <c r="U438593" s="25"/>
    </row>
    <row r="438615" spans="21:21" x14ac:dyDescent="0.3">
      <c r="U438615" s="25"/>
    </row>
    <row r="438637" spans="21:21" x14ac:dyDescent="0.3">
      <c r="U438637" s="25"/>
    </row>
    <row r="438659" spans="21:21" x14ac:dyDescent="0.3">
      <c r="U438659" s="25"/>
    </row>
    <row r="438681" spans="21:21" x14ac:dyDescent="0.3">
      <c r="U438681" s="25"/>
    </row>
    <row r="438703" spans="21:21" x14ac:dyDescent="0.3">
      <c r="U438703" s="25"/>
    </row>
    <row r="438725" spans="21:21" x14ac:dyDescent="0.3">
      <c r="U438725" s="25"/>
    </row>
    <row r="438747" spans="21:21" x14ac:dyDescent="0.3">
      <c r="U438747" s="25"/>
    </row>
    <row r="438769" spans="21:21" x14ac:dyDescent="0.3">
      <c r="U438769" s="25"/>
    </row>
    <row r="438791" spans="21:21" x14ac:dyDescent="0.3">
      <c r="U438791" s="25"/>
    </row>
    <row r="438813" spans="21:21" x14ac:dyDescent="0.3">
      <c r="U438813" s="25"/>
    </row>
    <row r="438835" spans="21:21" x14ac:dyDescent="0.3">
      <c r="U438835" s="25"/>
    </row>
    <row r="438857" spans="21:21" x14ac:dyDescent="0.3">
      <c r="U438857" s="25"/>
    </row>
    <row r="438879" spans="21:21" x14ac:dyDescent="0.3">
      <c r="U438879" s="25"/>
    </row>
    <row r="438901" spans="21:21" x14ac:dyDescent="0.3">
      <c r="U438901" s="25"/>
    </row>
    <row r="438923" spans="21:21" x14ac:dyDescent="0.3">
      <c r="U438923" s="25"/>
    </row>
    <row r="438945" spans="21:21" x14ac:dyDescent="0.3">
      <c r="U438945" s="25"/>
    </row>
    <row r="438967" spans="21:21" x14ac:dyDescent="0.3">
      <c r="U438967" s="25"/>
    </row>
    <row r="438989" spans="21:21" x14ac:dyDescent="0.3">
      <c r="U438989" s="25"/>
    </row>
    <row r="439011" spans="21:21" x14ac:dyDescent="0.3">
      <c r="U439011" s="25"/>
    </row>
    <row r="439033" spans="21:21" x14ac:dyDescent="0.3">
      <c r="U439033" s="25"/>
    </row>
    <row r="439055" spans="21:21" x14ac:dyDescent="0.3">
      <c r="U439055" s="25"/>
    </row>
    <row r="439077" spans="21:21" x14ac:dyDescent="0.3">
      <c r="U439077" s="25"/>
    </row>
    <row r="439099" spans="21:21" x14ac:dyDescent="0.3">
      <c r="U439099" s="25"/>
    </row>
    <row r="439121" spans="21:21" x14ac:dyDescent="0.3">
      <c r="U439121" s="25"/>
    </row>
    <row r="439143" spans="21:21" x14ac:dyDescent="0.3">
      <c r="U439143" s="25"/>
    </row>
    <row r="439165" spans="21:21" x14ac:dyDescent="0.3">
      <c r="U439165" s="25"/>
    </row>
    <row r="439187" spans="21:21" x14ac:dyDescent="0.3">
      <c r="U439187" s="25"/>
    </row>
    <row r="439209" spans="21:21" x14ac:dyDescent="0.3">
      <c r="U439209" s="25"/>
    </row>
    <row r="439231" spans="21:21" x14ac:dyDescent="0.3">
      <c r="U439231" s="25"/>
    </row>
    <row r="439253" spans="21:21" x14ac:dyDescent="0.3">
      <c r="U439253" s="25"/>
    </row>
    <row r="439275" spans="21:21" x14ac:dyDescent="0.3">
      <c r="U439275" s="25"/>
    </row>
    <row r="439297" spans="21:21" x14ac:dyDescent="0.3">
      <c r="U439297" s="25"/>
    </row>
    <row r="439319" spans="21:21" x14ac:dyDescent="0.3">
      <c r="U439319" s="25"/>
    </row>
    <row r="439341" spans="21:21" x14ac:dyDescent="0.3">
      <c r="U439341" s="25"/>
    </row>
    <row r="439363" spans="21:21" x14ac:dyDescent="0.3">
      <c r="U439363" s="25"/>
    </row>
    <row r="439385" spans="21:21" x14ac:dyDescent="0.3">
      <c r="U439385" s="25"/>
    </row>
    <row r="439407" spans="21:21" x14ac:dyDescent="0.3">
      <c r="U439407" s="25"/>
    </row>
    <row r="439429" spans="21:21" x14ac:dyDescent="0.3">
      <c r="U439429" s="25"/>
    </row>
    <row r="439451" spans="21:21" x14ac:dyDescent="0.3">
      <c r="U439451" s="25"/>
    </row>
    <row r="439473" spans="21:21" x14ac:dyDescent="0.3">
      <c r="U439473" s="25"/>
    </row>
    <row r="439495" spans="21:21" x14ac:dyDescent="0.3">
      <c r="U439495" s="25"/>
    </row>
    <row r="439517" spans="21:21" x14ac:dyDescent="0.3">
      <c r="U439517" s="25"/>
    </row>
    <row r="439539" spans="21:21" x14ac:dyDescent="0.3">
      <c r="U439539" s="25"/>
    </row>
    <row r="439561" spans="21:21" x14ac:dyDescent="0.3">
      <c r="U439561" s="25"/>
    </row>
    <row r="439583" spans="21:21" x14ac:dyDescent="0.3">
      <c r="U439583" s="25"/>
    </row>
    <row r="439605" spans="21:21" x14ac:dyDescent="0.3">
      <c r="U439605" s="25"/>
    </row>
    <row r="439627" spans="21:21" x14ac:dyDescent="0.3">
      <c r="U439627" s="25"/>
    </row>
    <row r="439649" spans="21:21" x14ac:dyDescent="0.3">
      <c r="U439649" s="25"/>
    </row>
    <row r="439671" spans="21:21" x14ac:dyDescent="0.3">
      <c r="U439671" s="25"/>
    </row>
    <row r="439693" spans="21:21" x14ac:dyDescent="0.3">
      <c r="U439693" s="25"/>
    </row>
    <row r="439715" spans="21:21" x14ac:dyDescent="0.3">
      <c r="U439715" s="25"/>
    </row>
    <row r="439737" spans="21:21" x14ac:dyDescent="0.3">
      <c r="U439737" s="25"/>
    </row>
    <row r="439759" spans="21:21" x14ac:dyDescent="0.3">
      <c r="U439759" s="25"/>
    </row>
    <row r="439781" spans="21:21" x14ac:dyDescent="0.3">
      <c r="U439781" s="25"/>
    </row>
    <row r="439803" spans="21:21" x14ac:dyDescent="0.3">
      <c r="U439803" s="25"/>
    </row>
    <row r="439825" spans="21:21" x14ac:dyDescent="0.3">
      <c r="U439825" s="25"/>
    </row>
    <row r="439847" spans="21:21" x14ac:dyDescent="0.3">
      <c r="U439847" s="25"/>
    </row>
    <row r="439869" spans="21:21" x14ac:dyDescent="0.3">
      <c r="U439869" s="25"/>
    </row>
    <row r="439891" spans="21:21" x14ac:dyDescent="0.3">
      <c r="U439891" s="25"/>
    </row>
    <row r="439913" spans="21:21" x14ac:dyDescent="0.3">
      <c r="U439913" s="25"/>
    </row>
    <row r="439935" spans="21:21" x14ac:dyDescent="0.3">
      <c r="U439935" s="25"/>
    </row>
    <row r="439957" spans="21:21" x14ac:dyDescent="0.3">
      <c r="U439957" s="25"/>
    </row>
    <row r="439979" spans="21:21" x14ac:dyDescent="0.3">
      <c r="U439979" s="25"/>
    </row>
    <row r="440001" spans="21:21" x14ac:dyDescent="0.3">
      <c r="U440001" s="25"/>
    </row>
    <row r="440023" spans="21:21" x14ac:dyDescent="0.3">
      <c r="U440023" s="25"/>
    </row>
    <row r="440045" spans="21:21" x14ac:dyDescent="0.3">
      <c r="U440045" s="25"/>
    </row>
    <row r="440067" spans="21:21" x14ac:dyDescent="0.3">
      <c r="U440067" s="25"/>
    </row>
    <row r="440089" spans="21:21" x14ac:dyDescent="0.3">
      <c r="U440089" s="25"/>
    </row>
    <row r="440111" spans="21:21" x14ac:dyDescent="0.3">
      <c r="U440111" s="25"/>
    </row>
    <row r="440133" spans="21:21" x14ac:dyDescent="0.3">
      <c r="U440133" s="25"/>
    </row>
    <row r="440155" spans="21:21" x14ac:dyDescent="0.3">
      <c r="U440155" s="25"/>
    </row>
    <row r="440177" spans="21:21" x14ac:dyDescent="0.3">
      <c r="U440177" s="25"/>
    </row>
    <row r="440199" spans="21:21" x14ac:dyDescent="0.3">
      <c r="U440199" s="25"/>
    </row>
    <row r="440221" spans="21:21" x14ac:dyDescent="0.3">
      <c r="U440221" s="25"/>
    </row>
    <row r="440243" spans="21:21" x14ac:dyDescent="0.3">
      <c r="U440243" s="25"/>
    </row>
    <row r="440265" spans="21:21" x14ac:dyDescent="0.3">
      <c r="U440265" s="25"/>
    </row>
    <row r="440287" spans="21:21" x14ac:dyDescent="0.3">
      <c r="U440287" s="25"/>
    </row>
    <row r="440309" spans="21:21" x14ac:dyDescent="0.3">
      <c r="U440309" s="25"/>
    </row>
    <row r="440331" spans="21:21" x14ac:dyDescent="0.3">
      <c r="U440331" s="25"/>
    </row>
    <row r="440353" spans="21:21" x14ac:dyDescent="0.3">
      <c r="U440353" s="25"/>
    </row>
    <row r="440375" spans="21:21" x14ac:dyDescent="0.3">
      <c r="U440375" s="25"/>
    </row>
    <row r="440397" spans="21:21" x14ac:dyDescent="0.3">
      <c r="U440397" s="25"/>
    </row>
    <row r="440419" spans="21:21" x14ac:dyDescent="0.3">
      <c r="U440419" s="25"/>
    </row>
    <row r="440441" spans="21:21" x14ac:dyDescent="0.3">
      <c r="U440441" s="25"/>
    </row>
    <row r="440463" spans="21:21" x14ac:dyDescent="0.3">
      <c r="U440463" s="25"/>
    </row>
    <row r="440485" spans="21:21" x14ac:dyDescent="0.3">
      <c r="U440485" s="25"/>
    </row>
    <row r="440507" spans="21:21" x14ac:dyDescent="0.3">
      <c r="U440507" s="25"/>
    </row>
    <row r="440529" spans="21:21" x14ac:dyDescent="0.3">
      <c r="U440529" s="25"/>
    </row>
    <row r="440551" spans="21:21" x14ac:dyDescent="0.3">
      <c r="U440551" s="25"/>
    </row>
    <row r="440573" spans="21:21" x14ac:dyDescent="0.3">
      <c r="U440573" s="25"/>
    </row>
    <row r="440595" spans="21:21" x14ac:dyDescent="0.3">
      <c r="U440595" s="25"/>
    </row>
    <row r="440617" spans="21:21" x14ac:dyDescent="0.3">
      <c r="U440617" s="25"/>
    </row>
    <row r="440639" spans="21:21" x14ac:dyDescent="0.3">
      <c r="U440639" s="25"/>
    </row>
    <row r="440661" spans="21:21" x14ac:dyDescent="0.3">
      <c r="U440661" s="25"/>
    </row>
    <row r="440683" spans="21:21" x14ac:dyDescent="0.3">
      <c r="U440683" s="25"/>
    </row>
    <row r="440705" spans="21:21" x14ac:dyDescent="0.3">
      <c r="U440705" s="25"/>
    </row>
    <row r="440727" spans="21:21" x14ac:dyDescent="0.3">
      <c r="U440727" s="25"/>
    </row>
    <row r="440749" spans="21:21" x14ac:dyDescent="0.3">
      <c r="U440749" s="25"/>
    </row>
    <row r="440771" spans="21:21" x14ac:dyDescent="0.3">
      <c r="U440771" s="25"/>
    </row>
    <row r="440793" spans="21:21" x14ac:dyDescent="0.3">
      <c r="U440793" s="25"/>
    </row>
    <row r="440815" spans="21:21" x14ac:dyDescent="0.3">
      <c r="U440815" s="25"/>
    </row>
    <row r="440837" spans="21:21" x14ac:dyDescent="0.3">
      <c r="U440837" s="25"/>
    </row>
    <row r="440859" spans="21:21" x14ac:dyDescent="0.3">
      <c r="U440859" s="25"/>
    </row>
    <row r="440881" spans="21:21" x14ac:dyDescent="0.3">
      <c r="U440881" s="25"/>
    </row>
    <row r="440903" spans="21:21" x14ac:dyDescent="0.3">
      <c r="U440903" s="25"/>
    </row>
    <row r="440925" spans="21:21" x14ac:dyDescent="0.3">
      <c r="U440925" s="25"/>
    </row>
    <row r="440947" spans="21:21" x14ac:dyDescent="0.3">
      <c r="U440947" s="25"/>
    </row>
    <row r="440969" spans="21:21" x14ac:dyDescent="0.3">
      <c r="U440969" s="25"/>
    </row>
    <row r="440991" spans="21:21" x14ac:dyDescent="0.3">
      <c r="U440991" s="25"/>
    </row>
    <row r="441013" spans="21:21" x14ac:dyDescent="0.3">
      <c r="U441013" s="25"/>
    </row>
    <row r="441035" spans="21:21" x14ac:dyDescent="0.3">
      <c r="U441035" s="25"/>
    </row>
    <row r="441057" spans="21:21" x14ac:dyDescent="0.3">
      <c r="U441057" s="25"/>
    </row>
    <row r="441079" spans="21:21" x14ac:dyDescent="0.3">
      <c r="U441079" s="25"/>
    </row>
    <row r="441101" spans="21:21" x14ac:dyDescent="0.3">
      <c r="U441101" s="25"/>
    </row>
    <row r="441123" spans="21:21" x14ac:dyDescent="0.3">
      <c r="U441123" s="25"/>
    </row>
    <row r="441145" spans="21:21" x14ac:dyDescent="0.3">
      <c r="U441145" s="25"/>
    </row>
    <row r="441167" spans="21:21" x14ac:dyDescent="0.3">
      <c r="U441167" s="25"/>
    </row>
    <row r="441189" spans="21:21" x14ac:dyDescent="0.3">
      <c r="U441189" s="25"/>
    </row>
    <row r="441211" spans="21:21" x14ac:dyDescent="0.3">
      <c r="U441211" s="25"/>
    </row>
    <row r="441233" spans="21:21" x14ac:dyDescent="0.3">
      <c r="U441233" s="25"/>
    </row>
    <row r="441255" spans="21:21" x14ac:dyDescent="0.3">
      <c r="U441255" s="25"/>
    </row>
    <row r="441277" spans="21:21" x14ac:dyDescent="0.3">
      <c r="U441277" s="25"/>
    </row>
    <row r="441299" spans="21:21" x14ac:dyDescent="0.3">
      <c r="U441299" s="25"/>
    </row>
    <row r="441321" spans="21:21" x14ac:dyDescent="0.3">
      <c r="U441321" s="25"/>
    </row>
    <row r="441343" spans="21:21" x14ac:dyDescent="0.3">
      <c r="U441343" s="25"/>
    </row>
    <row r="441365" spans="21:21" x14ac:dyDescent="0.3">
      <c r="U441365" s="25"/>
    </row>
    <row r="441387" spans="21:21" x14ac:dyDescent="0.3">
      <c r="U441387" s="25"/>
    </row>
    <row r="441409" spans="21:21" x14ac:dyDescent="0.3">
      <c r="U441409" s="25"/>
    </row>
    <row r="441431" spans="21:21" x14ac:dyDescent="0.3">
      <c r="U441431" s="25"/>
    </row>
    <row r="441453" spans="21:21" x14ac:dyDescent="0.3">
      <c r="U441453" s="25"/>
    </row>
    <row r="441475" spans="21:21" x14ac:dyDescent="0.3">
      <c r="U441475" s="25"/>
    </row>
    <row r="441497" spans="21:21" x14ac:dyDescent="0.3">
      <c r="U441497" s="25"/>
    </row>
    <row r="441519" spans="21:21" x14ac:dyDescent="0.3">
      <c r="U441519" s="25"/>
    </row>
    <row r="441541" spans="21:21" x14ac:dyDescent="0.3">
      <c r="U441541" s="25"/>
    </row>
    <row r="441563" spans="21:21" x14ac:dyDescent="0.3">
      <c r="U441563" s="25"/>
    </row>
    <row r="441585" spans="21:21" x14ac:dyDescent="0.3">
      <c r="U441585" s="25"/>
    </row>
    <row r="441607" spans="21:21" x14ac:dyDescent="0.3">
      <c r="U441607" s="25"/>
    </row>
    <row r="441629" spans="21:21" x14ac:dyDescent="0.3">
      <c r="U441629" s="25"/>
    </row>
    <row r="441651" spans="21:21" x14ac:dyDescent="0.3">
      <c r="U441651" s="25"/>
    </row>
    <row r="441673" spans="21:21" x14ac:dyDescent="0.3">
      <c r="U441673" s="25"/>
    </row>
    <row r="441695" spans="21:21" x14ac:dyDescent="0.3">
      <c r="U441695" s="25"/>
    </row>
    <row r="441717" spans="21:21" x14ac:dyDescent="0.3">
      <c r="U441717" s="25"/>
    </row>
    <row r="441739" spans="21:21" x14ac:dyDescent="0.3">
      <c r="U441739" s="25"/>
    </row>
    <row r="441761" spans="21:21" x14ac:dyDescent="0.3">
      <c r="U441761" s="25"/>
    </row>
    <row r="441783" spans="21:21" x14ac:dyDescent="0.3">
      <c r="U441783" s="25"/>
    </row>
    <row r="441805" spans="21:21" x14ac:dyDescent="0.3">
      <c r="U441805" s="25"/>
    </row>
    <row r="441827" spans="21:21" x14ac:dyDescent="0.3">
      <c r="U441827" s="25"/>
    </row>
    <row r="441849" spans="21:21" x14ac:dyDescent="0.3">
      <c r="U441849" s="25"/>
    </row>
    <row r="441871" spans="21:21" x14ac:dyDescent="0.3">
      <c r="U441871" s="25"/>
    </row>
    <row r="441893" spans="21:21" x14ac:dyDescent="0.3">
      <c r="U441893" s="25"/>
    </row>
    <row r="441915" spans="21:21" x14ac:dyDescent="0.3">
      <c r="U441915" s="25"/>
    </row>
    <row r="441937" spans="21:21" x14ac:dyDescent="0.3">
      <c r="U441937" s="25"/>
    </row>
    <row r="441959" spans="21:21" x14ac:dyDescent="0.3">
      <c r="U441959" s="25"/>
    </row>
    <row r="441981" spans="21:21" x14ac:dyDescent="0.3">
      <c r="U441981" s="25"/>
    </row>
    <row r="442003" spans="21:21" x14ac:dyDescent="0.3">
      <c r="U442003" s="25"/>
    </row>
    <row r="442025" spans="21:21" x14ac:dyDescent="0.3">
      <c r="U442025" s="25"/>
    </row>
    <row r="442047" spans="21:21" x14ac:dyDescent="0.3">
      <c r="U442047" s="25"/>
    </row>
    <row r="442069" spans="21:21" x14ac:dyDescent="0.3">
      <c r="U442069" s="25"/>
    </row>
    <row r="442091" spans="21:21" x14ac:dyDescent="0.3">
      <c r="U442091" s="25"/>
    </row>
    <row r="442113" spans="21:21" x14ac:dyDescent="0.3">
      <c r="U442113" s="25"/>
    </row>
    <row r="442135" spans="21:21" x14ac:dyDescent="0.3">
      <c r="U442135" s="25"/>
    </row>
    <row r="442157" spans="21:21" x14ac:dyDescent="0.3">
      <c r="U442157" s="25"/>
    </row>
    <row r="442179" spans="21:21" x14ac:dyDescent="0.3">
      <c r="U442179" s="25"/>
    </row>
    <row r="442201" spans="21:21" x14ac:dyDescent="0.3">
      <c r="U442201" s="25"/>
    </row>
    <row r="442223" spans="21:21" x14ac:dyDescent="0.3">
      <c r="U442223" s="25"/>
    </row>
    <row r="442245" spans="21:21" x14ac:dyDescent="0.3">
      <c r="U442245" s="25"/>
    </row>
    <row r="442267" spans="21:21" x14ac:dyDescent="0.3">
      <c r="U442267" s="25"/>
    </row>
    <row r="442289" spans="21:21" x14ac:dyDescent="0.3">
      <c r="U442289" s="25"/>
    </row>
    <row r="442311" spans="21:21" x14ac:dyDescent="0.3">
      <c r="U442311" s="25"/>
    </row>
    <row r="442333" spans="21:21" x14ac:dyDescent="0.3">
      <c r="U442333" s="25"/>
    </row>
    <row r="442355" spans="21:21" x14ac:dyDescent="0.3">
      <c r="U442355" s="25"/>
    </row>
    <row r="442377" spans="21:21" x14ac:dyDescent="0.3">
      <c r="U442377" s="25"/>
    </row>
    <row r="442399" spans="21:21" x14ac:dyDescent="0.3">
      <c r="U442399" s="25"/>
    </row>
    <row r="442421" spans="21:21" x14ac:dyDescent="0.3">
      <c r="U442421" s="25"/>
    </row>
    <row r="442443" spans="21:21" x14ac:dyDescent="0.3">
      <c r="U442443" s="25"/>
    </row>
    <row r="442465" spans="21:21" x14ac:dyDescent="0.3">
      <c r="U442465" s="25"/>
    </row>
    <row r="442487" spans="21:21" x14ac:dyDescent="0.3">
      <c r="U442487" s="25"/>
    </row>
    <row r="442509" spans="21:21" x14ac:dyDescent="0.3">
      <c r="U442509" s="25"/>
    </row>
    <row r="442531" spans="21:21" x14ac:dyDescent="0.3">
      <c r="U442531" s="25"/>
    </row>
    <row r="442553" spans="21:21" x14ac:dyDescent="0.3">
      <c r="U442553" s="25"/>
    </row>
    <row r="442575" spans="21:21" x14ac:dyDescent="0.3">
      <c r="U442575" s="25"/>
    </row>
    <row r="442597" spans="21:21" x14ac:dyDescent="0.3">
      <c r="U442597" s="25"/>
    </row>
    <row r="442619" spans="21:21" x14ac:dyDescent="0.3">
      <c r="U442619" s="25"/>
    </row>
    <row r="442641" spans="21:21" x14ac:dyDescent="0.3">
      <c r="U442641" s="25"/>
    </row>
    <row r="442663" spans="21:21" x14ac:dyDescent="0.3">
      <c r="U442663" s="25"/>
    </row>
    <row r="442685" spans="21:21" x14ac:dyDescent="0.3">
      <c r="U442685" s="25"/>
    </row>
    <row r="442707" spans="21:21" x14ac:dyDescent="0.3">
      <c r="U442707" s="25"/>
    </row>
    <row r="442729" spans="21:21" x14ac:dyDescent="0.3">
      <c r="U442729" s="25"/>
    </row>
    <row r="442751" spans="21:21" x14ac:dyDescent="0.3">
      <c r="U442751" s="25"/>
    </row>
    <row r="442773" spans="21:21" x14ac:dyDescent="0.3">
      <c r="U442773" s="25"/>
    </row>
    <row r="442795" spans="21:21" x14ac:dyDescent="0.3">
      <c r="U442795" s="25"/>
    </row>
    <row r="442817" spans="21:21" x14ac:dyDescent="0.3">
      <c r="U442817" s="25"/>
    </row>
    <row r="442839" spans="21:21" x14ac:dyDescent="0.3">
      <c r="U442839" s="25"/>
    </row>
    <row r="442861" spans="21:21" x14ac:dyDescent="0.3">
      <c r="U442861" s="25"/>
    </row>
    <row r="442883" spans="21:21" x14ac:dyDescent="0.3">
      <c r="U442883" s="25"/>
    </row>
    <row r="442905" spans="21:21" x14ac:dyDescent="0.3">
      <c r="U442905" s="25"/>
    </row>
    <row r="442927" spans="21:21" x14ac:dyDescent="0.3">
      <c r="U442927" s="25"/>
    </row>
    <row r="442949" spans="21:21" x14ac:dyDescent="0.3">
      <c r="U442949" s="25"/>
    </row>
    <row r="442971" spans="21:21" x14ac:dyDescent="0.3">
      <c r="U442971" s="25"/>
    </row>
    <row r="442993" spans="21:21" x14ac:dyDescent="0.3">
      <c r="U442993" s="25"/>
    </row>
    <row r="443015" spans="21:21" x14ac:dyDescent="0.3">
      <c r="U443015" s="25"/>
    </row>
    <row r="443037" spans="21:21" x14ac:dyDescent="0.3">
      <c r="U443037" s="25"/>
    </row>
    <row r="443059" spans="21:21" x14ac:dyDescent="0.3">
      <c r="U443059" s="25"/>
    </row>
    <row r="443081" spans="21:21" x14ac:dyDescent="0.3">
      <c r="U443081" s="25"/>
    </row>
    <row r="443103" spans="21:21" x14ac:dyDescent="0.3">
      <c r="U443103" s="25"/>
    </row>
    <row r="443125" spans="21:21" x14ac:dyDescent="0.3">
      <c r="U443125" s="25"/>
    </row>
    <row r="443147" spans="21:21" x14ac:dyDescent="0.3">
      <c r="U443147" s="25"/>
    </row>
    <row r="443169" spans="21:21" x14ac:dyDescent="0.3">
      <c r="U443169" s="25"/>
    </row>
    <row r="443191" spans="21:21" x14ac:dyDescent="0.3">
      <c r="U443191" s="25"/>
    </row>
    <row r="443213" spans="21:21" x14ac:dyDescent="0.3">
      <c r="U443213" s="25"/>
    </row>
    <row r="443235" spans="21:21" x14ac:dyDescent="0.3">
      <c r="U443235" s="25"/>
    </row>
    <row r="443257" spans="21:21" x14ac:dyDescent="0.3">
      <c r="U443257" s="25"/>
    </row>
    <row r="443279" spans="21:21" x14ac:dyDescent="0.3">
      <c r="U443279" s="25"/>
    </row>
    <row r="443301" spans="21:21" x14ac:dyDescent="0.3">
      <c r="U443301" s="25"/>
    </row>
    <row r="443323" spans="21:21" x14ac:dyDescent="0.3">
      <c r="U443323" s="25"/>
    </row>
    <row r="443345" spans="21:21" x14ac:dyDescent="0.3">
      <c r="U443345" s="25"/>
    </row>
    <row r="443367" spans="21:21" x14ac:dyDescent="0.3">
      <c r="U443367" s="25"/>
    </row>
    <row r="443389" spans="21:21" x14ac:dyDescent="0.3">
      <c r="U443389" s="25"/>
    </row>
    <row r="443411" spans="21:21" x14ac:dyDescent="0.3">
      <c r="U443411" s="25"/>
    </row>
    <row r="443433" spans="21:21" x14ac:dyDescent="0.3">
      <c r="U443433" s="25"/>
    </row>
    <row r="443455" spans="21:21" x14ac:dyDescent="0.3">
      <c r="U443455" s="25"/>
    </row>
    <row r="443477" spans="21:21" x14ac:dyDescent="0.3">
      <c r="U443477" s="25"/>
    </row>
    <row r="443499" spans="21:21" x14ac:dyDescent="0.3">
      <c r="U443499" s="25"/>
    </row>
    <row r="443521" spans="21:21" x14ac:dyDescent="0.3">
      <c r="U443521" s="25"/>
    </row>
    <row r="443543" spans="21:21" x14ac:dyDescent="0.3">
      <c r="U443543" s="25"/>
    </row>
    <row r="443565" spans="21:21" x14ac:dyDescent="0.3">
      <c r="U443565" s="25"/>
    </row>
    <row r="443587" spans="21:21" x14ac:dyDescent="0.3">
      <c r="U443587" s="25"/>
    </row>
    <row r="443609" spans="21:21" x14ac:dyDescent="0.3">
      <c r="U443609" s="25"/>
    </row>
    <row r="443631" spans="21:21" x14ac:dyDescent="0.3">
      <c r="U443631" s="25"/>
    </row>
    <row r="443653" spans="21:21" x14ac:dyDescent="0.3">
      <c r="U443653" s="25"/>
    </row>
    <row r="443675" spans="21:21" x14ac:dyDescent="0.3">
      <c r="U443675" s="25"/>
    </row>
    <row r="443697" spans="21:21" x14ac:dyDescent="0.3">
      <c r="U443697" s="25"/>
    </row>
    <row r="443719" spans="21:21" x14ac:dyDescent="0.3">
      <c r="U443719" s="25"/>
    </row>
    <row r="443741" spans="21:21" x14ac:dyDescent="0.3">
      <c r="U443741" s="25"/>
    </row>
    <row r="443763" spans="21:21" x14ac:dyDescent="0.3">
      <c r="U443763" s="25"/>
    </row>
    <row r="443785" spans="21:21" x14ac:dyDescent="0.3">
      <c r="U443785" s="25"/>
    </row>
    <row r="443807" spans="21:21" x14ac:dyDescent="0.3">
      <c r="U443807" s="25"/>
    </row>
    <row r="443829" spans="21:21" x14ac:dyDescent="0.3">
      <c r="U443829" s="25"/>
    </row>
    <row r="443851" spans="21:21" x14ac:dyDescent="0.3">
      <c r="U443851" s="25"/>
    </row>
    <row r="443873" spans="21:21" x14ac:dyDescent="0.3">
      <c r="U443873" s="25"/>
    </row>
    <row r="443895" spans="21:21" x14ac:dyDescent="0.3">
      <c r="U443895" s="25"/>
    </row>
    <row r="443917" spans="21:21" x14ac:dyDescent="0.3">
      <c r="U443917" s="25"/>
    </row>
    <row r="443939" spans="21:21" x14ac:dyDescent="0.3">
      <c r="U443939" s="25"/>
    </row>
    <row r="443961" spans="21:21" x14ac:dyDescent="0.3">
      <c r="U443961" s="25"/>
    </row>
    <row r="443983" spans="21:21" x14ac:dyDescent="0.3">
      <c r="U443983" s="25"/>
    </row>
    <row r="444005" spans="21:21" x14ac:dyDescent="0.3">
      <c r="U444005" s="25"/>
    </row>
    <row r="444027" spans="21:21" x14ac:dyDescent="0.3">
      <c r="U444027" s="25"/>
    </row>
    <row r="444049" spans="21:21" x14ac:dyDescent="0.3">
      <c r="U444049" s="25"/>
    </row>
    <row r="444071" spans="21:21" x14ac:dyDescent="0.3">
      <c r="U444071" s="25"/>
    </row>
    <row r="444093" spans="21:21" x14ac:dyDescent="0.3">
      <c r="U444093" s="25"/>
    </row>
    <row r="444115" spans="21:21" x14ac:dyDescent="0.3">
      <c r="U444115" s="25"/>
    </row>
    <row r="444137" spans="21:21" x14ac:dyDescent="0.3">
      <c r="U444137" s="25"/>
    </row>
    <row r="444159" spans="21:21" x14ac:dyDescent="0.3">
      <c r="U444159" s="25"/>
    </row>
    <row r="444181" spans="21:21" x14ac:dyDescent="0.3">
      <c r="U444181" s="25"/>
    </row>
    <row r="444203" spans="21:21" x14ac:dyDescent="0.3">
      <c r="U444203" s="25"/>
    </row>
    <row r="444225" spans="21:21" x14ac:dyDescent="0.3">
      <c r="U444225" s="25"/>
    </row>
    <row r="444247" spans="21:21" x14ac:dyDescent="0.3">
      <c r="U444247" s="25"/>
    </row>
    <row r="444269" spans="21:21" x14ac:dyDescent="0.3">
      <c r="U444269" s="25"/>
    </row>
    <row r="444291" spans="21:21" x14ac:dyDescent="0.3">
      <c r="U444291" s="25"/>
    </row>
    <row r="444313" spans="21:21" x14ac:dyDescent="0.3">
      <c r="U444313" s="25"/>
    </row>
    <row r="444335" spans="21:21" x14ac:dyDescent="0.3">
      <c r="U444335" s="25"/>
    </row>
    <row r="444357" spans="21:21" x14ac:dyDescent="0.3">
      <c r="U444357" s="25"/>
    </row>
    <row r="444379" spans="21:21" x14ac:dyDescent="0.3">
      <c r="U444379" s="25"/>
    </row>
    <row r="444401" spans="21:21" x14ac:dyDescent="0.3">
      <c r="U444401" s="25"/>
    </row>
    <row r="444423" spans="21:21" x14ac:dyDescent="0.3">
      <c r="U444423" s="25"/>
    </row>
    <row r="444445" spans="21:21" x14ac:dyDescent="0.3">
      <c r="U444445" s="25"/>
    </row>
    <row r="444467" spans="21:21" x14ac:dyDescent="0.3">
      <c r="U444467" s="25"/>
    </row>
    <row r="444489" spans="21:21" x14ac:dyDescent="0.3">
      <c r="U444489" s="25"/>
    </row>
    <row r="444511" spans="21:21" x14ac:dyDescent="0.3">
      <c r="U444511" s="25"/>
    </row>
    <row r="444533" spans="21:21" x14ac:dyDescent="0.3">
      <c r="U444533" s="25"/>
    </row>
    <row r="444555" spans="21:21" x14ac:dyDescent="0.3">
      <c r="U444555" s="25"/>
    </row>
    <row r="444577" spans="21:21" x14ac:dyDescent="0.3">
      <c r="U444577" s="25"/>
    </row>
    <row r="444599" spans="21:21" x14ac:dyDescent="0.3">
      <c r="U444599" s="25"/>
    </row>
    <row r="444621" spans="21:21" x14ac:dyDescent="0.3">
      <c r="U444621" s="25"/>
    </row>
    <row r="444643" spans="21:21" x14ac:dyDescent="0.3">
      <c r="U444643" s="25"/>
    </row>
    <row r="444665" spans="21:21" x14ac:dyDescent="0.3">
      <c r="U444665" s="25"/>
    </row>
    <row r="444687" spans="21:21" x14ac:dyDescent="0.3">
      <c r="U444687" s="25"/>
    </row>
    <row r="444709" spans="21:21" x14ac:dyDescent="0.3">
      <c r="U444709" s="25"/>
    </row>
    <row r="444731" spans="21:21" x14ac:dyDescent="0.3">
      <c r="U444731" s="25"/>
    </row>
    <row r="444753" spans="21:21" x14ac:dyDescent="0.3">
      <c r="U444753" s="25"/>
    </row>
    <row r="444775" spans="21:21" x14ac:dyDescent="0.3">
      <c r="U444775" s="25"/>
    </row>
    <row r="444797" spans="21:21" x14ac:dyDescent="0.3">
      <c r="U444797" s="25"/>
    </row>
    <row r="444819" spans="21:21" x14ac:dyDescent="0.3">
      <c r="U444819" s="25"/>
    </row>
    <row r="444841" spans="21:21" x14ac:dyDescent="0.3">
      <c r="U444841" s="25"/>
    </row>
    <row r="444863" spans="21:21" x14ac:dyDescent="0.3">
      <c r="U444863" s="25"/>
    </row>
    <row r="444885" spans="21:21" x14ac:dyDescent="0.3">
      <c r="U444885" s="25"/>
    </row>
    <row r="444907" spans="21:21" x14ac:dyDescent="0.3">
      <c r="U444907" s="25"/>
    </row>
    <row r="444929" spans="21:21" x14ac:dyDescent="0.3">
      <c r="U444929" s="25"/>
    </row>
    <row r="444951" spans="21:21" x14ac:dyDescent="0.3">
      <c r="U444951" s="25"/>
    </row>
    <row r="444973" spans="21:21" x14ac:dyDescent="0.3">
      <c r="U444973" s="25"/>
    </row>
    <row r="444995" spans="21:21" x14ac:dyDescent="0.3">
      <c r="U444995" s="25"/>
    </row>
    <row r="445017" spans="21:21" x14ac:dyDescent="0.3">
      <c r="U445017" s="25"/>
    </row>
    <row r="445039" spans="21:21" x14ac:dyDescent="0.3">
      <c r="U445039" s="25"/>
    </row>
    <row r="445061" spans="21:21" x14ac:dyDescent="0.3">
      <c r="U445061" s="25"/>
    </row>
    <row r="445083" spans="21:21" x14ac:dyDescent="0.3">
      <c r="U445083" s="25"/>
    </row>
    <row r="445105" spans="21:21" x14ac:dyDescent="0.3">
      <c r="U445105" s="25"/>
    </row>
    <row r="445127" spans="21:21" x14ac:dyDescent="0.3">
      <c r="U445127" s="25"/>
    </row>
    <row r="445149" spans="21:21" x14ac:dyDescent="0.3">
      <c r="U445149" s="25"/>
    </row>
    <row r="445171" spans="21:21" x14ac:dyDescent="0.3">
      <c r="U445171" s="25"/>
    </row>
    <row r="445193" spans="21:21" x14ac:dyDescent="0.3">
      <c r="U445193" s="25"/>
    </row>
    <row r="445215" spans="21:21" x14ac:dyDescent="0.3">
      <c r="U445215" s="25"/>
    </row>
    <row r="445237" spans="21:21" x14ac:dyDescent="0.3">
      <c r="U445237" s="25"/>
    </row>
    <row r="445259" spans="21:21" x14ac:dyDescent="0.3">
      <c r="U445259" s="25"/>
    </row>
    <row r="445281" spans="21:21" x14ac:dyDescent="0.3">
      <c r="U445281" s="25"/>
    </row>
    <row r="445303" spans="21:21" x14ac:dyDescent="0.3">
      <c r="U445303" s="25"/>
    </row>
    <row r="445325" spans="21:21" x14ac:dyDescent="0.3">
      <c r="U445325" s="25"/>
    </row>
    <row r="445347" spans="21:21" x14ac:dyDescent="0.3">
      <c r="U445347" s="25"/>
    </row>
    <row r="445369" spans="21:21" x14ac:dyDescent="0.3">
      <c r="U445369" s="25"/>
    </row>
    <row r="445391" spans="21:21" x14ac:dyDescent="0.3">
      <c r="U445391" s="25"/>
    </row>
    <row r="445413" spans="21:21" x14ac:dyDescent="0.3">
      <c r="U445413" s="25"/>
    </row>
    <row r="445435" spans="21:21" x14ac:dyDescent="0.3">
      <c r="U445435" s="25"/>
    </row>
    <row r="445457" spans="21:21" x14ac:dyDescent="0.3">
      <c r="U445457" s="25"/>
    </row>
    <row r="445479" spans="21:21" x14ac:dyDescent="0.3">
      <c r="U445479" s="25"/>
    </row>
    <row r="445501" spans="21:21" x14ac:dyDescent="0.3">
      <c r="U445501" s="25"/>
    </row>
    <row r="445523" spans="21:21" x14ac:dyDescent="0.3">
      <c r="U445523" s="25"/>
    </row>
    <row r="445545" spans="21:21" x14ac:dyDescent="0.3">
      <c r="U445545" s="25"/>
    </row>
    <row r="445567" spans="21:21" x14ac:dyDescent="0.3">
      <c r="U445567" s="25"/>
    </row>
    <row r="445589" spans="21:21" x14ac:dyDescent="0.3">
      <c r="U445589" s="25"/>
    </row>
    <row r="445611" spans="21:21" x14ac:dyDescent="0.3">
      <c r="U445611" s="25"/>
    </row>
    <row r="445633" spans="21:21" x14ac:dyDescent="0.3">
      <c r="U445633" s="25"/>
    </row>
    <row r="445655" spans="21:21" x14ac:dyDescent="0.3">
      <c r="U445655" s="25"/>
    </row>
    <row r="445677" spans="21:21" x14ac:dyDescent="0.3">
      <c r="U445677" s="25"/>
    </row>
    <row r="445699" spans="21:21" x14ac:dyDescent="0.3">
      <c r="U445699" s="25"/>
    </row>
    <row r="445721" spans="21:21" x14ac:dyDescent="0.3">
      <c r="U445721" s="25"/>
    </row>
    <row r="445743" spans="21:21" x14ac:dyDescent="0.3">
      <c r="U445743" s="25"/>
    </row>
    <row r="445765" spans="21:21" x14ac:dyDescent="0.3">
      <c r="U445765" s="25"/>
    </row>
    <row r="445787" spans="21:21" x14ac:dyDescent="0.3">
      <c r="U445787" s="25"/>
    </row>
    <row r="445809" spans="21:21" x14ac:dyDescent="0.3">
      <c r="U445809" s="25"/>
    </row>
    <row r="445831" spans="21:21" x14ac:dyDescent="0.3">
      <c r="U445831" s="25"/>
    </row>
    <row r="445853" spans="21:21" x14ac:dyDescent="0.3">
      <c r="U445853" s="25"/>
    </row>
    <row r="445875" spans="21:21" x14ac:dyDescent="0.3">
      <c r="U445875" s="25"/>
    </row>
    <row r="445897" spans="21:21" x14ac:dyDescent="0.3">
      <c r="U445897" s="25"/>
    </row>
    <row r="445919" spans="21:21" x14ac:dyDescent="0.3">
      <c r="U445919" s="25"/>
    </row>
    <row r="445941" spans="21:21" x14ac:dyDescent="0.3">
      <c r="U445941" s="25"/>
    </row>
    <row r="445963" spans="21:21" x14ac:dyDescent="0.3">
      <c r="U445963" s="25"/>
    </row>
    <row r="445985" spans="21:21" x14ac:dyDescent="0.3">
      <c r="U445985" s="25"/>
    </row>
    <row r="446007" spans="21:21" x14ac:dyDescent="0.3">
      <c r="U446007" s="25"/>
    </row>
    <row r="446029" spans="21:21" x14ac:dyDescent="0.3">
      <c r="U446029" s="25"/>
    </row>
    <row r="446051" spans="21:21" x14ac:dyDescent="0.3">
      <c r="U446051" s="25"/>
    </row>
    <row r="446073" spans="21:21" x14ac:dyDescent="0.3">
      <c r="U446073" s="25"/>
    </row>
    <row r="446095" spans="21:21" x14ac:dyDescent="0.3">
      <c r="U446095" s="25"/>
    </row>
    <row r="446117" spans="21:21" x14ac:dyDescent="0.3">
      <c r="U446117" s="25"/>
    </row>
    <row r="446139" spans="21:21" x14ac:dyDescent="0.3">
      <c r="U446139" s="25"/>
    </row>
    <row r="446161" spans="21:21" x14ac:dyDescent="0.3">
      <c r="U446161" s="25"/>
    </row>
    <row r="446183" spans="21:21" x14ac:dyDescent="0.3">
      <c r="U446183" s="25"/>
    </row>
    <row r="446205" spans="21:21" x14ac:dyDescent="0.3">
      <c r="U446205" s="25"/>
    </row>
    <row r="446227" spans="21:21" x14ac:dyDescent="0.3">
      <c r="U446227" s="25"/>
    </row>
    <row r="446249" spans="21:21" x14ac:dyDescent="0.3">
      <c r="U446249" s="25"/>
    </row>
    <row r="446271" spans="21:21" x14ac:dyDescent="0.3">
      <c r="U446271" s="25"/>
    </row>
    <row r="446293" spans="21:21" x14ac:dyDescent="0.3">
      <c r="U446293" s="25"/>
    </row>
    <row r="446315" spans="21:21" x14ac:dyDescent="0.3">
      <c r="U446315" s="25"/>
    </row>
    <row r="446337" spans="21:21" x14ac:dyDescent="0.3">
      <c r="U446337" s="25"/>
    </row>
    <row r="446359" spans="21:21" x14ac:dyDescent="0.3">
      <c r="U446359" s="25"/>
    </row>
    <row r="446381" spans="21:21" x14ac:dyDescent="0.3">
      <c r="U446381" s="25"/>
    </row>
    <row r="446403" spans="21:21" x14ac:dyDescent="0.3">
      <c r="U446403" s="25"/>
    </row>
    <row r="446425" spans="21:21" x14ac:dyDescent="0.3">
      <c r="U446425" s="25"/>
    </row>
    <row r="446447" spans="21:21" x14ac:dyDescent="0.3">
      <c r="U446447" s="25"/>
    </row>
    <row r="446469" spans="21:21" x14ac:dyDescent="0.3">
      <c r="U446469" s="25"/>
    </row>
    <row r="446491" spans="21:21" x14ac:dyDescent="0.3">
      <c r="U446491" s="25"/>
    </row>
    <row r="446513" spans="21:21" x14ac:dyDescent="0.3">
      <c r="U446513" s="25"/>
    </row>
    <row r="446535" spans="21:21" x14ac:dyDescent="0.3">
      <c r="U446535" s="25"/>
    </row>
    <row r="446557" spans="21:21" x14ac:dyDescent="0.3">
      <c r="U446557" s="25"/>
    </row>
    <row r="446579" spans="21:21" x14ac:dyDescent="0.3">
      <c r="U446579" s="25"/>
    </row>
    <row r="446601" spans="21:21" x14ac:dyDescent="0.3">
      <c r="U446601" s="25"/>
    </row>
    <row r="446623" spans="21:21" x14ac:dyDescent="0.3">
      <c r="U446623" s="25"/>
    </row>
    <row r="446645" spans="21:21" x14ac:dyDescent="0.3">
      <c r="U446645" s="25"/>
    </row>
    <row r="446667" spans="21:21" x14ac:dyDescent="0.3">
      <c r="U446667" s="25"/>
    </row>
    <row r="446689" spans="21:21" x14ac:dyDescent="0.3">
      <c r="U446689" s="25"/>
    </row>
    <row r="446711" spans="21:21" x14ac:dyDescent="0.3">
      <c r="U446711" s="25"/>
    </row>
    <row r="446733" spans="21:21" x14ac:dyDescent="0.3">
      <c r="U446733" s="25"/>
    </row>
    <row r="446755" spans="21:21" x14ac:dyDescent="0.3">
      <c r="U446755" s="25"/>
    </row>
    <row r="446777" spans="21:21" x14ac:dyDescent="0.3">
      <c r="U446777" s="25"/>
    </row>
    <row r="446799" spans="21:21" x14ac:dyDescent="0.3">
      <c r="U446799" s="25"/>
    </row>
    <row r="446821" spans="21:21" x14ac:dyDescent="0.3">
      <c r="U446821" s="25"/>
    </row>
    <row r="446843" spans="21:21" x14ac:dyDescent="0.3">
      <c r="U446843" s="25"/>
    </row>
    <row r="446865" spans="21:21" x14ac:dyDescent="0.3">
      <c r="U446865" s="25"/>
    </row>
    <row r="446887" spans="21:21" x14ac:dyDescent="0.3">
      <c r="U446887" s="25"/>
    </row>
    <row r="446909" spans="21:21" x14ac:dyDescent="0.3">
      <c r="U446909" s="25"/>
    </row>
    <row r="446931" spans="21:21" x14ac:dyDescent="0.3">
      <c r="U446931" s="25"/>
    </row>
    <row r="446953" spans="21:21" x14ac:dyDescent="0.3">
      <c r="U446953" s="25"/>
    </row>
    <row r="446975" spans="21:21" x14ac:dyDescent="0.3">
      <c r="U446975" s="25"/>
    </row>
    <row r="446997" spans="21:21" x14ac:dyDescent="0.3">
      <c r="U446997" s="25"/>
    </row>
    <row r="447019" spans="21:21" x14ac:dyDescent="0.3">
      <c r="U447019" s="25"/>
    </row>
    <row r="447041" spans="21:21" x14ac:dyDescent="0.3">
      <c r="U447041" s="25"/>
    </row>
    <row r="447063" spans="21:21" x14ac:dyDescent="0.3">
      <c r="U447063" s="25"/>
    </row>
    <row r="447085" spans="21:21" x14ac:dyDescent="0.3">
      <c r="U447085" s="25"/>
    </row>
    <row r="447107" spans="21:21" x14ac:dyDescent="0.3">
      <c r="U447107" s="25"/>
    </row>
    <row r="447129" spans="21:21" x14ac:dyDescent="0.3">
      <c r="U447129" s="25"/>
    </row>
    <row r="447151" spans="21:21" x14ac:dyDescent="0.3">
      <c r="U447151" s="25"/>
    </row>
    <row r="447173" spans="21:21" x14ac:dyDescent="0.3">
      <c r="U447173" s="25"/>
    </row>
    <row r="447195" spans="21:21" x14ac:dyDescent="0.3">
      <c r="U447195" s="25"/>
    </row>
    <row r="447217" spans="21:21" x14ac:dyDescent="0.3">
      <c r="U447217" s="25"/>
    </row>
    <row r="447239" spans="21:21" x14ac:dyDescent="0.3">
      <c r="U447239" s="25"/>
    </row>
    <row r="447261" spans="21:21" x14ac:dyDescent="0.3">
      <c r="U447261" s="25"/>
    </row>
    <row r="447283" spans="21:21" x14ac:dyDescent="0.3">
      <c r="U447283" s="25"/>
    </row>
    <row r="447305" spans="21:21" x14ac:dyDescent="0.3">
      <c r="U447305" s="25"/>
    </row>
    <row r="447327" spans="21:21" x14ac:dyDescent="0.3">
      <c r="U447327" s="25"/>
    </row>
    <row r="447349" spans="21:21" x14ac:dyDescent="0.3">
      <c r="U447349" s="25"/>
    </row>
    <row r="447371" spans="21:21" x14ac:dyDescent="0.3">
      <c r="U447371" s="25"/>
    </row>
    <row r="447393" spans="21:21" x14ac:dyDescent="0.3">
      <c r="U447393" s="25"/>
    </row>
    <row r="447415" spans="21:21" x14ac:dyDescent="0.3">
      <c r="U447415" s="25"/>
    </row>
    <row r="447437" spans="21:21" x14ac:dyDescent="0.3">
      <c r="U447437" s="25"/>
    </row>
    <row r="447459" spans="21:21" x14ac:dyDescent="0.3">
      <c r="U447459" s="25"/>
    </row>
    <row r="447481" spans="21:21" x14ac:dyDescent="0.3">
      <c r="U447481" s="25"/>
    </row>
    <row r="447503" spans="21:21" x14ac:dyDescent="0.3">
      <c r="U447503" s="25"/>
    </row>
    <row r="447525" spans="21:21" x14ac:dyDescent="0.3">
      <c r="U447525" s="25"/>
    </row>
    <row r="447547" spans="21:21" x14ac:dyDescent="0.3">
      <c r="U447547" s="25"/>
    </row>
    <row r="447569" spans="21:21" x14ac:dyDescent="0.3">
      <c r="U447569" s="25"/>
    </row>
    <row r="447591" spans="21:21" x14ac:dyDescent="0.3">
      <c r="U447591" s="25"/>
    </row>
    <row r="447613" spans="21:21" x14ac:dyDescent="0.3">
      <c r="U447613" s="25"/>
    </row>
    <row r="447635" spans="21:21" x14ac:dyDescent="0.3">
      <c r="U447635" s="25"/>
    </row>
    <row r="447657" spans="21:21" x14ac:dyDescent="0.3">
      <c r="U447657" s="25"/>
    </row>
    <row r="447679" spans="21:21" x14ac:dyDescent="0.3">
      <c r="U447679" s="25"/>
    </row>
    <row r="447701" spans="21:21" x14ac:dyDescent="0.3">
      <c r="U447701" s="25"/>
    </row>
    <row r="447723" spans="21:21" x14ac:dyDescent="0.3">
      <c r="U447723" s="25"/>
    </row>
    <row r="447745" spans="21:21" x14ac:dyDescent="0.3">
      <c r="U447745" s="25"/>
    </row>
    <row r="447767" spans="21:21" x14ac:dyDescent="0.3">
      <c r="U447767" s="25"/>
    </row>
    <row r="447789" spans="21:21" x14ac:dyDescent="0.3">
      <c r="U447789" s="25"/>
    </row>
    <row r="447811" spans="21:21" x14ac:dyDescent="0.3">
      <c r="U447811" s="25"/>
    </row>
    <row r="447833" spans="21:21" x14ac:dyDescent="0.3">
      <c r="U447833" s="25"/>
    </row>
    <row r="447855" spans="21:21" x14ac:dyDescent="0.3">
      <c r="U447855" s="25"/>
    </row>
    <row r="447877" spans="21:21" x14ac:dyDescent="0.3">
      <c r="U447877" s="25"/>
    </row>
    <row r="447899" spans="21:21" x14ac:dyDescent="0.3">
      <c r="U447899" s="25"/>
    </row>
    <row r="447921" spans="21:21" x14ac:dyDescent="0.3">
      <c r="U447921" s="25"/>
    </row>
    <row r="447943" spans="21:21" x14ac:dyDescent="0.3">
      <c r="U447943" s="25"/>
    </row>
    <row r="447965" spans="21:21" x14ac:dyDescent="0.3">
      <c r="U447965" s="25"/>
    </row>
    <row r="447987" spans="21:21" x14ac:dyDescent="0.3">
      <c r="U447987" s="25"/>
    </row>
    <row r="448009" spans="21:21" x14ac:dyDescent="0.3">
      <c r="U448009" s="25"/>
    </row>
    <row r="448031" spans="21:21" x14ac:dyDescent="0.3">
      <c r="U448031" s="25"/>
    </row>
    <row r="448053" spans="21:21" x14ac:dyDescent="0.3">
      <c r="U448053" s="25"/>
    </row>
    <row r="448075" spans="21:21" x14ac:dyDescent="0.3">
      <c r="U448075" s="25"/>
    </row>
    <row r="448097" spans="21:21" x14ac:dyDescent="0.3">
      <c r="U448097" s="25"/>
    </row>
    <row r="448119" spans="21:21" x14ac:dyDescent="0.3">
      <c r="U448119" s="25"/>
    </row>
    <row r="448141" spans="21:21" x14ac:dyDescent="0.3">
      <c r="U448141" s="25"/>
    </row>
    <row r="448163" spans="21:21" x14ac:dyDescent="0.3">
      <c r="U448163" s="25"/>
    </row>
    <row r="448185" spans="21:21" x14ac:dyDescent="0.3">
      <c r="U448185" s="25"/>
    </row>
    <row r="448207" spans="21:21" x14ac:dyDescent="0.3">
      <c r="U448207" s="25"/>
    </row>
    <row r="448229" spans="21:21" x14ac:dyDescent="0.3">
      <c r="U448229" s="25"/>
    </row>
    <row r="448251" spans="21:21" x14ac:dyDescent="0.3">
      <c r="U448251" s="25"/>
    </row>
    <row r="448273" spans="21:21" x14ac:dyDescent="0.3">
      <c r="U448273" s="25"/>
    </row>
    <row r="448295" spans="21:21" x14ac:dyDescent="0.3">
      <c r="U448295" s="25"/>
    </row>
    <row r="448317" spans="21:21" x14ac:dyDescent="0.3">
      <c r="U448317" s="25"/>
    </row>
    <row r="448339" spans="21:21" x14ac:dyDescent="0.3">
      <c r="U448339" s="25"/>
    </row>
    <row r="448361" spans="21:21" x14ac:dyDescent="0.3">
      <c r="U448361" s="25"/>
    </row>
    <row r="448383" spans="21:21" x14ac:dyDescent="0.3">
      <c r="U448383" s="25"/>
    </row>
    <row r="448405" spans="21:21" x14ac:dyDescent="0.3">
      <c r="U448405" s="25"/>
    </row>
    <row r="448427" spans="21:21" x14ac:dyDescent="0.3">
      <c r="U448427" s="25"/>
    </row>
    <row r="448449" spans="21:21" x14ac:dyDescent="0.3">
      <c r="U448449" s="25"/>
    </row>
    <row r="448471" spans="21:21" x14ac:dyDescent="0.3">
      <c r="U448471" s="25"/>
    </row>
    <row r="448493" spans="21:21" x14ac:dyDescent="0.3">
      <c r="U448493" s="25"/>
    </row>
    <row r="448515" spans="21:21" x14ac:dyDescent="0.3">
      <c r="U448515" s="25"/>
    </row>
    <row r="448537" spans="21:21" x14ac:dyDescent="0.3">
      <c r="U448537" s="25"/>
    </row>
    <row r="448559" spans="21:21" x14ac:dyDescent="0.3">
      <c r="U448559" s="25"/>
    </row>
    <row r="448581" spans="21:21" x14ac:dyDescent="0.3">
      <c r="U448581" s="25"/>
    </row>
    <row r="448603" spans="21:21" x14ac:dyDescent="0.3">
      <c r="U448603" s="25"/>
    </row>
    <row r="448625" spans="21:21" x14ac:dyDescent="0.3">
      <c r="U448625" s="25"/>
    </row>
    <row r="448647" spans="21:21" x14ac:dyDescent="0.3">
      <c r="U448647" s="25"/>
    </row>
    <row r="448669" spans="21:21" x14ac:dyDescent="0.3">
      <c r="U448669" s="25"/>
    </row>
    <row r="448691" spans="21:21" x14ac:dyDescent="0.3">
      <c r="U448691" s="25"/>
    </row>
    <row r="448713" spans="21:21" x14ac:dyDescent="0.3">
      <c r="U448713" s="25"/>
    </row>
    <row r="448735" spans="21:21" x14ac:dyDescent="0.3">
      <c r="U448735" s="25"/>
    </row>
    <row r="448757" spans="21:21" x14ac:dyDescent="0.3">
      <c r="U448757" s="25"/>
    </row>
    <row r="448779" spans="21:21" x14ac:dyDescent="0.3">
      <c r="U448779" s="25"/>
    </row>
    <row r="448801" spans="21:21" x14ac:dyDescent="0.3">
      <c r="U448801" s="25"/>
    </row>
    <row r="448823" spans="21:21" x14ac:dyDescent="0.3">
      <c r="U448823" s="25"/>
    </row>
    <row r="448845" spans="21:21" x14ac:dyDescent="0.3">
      <c r="U448845" s="25"/>
    </row>
    <row r="448867" spans="21:21" x14ac:dyDescent="0.3">
      <c r="U448867" s="25"/>
    </row>
    <row r="448889" spans="21:21" x14ac:dyDescent="0.3">
      <c r="U448889" s="25"/>
    </row>
    <row r="448911" spans="21:21" x14ac:dyDescent="0.3">
      <c r="U448911" s="25"/>
    </row>
    <row r="448933" spans="21:21" x14ac:dyDescent="0.3">
      <c r="U448933" s="25"/>
    </row>
    <row r="448955" spans="21:21" x14ac:dyDescent="0.3">
      <c r="U448955" s="25"/>
    </row>
    <row r="448977" spans="21:21" x14ac:dyDescent="0.3">
      <c r="U448977" s="25"/>
    </row>
    <row r="448999" spans="21:21" x14ac:dyDescent="0.3">
      <c r="U448999" s="25"/>
    </row>
    <row r="449021" spans="21:21" x14ac:dyDescent="0.3">
      <c r="U449021" s="25"/>
    </row>
    <row r="449043" spans="21:21" x14ac:dyDescent="0.3">
      <c r="U449043" s="25"/>
    </row>
    <row r="449065" spans="21:21" x14ac:dyDescent="0.3">
      <c r="U449065" s="25"/>
    </row>
    <row r="449087" spans="21:21" x14ac:dyDescent="0.3">
      <c r="U449087" s="25"/>
    </row>
    <row r="449109" spans="21:21" x14ac:dyDescent="0.3">
      <c r="U449109" s="25"/>
    </row>
    <row r="449131" spans="21:21" x14ac:dyDescent="0.3">
      <c r="U449131" s="25"/>
    </row>
    <row r="449153" spans="21:21" x14ac:dyDescent="0.3">
      <c r="U449153" s="25"/>
    </row>
    <row r="449175" spans="21:21" x14ac:dyDescent="0.3">
      <c r="U449175" s="25"/>
    </row>
    <row r="449197" spans="21:21" x14ac:dyDescent="0.3">
      <c r="U449197" s="25"/>
    </row>
    <row r="449219" spans="21:21" x14ac:dyDescent="0.3">
      <c r="U449219" s="25"/>
    </row>
    <row r="449241" spans="21:21" x14ac:dyDescent="0.3">
      <c r="U449241" s="25"/>
    </row>
    <row r="449263" spans="21:21" x14ac:dyDescent="0.3">
      <c r="U449263" s="25"/>
    </row>
    <row r="449285" spans="21:21" x14ac:dyDescent="0.3">
      <c r="U449285" s="25"/>
    </row>
    <row r="449307" spans="21:21" x14ac:dyDescent="0.3">
      <c r="U449307" s="25"/>
    </row>
    <row r="449329" spans="21:21" x14ac:dyDescent="0.3">
      <c r="U449329" s="25"/>
    </row>
    <row r="449351" spans="21:21" x14ac:dyDescent="0.3">
      <c r="U449351" s="25"/>
    </row>
    <row r="449373" spans="21:21" x14ac:dyDescent="0.3">
      <c r="U449373" s="25"/>
    </row>
    <row r="449395" spans="21:21" x14ac:dyDescent="0.3">
      <c r="U449395" s="25"/>
    </row>
    <row r="449417" spans="21:21" x14ac:dyDescent="0.3">
      <c r="U449417" s="25"/>
    </row>
    <row r="449439" spans="21:21" x14ac:dyDescent="0.3">
      <c r="U449439" s="25"/>
    </row>
    <row r="449461" spans="21:21" x14ac:dyDescent="0.3">
      <c r="U449461" s="25"/>
    </row>
    <row r="449483" spans="21:21" x14ac:dyDescent="0.3">
      <c r="U449483" s="25"/>
    </row>
    <row r="449505" spans="21:21" x14ac:dyDescent="0.3">
      <c r="U449505" s="25"/>
    </row>
    <row r="449527" spans="21:21" x14ac:dyDescent="0.3">
      <c r="U449527" s="25"/>
    </row>
    <row r="449549" spans="21:21" x14ac:dyDescent="0.3">
      <c r="U449549" s="25"/>
    </row>
    <row r="449571" spans="21:21" x14ac:dyDescent="0.3">
      <c r="U449571" s="25"/>
    </row>
    <row r="449593" spans="21:21" x14ac:dyDescent="0.3">
      <c r="U449593" s="25"/>
    </row>
    <row r="449615" spans="21:21" x14ac:dyDescent="0.3">
      <c r="U449615" s="25"/>
    </row>
    <row r="449637" spans="21:21" x14ac:dyDescent="0.3">
      <c r="U449637" s="25"/>
    </row>
    <row r="449659" spans="21:21" x14ac:dyDescent="0.3">
      <c r="U449659" s="25"/>
    </row>
    <row r="449681" spans="21:21" x14ac:dyDescent="0.3">
      <c r="U449681" s="25"/>
    </row>
    <row r="449703" spans="21:21" x14ac:dyDescent="0.3">
      <c r="U449703" s="25"/>
    </row>
    <row r="449725" spans="21:21" x14ac:dyDescent="0.3">
      <c r="U449725" s="25"/>
    </row>
    <row r="449747" spans="21:21" x14ac:dyDescent="0.3">
      <c r="U449747" s="25"/>
    </row>
    <row r="449769" spans="21:21" x14ac:dyDescent="0.3">
      <c r="U449769" s="25"/>
    </row>
    <row r="449791" spans="21:21" x14ac:dyDescent="0.3">
      <c r="U449791" s="25"/>
    </row>
    <row r="449813" spans="21:21" x14ac:dyDescent="0.3">
      <c r="U449813" s="25"/>
    </row>
    <row r="449835" spans="21:21" x14ac:dyDescent="0.3">
      <c r="U449835" s="25"/>
    </row>
    <row r="449857" spans="21:21" x14ac:dyDescent="0.3">
      <c r="U449857" s="25"/>
    </row>
    <row r="449879" spans="21:21" x14ac:dyDescent="0.3">
      <c r="U449879" s="25"/>
    </row>
    <row r="449901" spans="21:21" x14ac:dyDescent="0.3">
      <c r="U449901" s="25"/>
    </row>
    <row r="449923" spans="21:21" x14ac:dyDescent="0.3">
      <c r="U449923" s="25"/>
    </row>
    <row r="449945" spans="21:21" x14ac:dyDescent="0.3">
      <c r="U449945" s="25"/>
    </row>
    <row r="449967" spans="21:21" x14ac:dyDescent="0.3">
      <c r="U449967" s="25"/>
    </row>
    <row r="449989" spans="21:21" x14ac:dyDescent="0.3">
      <c r="U449989" s="25"/>
    </row>
    <row r="450011" spans="21:21" x14ac:dyDescent="0.3">
      <c r="U450011" s="25"/>
    </row>
    <row r="450033" spans="21:21" x14ac:dyDescent="0.3">
      <c r="U450033" s="25"/>
    </row>
    <row r="450055" spans="21:21" x14ac:dyDescent="0.3">
      <c r="U450055" s="25"/>
    </row>
    <row r="450077" spans="21:21" x14ac:dyDescent="0.3">
      <c r="U450077" s="25"/>
    </row>
    <row r="450099" spans="21:21" x14ac:dyDescent="0.3">
      <c r="U450099" s="25"/>
    </row>
    <row r="450121" spans="21:21" x14ac:dyDescent="0.3">
      <c r="U450121" s="25"/>
    </row>
    <row r="450143" spans="21:21" x14ac:dyDescent="0.3">
      <c r="U450143" s="25"/>
    </row>
    <row r="450165" spans="21:21" x14ac:dyDescent="0.3">
      <c r="U450165" s="25"/>
    </row>
    <row r="450187" spans="21:21" x14ac:dyDescent="0.3">
      <c r="U450187" s="25"/>
    </row>
    <row r="450209" spans="21:21" x14ac:dyDescent="0.3">
      <c r="U450209" s="25"/>
    </row>
    <row r="450231" spans="21:21" x14ac:dyDescent="0.3">
      <c r="U450231" s="25"/>
    </row>
    <row r="450253" spans="21:21" x14ac:dyDescent="0.3">
      <c r="U450253" s="25"/>
    </row>
    <row r="450275" spans="21:21" x14ac:dyDescent="0.3">
      <c r="U450275" s="25"/>
    </row>
    <row r="450297" spans="21:21" x14ac:dyDescent="0.3">
      <c r="U450297" s="25"/>
    </row>
    <row r="450319" spans="21:21" x14ac:dyDescent="0.3">
      <c r="U450319" s="25"/>
    </row>
    <row r="450341" spans="21:21" x14ac:dyDescent="0.3">
      <c r="U450341" s="25"/>
    </row>
    <row r="450363" spans="21:21" x14ac:dyDescent="0.3">
      <c r="U450363" s="25"/>
    </row>
    <row r="450385" spans="21:21" x14ac:dyDescent="0.3">
      <c r="U450385" s="25"/>
    </row>
    <row r="450407" spans="21:21" x14ac:dyDescent="0.3">
      <c r="U450407" s="25"/>
    </row>
    <row r="450429" spans="21:21" x14ac:dyDescent="0.3">
      <c r="U450429" s="25"/>
    </row>
    <row r="450451" spans="21:21" x14ac:dyDescent="0.3">
      <c r="U450451" s="25"/>
    </row>
    <row r="450473" spans="21:21" x14ac:dyDescent="0.3">
      <c r="U450473" s="25"/>
    </row>
    <row r="450495" spans="21:21" x14ac:dyDescent="0.3">
      <c r="U450495" s="25"/>
    </row>
    <row r="450517" spans="21:21" x14ac:dyDescent="0.3">
      <c r="U450517" s="25"/>
    </row>
    <row r="450539" spans="21:21" x14ac:dyDescent="0.3">
      <c r="U450539" s="25"/>
    </row>
    <row r="450561" spans="21:21" x14ac:dyDescent="0.3">
      <c r="U450561" s="25"/>
    </row>
    <row r="450583" spans="21:21" x14ac:dyDescent="0.3">
      <c r="U450583" s="25"/>
    </row>
    <row r="450605" spans="21:21" x14ac:dyDescent="0.3">
      <c r="U450605" s="25"/>
    </row>
    <row r="450627" spans="21:21" x14ac:dyDescent="0.3">
      <c r="U450627" s="25"/>
    </row>
    <row r="450649" spans="21:21" x14ac:dyDescent="0.3">
      <c r="U450649" s="25"/>
    </row>
    <row r="450671" spans="21:21" x14ac:dyDescent="0.3">
      <c r="U450671" s="25"/>
    </row>
    <row r="450693" spans="21:21" x14ac:dyDescent="0.3">
      <c r="U450693" s="25"/>
    </row>
    <row r="450715" spans="21:21" x14ac:dyDescent="0.3">
      <c r="U450715" s="25"/>
    </row>
    <row r="450737" spans="21:21" x14ac:dyDescent="0.3">
      <c r="U450737" s="25"/>
    </row>
    <row r="450759" spans="21:21" x14ac:dyDescent="0.3">
      <c r="U450759" s="25"/>
    </row>
    <row r="450781" spans="21:21" x14ac:dyDescent="0.3">
      <c r="U450781" s="25"/>
    </row>
    <row r="450803" spans="21:21" x14ac:dyDescent="0.3">
      <c r="U450803" s="25"/>
    </row>
    <row r="450825" spans="21:21" x14ac:dyDescent="0.3">
      <c r="U450825" s="25"/>
    </row>
    <row r="450847" spans="21:21" x14ac:dyDescent="0.3">
      <c r="U450847" s="25"/>
    </row>
    <row r="450869" spans="21:21" x14ac:dyDescent="0.3">
      <c r="U450869" s="25"/>
    </row>
    <row r="450891" spans="21:21" x14ac:dyDescent="0.3">
      <c r="U450891" s="25"/>
    </row>
    <row r="450913" spans="21:21" x14ac:dyDescent="0.3">
      <c r="U450913" s="25"/>
    </row>
    <row r="450935" spans="21:21" x14ac:dyDescent="0.3">
      <c r="U450935" s="25"/>
    </row>
    <row r="450957" spans="21:21" x14ac:dyDescent="0.3">
      <c r="U450957" s="25"/>
    </row>
    <row r="450979" spans="21:21" x14ac:dyDescent="0.3">
      <c r="U450979" s="25"/>
    </row>
    <row r="451001" spans="21:21" x14ac:dyDescent="0.3">
      <c r="U451001" s="25"/>
    </row>
    <row r="451023" spans="21:21" x14ac:dyDescent="0.3">
      <c r="U451023" s="25"/>
    </row>
    <row r="451045" spans="21:21" x14ac:dyDescent="0.3">
      <c r="U451045" s="25"/>
    </row>
    <row r="451067" spans="21:21" x14ac:dyDescent="0.3">
      <c r="U451067" s="25"/>
    </row>
    <row r="451089" spans="21:21" x14ac:dyDescent="0.3">
      <c r="U451089" s="25"/>
    </row>
    <row r="451111" spans="21:21" x14ac:dyDescent="0.3">
      <c r="U451111" s="25"/>
    </row>
    <row r="451133" spans="21:21" x14ac:dyDescent="0.3">
      <c r="U451133" s="25"/>
    </row>
    <row r="451155" spans="21:21" x14ac:dyDescent="0.3">
      <c r="U451155" s="25"/>
    </row>
    <row r="451177" spans="21:21" x14ac:dyDescent="0.3">
      <c r="U451177" s="25"/>
    </row>
    <row r="451199" spans="21:21" x14ac:dyDescent="0.3">
      <c r="U451199" s="25"/>
    </row>
    <row r="451221" spans="21:21" x14ac:dyDescent="0.3">
      <c r="U451221" s="25"/>
    </row>
    <row r="451243" spans="21:21" x14ac:dyDescent="0.3">
      <c r="U451243" s="25"/>
    </row>
    <row r="451265" spans="21:21" x14ac:dyDescent="0.3">
      <c r="U451265" s="25"/>
    </row>
    <row r="451287" spans="21:21" x14ac:dyDescent="0.3">
      <c r="U451287" s="25"/>
    </row>
    <row r="451309" spans="21:21" x14ac:dyDescent="0.3">
      <c r="U451309" s="25"/>
    </row>
    <row r="451331" spans="21:21" x14ac:dyDescent="0.3">
      <c r="U451331" s="25"/>
    </row>
    <row r="451353" spans="21:21" x14ac:dyDescent="0.3">
      <c r="U451353" s="25"/>
    </row>
    <row r="451375" spans="21:21" x14ac:dyDescent="0.3">
      <c r="U451375" s="25"/>
    </row>
    <row r="451397" spans="21:21" x14ac:dyDescent="0.3">
      <c r="U451397" s="25"/>
    </row>
    <row r="451419" spans="21:21" x14ac:dyDescent="0.3">
      <c r="U451419" s="25"/>
    </row>
    <row r="451441" spans="21:21" x14ac:dyDescent="0.3">
      <c r="U451441" s="25"/>
    </row>
    <row r="451463" spans="21:21" x14ac:dyDescent="0.3">
      <c r="U451463" s="25"/>
    </row>
    <row r="451485" spans="21:21" x14ac:dyDescent="0.3">
      <c r="U451485" s="25"/>
    </row>
    <row r="451507" spans="21:21" x14ac:dyDescent="0.3">
      <c r="U451507" s="25"/>
    </row>
    <row r="451529" spans="21:21" x14ac:dyDescent="0.3">
      <c r="U451529" s="25"/>
    </row>
    <row r="451551" spans="21:21" x14ac:dyDescent="0.3">
      <c r="U451551" s="25"/>
    </row>
    <row r="451573" spans="21:21" x14ac:dyDescent="0.3">
      <c r="U451573" s="25"/>
    </row>
    <row r="451595" spans="21:21" x14ac:dyDescent="0.3">
      <c r="U451595" s="25"/>
    </row>
    <row r="451617" spans="21:21" x14ac:dyDescent="0.3">
      <c r="U451617" s="25"/>
    </row>
    <row r="451639" spans="21:21" x14ac:dyDescent="0.3">
      <c r="U451639" s="25"/>
    </row>
    <row r="451661" spans="21:21" x14ac:dyDescent="0.3">
      <c r="U451661" s="25"/>
    </row>
    <row r="451683" spans="21:21" x14ac:dyDescent="0.3">
      <c r="U451683" s="25"/>
    </row>
    <row r="451705" spans="21:21" x14ac:dyDescent="0.3">
      <c r="U451705" s="25"/>
    </row>
    <row r="451727" spans="21:21" x14ac:dyDescent="0.3">
      <c r="U451727" s="25"/>
    </row>
    <row r="451749" spans="21:21" x14ac:dyDescent="0.3">
      <c r="U451749" s="25"/>
    </row>
    <row r="451771" spans="21:21" x14ac:dyDescent="0.3">
      <c r="U451771" s="25"/>
    </row>
    <row r="451793" spans="21:21" x14ac:dyDescent="0.3">
      <c r="U451793" s="25"/>
    </row>
    <row r="451815" spans="21:21" x14ac:dyDescent="0.3">
      <c r="U451815" s="25"/>
    </row>
    <row r="451837" spans="21:21" x14ac:dyDescent="0.3">
      <c r="U451837" s="25"/>
    </row>
    <row r="451859" spans="21:21" x14ac:dyDescent="0.3">
      <c r="U451859" s="25"/>
    </row>
    <row r="451881" spans="21:21" x14ac:dyDescent="0.3">
      <c r="U451881" s="25"/>
    </row>
    <row r="451903" spans="21:21" x14ac:dyDescent="0.3">
      <c r="U451903" s="25"/>
    </row>
    <row r="451925" spans="21:21" x14ac:dyDescent="0.3">
      <c r="U451925" s="25"/>
    </row>
    <row r="451947" spans="21:21" x14ac:dyDescent="0.3">
      <c r="U451947" s="25"/>
    </row>
    <row r="451969" spans="21:21" x14ac:dyDescent="0.3">
      <c r="U451969" s="25"/>
    </row>
    <row r="451991" spans="21:21" x14ac:dyDescent="0.3">
      <c r="U451991" s="25"/>
    </row>
    <row r="452013" spans="21:21" x14ac:dyDescent="0.3">
      <c r="U452013" s="25"/>
    </row>
    <row r="452035" spans="21:21" x14ac:dyDescent="0.3">
      <c r="U452035" s="25"/>
    </row>
    <row r="452057" spans="21:21" x14ac:dyDescent="0.3">
      <c r="U452057" s="25"/>
    </row>
    <row r="452079" spans="21:21" x14ac:dyDescent="0.3">
      <c r="U452079" s="25"/>
    </row>
    <row r="452101" spans="21:21" x14ac:dyDescent="0.3">
      <c r="U452101" s="25"/>
    </row>
    <row r="452123" spans="21:21" x14ac:dyDescent="0.3">
      <c r="U452123" s="25"/>
    </row>
    <row r="452145" spans="21:21" x14ac:dyDescent="0.3">
      <c r="U452145" s="25"/>
    </row>
    <row r="452167" spans="21:21" x14ac:dyDescent="0.3">
      <c r="U452167" s="25"/>
    </row>
    <row r="452189" spans="21:21" x14ac:dyDescent="0.3">
      <c r="U452189" s="25"/>
    </row>
    <row r="452211" spans="21:21" x14ac:dyDescent="0.3">
      <c r="U452211" s="25"/>
    </row>
    <row r="452233" spans="21:21" x14ac:dyDescent="0.3">
      <c r="U452233" s="25"/>
    </row>
    <row r="452255" spans="21:21" x14ac:dyDescent="0.3">
      <c r="U452255" s="25"/>
    </row>
    <row r="452277" spans="21:21" x14ac:dyDescent="0.3">
      <c r="U452277" s="25"/>
    </row>
    <row r="452299" spans="21:21" x14ac:dyDescent="0.3">
      <c r="U452299" s="25"/>
    </row>
    <row r="452321" spans="21:21" x14ac:dyDescent="0.3">
      <c r="U452321" s="25"/>
    </row>
    <row r="452343" spans="21:21" x14ac:dyDescent="0.3">
      <c r="U452343" s="25"/>
    </row>
    <row r="452365" spans="21:21" x14ac:dyDescent="0.3">
      <c r="U452365" s="25"/>
    </row>
    <row r="452387" spans="21:21" x14ac:dyDescent="0.3">
      <c r="U452387" s="25"/>
    </row>
    <row r="452409" spans="21:21" x14ac:dyDescent="0.3">
      <c r="U452409" s="25"/>
    </row>
    <row r="452431" spans="21:21" x14ac:dyDescent="0.3">
      <c r="U452431" s="25"/>
    </row>
    <row r="452453" spans="21:21" x14ac:dyDescent="0.3">
      <c r="U452453" s="25"/>
    </row>
    <row r="452475" spans="21:21" x14ac:dyDescent="0.3">
      <c r="U452475" s="25"/>
    </row>
    <row r="452497" spans="21:21" x14ac:dyDescent="0.3">
      <c r="U452497" s="25"/>
    </row>
    <row r="452519" spans="21:21" x14ac:dyDescent="0.3">
      <c r="U452519" s="25"/>
    </row>
    <row r="452541" spans="21:21" x14ac:dyDescent="0.3">
      <c r="U452541" s="25"/>
    </row>
    <row r="452563" spans="21:21" x14ac:dyDescent="0.3">
      <c r="U452563" s="25"/>
    </row>
    <row r="452585" spans="21:21" x14ac:dyDescent="0.3">
      <c r="U452585" s="25"/>
    </row>
    <row r="452607" spans="21:21" x14ac:dyDescent="0.3">
      <c r="U452607" s="25"/>
    </row>
    <row r="452629" spans="21:21" x14ac:dyDescent="0.3">
      <c r="U452629" s="25"/>
    </row>
    <row r="452651" spans="21:21" x14ac:dyDescent="0.3">
      <c r="U452651" s="25"/>
    </row>
    <row r="452673" spans="21:21" x14ac:dyDescent="0.3">
      <c r="U452673" s="25"/>
    </row>
    <row r="452695" spans="21:21" x14ac:dyDescent="0.3">
      <c r="U452695" s="25"/>
    </row>
    <row r="452717" spans="21:21" x14ac:dyDescent="0.3">
      <c r="U452717" s="25"/>
    </row>
    <row r="452739" spans="21:21" x14ac:dyDescent="0.3">
      <c r="U452739" s="25"/>
    </row>
    <row r="452761" spans="21:21" x14ac:dyDescent="0.3">
      <c r="U452761" s="25"/>
    </row>
    <row r="452783" spans="21:21" x14ac:dyDescent="0.3">
      <c r="U452783" s="25"/>
    </row>
    <row r="452805" spans="21:21" x14ac:dyDescent="0.3">
      <c r="U452805" s="25"/>
    </row>
    <row r="452827" spans="21:21" x14ac:dyDescent="0.3">
      <c r="U452827" s="25"/>
    </row>
    <row r="452849" spans="21:21" x14ac:dyDescent="0.3">
      <c r="U452849" s="25"/>
    </row>
    <row r="452871" spans="21:21" x14ac:dyDescent="0.3">
      <c r="U452871" s="25"/>
    </row>
    <row r="452893" spans="21:21" x14ac:dyDescent="0.3">
      <c r="U452893" s="25"/>
    </row>
    <row r="452915" spans="21:21" x14ac:dyDescent="0.3">
      <c r="U452915" s="25"/>
    </row>
    <row r="452937" spans="21:21" x14ac:dyDescent="0.3">
      <c r="U452937" s="25"/>
    </row>
    <row r="452959" spans="21:21" x14ac:dyDescent="0.3">
      <c r="U452959" s="25"/>
    </row>
    <row r="452981" spans="21:21" x14ac:dyDescent="0.3">
      <c r="U452981" s="25"/>
    </row>
    <row r="453003" spans="21:21" x14ac:dyDescent="0.3">
      <c r="U453003" s="25"/>
    </row>
    <row r="453025" spans="21:21" x14ac:dyDescent="0.3">
      <c r="U453025" s="25"/>
    </row>
    <row r="453047" spans="21:21" x14ac:dyDescent="0.3">
      <c r="U453047" s="25"/>
    </row>
    <row r="453069" spans="21:21" x14ac:dyDescent="0.3">
      <c r="U453069" s="25"/>
    </row>
    <row r="453091" spans="21:21" x14ac:dyDescent="0.3">
      <c r="U453091" s="25"/>
    </row>
    <row r="453113" spans="21:21" x14ac:dyDescent="0.3">
      <c r="U453113" s="25"/>
    </row>
    <row r="453135" spans="21:21" x14ac:dyDescent="0.3">
      <c r="U453135" s="25"/>
    </row>
    <row r="453157" spans="21:21" x14ac:dyDescent="0.3">
      <c r="U453157" s="25"/>
    </row>
    <row r="453179" spans="21:21" x14ac:dyDescent="0.3">
      <c r="U453179" s="25"/>
    </row>
    <row r="453201" spans="21:21" x14ac:dyDescent="0.3">
      <c r="U453201" s="25"/>
    </row>
    <row r="453223" spans="21:21" x14ac:dyDescent="0.3">
      <c r="U453223" s="25"/>
    </row>
    <row r="453245" spans="21:21" x14ac:dyDescent="0.3">
      <c r="U453245" s="25"/>
    </row>
    <row r="453267" spans="21:21" x14ac:dyDescent="0.3">
      <c r="U453267" s="25"/>
    </row>
    <row r="453289" spans="21:21" x14ac:dyDescent="0.3">
      <c r="U453289" s="25"/>
    </row>
    <row r="453311" spans="21:21" x14ac:dyDescent="0.3">
      <c r="U453311" s="25"/>
    </row>
    <row r="453333" spans="21:21" x14ac:dyDescent="0.3">
      <c r="U453333" s="25"/>
    </row>
    <row r="453355" spans="21:21" x14ac:dyDescent="0.3">
      <c r="U453355" s="25"/>
    </row>
    <row r="453377" spans="21:21" x14ac:dyDescent="0.3">
      <c r="U453377" s="25"/>
    </row>
    <row r="453399" spans="21:21" x14ac:dyDescent="0.3">
      <c r="U453399" s="25"/>
    </row>
    <row r="453421" spans="21:21" x14ac:dyDescent="0.3">
      <c r="U453421" s="25"/>
    </row>
    <row r="453443" spans="21:21" x14ac:dyDescent="0.3">
      <c r="U453443" s="25"/>
    </row>
    <row r="453465" spans="21:21" x14ac:dyDescent="0.3">
      <c r="U453465" s="25"/>
    </row>
    <row r="453487" spans="21:21" x14ac:dyDescent="0.3">
      <c r="U453487" s="25"/>
    </row>
    <row r="453509" spans="21:21" x14ac:dyDescent="0.3">
      <c r="U453509" s="25"/>
    </row>
    <row r="453531" spans="21:21" x14ac:dyDescent="0.3">
      <c r="U453531" s="25"/>
    </row>
    <row r="453553" spans="21:21" x14ac:dyDescent="0.3">
      <c r="U453553" s="25"/>
    </row>
    <row r="453575" spans="21:21" x14ac:dyDescent="0.3">
      <c r="U453575" s="25"/>
    </row>
    <row r="453597" spans="21:21" x14ac:dyDescent="0.3">
      <c r="U453597" s="25"/>
    </row>
    <row r="453619" spans="21:21" x14ac:dyDescent="0.3">
      <c r="U453619" s="25"/>
    </row>
    <row r="453641" spans="21:21" x14ac:dyDescent="0.3">
      <c r="U453641" s="25"/>
    </row>
    <row r="453663" spans="21:21" x14ac:dyDescent="0.3">
      <c r="U453663" s="25"/>
    </row>
    <row r="453685" spans="21:21" x14ac:dyDescent="0.3">
      <c r="U453685" s="25"/>
    </row>
    <row r="453707" spans="21:21" x14ac:dyDescent="0.3">
      <c r="U453707" s="25"/>
    </row>
    <row r="453729" spans="21:21" x14ac:dyDescent="0.3">
      <c r="U453729" s="25"/>
    </row>
    <row r="453751" spans="21:21" x14ac:dyDescent="0.3">
      <c r="U453751" s="25"/>
    </row>
    <row r="453773" spans="21:21" x14ac:dyDescent="0.3">
      <c r="U453773" s="25"/>
    </row>
    <row r="453795" spans="21:21" x14ac:dyDescent="0.3">
      <c r="U453795" s="25"/>
    </row>
    <row r="453817" spans="21:21" x14ac:dyDescent="0.3">
      <c r="U453817" s="25"/>
    </row>
    <row r="453839" spans="21:21" x14ac:dyDescent="0.3">
      <c r="U453839" s="25"/>
    </row>
    <row r="453861" spans="21:21" x14ac:dyDescent="0.3">
      <c r="U453861" s="25"/>
    </row>
    <row r="453883" spans="21:21" x14ac:dyDescent="0.3">
      <c r="U453883" s="25"/>
    </row>
    <row r="453905" spans="21:21" x14ac:dyDescent="0.3">
      <c r="U453905" s="25"/>
    </row>
    <row r="453927" spans="21:21" x14ac:dyDescent="0.3">
      <c r="U453927" s="25"/>
    </row>
    <row r="453949" spans="21:21" x14ac:dyDescent="0.3">
      <c r="U453949" s="25"/>
    </row>
    <row r="453971" spans="21:21" x14ac:dyDescent="0.3">
      <c r="U453971" s="25"/>
    </row>
    <row r="453993" spans="21:21" x14ac:dyDescent="0.3">
      <c r="U453993" s="25"/>
    </row>
    <row r="454015" spans="21:21" x14ac:dyDescent="0.3">
      <c r="U454015" s="25"/>
    </row>
    <row r="454037" spans="21:21" x14ac:dyDescent="0.3">
      <c r="U454037" s="25"/>
    </row>
    <row r="454059" spans="21:21" x14ac:dyDescent="0.3">
      <c r="U454059" s="25"/>
    </row>
    <row r="454081" spans="21:21" x14ac:dyDescent="0.3">
      <c r="U454081" s="25"/>
    </row>
    <row r="454103" spans="21:21" x14ac:dyDescent="0.3">
      <c r="U454103" s="25"/>
    </row>
    <row r="454125" spans="21:21" x14ac:dyDescent="0.3">
      <c r="U454125" s="25"/>
    </row>
    <row r="454147" spans="21:21" x14ac:dyDescent="0.3">
      <c r="U454147" s="25"/>
    </row>
    <row r="454169" spans="21:21" x14ac:dyDescent="0.3">
      <c r="U454169" s="25"/>
    </row>
    <row r="454191" spans="21:21" x14ac:dyDescent="0.3">
      <c r="U454191" s="25"/>
    </row>
    <row r="454213" spans="21:21" x14ac:dyDescent="0.3">
      <c r="U454213" s="25"/>
    </row>
    <row r="454235" spans="21:21" x14ac:dyDescent="0.3">
      <c r="U454235" s="25"/>
    </row>
    <row r="454257" spans="21:21" x14ac:dyDescent="0.3">
      <c r="U454257" s="25"/>
    </row>
    <row r="454279" spans="21:21" x14ac:dyDescent="0.3">
      <c r="U454279" s="25"/>
    </row>
    <row r="454301" spans="21:21" x14ac:dyDescent="0.3">
      <c r="U454301" s="25"/>
    </row>
    <row r="454323" spans="21:21" x14ac:dyDescent="0.3">
      <c r="U454323" s="25"/>
    </row>
    <row r="454345" spans="21:21" x14ac:dyDescent="0.3">
      <c r="U454345" s="25"/>
    </row>
    <row r="454367" spans="21:21" x14ac:dyDescent="0.3">
      <c r="U454367" s="25"/>
    </row>
    <row r="454389" spans="21:21" x14ac:dyDescent="0.3">
      <c r="U454389" s="25"/>
    </row>
    <row r="454411" spans="21:21" x14ac:dyDescent="0.3">
      <c r="U454411" s="25"/>
    </row>
    <row r="454433" spans="21:21" x14ac:dyDescent="0.3">
      <c r="U454433" s="25"/>
    </row>
    <row r="454455" spans="21:21" x14ac:dyDescent="0.3">
      <c r="U454455" s="25"/>
    </row>
    <row r="454477" spans="21:21" x14ac:dyDescent="0.3">
      <c r="U454477" s="25"/>
    </row>
    <row r="454499" spans="21:21" x14ac:dyDescent="0.3">
      <c r="U454499" s="25"/>
    </row>
    <row r="454521" spans="21:21" x14ac:dyDescent="0.3">
      <c r="U454521" s="25"/>
    </row>
    <row r="454543" spans="21:21" x14ac:dyDescent="0.3">
      <c r="U454543" s="25"/>
    </row>
    <row r="454565" spans="21:21" x14ac:dyDescent="0.3">
      <c r="U454565" s="25"/>
    </row>
    <row r="454587" spans="21:21" x14ac:dyDescent="0.3">
      <c r="U454587" s="25"/>
    </row>
    <row r="454609" spans="21:21" x14ac:dyDescent="0.3">
      <c r="U454609" s="25"/>
    </row>
    <row r="454631" spans="21:21" x14ac:dyDescent="0.3">
      <c r="U454631" s="25"/>
    </row>
    <row r="454653" spans="21:21" x14ac:dyDescent="0.3">
      <c r="U454653" s="25"/>
    </row>
    <row r="454675" spans="21:21" x14ac:dyDescent="0.3">
      <c r="U454675" s="25"/>
    </row>
    <row r="454697" spans="21:21" x14ac:dyDescent="0.3">
      <c r="U454697" s="25"/>
    </row>
    <row r="454719" spans="21:21" x14ac:dyDescent="0.3">
      <c r="U454719" s="25"/>
    </row>
    <row r="454741" spans="21:21" x14ac:dyDescent="0.3">
      <c r="U454741" s="25"/>
    </row>
    <row r="454763" spans="21:21" x14ac:dyDescent="0.3">
      <c r="U454763" s="25"/>
    </row>
    <row r="454785" spans="21:21" x14ac:dyDescent="0.3">
      <c r="U454785" s="25"/>
    </row>
    <row r="454807" spans="21:21" x14ac:dyDescent="0.3">
      <c r="U454807" s="25"/>
    </row>
    <row r="454829" spans="21:21" x14ac:dyDescent="0.3">
      <c r="U454829" s="25"/>
    </row>
    <row r="454851" spans="21:21" x14ac:dyDescent="0.3">
      <c r="U454851" s="25"/>
    </row>
    <row r="454873" spans="21:21" x14ac:dyDescent="0.3">
      <c r="U454873" s="25"/>
    </row>
    <row r="454895" spans="21:21" x14ac:dyDescent="0.3">
      <c r="U454895" s="25"/>
    </row>
    <row r="454917" spans="21:21" x14ac:dyDescent="0.3">
      <c r="U454917" s="25"/>
    </row>
    <row r="454939" spans="21:21" x14ac:dyDescent="0.3">
      <c r="U454939" s="25"/>
    </row>
    <row r="454961" spans="21:21" x14ac:dyDescent="0.3">
      <c r="U454961" s="25"/>
    </row>
    <row r="454983" spans="21:21" x14ac:dyDescent="0.3">
      <c r="U454983" s="25"/>
    </row>
    <row r="455005" spans="21:21" x14ac:dyDescent="0.3">
      <c r="U455005" s="25"/>
    </row>
    <row r="455027" spans="21:21" x14ac:dyDescent="0.3">
      <c r="U455027" s="25"/>
    </row>
    <row r="455049" spans="21:21" x14ac:dyDescent="0.3">
      <c r="U455049" s="25"/>
    </row>
    <row r="455071" spans="21:21" x14ac:dyDescent="0.3">
      <c r="U455071" s="25"/>
    </row>
    <row r="455093" spans="21:21" x14ac:dyDescent="0.3">
      <c r="U455093" s="25"/>
    </row>
    <row r="455115" spans="21:21" x14ac:dyDescent="0.3">
      <c r="U455115" s="25"/>
    </row>
    <row r="455137" spans="21:21" x14ac:dyDescent="0.3">
      <c r="U455137" s="25"/>
    </row>
    <row r="455159" spans="21:21" x14ac:dyDescent="0.3">
      <c r="U455159" s="25"/>
    </row>
    <row r="455181" spans="21:21" x14ac:dyDescent="0.3">
      <c r="U455181" s="25"/>
    </row>
    <row r="455203" spans="21:21" x14ac:dyDescent="0.3">
      <c r="U455203" s="25"/>
    </row>
    <row r="455225" spans="21:21" x14ac:dyDescent="0.3">
      <c r="U455225" s="25"/>
    </row>
    <row r="455247" spans="21:21" x14ac:dyDescent="0.3">
      <c r="U455247" s="25"/>
    </row>
    <row r="455269" spans="21:21" x14ac:dyDescent="0.3">
      <c r="U455269" s="25"/>
    </row>
    <row r="455291" spans="21:21" x14ac:dyDescent="0.3">
      <c r="U455291" s="25"/>
    </row>
    <row r="455313" spans="21:21" x14ac:dyDescent="0.3">
      <c r="U455313" s="25"/>
    </row>
    <row r="455335" spans="21:21" x14ac:dyDescent="0.3">
      <c r="U455335" s="25"/>
    </row>
    <row r="455357" spans="21:21" x14ac:dyDescent="0.3">
      <c r="U455357" s="25"/>
    </row>
    <row r="455379" spans="21:21" x14ac:dyDescent="0.3">
      <c r="U455379" s="25"/>
    </row>
    <row r="455401" spans="21:21" x14ac:dyDescent="0.3">
      <c r="U455401" s="25"/>
    </row>
    <row r="455423" spans="21:21" x14ac:dyDescent="0.3">
      <c r="U455423" s="25"/>
    </row>
    <row r="455445" spans="21:21" x14ac:dyDescent="0.3">
      <c r="U455445" s="25"/>
    </row>
    <row r="455467" spans="21:21" x14ac:dyDescent="0.3">
      <c r="U455467" s="25"/>
    </row>
    <row r="455489" spans="21:21" x14ac:dyDescent="0.3">
      <c r="U455489" s="25"/>
    </row>
    <row r="455511" spans="21:21" x14ac:dyDescent="0.3">
      <c r="U455511" s="25"/>
    </row>
    <row r="455533" spans="21:21" x14ac:dyDescent="0.3">
      <c r="U455533" s="25"/>
    </row>
    <row r="455555" spans="21:21" x14ac:dyDescent="0.3">
      <c r="U455555" s="25"/>
    </row>
    <row r="455577" spans="21:21" x14ac:dyDescent="0.3">
      <c r="U455577" s="25"/>
    </row>
    <row r="455599" spans="21:21" x14ac:dyDescent="0.3">
      <c r="U455599" s="25"/>
    </row>
    <row r="455621" spans="21:21" x14ac:dyDescent="0.3">
      <c r="U455621" s="25"/>
    </row>
    <row r="455643" spans="21:21" x14ac:dyDescent="0.3">
      <c r="U455643" s="25"/>
    </row>
    <row r="455665" spans="21:21" x14ac:dyDescent="0.3">
      <c r="U455665" s="25"/>
    </row>
    <row r="455687" spans="21:21" x14ac:dyDescent="0.3">
      <c r="U455687" s="25"/>
    </row>
    <row r="455709" spans="21:21" x14ac:dyDescent="0.3">
      <c r="U455709" s="25"/>
    </row>
    <row r="455731" spans="21:21" x14ac:dyDescent="0.3">
      <c r="U455731" s="25"/>
    </row>
    <row r="455753" spans="21:21" x14ac:dyDescent="0.3">
      <c r="U455753" s="25"/>
    </row>
    <row r="455775" spans="21:21" x14ac:dyDescent="0.3">
      <c r="U455775" s="25"/>
    </row>
    <row r="455797" spans="21:21" x14ac:dyDescent="0.3">
      <c r="U455797" s="25"/>
    </row>
    <row r="455819" spans="21:21" x14ac:dyDescent="0.3">
      <c r="U455819" s="25"/>
    </row>
    <row r="455841" spans="21:21" x14ac:dyDescent="0.3">
      <c r="U455841" s="25"/>
    </row>
    <row r="455863" spans="21:21" x14ac:dyDescent="0.3">
      <c r="U455863" s="25"/>
    </row>
    <row r="455885" spans="21:21" x14ac:dyDescent="0.3">
      <c r="U455885" s="25"/>
    </row>
    <row r="455907" spans="21:21" x14ac:dyDescent="0.3">
      <c r="U455907" s="25"/>
    </row>
    <row r="455929" spans="21:21" x14ac:dyDescent="0.3">
      <c r="U455929" s="25"/>
    </row>
    <row r="455951" spans="21:21" x14ac:dyDescent="0.3">
      <c r="U455951" s="25"/>
    </row>
    <row r="455973" spans="21:21" x14ac:dyDescent="0.3">
      <c r="U455973" s="25"/>
    </row>
    <row r="455995" spans="21:21" x14ac:dyDescent="0.3">
      <c r="U455995" s="25"/>
    </row>
    <row r="456017" spans="21:21" x14ac:dyDescent="0.3">
      <c r="U456017" s="25"/>
    </row>
    <row r="456039" spans="21:21" x14ac:dyDescent="0.3">
      <c r="U456039" s="25"/>
    </row>
    <row r="456061" spans="21:21" x14ac:dyDescent="0.3">
      <c r="U456061" s="25"/>
    </row>
    <row r="456083" spans="21:21" x14ac:dyDescent="0.3">
      <c r="U456083" s="25"/>
    </row>
    <row r="456105" spans="21:21" x14ac:dyDescent="0.3">
      <c r="U456105" s="25"/>
    </row>
    <row r="456127" spans="21:21" x14ac:dyDescent="0.3">
      <c r="U456127" s="25"/>
    </row>
    <row r="456149" spans="21:21" x14ac:dyDescent="0.3">
      <c r="U456149" s="25"/>
    </row>
    <row r="456171" spans="21:21" x14ac:dyDescent="0.3">
      <c r="U456171" s="25"/>
    </row>
    <row r="456193" spans="21:21" x14ac:dyDescent="0.3">
      <c r="U456193" s="25"/>
    </row>
    <row r="456215" spans="21:21" x14ac:dyDescent="0.3">
      <c r="U456215" s="25"/>
    </row>
    <row r="456237" spans="21:21" x14ac:dyDescent="0.3">
      <c r="U456237" s="25"/>
    </row>
    <row r="456259" spans="21:21" x14ac:dyDescent="0.3">
      <c r="U456259" s="25"/>
    </row>
    <row r="456281" spans="21:21" x14ac:dyDescent="0.3">
      <c r="U456281" s="25"/>
    </row>
    <row r="456303" spans="21:21" x14ac:dyDescent="0.3">
      <c r="U456303" s="25"/>
    </row>
    <row r="456325" spans="21:21" x14ac:dyDescent="0.3">
      <c r="U456325" s="25"/>
    </row>
    <row r="456347" spans="21:21" x14ac:dyDescent="0.3">
      <c r="U456347" s="25"/>
    </row>
    <row r="456369" spans="21:21" x14ac:dyDescent="0.3">
      <c r="U456369" s="25"/>
    </row>
    <row r="456391" spans="21:21" x14ac:dyDescent="0.3">
      <c r="U456391" s="25"/>
    </row>
    <row r="456413" spans="21:21" x14ac:dyDescent="0.3">
      <c r="U456413" s="25"/>
    </row>
    <row r="456435" spans="21:21" x14ac:dyDescent="0.3">
      <c r="U456435" s="25"/>
    </row>
    <row r="456457" spans="21:21" x14ac:dyDescent="0.3">
      <c r="U456457" s="25"/>
    </row>
    <row r="456479" spans="21:21" x14ac:dyDescent="0.3">
      <c r="U456479" s="25"/>
    </row>
    <row r="456501" spans="21:21" x14ac:dyDescent="0.3">
      <c r="U456501" s="25"/>
    </row>
    <row r="456523" spans="21:21" x14ac:dyDescent="0.3">
      <c r="U456523" s="25"/>
    </row>
    <row r="456545" spans="21:21" x14ac:dyDescent="0.3">
      <c r="U456545" s="25"/>
    </row>
    <row r="456567" spans="21:21" x14ac:dyDescent="0.3">
      <c r="U456567" s="25"/>
    </row>
    <row r="456589" spans="21:21" x14ac:dyDescent="0.3">
      <c r="U456589" s="25"/>
    </row>
    <row r="456611" spans="21:21" x14ac:dyDescent="0.3">
      <c r="U456611" s="25"/>
    </row>
    <row r="456633" spans="21:21" x14ac:dyDescent="0.3">
      <c r="U456633" s="25"/>
    </row>
    <row r="456655" spans="21:21" x14ac:dyDescent="0.3">
      <c r="U456655" s="25"/>
    </row>
    <row r="456677" spans="21:21" x14ac:dyDescent="0.3">
      <c r="U456677" s="25"/>
    </row>
    <row r="456699" spans="21:21" x14ac:dyDescent="0.3">
      <c r="U456699" s="25"/>
    </row>
    <row r="456721" spans="21:21" x14ac:dyDescent="0.3">
      <c r="U456721" s="25"/>
    </row>
    <row r="456743" spans="21:21" x14ac:dyDescent="0.3">
      <c r="U456743" s="25"/>
    </row>
    <row r="456765" spans="21:21" x14ac:dyDescent="0.3">
      <c r="U456765" s="25"/>
    </row>
    <row r="456787" spans="21:21" x14ac:dyDescent="0.3">
      <c r="U456787" s="25"/>
    </row>
    <row r="456809" spans="21:21" x14ac:dyDescent="0.3">
      <c r="U456809" s="25"/>
    </row>
    <row r="456831" spans="21:21" x14ac:dyDescent="0.3">
      <c r="U456831" s="25"/>
    </row>
    <row r="456853" spans="21:21" x14ac:dyDescent="0.3">
      <c r="U456853" s="25"/>
    </row>
    <row r="456875" spans="21:21" x14ac:dyDescent="0.3">
      <c r="U456875" s="25"/>
    </row>
    <row r="456897" spans="21:21" x14ac:dyDescent="0.3">
      <c r="U456897" s="25"/>
    </row>
    <row r="456919" spans="21:21" x14ac:dyDescent="0.3">
      <c r="U456919" s="25"/>
    </row>
    <row r="456941" spans="21:21" x14ac:dyDescent="0.3">
      <c r="U456941" s="25"/>
    </row>
    <row r="456963" spans="21:21" x14ac:dyDescent="0.3">
      <c r="U456963" s="25"/>
    </row>
    <row r="456985" spans="21:21" x14ac:dyDescent="0.3">
      <c r="U456985" s="25"/>
    </row>
    <row r="457007" spans="21:21" x14ac:dyDescent="0.3">
      <c r="U457007" s="25"/>
    </row>
    <row r="457029" spans="21:21" x14ac:dyDescent="0.3">
      <c r="U457029" s="25"/>
    </row>
    <row r="457051" spans="21:21" x14ac:dyDescent="0.3">
      <c r="U457051" s="25"/>
    </row>
    <row r="457073" spans="21:21" x14ac:dyDescent="0.3">
      <c r="U457073" s="25"/>
    </row>
    <row r="457095" spans="21:21" x14ac:dyDescent="0.3">
      <c r="U457095" s="25"/>
    </row>
    <row r="457117" spans="21:21" x14ac:dyDescent="0.3">
      <c r="U457117" s="25"/>
    </row>
    <row r="457139" spans="21:21" x14ac:dyDescent="0.3">
      <c r="U457139" s="25"/>
    </row>
    <row r="457161" spans="21:21" x14ac:dyDescent="0.3">
      <c r="U457161" s="25"/>
    </row>
    <row r="457183" spans="21:21" x14ac:dyDescent="0.3">
      <c r="U457183" s="25"/>
    </row>
    <row r="457205" spans="21:21" x14ac:dyDescent="0.3">
      <c r="U457205" s="25"/>
    </row>
    <row r="457227" spans="21:21" x14ac:dyDescent="0.3">
      <c r="U457227" s="25"/>
    </row>
    <row r="457249" spans="21:21" x14ac:dyDescent="0.3">
      <c r="U457249" s="25"/>
    </row>
    <row r="457271" spans="21:21" x14ac:dyDescent="0.3">
      <c r="U457271" s="25"/>
    </row>
    <row r="457293" spans="21:21" x14ac:dyDescent="0.3">
      <c r="U457293" s="25"/>
    </row>
    <row r="457315" spans="21:21" x14ac:dyDescent="0.3">
      <c r="U457315" s="25"/>
    </row>
    <row r="457337" spans="21:21" x14ac:dyDescent="0.3">
      <c r="U457337" s="25"/>
    </row>
    <row r="457359" spans="21:21" x14ac:dyDescent="0.3">
      <c r="U457359" s="25"/>
    </row>
    <row r="457381" spans="21:21" x14ac:dyDescent="0.3">
      <c r="U457381" s="25"/>
    </row>
    <row r="457403" spans="21:21" x14ac:dyDescent="0.3">
      <c r="U457403" s="25"/>
    </row>
    <row r="457425" spans="21:21" x14ac:dyDescent="0.3">
      <c r="U457425" s="25"/>
    </row>
    <row r="457447" spans="21:21" x14ac:dyDescent="0.3">
      <c r="U457447" s="25"/>
    </row>
    <row r="457469" spans="21:21" x14ac:dyDescent="0.3">
      <c r="U457469" s="25"/>
    </row>
    <row r="457491" spans="21:21" x14ac:dyDescent="0.3">
      <c r="U457491" s="25"/>
    </row>
    <row r="457513" spans="21:21" x14ac:dyDescent="0.3">
      <c r="U457513" s="25"/>
    </row>
    <row r="457535" spans="21:21" x14ac:dyDescent="0.3">
      <c r="U457535" s="25"/>
    </row>
    <row r="457557" spans="21:21" x14ac:dyDescent="0.3">
      <c r="U457557" s="25"/>
    </row>
    <row r="457579" spans="21:21" x14ac:dyDescent="0.3">
      <c r="U457579" s="25"/>
    </row>
    <row r="457601" spans="21:21" x14ac:dyDescent="0.3">
      <c r="U457601" s="25"/>
    </row>
    <row r="457623" spans="21:21" x14ac:dyDescent="0.3">
      <c r="U457623" s="25"/>
    </row>
    <row r="457645" spans="21:21" x14ac:dyDescent="0.3">
      <c r="U457645" s="25"/>
    </row>
    <row r="457667" spans="21:21" x14ac:dyDescent="0.3">
      <c r="U457667" s="25"/>
    </row>
    <row r="457689" spans="21:21" x14ac:dyDescent="0.3">
      <c r="U457689" s="25"/>
    </row>
    <row r="457711" spans="21:21" x14ac:dyDescent="0.3">
      <c r="U457711" s="25"/>
    </row>
    <row r="457733" spans="21:21" x14ac:dyDescent="0.3">
      <c r="U457733" s="25"/>
    </row>
    <row r="457755" spans="21:21" x14ac:dyDescent="0.3">
      <c r="U457755" s="25"/>
    </row>
    <row r="457777" spans="21:21" x14ac:dyDescent="0.3">
      <c r="U457777" s="25"/>
    </row>
    <row r="457799" spans="21:21" x14ac:dyDescent="0.3">
      <c r="U457799" s="25"/>
    </row>
    <row r="457821" spans="21:21" x14ac:dyDescent="0.3">
      <c r="U457821" s="25"/>
    </row>
    <row r="457843" spans="21:21" x14ac:dyDescent="0.3">
      <c r="U457843" s="25"/>
    </row>
    <row r="457865" spans="21:21" x14ac:dyDescent="0.3">
      <c r="U457865" s="25"/>
    </row>
    <row r="457887" spans="21:21" x14ac:dyDescent="0.3">
      <c r="U457887" s="25"/>
    </row>
    <row r="457909" spans="21:21" x14ac:dyDescent="0.3">
      <c r="U457909" s="25"/>
    </row>
    <row r="457931" spans="21:21" x14ac:dyDescent="0.3">
      <c r="U457931" s="25"/>
    </row>
    <row r="457953" spans="21:21" x14ac:dyDescent="0.3">
      <c r="U457953" s="25"/>
    </row>
    <row r="457975" spans="21:21" x14ac:dyDescent="0.3">
      <c r="U457975" s="25"/>
    </row>
    <row r="457997" spans="21:21" x14ac:dyDescent="0.3">
      <c r="U457997" s="25"/>
    </row>
    <row r="458019" spans="21:21" x14ac:dyDescent="0.3">
      <c r="U458019" s="25"/>
    </row>
    <row r="458041" spans="21:21" x14ac:dyDescent="0.3">
      <c r="U458041" s="25"/>
    </row>
    <row r="458063" spans="21:21" x14ac:dyDescent="0.3">
      <c r="U458063" s="25"/>
    </row>
    <row r="458085" spans="21:21" x14ac:dyDescent="0.3">
      <c r="U458085" s="25"/>
    </row>
    <row r="458107" spans="21:21" x14ac:dyDescent="0.3">
      <c r="U458107" s="25"/>
    </row>
    <row r="458129" spans="21:21" x14ac:dyDescent="0.3">
      <c r="U458129" s="25"/>
    </row>
    <row r="458151" spans="21:21" x14ac:dyDescent="0.3">
      <c r="U458151" s="25"/>
    </row>
    <row r="458173" spans="21:21" x14ac:dyDescent="0.3">
      <c r="U458173" s="25"/>
    </row>
    <row r="458195" spans="21:21" x14ac:dyDescent="0.3">
      <c r="U458195" s="25"/>
    </row>
    <row r="458217" spans="21:21" x14ac:dyDescent="0.3">
      <c r="U458217" s="25"/>
    </row>
    <row r="458239" spans="21:21" x14ac:dyDescent="0.3">
      <c r="U458239" s="25"/>
    </row>
    <row r="458261" spans="21:21" x14ac:dyDescent="0.3">
      <c r="U458261" s="25"/>
    </row>
    <row r="458283" spans="21:21" x14ac:dyDescent="0.3">
      <c r="U458283" s="25"/>
    </row>
    <row r="458305" spans="21:21" x14ac:dyDescent="0.3">
      <c r="U458305" s="25"/>
    </row>
    <row r="458327" spans="21:21" x14ac:dyDescent="0.3">
      <c r="U458327" s="25"/>
    </row>
    <row r="458349" spans="21:21" x14ac:dyDescent="0.3">
      <c r="U458349" s="25"/>
    </row>
    <row r="458371" spans="21:21" x14ac:dyDescent="0.3">
      <c r="U458371" s="25"/>
    </row>
    <row r="458393" spans="21:21" x14ac:dyDescent="0.3">
      <c r="U458393" s="25"/>
    </row>
    <row r="458415" spans="21:21" x14ac:dyDescent="0.3">
      <c r="U458415" s="25"/>
    </row>
    <row r="458437" spans="21:21" x14ac:dyDescent="0.3">
      <c r="U458437" s="25"/>
    </row>
    <row r="458459" spans="21:21" x14ac:dyDescent="0.3">
      <c r="U458459" s="25"/>
    </row>
    <row r="458481" spans="21:21" x14ac:dyDescent="0.3">
      <c r="U458481" s="25"/>
    </row>
    <row r="458503" spans="21:21" x14ac:dyDescent="0.3">
      <c r="U458503" s="25"/>
    </row>
    <row r="458525" spans="21:21" x14ac:dyDescent="0.3">
      <c r="U458525" s="25"/>
    </row>
    <row r="458547" spans="21:21" x14ac:dyDescent="0.3">
      <c r="U458547" s="25"/>
    </row>
    <row r="458569" spans="21:21" x14ac:dyDescent="0.3">
      <c r="U458569" s="25"/>
    </row>
    <row r="458591" spans="21:21" x14ac:dyDescent="0.3">
      <c r="U458591" s="25"/>
    </row>
    <row r="458613" spans="21:21" x14ac:dyDescent="0.3">
      <c r="U458613" s="25"/>
    </row>
    <row r="458635" spans="21:21" x14ac:dyDescent="0.3">
      <c r="U458635" s="25"/>
    </row>
    <row r="458657" spans="21:21" x14ac:dyDescent="0.3">
      <c r="U458657" s="25"/>
    </row>
    <row r="458679" spans="21:21" x14ac:dyDescent="0.3">
      <c r="U458679" s="25"/>
    </row>
    <row r="458701" spans="21:21" x14ac:dyDescent="0.3">
      <c r="U458701" s="25"/>
    </row>
    <row r="458723" spans="21:21" x14ac:dyDescent="0.3">
      <c r="U458723" s="25"/>
    </row>
    <row r="458745" spans="21:21" x14ac:dyDescent="0.3">
      <c r="U458745" s="25"/>
    </row>
    <row r="458767" spans="21:21" x14ac:dyDescent="0.3">
      <c r="U458767" s="25"/>
    </row>
    <row r="458789" spans="21:21" x14ac:dyDescent="0.3">
      <c r="U458789" s="25"/>
    </row>
    <row r="458811" spans="21:21" x14ac:dyDescent="0.3">
      <c r="U458811" s="25"/>
    </row>
    <row r="458833" spans="21:21" x14ac:dyDescent="0.3">
      <c r="U458833" s="25"/>
    </row>
    <row r="458855" spans="21:21" x14ac:dyDescent="0.3">
      <c r="U458855" s="25"/>
    </row>
    <row r="458877" spans="21:21" x14ac:dyDescent="0.3">
      <c r="U458877" s="25"/>
    </row>
    <row r="458899" spans="21:21" x14ac:dyDescent="0.3">
      <c r="U458899" s="25"/>
    </row>
    <row r="458921" spans="21:21" x14ac:dyDescent="0.3">
      <c r="U458921" s="25"/>
    </row>
    <row r="458943" spans="21:21" x14ac:dyDescent="0.3">
      <c r="U458943" s="25"/>
    </row>
    <row r="458965" spans="21:21" x14ac:dyDescent="0.3">
      <c r="U458965" s="25"/>
    </row>
    <row r="458987" spans="21:21" x14ac:dyDescent="0.3">
      <c r="U458987" s="25"/>
    </row>
    <row r="459009" spans="21:21" x14ac:dyDescent="0.3">
      <c r="U459009" s="25"/>
    </row>
    <row r="459031" spans="21:21" x14ac:dyDescent="0.3">
      <c r="U459031" s="25"/>
    </row>
    <row r="459053" spans="21:21" x14ac:dyDescent="0.3">
      <c r="U459053" s="25"/>
    </row>
    <row r="459075" spans="21:21" x14ac:dyDescent="0.3">
      <c r="U459075" s="25"/>
    </row>
    <row r="459097" spans="21:21" x14ac:dyDescent="0.3">
      <c r="U459097" s="25"/>
    </row>
    <row r="459119" spans="21:21" x14ac:dyDescent="0.3">
      <c r="U459119" s="25"/>
    </row>
    <row r="459141" spans="21:21" x14ac:dyDescent="0.3">
      <c r="U459141" s="25"/>
    </row>
    <row r="459163" spans="21:21" x14ac:dyDescent="0.3">
      <c r="U459163" s="25"/>
    </row>
    <row r="459185" spans="21:21" x14ac:dyDescent="0.3">
      <c r="U459185" s="25"/>
    </row>
    <row r="459207" spans="21:21" x14ac:dyDescent="0.3">
      <c r="U459207" s="25"/>
    </row>
    <row r="459229" spans="21:21" x14ac:dyDescent="0.3">
      <c r="U459229" s="25"/>
    </row>
    <row r="459251" spans="21:21" x14ac:dyDescent="0.3">
      <c r="U459251" s="25"/>
    </row>
    <row r="459273" spans="21:21" x14ac:dyDescent="0.3">
      <c r="U459273" s="25"/>
    </row>
    <row r="459295" spans="21:21" x14ac:dyDescent="0.3">
      <c r="U459295" s="25"/>
    </row>
    <row r="459317" spans="21:21" x14ac:dyDescent="0.3">
      <c r="U459317" s="25"/>
    </row>
    <row r="459339" spans="21:21" x14ac:dyDescent="0.3">
      <c r="U459339" s="25"/>
    </row>
    <row r="459361" spans="21:21" x14ac:dyDescent="0.3">
      <c r="U459361" s="25"/>
    </row>
    <row r="459383" spans="21:21" x14ac:dyDescent="0.3">
      <c r="U459383" s="25"/>
    </row>
    <row r="459405" spans="21:21" x14ac:dyDescent="0.3">
      <c r="U459405" s="25"/>
    </row>
    <row r="459427" spans="21:21" x14ac:dyDescent="0.3">
      <c r="U459427" s="25"/>
    </row>
    <row r="459449" spans="21:21" x14ac:dyDescent="0.3">
      <c r="U459449" s="25"/>
    </row>
    <row r="459471" spans="21:21" x14ac:dyDescent="0.3">
      <c r="U459471" s="25"/>
    </row>
    <row r="459493" spans="21:21" x14ac:dyDescent="0.3">
      <c r="U459493" s="25"/>
    </row>
    <row r="459515" spans="21:21" x14ac:dyDescent="0.3">
      <c r="U459515" s="25"/>
    </row>
    <row r="459537" spans="21:21" x14ac:dyDescent="0.3">
      <c r="U459537" s="25"/>
    </row>
    <row r="459559" spans="21:21" x14ac:dyDescent="0.3">
      <c r="U459559" s="25"/>
    </row>
    <row r="459581" spans="21:21" x14ac:dyDescent="0.3">
      <c r="U459581" s="25"/>
    </row>
    <row r="459603" spans="21:21" x14ac:dyDescent="0.3">
      <c r="U459603" s="25"/>
    </row>
    <row r="459625" spans="21:21" x14ac:dyDescent="0.3">
      <c r="U459625" s="25"/>
    </row>
    <row r="459647" spans="21:21" x14ac:dyDescent="0.3">
      <c r="U459647" s="25"/>
    </row>
    <row r="459669" spans="21:21" x14ac:dyDescent="0.3">
      <c r="U459669" s="25"/>
    </row>
    <row r="459691" spans="21:21" x14ac:dyDescent="0.3">
      <c r="U459691" s="25"/>
    </row>
    <row r="459713" spans="21:21" x14ac:dyDescent="0.3">
      <c r="U459713" s="25"/>
    </row>
    <row r="459735" spans="21:21" x14ac:dyDescent="0.3">
      <c r="U459735" s="25"/>
    </row>
    <row r="459757" spans="21:21" x14ac:dyDescent="0.3">
      <c r="U459757" s="25"/>
    </row>
    <row r="459779" spans="21:21" x14ac:dyDescent="0.3">
      <c r="U459779" s="25"/>
    </row>
    <row r="459801" spans="21:21" x14ac:dyDescent="0.3">
      <c r="U459801" s="25"/>
    </row>
    <row r="459823" spans="21:21" x14ac:dyDescent="0.3">
      <c r="U459823" s="25"/>
    </row>
    <row r="459845" spans="21:21" x14ac:dyDescent="0.3">
      <c r="U459845" s="25"/>
    </row>
    <row r="459867" spans="21:21" x14ac:dyDescent="0.3">
      <c r="U459867" s="25"/>
    </row>
    <row r="459889" spans="21:21" x14ac:dyDescent="0.3">
      <c r="U459889" s="25"/>
    </row>
    <row r="459911" spans="21:21" x14ac:dyDescent="0.3">
      <c r="U459911" s="25"/>
    </row>
    <row r="459933" spans="21:21" x14ac:dyDescent="0.3">
      <c r="U459933" s="25"/>
    </row>
    <row r="459955" spans="21:21" x14ac:dyDescent="0.3">
      <c r="U459955" s="25"/>
    </row>
    <row r="459977" spans="21:21" x14ac:dyDescent="0.3">
      <c r="U459977" s="25"/>
    </row>
    <row r="459999" spans="21:21" x14ac:dyDescent="0.3">
      <c r="U459999" s="25"/>
    </row>
    <row r="460021" spans="21:21" x14ac:dyDescent="0.3">
      <c r="U460021" s="25"/>
    </row>
    <row r="460043" spans="21:21" x14ac:dyDescent="0.3">
      <c r="U460043" s="25"/>
    </row>
    <row r="460065" spans="21:21" x14ac:dyDescent="0.3">
      <c r="U460065" s="25"/>
    </row>
    <row r="460087" spans="21:21" x14ac:dyDescent="0.3">
      <c r="U460087" s="25"/>
    </row>
    <row r="460109" spans="21:21" x14ac:dyDescent="0.3">
      <c r="U460109" s="25"/>
    </row>
    <row r="460131" spans="21:21" x14ac:dyDescent="0.3">
      <c r="U460131" s="25"/>
    </row>
    <row r="460153" spans="21:21" x14ac:dyDescent="0.3">
      <c r="U460153" s="25"/>
    </row>
    <row r="460175" spans="21:21" x14ac:dyDescent="0.3">
      <c r="U460175" s="25"/>
    </row>
    <row r="460197" spans="21:21" x14ac:dyDescent="0.3">
      <c r="U460197" s="25"/>
    </row>
    <row r="460219" spans="21:21" x14ac:dyDescent="0.3">
      <c r="U460219" s="25"/>
    </row>
    <row r="460241" spans="21:21" x14ac:dyDescent="0.3">
      <c r="U460241" s="25"/>
    </row>
    <row r="460263" spans="21:21" x14ac:dyDescent="0.3">
      <c r="U460263" s="25"/>
    </row>
    <row r="460285" spans="21:21" x14ac:dyDescent="0.3">
      <c r="U460285" s="25"/>
    </row>
    <row r="460307" spans="21:21" x14ac:dyDescent="0.3">
      <c r="U460307" s="25"/>
    </row>
    <row r="460329" spans="21:21" x14ac:dyDescent="0.3">
      <c r="U460329" s="25"/>
    </row>
    <row r="460351" spans="21:21" x14ac:dyDescent="0.3">
      <c r="U460351" s="25"/>
    </row>
    <row r="460373" spans="21:21" x14ac:dyDescent="0.3">
      <c r="U460373" s="25"/>
    </row>
    <row r="460395" spans="21:21" x14ac:dyDescent="0.3">
      <c r="U460395" s="25"/>
    </row>
    <row r="460417" spans="21:21" x14ac:dyDescent="0.3">
      <c r="U460417" s="25"/>
    </row>
    <row r="460439" spans="21:21" x14ac:dyDescent="0.3">
      <c r="U460439" s="25"/>
    </row>
    <row r="460461" spans="21:21" x14ac:dyDescent="0.3">
      <c r="U460461" s="25"/>
    </row>
    <row r="460483" spans="21:21" x14ac:dyDescent="0.3">
      <c r="U460483" s="25"/>
    </row>
    <row r="460505" spans="21:21" x14ac:dyDescent="0.3">
      <c r="U460505" s="25"/>
    </row>
    <row r="460527" spans="21:21" x14ac:dyDescent="0.3">
      <c r="U460527" s="25"/>
    </row>
    <row r="460549" spans="21:21" x14ac:dyDescent="0.3">
      <c r="U460549" s="25"/>
    </row>
    <row r="460571" spans="21:21" x14ac:dyDescent="0.3">
      <c r="U460571" s="25"/>
    </row>
    <row r="460593" spans="21:21" x14ac:dyDescent="0.3">
      <c r="U460593" s="25"/>
    </row>
    <row r="460615" spans="21:21" x14ac:dyDescent="0.3">
      <c r="U460615" s="25"/>
    </row>
    <row r="460637" spans="21:21" x14ac:dyDescent="0.3">
      <c r="U460637" s="25"/>
    </row>
    <row r="460659" spans="21:21" x14ac:dyDescent="0.3">
      <c r="U460659" s="25"/>
    </row>
    <row r="460681" spans="21:21" x14ac:dyDescent="0.3">
      <c r="U460681" s="25"/>
    </row>
    <row r="460703" spans="21:21" x14ac:dyDescent="0.3">
      <c r="U460703" s="25"/>
    </row>
    <row r="460725" spans="21:21" x14ac:dyDescent="0.3">
      <c r="U460725" s="25"/>
    </row>
    <row r="460747" spans="21:21" x14ac:dyDescent="0.3">
      <c r="U460747" s="25"/>
    </row>
    <row r="460769" spans="21:21" x14ac:dyDescent="0.3">
      <c r="U460769" s="25"/>
    </row>
    <row r="460791" spans="21:21" x14ac:dyDescent="0.3">
      <c r="U460791" s="25"/>
    </row>
    <row r="460813" spans="21:21" x14ac:dyDescent="0.3">
      <c r="U460813" s="25"/>
    </row>
    <row r="460835" spans="21:21" x14ac:dyDescent="0.3">
      <c r="U460835" s="25"/>
    </row>
    <row r="460857" spans="21:21" x14ac:dyDescent="0.3">
      <c r="U460857" s="25"/>
    </row>
    <row r="460879" spans="21:21" x14ac:dyDescent="0.3">
      <c r="U460879" s="25"/>
    </row>
    <row r="460901" spans="21:21" x14ac:dyDescent="0.3">
      <c r="U460901" s="25"/>
    </row>
    <row r="460923" spans="21:21" x14ac:dyDescent="0.3">
      <c r="U460923" s="25"/>
    </row>
    <row r="460945" spans="21:21" x14ac:dyDescent="0.3">
      <c r="U460945" s="25"/>
    </row>
    <row r="460967" spans="21:21" x14ac:dyDescent="0.3">
      <c r="U460967" s="25"/>
    </row>
    <row r="460989" spans="21:21" x14ac:dyDescent="0.3">
      <c r="U460989" s="25"/>
    </row>
    <row r="461011" spans="21:21" x14ac:dyDescent="0.3">
      <c r="U461011" s="25"/>
    </row>
    <row r="461033" spans="21:21" x14ac:dyDescent="0.3">
      <c r="U461033" s="25"/>
    </row>
    <row r="461055" spans="21:21" x14ac:dyDescent="0.3">
      <c r="U461055" s="25"/>
    </row>
    <row r="461077" spans="21:21" x14ac:dyDescent="0.3">
      <c r="U461077" s="25"/>
    </row>
    <row r="461099" spans="21:21" x14ac:dyDescent="0.3">
      <c r="U461099" s="25"/>
    </row>
    <row r="461121" spans="21:21" x14ac:dyDescent="0.3">
      <c r="U461121" s="25"/>
    </row>
    <row r="461143" spans="21:21" x14ac:dyDescent="0.3">
      <c r="U461143" s="25"/>
    </row>
    <row r="461165" spans="21:21" x14ac:dyDescent="0.3">
      <c r="U461165" s="25"/>
    </row>
    <row r="461187" spans="21:21" x14ac:dyDescent="0.3">
      <c r="U461187" s="25"/>
    </row>
    <row r="461209" spans="21:21" x14ac:dyDescent="0.3">
      <c r="U461209" s="25"/>
    </row>
    <row r="461231" spans="21:21" x14ac:dyDescent="0.3">
      <c r="U461231" s="25"/>
    </row>
    <row r="461253" spans="21:21" x14ac:dyDescent="0.3">
      <c r="U461253" s="25"/>
    </row>
    <row r="461275" spans="21:21" x14ac:dyDescent="0.3">
      <c r="U461275" s="25"/>
    </row>
    <row r="461297" spans="21:21" x14ac:dyDescent="0.3">
      <c r="U461297" s="25"/>
    </row>
    <row r="461319" spans="21:21" x14ac:dyDescent="0.3">
      <c r="U461319" s="25"/>
    </row>
    <row r="461341" spans="21:21" x14ac:dyDescent="0.3">
      <c r="U461341" s="25"/>
    </row>
    <row r="461363" spans="21:21" x14ac:dyDescent="0.3">
      <c r="U461363" s="25"/>
    </row>
    <row r="461385" spans="21:21" x14ac:dyDescent="0.3">
      <c r="U461385" s="25"/>
    </row>
    <row r="461407" spans="21:21" x14ac:dyDescent="0.3">
      <c r="U461407" s="25"/>
    </row>
    <row r="461429" spans="21:21" x14ac:dyDescent="0.3">
      <c r="U461429" s="25"/>
    </row>
    <row r="461451" spans="21:21" x14ac:dyDescent="0.3">
      <c r="U461451" s="25"/>
    </row>
    <row r="461473" spans="21:21" x14ac:dyDescent="0.3">
      <c r="U461473" s="25"/>
    </row>
    <row r="461495" spans="21:21" x14ac:dyDescent="0.3">
      <c r="U461495" s="25"/>
    </row>
    <row r="461517" spans="21:21" x14ac:dyDescent="0.3">
      <c r="U461517" s="25"/>
    </row>
    <row r="461539" spans="21:21" x14ac:dyDescent="0.3">
      <c r="U461539" s="25"/>
    </row>
    <row r="461561" spans="21:21" x14ac:dyDescent="0.3">
      <c r="U461561" s="25"/>
    </row>
    <row r="461583" spans="21:21" x14ac:dyDescent="0.3">
      <c r="U461583" s="25"/>
    </row>
    <row r="461605" spans="21:21" x14ac:dyDescent="0.3">
      <c r="U461605" s="25"/>
    </row>
    <row r="461627" spans="21:21" x14ac:dyDescent="0.3">
      <c r="U461627" s="25"/>
    </row>
    <row r="461649" spans="21:21" x14ac:dyDescent="0.3">
      <c r="U461649" s="25"/>
    </row>
    <row r="461671" spans="21:21" x14ac:dyDescent="0.3">
      <c r="U461671" s="25"/>
    </row>
    <row r="461693" spans="21:21" x14ac:dyDescent="0.3">
      <c r="U461693" s="25"/>
    </row>
    <row r="461715" spans="21:21" x14ac:dyDescent="0.3">
      <c r="U461715" s="25"/>
    </row>
    <row r="461737" spans="21:21" x14ac:dyDescent="0.3">
      <c r="U461737" s="25"/>
    </row>
    <row r="461759" spans="21:21" x14ac:dyDescent="0.3">
      <c r="U461759" s="25"/>
    </row>
    <row r="461781" spans="21:21" x14ac:dyDescent="0.3">
      <c r="U461781" s="25"/>
    </row>
    <row r="461803" spans="21:21" x14ac:dyDescent="0.3">
      <c r="U461803" s="25"/>
    </row>
    <row r="461825" spans="21:21" x14ac:dyDescent="0.3">
      <c r="U461825" s="25"/>
    </row>
    <row r="461847" spans="21:21" x14ac:dyDescent="0.3">
      <c r="U461847" s="25"/>
    </row>
    <row r="461869" spans="21:21" x14ac:dyDescent="0.3">
      <c r="U461869" s="25"/>
    </row>
    <row r="461891" spans="21:21" x14ac:dyDescent="0.3">
      <c r="U461891" s="25"/>
    </row>
    <row r="461913" spans="21:21" x14ac:dyDescent="0.3">
      <c r="U461913" s="25"/>
    </row>
    <row r="461935" spans="21:21" x14ac:dyDescent="0.3">
      <c r="U461935" s="25"/>
    </row>
    <row r="461957" spans="21:21" x14ac:dyDescent="0.3">
      <c r="U461957" s="25"/>
    </row>
    <row r="461979" spans="21:21" x14ac:dyDescent="0.3">
      <c r="U461979" s="25"/>
    </row>
    <row r="462001" spans="21:21" x14ac:dyDescent="0.3">
      <c r="U462001" s="25"/>
    </row>
    <row r="462023" spans="21:21" x14ac:dyDescent="0.3">
      <c r="U462023" s="25"/>
    </row>
    <row r="462045" spans="21:21" x14ac:dyDescent="0.3">
      <c r="U462045" s="25"/>
    </row>
    <row r="462067" spans="21:21" x14ac:dyDescent="0.3">
      <c r="U462067" s="25"/>
    </row>
    <row r="462089" spans="21:21" x14ac:dyDescent="0.3">
      <c r="U462089" s="25"/>
    </row>
    <row r="462111" spans="21:21" x14ac:dyDescent="0.3">
      <c r="U462111" s="25"/>
    </row>
    <row r="462133" spans="21:21" x14ac:dyDescent="0.3">
      <c r="U462133" s="25"/>
    </row>
    <row r="462155" spans="21:21" x14ac:dyDescent="0.3">
      <c r="U462155" s="25"/>
    </row>
    <row r="462177" spans="21:21" x14ac:dyDescent="0.3">
      <c r="U462177" s="25"/>
    </row>
    <row r="462199" spans="21:21" x14ac:dyDescent="0.3">
      <c r="U462199" s="25"/>
    </row>
    <row r="462221" spans="21:21" x14ac:dyDescent="0.3">
      <c r="U462221" s="25"/>
    </row>
    <row r="462243" spans="21:21" x14ac:dyDescent="0.3">
      <c r="U462243" s="25"/>
    </row>
    <row r="462265" spans="21:21" x14ac:dyDescent="0.3">
      <c r="U462265" s="25"/>
    </row>
    <row r="462287" spans="21:21" x14ac:dyDescent="0.3">
      <c r="U462287" s="25"/>
    </row>
    <row r="462309" spans="21:21" x14ac:dyDescent="0.3">
      <c r="U462309" s="25"/>
    </row>
    <row r="462331" spans="21:21" x14ac:dyDescent="0.3">
      <c r="U462331" s="25"/>
    </row>
    <row r="462353" spans="21:21" x14ac:dyDescent="0.3">
      <c r="U462353" s="25"/>
    </row>
    <row r="462375" spans="21:21" x14ac:dyDescent="0.3">
      <c r="U462375" s="25"/>
    </row>
    <row r="462397" spans="21:21" x14ac:dyDescent="0.3">
      <c r="U462397" s="25"/>
    </row>
    <row r="462419" spans="21:21" x14ac:dyDescent="0.3">
      <c r="U462419" s="25"/>
    </row>
    <row r="462441" spans="21:21" x14ac:dyDescent="0.3">
      <c r="U462441" s="25"/>
    </row>
    <row r="462463" spans="21:21" x14ac:dyDescent="0.3">
      <c r="U462463" s="25"/>
    </row>
    <row r="462485" spans="21:21" x14ac:dyDescent="0.3">
      <c r="U462485" s="25"/>
    </row>
    <row r="462507" spans="21:21" x14ac:dyDescent="0.3">
      <c r="U462507" s="25"/>
    </row>
    <row r="462529" spans="21:21" x14ac:dyDescent="0.3">
      <c r="U462529" s="25"/>
    </row>
    <row r="462551" spans="21:21" x14ac:dyDescent="0.3">
      <c r="U462551" s="25"/>
    </row>
    <row r="462573" spans="21:21" x14ac:dyDescent="0.3">
      <c r="U462573" s="25"/>
    </row>
    <row r="462595" spans="21:21" x14ac:dyDescent="0.3">
      <c r="U462595" s="25"/>
    </row>
    <row r="462617" spans="21:21" x14ac:dyDescent="0.3">
      <c r="U462617" s="25"/>
    </row>
    <row r="462639" spans="21:21" x14ac:dyDescent="0.3">
      <c r="U462639" s="25"/>
    </row>
    <row r="462661" spans="21:21" x14ac:dyDescent="0.3">
      <c r="U462661" s="25"/>
    </row>
    <row r="462683" spans="21:21" x14ac:dyDescent="0.3">
      <c r="U462683" s="25"/>
    </row>
    <row r="462705" spans="21:21" x14ac:dyDescent="0.3">
      <c r="U462705" s="25"/>
    </row>
    <row r="462727" spans="21:21" x14ac:dyDescent="0.3">
      <c r="U462727" s="25"/>
    </row>
    <row r="462749" spans="21:21" x14ac:dyDescent="0.3">
      <c r="U462749" s="25"/>
    </row>
    <row r="462771" spans="21:21" x14ac:dyDescent="0.3">
      <c r="U462771" s="25"/>
    </row>
    <row r="462793" spans="21:21" x14ac:dyDescent="0.3">
      <c r="U462793" s="25"/>
    </row>
    <row r="462815" spans="21:21" x14ac:dyDescent="0.3">
      <c r="U462815" s="25"/>
    </row>
    <row r="462837" spans="21:21" x14ac:dyDescent="0.3">
      <c r="U462837" s="25"/>
    </row>
    <row r="462859" spans="21:21" x14ac:dyDescent="0.3">
      <c r="U462859" s="25"/>
    </row>
    <row r="462881" spans="21:21" x14ac:dyDescent="0.3">
      <c r="U462881" s="25"/>
    </row>
    <row r="462903" spans="21:21" x14ac:dyDescent="0.3">
      <c r="U462903" s="25"/>
    </row>
    <row r="462925" spans="21:21" x14ac:dyDescent="0.3">
      <c r="U462925" s="25"/>
    </row>
    <row r="462947" spans="21:21" x14ac:dyDescent="0.3">
      <c r="U462947" s="25"/>
    </row>
    <row r="462969" spans="21:21" x14ac:dyDescent="0.3">
      <c r="U462969" s="25"/>
    </row>
    <row r="462991" spans="21:21" x14ac:dyDescent="0.3">
      <c r="U462991" s="25"/>
    </row>
    <row r="463013" spans="21:21" x14ac:dyDescent="0.3">
      <c r="U463013" s="25"/>
    </row>
    <row r="463035" spans="21:21" x14ac:dyDescent="0.3">
      <c r="U463035" s="25"/>
    </row>
    <row r="463057" spans="21:21" x14ac:dyDescent="0.3">
      <c r="U463057" s="25"/>
    </row>
    <row r="463079" spans="21:21" x14ac:dyDescent="0.3">
      <c r="U463079" s="25"/>
    </row>
    <row r="463101" spans="21:21" x14ac:dyDescent="0.3">
      <c r="U463101" s="25"/>
    </row>
    <row r="463123" spans="21:21" x14ac:dyDescent="0.3">
      <c r="U463123" s="25"/>
    </row>
    <row r="463145" spans="21:21" x14ac:dyDescent="0.3">
      <c r="U463145" s="25"/>
    </row>
    <row r="463167" spans="21:21" x14ac:dyDescent="0.3">
      <c r="U463167" s="25"/>
    </row>
    <row r="463189" spans="21:21" x14ac:dyDescent="0.3">
      <c r="U463189" s="25"/>
    </row>
    <row r="463211" spans="21:21" x14ac:dyDescent="0.3">
      <c r="U463211" s="25"/>
    </row>
    <row r="463233" spans="21:21" x14ac:dyDescent="0.3">
      <c r="U463233" s="25"/>
    </row>
    <row r="463255" spans="21:21" x14ac:dyDescent="0.3">
      <c r="U463255" s="25"/>
    </row>
    <row r="463277" spans="21:21" x14ac:dyDescent="0.3">
      <c r="U463277" s="25"/>
    </row>
    <row r="463299" spans="21:21" x14ac:dyDescent="0.3">
      <c r="U463299" s="25"/>
    </row>
    <row r="463321" spans="21:21" x14ac:dyDescent="0.3">
      <c r="U463321" s="25"/>
    </row>
    <row r="463343" spans="21:21" x14ac:dyDescent="0.3">
      <c r="U463343" s="25"/>
    </row>
    <row r="463365" spans="21:21" x14ac:dyDescent="0.3">
      <c r="U463365" s="25"/>
    </row>
    <row r="463387" spans="21:21" x14ac:dyDescent="0.3">
      <c r="U463387" s="25"/>
    </row>
    <row r="463409" spans="21:21" x14ac:dyDescent="0.3">
      <c r="U463409" s="25"/>
    </row>
    <row r="463431" spans="21:21" x14ac:dyDescent="0.3">
      <c r="U463431" s="25"/>
    </row>
    <row r="463453" spans="21:21" x14ac:dyDescent="0.3">
      <c r="U463453" s="25"/>
    </row>
    <row r="463475" spans="21:21" x14ac:dyDescent="0.3">
      <c r="U463475" s="25"/>
    </row>
    <row r="463497" spans="21:21" x14ac:dyDescent="0.3">
      <c r="U463497" s="25"/>
    </row>
    <row r="463519" spans="21:21" x14ac:dyDescent="0.3">
      <c r="U463519" s="25"/>
    </row>
    <row r="463541" spans="21:21" x14ac:dyDescent="0.3">
      <c r="U463541" s="25"/>
    </row>
    <row r="463563" spans="21:21" x14ac:dyDescent="0.3">
      <c r="U463563" s="25"/>
    </row>
    <row r="463585" spans="21:21" x14ac:dyDescent="0.3">
      <c r="U463585" s="25"/>
    </row>
    <row r="463607" spans="21:21" x14ac:dyDescent="0.3">
      <c r="U463607" s="25"/>
    </row>
    <row r="463629" spans="21:21" x14ac:dyDescent="0.3">
      <c r="U463629" s="25"/>
    </row>
    <row r="463651" spans="21:21" x14ac:dyDescent="0.3">
      <c r="U463651" s="25"/>
    </row>
    <row r="463673" spans="21:21" x14ac:dyDescent="0.3">
      <c r="U463673" s="25"/>
    </row>
    <row r="463695" spans="21:21" x14ac:dyDescent="0.3">
      <c r="U463695" s="25"/>
    </row>
    <row r="463717" spans="21:21" x14ac:dyDescent="0.3">
      <c r="U463717" s="25"/>
    </row>
    <row r="463739" spans="21:21" x14ac:dyDescent="0.3">
      <c r="U463739" s="25"/>
    </row>
    <row r="463761" spans="21:21" x14ac:dyDescent="0.3">
      <c r="U463761" s="25"/>
    </row>
    <row r="463783" spans="21:21" x14ac:dyDescent="0.3">
      <c r="U463783" s="25"/>
    </row>
    <row r="463805" spans="21:21" x14ac:dyDescent="0.3">
      <c r="U463805" s="25"/>
    </row>
    <row r="463827" spans="21:21" x14ac:dyDescent="0.3">
      <c r="U463827" s="25"/>
    </row>
    <row r="463849" spans="21:21" x14ac:dyDescent="0.3">
      <c r="U463849" s="25"/>
    </row>
    <row r="463871" spans="21:21" x14ac:dyDescent="0.3">
      <c r="U463871" s="25"/>
    </row>
    <row r="463893" spans="21:21" x14ac:dyDescent="0.3">
      <c r="U463893" s="25"/>
    </row>
    <row r="463915" spans="21:21" x14ac:dyDescent="0.3">
      <c r="U463915" s="25"/>
    </row>
    <row r="463937" spans="21:21" x14ac:dyDescent="0.3">
      <c r="U463937" s="25"/>
    </row>
    <row r="463959" spans="21:21" x14ac:dyDescent="0.3">
      <c r="U463959" s="25"/>
    </row>
    <row r="463981" spans="21:21" x14ac:dyDescent="0.3">
      <c r="U463981" s="25"/>
    </row>
    <row r="464003" spans="21:21" x14ac:dyDescent="0.3">
      <c r="U464003" s="25"/>
    </row>
    <row r="464025" spans="21:21" x14ac:dyDescent="0.3">
      <c r="U464025" s="25"/>
    </row>
    <row r="464047" spans="21:21" x14ac:dyDescent="0.3">
      <c r="U464047" s="25"/>
    </row>
    <row r="464069" spans="21:21" x14ac:dyDescent="0.3">
      <c r="U464069" s="25"/>
    </row>
    <row r="464091" spans="21:21" x14ac:dyDescent="0.3">
      <c r="U464091" s="25"/>
    </row>
    <row r="464113" spans="21:21" x14ac:dyDescent="0.3">
      <c r="U464113" s="25"/>
    </row>
    <row r="464135" spans="21:21" x14ac:dyDescent="0.3">
      <c r="U464135" s="25"/>
    </row>
    <row r="464157" spans="21:21" x14ac:dyDescent="0.3">
      <c r="U464157" s="25"/>
    </row>
    <row r="464179" spans="21:21" x14ac:dyDescent="0.3">
      <c r="U464179" s="25"/>
    </row>
    <row r="464201" spans="21:21" x14ac:dyDescent="0.3">
      <c r="U464201" s="25"/>
    </row>
    <row r="464223" spans="21:21" x14ac:dyDescent="0.3">
      <c r="U464223" s="25"/>
    </row>
    <row r="464245" spans="21:21" x14ac:dyDescent="0.3">
      <c r="U464245" s="25"/>
    </row>
    <row r="464267" spans="21:21" x14ac:dyDescent="0.3">
      <c r="U464267" s="25"/>
    </row>
    <row r="464289" spans="21:21" x14ac:dyDescent="0.3">
      <c r="U464289" s="25"/>
    </row>
    <row r="464311" spans="21:21" x14ac:dyDescent="0.3">
      <c r="U464311" s="25"/>
    </row>
    <row r="464333" spans="21:21" x14ac:dyDescent="0.3">
      <c r="U464333" s="25"/>
    </row>
    <row r="464355" spans="21:21" x14ac:dyDescent="0.3">
      <c r="U464355" s="25"/>
    </row>
    <row r="464377" spans="21:21" x14ac:dyDescent="0.3">
      <c r="U464377" s="25"/>
    </row>
    <row r="464399" spans="21:21" x14ac:dyDescent="0.3">
      <c r="U464399" s="25"/>
    </row>
    <row r="464421" spans="21:21" x14ac:dyDescent="0.3">
      <c r="U464421" s="25"/>
    </row>
    <row r="464443" spans="21:21" x14ac:dyDescent="0.3">
      <c r="U464443" s="25"/>
    </row>
    <row r="464465" spans="21:21" x14ac:dyDescent="0.3">
      <c r="U464465" s="25"/>
    </row>
    <row r="464487" spans="21:21" x14ac:dyDescent="0.3">
      <c r="U464487" s="25"/>
    </row>
    <row r="464509" spans="21:21" x14ac:dyDescent="0.3">
      <c r="U464509" s="25"/>
    </row>
    <row r="464531" spans="21:21" x14ac:dyDescent="0.3">
      <c r="U464531" s="25"/>
    </row>
    <row r="464553" spans="21:21" x14ac:dyDescent="0.3">
      <c r="U464553" s="25"/>
    </row>
    <row r="464575" spans="21:21" x14ac:dyDescent="0.3">
      <c r="U464575" s="25"/>
    </row>
    <row r="464597" spans="21:21" x14ac:dyDescent="0.3">
      <c r="U464597" s="25"/>
    </row>
    <row r="464619" spans="21:21" x14ac:dyDescent="0.3">
      <c r="U464619" s="25"/>
    </row>
    <row r="464641" spans="21:21" x14ac:dyDescent="0.3">
      <c r="U464641" s="25"/>
    </row>
    <row r="464663" spans="21:21" x14ac:dyDescent="0.3">
      <c r="U464663" s="25"/>
    </row>
    <row r="464685" spans="21:21" x14ac:dyDescent="0.3">
      <c r="U464685" s="25"/>
    </row>
    <row r="464707" spans="21:21" x14ac:dyDescent="0.3">
      <c r="U464707" s="25"/>
    </row>
    <row r="464729" spans="21:21" x14ac:dyDescent="0.3">
      <c r="U464729" s="25"/>
    </row>
    <row r="464751" spans="21:21" x14ac:dyDescent="0.3">
      <c r="U464751" s="25"/>
    </row>
    <row r="464773" spans="21:21" x14ac:dyDescent="0.3">
      <c r="U464773" s="25"/>
    </row>
    <row r="464795" spans="21:21" x14ac:dyDescent="0.3">
      <c r="U464795" s="25"/>
    </row>
    <row r="464817" spans="21:21" x14ac:dyDescent="0.3">
      <c r="U464817" s="25"/>
    </row>
    <row r="464839" spans="21:21" x14ac:dyDescent="0.3">
      <c r="U464839" s="25"/>
    </row>
    <row r="464861" spans="21:21" x14ac:dyDescent="0.3">
      <c r="U464861" s="25"/>
    </row>
    <row r="464883" spans="21:21" x14ac:dyDescent="0.3">
      <c r="U464883" s="25"/>
    </row>
    <row r="464905" spans="21:21" x14ac:dyDescent="0.3">
      <c r="U464905" s="25"/>
    </row>
    <row r="464927" spans="21:21" x14ac:dyDescent="0.3">
      <c r="U464927" s="25"/>
    </row>
    <row r="464949" spans="21:21" x14ac:dyDescent="0.3">
      <c r="U464949" s="25"/>
    </row>
    <row r="464971" spans="21:21" x14ac:dyDescent="0.3">
      <c r="U464971" s="25"/>
    </row>
    <row r="464993" spans="21:21" x14ac:dyDescent="0.3">
      <c r="U464993" s="25"/>
    </row>
    <row r="465015" spans="21:21" x14ac:dyDescent="0.3">
      <c r="U465015" s="25"/>
    </row>
    <row r="465037" spans="21:21" x14ac:dyDescent="0.3">
      <c r="U465037" s="25"/>
    </row>
    <row r="465059" spans="21:21" x14ac:dyDescent="0.3">
      <c r="U465059" s="25"/>
    </row>
    <row r="465081" spans="21:21" x14ac:dyDescent="0.3">
      <c r="U465081" s="25"/>
    </row>
    <row r="465103" spans="21:21" x14ac:dyDescent="0.3">
      <c r="U465103" s="25"/>
    </row>
    <row r="465125" spans="21:21" x14ac:dyDescent="0.3">
      <c r="U465125" s="25"/>
    </row>
    <row r="465147" spans="21:21" x14ac:dyDescent="0.3">
      <c r="U465147" s="25"/>
    </row>
    <row r="465169" spans="21:21" x14ac:dyDescent="0.3">
      <c r="U465169" s="25"/>
    </row>
    <row r="465191" spans="21:21" x14ac:dyDescent="0.3">
      <c r="U465191" s="25"/>
    </row>
    <row r="465213" spans="21:21" x14ac:dyDescent="0.3">
      <c r="U465213" s="25"/>
    </row>
    <row r="465235" spans="21:21" x14ac:dyDescent="0.3">
      <c r="U465235" s="25"/>
    </row>
    <row r="465257" spans="21:21" x14ac:dyDescent="0.3">
      <c r="U465257" s="25"/>
    </row>
    <row r="465279" spans="21:21" x14ac:dyDescent="0.3">
      <c r="U465279" s="25"/>
    </row>
    <row r="465301" spans="21:21" x14ac:dyDescent="0.3">
      <c r="U465301" s="25"/>
    </row>
    <row r="465323" spans="21:21" x14ac:dyDescent="0.3">
      <c r="U465323" s="25"/>
    </row>
    <row r="465345" spans="21:21" x14ac:dyDescent="0.3">
      <c r="U465345" s="25"/>
    </row>
    <row r="465367" spans="21:21" x14ac:dyDescent="0.3">
      <c r="U465367" s="25"/>
    </row>
    <row r="465389" spans="21:21" x14ac:dyDescent="0.3">
      <c r="U465389" s="25"/>
    </row>
    <row r="465411" spans="21:21" x14ac:dyDescent="0.3">
      <c r="U465411" s="25"/>
    </row>
    <row r="465433" spans="21:21" x14ac:dyDescent="0.3">
      <c r="U465433" s="25"/>
    </row>
    <row r="465455" spans="21:21" x14ac:dyDescent="0.3">
      <c r="U465455" s="25"/>
    </row>
    <row r="465477" spans="21:21" x14ac:dyDescent="0.3">
      <c r="U465477" s="25"/>
    </row>
    <row r="465499" spans="21:21" x14ac:dyDescent="0.3">
      <c r="U465499" s="25"/>
    </row>
    <row r="465521" spans="21:21" x14ac:dyDescent="0.3">
      <c r="U465521" s="25"/>
    </row>
    <row r="465543" spans="21:21" x14ac:dyDescent="0.3">
      <c r="U465543" s="25"/>
    </row>
    <row r="465565" spans="21:21" x14ac:dyDescent="0.3">
      <c r="U465565" s="25"/>
    </row>
    <row r="465587" spans="21:21" x14ac:dyDescent="0.3">
      <c r="U465587" s="25"/>
    </row>
    <row r="465609" spans="21:21" x14ac:dyDescent="0.3">
      <c r="U465609" s="25"/>
    </row>
    <row r="465631" spans="21:21" x14ac:dyDescent="0.3">
      <c r="U465631" s="25"/>
    </row>
    <row r="465653" spans="21:21" x14ac:dyDescent="0.3">
      <c r="U465653" s="25"/>
    </row>
    <row r="465675" spans="21:21" x14ac:dyDescent="0.3">
      <c r="U465675" s="25"/>
    </row>
    <row r="465697" spans="21:21" x14ac:dyDescent="0.3">
      <c r="U465697" s="25"/>
    </row>
    <row r="465719" spans="21:21" x14ac:dyDescent="0.3">
      <c r="U465719" s="25"/>
    </row>
    <row r="465741" spans="21:21" x14ac:dyDescent="0.3">
      <c r="U465741" s="25"/>
    </row>
    <row r="465763" spans="21:21" x14ac:dyDescent="0.3">
      <c r="U465763" s="25"/>
    </row>
    <row r="465785" spans="21:21" x14ac:dyDescent="0.3">
      <c r="U465785" s="25"/>
    </row>
    <row r="465807" spans="21:21" x14ac:dyDescent="0.3">
      <c r="U465807" s="25"/>
    </row>
    <row r="465829" spans="21:21" x14ac:dyDescent="0.3">
      <c r="U465829" s="25"/>
    </row>
    <row r="465851" spans="21:21" x14ac:dyDescent="0.3">
      <c r="U465851" s="25"/>
    </row>
    <row r="465873" spans="21:21" x14ac:dyDescent="0.3">
      <c r="U465873" s="25"/>
    </row>
    <row r="465895" spans="21:21" x14ac:dyDescent="0.3">
      <c r="U465895" s="25"/>
    </row>
    <row r="465917" spans="21:21" x14ac:dyDescent="0.3">
      <c r="U465917" s="25"/>
    </row>
    <row r="465939" spans="21:21" x14ac:dyDescent="0.3">
      <c r="U465939" s="25"/>
    </row>
    <row r="465961" spans="21:21" x14ac:dyDescent="0.3">
      <c r="U465961" s="25"/>
    </row>
    <row r="465983" spans="21:21" x14ac:dyDescent="0.3">
      <c r="U465983" s="25"/>
    </row>
    <row r="466005" spans="21:21" x14ac:dyDescent="0.3">
      <c r="U466005" s="25"/>
    </row>
    <row r="466027" spans="21:21" x14ac:dyDescent="0.3">
      <c r="U466027" s="25"/>
    </row>
    <row r="466049" spans="21:21" x14ac:dyDescent="0.3">
      <c r="U466049" s="25"/>
    </row>
    <row r="466071" spans="21:21" x14ac:dyDescent="0.3">
      <c r="U466071" s="25"/>
    </row>
    <row r="466093" spans="21:21" x14ac:dyDescent="0.3">
      <c r="U466093" s="25"/>
    </row>
    <row r="466115" spans="21:21" x14ac:dyDescent="0.3">
      <c r="U466115" s="25"/>
    </row>
    <row r="466137" spans="21:21" x14ac:dyDescent="0.3">
      <c r="U466137" s="25"/>
    </row>
    <row r="466159" spans="21:21" x14ac:dyDescent="0.3">
      <c r="U466159" s="25"/>
    </row>
    <row r="466181" spans="21:21" x14ac:dyDescent="0.3">
      <c r="U466181" s="25"/>
    </row>
    <row r="466203" spans="21:21" x14ac:dyDescent="0.3">
      <c r="U466203" s="25"/>
    </row>
    <row r="466225" spans="21:21" x14ac:dyDescent="0.3">
      <c r="U466225" s="25"/>
    </row>
    <row r="466247" spans="21:21" x14ac:dyDescent="0.3">
      <c r="U466247" s="25"/>
    </row>
    <row r="466269" spans="21:21" x14ac:dyDescent="0.3">
      <c r="U466269" s="25"/>
    </row>
    <row r="466291" spans="21:21" x14ac:dyDescent="0.3">
      <c r="U466291" s="25"/>
    </row>
    <row r="466313" spans="21:21" x14ac:dyDescent="0.3">
      <c r="U466313" s="25"/>
    </row>
    <row r="466335" spans="21:21" x14ac:dyDescent="0.3">
      <c r="U466335" s="25"/>
    </row>
    <row r="466357" spans="21:21" x14ac:dyDescent="0.3">
      <c r="U466357" s="25"/>
    </row>
    <row r="466379" spans="21:21" x14ac:dyDescent="0.3">
      <c r="U466379" s="25"/>
    </row>
    <row r="466401" spans="21:21" x14ac:dyDescent="0.3">
      <c r="U466401" s="25"/>
    </row>
    <row r="466423" spans="21:21" x14ac:dyDescent="0.3">
      <c r="U466423" s="25"/>
    </row>
    <row r="466445" spans="21:21" x14ac:dyDescent="0.3">
      <c r="U466445" s="25"/>
    </row>
    <row r="466467" spans="21:21" x14ac:dyDescent="0.3">
      <c r="U466467" s="25"/>
    </row>
    <row r="466489" spans="21:21" x14ac:dyDescent="0.3">
      <c r="U466489" s="25"/>
    </row>
    <row r="466511" spans="21:21" x14ac:dyDescent="0.3">
      <c r="U466511" s="25"/>
    </row>
    <row r="466533" spans="21:21" x14ac:dyDescent="0.3">
      <c r="U466533" s="25"/>
    </row>
    <row r="466555" spans="21:21" x14ac:dyDescent="0.3">
      <c r="U466555" s="25"/>
    </row>
    <row r="466577" spans="21:21" x14ac:dyDescent="0.3">
      <c r="U466577" s="25"/>
    </row>
    <row r="466599" spans="21:21" x14ac:dyDescent="0.3">
      <c r="U466599" s="25"/>
    </row>
    <row r="466621" spans="21:21" x14ac:dyDescent="0.3">
      <c r="U466621" s="25"/>
    </row>
    <row r="466643" spans="21:21" x14ac:dyDescent="0.3">
      <c r="U466643" s="25"/>
    </row>
    <row r="466665" spans="21:21" x14ac:dyDescent="0.3">
      <c r="U466665" s="25"/>
    </row>
    <row r="466687" spans="21:21" x14ac:dyDescent="0.3">
      <c r="U466687" s="25"/>
    </row>
    <row r="466709" spans="21:21" x14ac:dyDescent="0.3">
      <c r="U466709" s="25"/>
    </row>
    <row r="466731" spans="21:21" x14ac:dyDescent="0.3">
      <c r="U466731" s="25"/>
    </row>
    <row r="466753" spans="21:21" x14ac:dyDescent="0.3">
      <c r="U466753" s="25"/>
    </row>
    <row r="466775" spans="21:21" x14ac:dyDescent="0.3">
      <c r="U466775" s="25"/>
    </row>
    <row r="466797" spans="21:21" x14ac:dyDescent="0.3">
      <c r="U466797" s="25"/>
    </row>
    <row r="466819" spans="21:21" x14ac:dyDescent="0.3">
      <c r="U466819" s="25"/>
    </row>
    <row r="466841" spans="21:21" x14ac:dyDescent="0.3">
      <c r="U466841" s="25"/>
    </row>
    <row r="466863" spans="21:21" x14ac:dyDescent="0.3">
      <c r="U466863" s="25"/>
    </row>
    <row r="466885" spans="21:21" x14ac:dyDescent="0.3">
      <c r="U466885" s="25"/>
    </row>
    <row r="466907" spans="21:21" x14ac:dyDescent="0.3">
      <c r="U466907" s="25"/>
    </row>
    <row r="466929" spans="21:21" x14ac:dyDescent="0.3">
      <c r="U466929" s="25"/>
    </row>
    <row r="466951" spans="21:21" x14ac:dyDescent="0.3">
      <c r="U466951" s="25"/>
    </row>
    <row r="466973" spans="21:21" x14ac:dyDescent="0.3">
      <c r="U466973" s="25"/>
    </row>
    <row r="466995" spans="21:21" x14ac:dyDescent="0.3">
      <c r="U466995" s="25"/>
    </row>
    <row r="467017" spans="21:21" x14ac:dyDescent="0.3">
      <c r="U467017" s="25"/>
    </row>
    <row r="467039" spans="21:21" x14ac:dyDescent="0.3">
      <c r="U467039" s="25"/>
    </row>
    <row r="467061" spans="21:21" x14ac:dyDescent="0.3">
      <c r="U467061" s="25"/>
    </row>
    <row r="467083" spans="21:21" x14ac:dyDescent="0.3">
      <c r="U467083" s="25"/>
    </row>
    <row r="467105" spans="21:21" x14ac:dyDescent="0.3">
      <c r="U467105" s="25"/>
    </row>
    <row r="467127" spans="21:21" x14ac:dyDescent="0.3">
      <c r="U467127" s="25"/>
    </row>
    <row r="467149" spans="21:21" x14ac:dyDescent="0.3">
      <c r="U467149" s="25"/>
    </row>
    <row r="467171" spans="21:21" x14ac:dyDescent="0.3">
      <c r="U467171" s="25"/>
    </row>
    <row r="467193" spans="21:21" x14ac:dyDescent="0.3">
      <c r="U467193" s="25"/>
    </row>
    <row r="467215" spans="21:21" x14ac:dyDescent="0.3">
      <c r="U467215" s="25"/>
    </row>
    <row r="467237" spans="21:21" x14ac:dyDescent="0.3">
      <c r="U467237" s="25"/>
    </row>
    <row r="467259" spans="21:21" x14ac:dyDescent="0.3">
      <c r="U467259" s="25"/>
    </row>
    <row r="467281" spans="21:21" x14ac:dyDescent="0.3">
      <c r="U467281" s="25"/>
    </row>
    <row r="467303" spans="21:21" x14ac:dyDescent="0.3">
      <c r="U467303" s="25"/>
    </row>
    <row r="467325" spans="21:21" x14ac:dyDescent="0.3">
      <c r="U467325" s="25"/>
    </row>
    <row r="467347" spans="21:21" x14ac:dyDescent="0.3">
      <c r="U467347" s="25"/>
    </row>
    <row r="467369" spans="21:21" x14ac:dyDescent="0.3">
      <c r="U467369" s="25"/>
    </row>
    <row r="467391" spans="21:21" x14ac:dyDescent="0.3">
      <c r="U467391" s="25"/>
    </row>
    <row r="467413" spans="21:21" x14ac:dyDescent="0.3">
      <c r="U467413" s="25"/>
    </row>
    <row r="467435" spans="21:21" x14ac:dyDescent="0.3">
      <c r="U467435" s="25"/>
    </row>
    <row r="467457" spans="21:21" x14ac:dyDescent="0.3">
      <c r="U467457" s="25"/>
    </row>
    <row r="467479" spans="21:21" x14ac:dyDescent="0.3">
      <c r="U467479" s="25"/>
    </row>
    <row r="467501" spans="21:21" x14ac:dyDescent="0.3">
      <c r="U467501" s="25"/>
    </row>
    <row r="467523" spans="21:21" x14ac:dyDescent="0.3">
      <c r="U467523" s="25"/>
    </row>
    <row r="467545" spans="21:21" x14ac:dyDescent="0.3">
      <c r="U467545" s="25"/>
    </row>
    <row r="467567" spans="21:21" x14ac:dyDescent="0.3">
      <c r="U467567" s="25"/>
    </row>
    <row r="467589" spans="21:21" x14ac:dyDescent="0.3">
      <c r="U467589" s="25"/>
    </row>
    <row r="467611" spans="21:21" x14ac:dyDescent="0.3">
      <c r="U467611" s="25"/>
    </row>
    <row r="467633" spans="21:21" x14ac:dyDescent="0.3">
      <c r="U467633" s="25"/>
    </row>
    <row r="467655" spans="21:21" x14ac:dyDescent="0.3">
      <c r="U467655" s="25"/>
    </row>
    <row r="467677" spans="21:21" x14ac:dyDescent="0.3">
      <c r="U467677" s="25"/>
    </row>
    <row r="467699" spans="21:21" x14ac:dyDescent="0.3">
      <c r="U467699" s="25"/>
    </row>
    <row r="467721" spans="21:21" x14ac:dyDescent="0.3">
      <c r="U467721" s="25"/>
    </row>
    <row r="467743" spans="21:21" x14ac:dyDescent="0.3">
      <c r="U467743" s="25"/>
    </row>
    <row r="467765" spans="21:21" x14ac:dyDescent="0.3">
      <c r="U467765" s="25"/>
    </row>
    <row r="467787" spans="21:21" x14ac:dyDescent="0.3">
      <c r="U467787" s="25"/>
    </row>
    <row r="467809" spans="21:21" x14ac:dyDescent="0.3">
      <c r="U467809" s="25"/>
    </row>
    <row r="467831" spans="21:21" x14ac:dyDescent="0.3">
      <c r="U467831" s="25"/>
    </row>
    <row r="467853" spans="21:21" x14ac:dyDescent="0.3">
      <c r="U467853" s="25"/>
    </row>
    <row r="467875" spans="21:21" x14ac:dyDescent="0.3">
      <c r="U467875" s="25"/>
    </row>
    <row r="467897" spans="21:21" x14ac:dyDescent="0.3">
      <c r="U467897" s="25"/>
    </row>
    <row r="467919" spans="21:21" x14ac:dyDescent="0.3">
      <c r="U467919" s="25"/>
    </row>
    <row r="467941" spans="21:21" x14ac:dyDescent="0.3">
      <c r="U467941" s="25"/>
    </row>
    <row r="467963" spans="21:21" x14ac:dyDescent="0.3">
      <c r="U467963" s="25"/>
    </row>
    <row r="467985" spans="21:21" x14ac:dyDescent="0.3">
      <c r="U467985" s="25"/>
    </row>
    <row r="468007" spans="21:21" x14ac:dyDescent="0.3">
      <c r="U468007" s="25"/>
    </row>
    <row r="468029" spans="21:21" x14ac:dyDescent="0.3">
      <c r="U468029" s="25"/>
    </row>
    <row r="468051" spans="21:21" x14ac:dyDescent="0.3">
      <c r="U468051" s="25"/>
    </row>
    <row r="468073" spans="21:21" x14ac:dyDescent="0.3">
      <c r="U468073" s="25"/>
    </row>
    <row r="468095" spans="21:21" x14ac:dyDescent="0.3">
      <c r="U468095" s="25"/>
    </row>
    <row r="468117" spans="21:21" x14ac:dyDescent="0.3">
      <c r="U468117" s="25"/>
    </row>
    <row r="468139" spans="21:21" x14ac:dyDescent="0.3">
      <c r="U468139" s="25"/>
    </row>
    <row r="468161" spans="21:21" x14ac:dyDescent="0.3">
      <c r="U468161" s="25"/>
    </row>
    <row r="468183" spans="21:21" x14ac:dyDescent="0.3">
      <c r="U468183" s="25"/>
    </row>
    <row r="468205" spans="21:21" x14ac:dyDescent="0.3">
      <c r="U468205" s="25"/>
    </row>
    <row r="468227" spans="21:21" x14ac:dyDescent="0.3">
      <c r="U468227" s="25"/>
    </row>
    <row r="468249" spans="21:21" x14ac:dyDescent="0.3">
      <c r="U468249" s="25"/>
    </row>
    <row r="468271" spans="21:21" x14ac:dyDescent="0.3">
      <c r="U468271" s="25"/>
    </row>
    <row r="468293" spans="21:21" x14ac:dyDescent="0.3">
      <c r="U468293" s="25"/>
    </row>
    <row r="468315" spans="21:21" x14ac:dyDescent="0.3">
      <c r="U468315" s="25"/>
    </row>
    <row r="468337" spans="21:21" x14ac:dyDescent="0.3">
      <c r="U468337" s="25"/>
    </row>
    <row r="468359" spans="21:21" x14ac:dyDescent="0.3">
      <c r="U468359" s="25"/>
    </row>
    <row r="468381" spans="21:21" x14ac:dyDescent="0.3">
      <c r="U468381" s="25"/>
    </row>
    <row r="468403" spans="21:21" x14ac:dyDescent="0.3">
      <c r="U468403" s="25"/>
    </row>
    <row r="468425" spans="21:21" x14ac:dyDescent="0.3">
      <c r="U468425" s="25"/>
    </row>
    <row r="468447" spans="21:21" x14ac:dyDescent="0.3">
      <c r="U468447" s="25"/>
    </row>
    <row r="468469" spans="21:21" x14ac:dyDescent="0.3">
      <c r="U468469" s="25"/>
    </row>
    <row r="468491" spans="21:21" x14ac:dyDescent="0.3">
      <c r="U468491" s="25"/>
    </row>
    <row r="468513" spans="21:21" x14ac:dyDescent="0.3">
      <c r="U468513" s="25"/>
    </row>
    <row r="468535" spans="21:21" x14ac:dyDescent="0.3">
      <c r="U468535" s="25"/>
    </row>
    <row r="468557" spans="21:21" x14ac:dyDescent="0.3">
      <c r="U468557" s="25"/>
    </row>
    <row r="468579" spans="21:21" x14ac:dyDescent="0.3">
      <c r="U468579" s="25"/>
    </row>
    <row r="468601" spans="21:21" x14ac:dyDescent="0.3">
      <c r="U468601" s="25"/>
    </row>
    <row r="468623" spans="21:21" x14ac:dyDescent="0.3">
      <c r="U468623" s="25"/>
    </row>
    <row r="468645" spans="21:21" x14ac:dyDescent="0.3">
      <c r="U468645" s="25"/>
    </row>
    <row r="468667" spans="21:21" x14ac:dyDescent="0.3">
      <c r="U468667" s="25"/>
    </row>
    <row r="468689" spans="21:21" x14ac:dyDescent="0.3">
      <c r="U468689" s="25"/>
    </row>
    <row r="468711" spans="21:21" x14ac:dyDescent="0.3">
      <c r="U468711" s="25"/>
    </row>
    <row r="468733" spans="21:21" x14ac:dyDescent="0.3">
      <c r="U468733" s="25"/>
    </row>
    <row r="468755" spans="21:21" x14ac:dyDescent="0.3">
      <c r="U468755" s="25"/>
    </row>
    <row r="468777" spans="21:21" x14ac:dyDescent="0.3">
      <c r="U468777" s="25"/>
    </row>
    <row r="468799" spans="21:21" x14ac:dyDescent="0.3">
      <c r="U468799" s="25"/>
    </row>
    <row r="468821" spans="21:21" x14ac:dyDescent="0.3">
      <c r="U468821" s="25"/>
    </row>
    <row r="468843" spans="21:21" x14ac:dyDescent="0.3">
      <c r="U468843" s="25"/>
    </row>
    <row r="468865" spans="21:21" x14ac:dyDescent="0.3">
      <c r="U468865" s="25"/>
    </row>
    <row r="468887" spans="21:21" x14ac:dyDescent="0.3">
      <c r="U468887" s="25"/>
    </row>
    <row r="468909" spans="21:21" x14ac:dyDescent="0.3">
      <c r="U468909" s="25"/>
    </row>
    <row r="468931" spans="21:21" x14ac:dyDescent="0.3">
      <c r="U468931" s="25"/>
    </row>
    <row r="468953" spans="21:21" x14ac:dyDescent="0.3">
      <c r="U468953" s="25"/>
    </row>
    <row r="468975" spans="21:21" x14ac:dyDescent="0.3">
      <c r="U468975" s="25"/>
    </row>
    <row r="468997" spans="21:21" x14ac:dyDescent="0.3">
      <c r="U468997" s="25"/>
    </row>
    <row r="469019" spans="21:21" x14ac:dyDescent="0.3">
      <c r="U469019" s="25"/>
    </row>
    <row r="469041" spans="21:21" x14ac:dyDescent="0.3">
      <c r="U469041" s="25"/>
    </row>
    <row r="469063" spans="21:21" x14ac:dyDescent="0.3">
      <c r="U469063" s="25"/>
    </row>
    <row r="469085" spans="21:21" x14ac:dyDescent="0.3">
      <c r="U469085" s="25"/>
    </row>
    <row r="469107" spans="21:21" x14ac:dyDescent="0.3">
      <c r="U469107" s="25"/>
    </row>
    <row r="469129" spans="21:21" x14ac:dyDescent="0.3">
      <c r="U469129" s="25"/>
    </row>
    <row r="469151" spans="21:21" x14ac:dyDescent="0.3">
      <c r="U469151" s="25"/>
    </row>
    <row r="469173" spans="21:21" x14ac:dyDescent="0.3">
      <c r="U469173" s="25"/>
    </row>
    <row r="469195" spans="21:21" x14ac:dyDescent="0.3">
      <c r="U469195" s="25"/>
    </row>
    <row r="469217" spans="21:21" x14ac:dyDescent="0.3">
      <c r="U469217" s="25"/>
    </row>
    <row r="469239" spans="21:21" x14ac:dyDescent="0.3">
      <c r="U469239" s="25"/>
    </row>
    <row r="469261" spans="21:21" x14ac:dyDescent="0.3">
      <c r="U469261" s="25"/>
    </row>
    <row r="469283" spans="21:21" x14ac:dyDescent="0.3">
      <c r="U469283" s="25"/>
    </row>
    <row r="469305" spans="21:21" x14ac:dyDescent="0.3">
      <c r="U469305" s="25"/>
    </row>
    <row r="469327" spans="21:21" x14ac:dyDescent="0.3">
      <c r="U469327" s="25"/>
    </row>
    <row r="469349" spans="21:21" x14ac:dyDescent="0.3">
      <c r="U469349" s="25"/>
    </row>
    <row r="469371" spans="21:21" x14ac:dyDescent="0.3">
      <c r="U469371" s="25"/>
    </row>
    <row r="469393" spans="21:21" x14ac:dyDescent="0.3">
      <c r="U469393" s="25"/>
    </row>
    <row r="469415" spans="21:21" x14ac:dyDescent="0.3">
      <c r="U469415" s="25"/>
    </row>
    <row r="469437" spans="21:21" x14ac:dyDescent="0.3">
      <c r="U469437" s="25"/>
    </row>
    <row r="469459" spans="21:21" x14ac:dyDescent="0.3">
      <c r="U469459" s="25"/>
    </row>
    <row r="469481" spans="21:21" x14ac:dyDescent="0.3">
      <c r="U469481" s="25"/>
    </row>
    <row r="469503" spans="21:21" x14ac:dyDescent="0.3">
      <c r="U469503" s="25"/>
    </row>
    <row r="469525" spans="21:21" x14ac:dyDescent="0.3">
      <c r="U469525" s="25"/>
    </row>
    <row r="469547" spans="21:21" x14ac:dyDescent="0.3">
      <c r="U469547" s="25"/>
    </row>
    <row r="469569" spans="21:21" x14ac:dyDescent="0.3">
      <c r="U469569" s="25"/>
    </row>
    <row r="469591" spans="21:21" x14ac:dyDescent="0.3">
      <c r="U469591" s="25"/>
    </row>
    <row r="469613" spans="21:21" x14ac:dyDescent="0.3">
      <c r="U469613" s="25"/>
    </row>
    <row r="469635" spans="21:21" x14ac:dyDescent="0.3">
      <c r="U469635" s="25"/>
    </row>
    <row r="469657" spans="21:21" x14ac:dyDescent="0.3">
      <c r="U469657" s="25"/>
    </row>
    <row r="469679" spans="21:21" x14ac:dyDescent="0.3">
      <c r="U469679" s="25"/>
    </row>
    <row r="469701" spans="21:21" x14ac:dyDescent="0.3">
      <c r="U469701" s="25"/>
    </row>
    <row r="469723" spans="21:21" x14ac:dyDescent="0.3">
      <c r="U469723" s="25"/>
    </row>
    <row r="469745" spans="21:21" x14ac:dyDescent="0.3">
      <c r="U469745" s="25"/>
    </row>
    <row r="469767" spans="21:21" x14ac:dyDescent="0.3">
      <c r="U469767" s="25"/>
    </row>
    <row r="469789" spans="21:21" x14ac:dyDescent="0.3">
      <c r="U469789" s="25"/>
    </row>
    <row r="469811" spans="21:21" x14ac:dyDescent="0.3">
      <c r="U469811" s="25"/>
    </row>
    <row r="469833" spans="21:21" x14ac:dyDescent="0.3">
      <c r="U469833" s="25"/>
    </row>
    <row r="469855" spans="21:21" x14ac:dyDescent="0.3">
      <c r="U469855" s="25"/>
    </row>
    <row r="469877" spans="21:21" x14ac:dyDescent="0.3">
      <c r="U469877" s="25"/>
    </row>
    <row r="469899" spans="21:21" x14ac:dyDescent="0.3">
      <c r="U469899" s="25"/>
    </row>
    <row r="469921" spans="21:21" x14ac:dyDescent="0.3">
      <c r="U469921" s="25"/>
    </row>
    <row r="469943" spans="21:21" x14ac:dyDescent="0.3">
      <c r="U469943" s="25"/>
    </row>
    <row r="469965" spans="21:21" x14ac:dyDescent="0.3">
      <c r="U469965" s="25"/>
    </row>
    <row r="469987" spans="21:21" x14ac:dyDescent="0.3">
      <c r="U469987" s="25"/>
    </row>
    <row r="470009" spans="21:21" x14ac:dyDescent="0.3">
      <c r="U470009" s="25"/>
    </row>
    <row r="470031" spans="21:21" x14ac:dyDescent="0.3">
      <c r="U470031" s="25"/>
    </row>
    <row r="470053" spans="21:21" x14ac:dyDescent="0.3">
      <c r="U470053" s="25"/>
    </row>
    <row r="470075" spans="21:21" x14ac:dyDescent="0.3">
      <c r="U470075" s="25"/>
    </row>
    <row r="470097" spans="21:21" x14ac:dyDescent="0.3">
      <c r="U470097" s="25"/>
    </row>
    <row r="470119" spans="21:21" x14ac:dyDescent="0.3">
      <c r="U470119" s="25"/>
    </row>
    <row r="470141" spans="21:21" x14ac:dyDescent="0.3">
      <c r="U470141" s="25"/>
    </row>
    <row r="470163" spans="21:21" x14ac:dyDescent="0.3">
      <c r="U470163" s="25"/>
    </row>
    <row r="470185" spans="21:21" x14ac:dyDescent="0.3">
      <c r="U470185" s="25"/>
    </row>
    <row r="470207" spans="21:21" x14ac:dyDescent="0.3">
      <c r="U470207" s="25"/>
    </row>
    <row r="470229" spans="21:21" x14ac:dyDescent="0.3">
      <c r="U470229" s="25"/>
    </row>
    <row r="470251" spans="21:21" x14ac:dyDescent="0.3">
      <c r="U470251" s="25"/>
    </row>
    <row r="470273" spans="21:21" x14ac:dyDescent="0.3">
      <c r="U470273" s="25"/>
    </row>
    <row r="470295" spans="21:21" x14ac:dyDescent="0.3">
      <c r="U470295" s="25"/>
    </row>
    <row r="470317" spans="21:21" x14ac:dyDescent="0.3">
      <c r="U470317" s="25"/>
    </row>
    <row r="470339" spans="21:21" x14ac:dyDescent="0.3">
      <c r="U470339" s="25"/>
    </row>
    <row r="470361" spans="21:21" x14ac:dyDescent="0.3">
      <c r="U470361" s="25"/>
    </row>
    <row r="470383" spans="21:21" x14ac:dyDescent="0.3">
      <c r="U470383" s="25"/>
    </row>
    <row r="470405" spans="21:21" x14ac:dyDescent="0.3">
      <c r="U470405" s="25"/>
    </row>
    <row r="470427" spans="21:21" x14ac:dyDescent="0.3">
      <c r="U470427" s="25"/>
    </row>
    <row r="470449" spans="21:21" x14ac:dyDescent="0.3">
      <c r="U470449" s="25"/>
    </row>
    <row r="470471" spans="21:21" x14ac:dyDescent="0.3">
      <c r="U470471" s="25"/>
    </row>
    <row r="470493" spans="21:21" x14ac:dyDescent="0.3">
      <c r="U470493" s="25"/>
    </row>
    <row r="470515" spans="21:21" x14ac:dyDescent="0.3">
      <c r="U470515" s="25"/>
    </row>
    <row r="470537" spans="21:21" x14ac:dyDescent="0.3">
      <c r="U470537" s="25"/>
    </row>
    <row r="470559" spans="21:21" x14ac:dyDescent="0.3">
      <c r="U470559" s="25"/>
    </row>
    <row r="470581" spans="21:21" x14ac:dyDescent="0.3">
      <c r="U470581" s="25"/>
    </row>
    <row r="470603" spans="21:21" x14ac:dyDescent="0.3">
      <c r="U470603" s="25"/>
    </row>
    <row r="470625" spans="21:21" x14ac:dyDescent="0.3">
      <c r="U470625" s="25"/>
    </row>
    <row r="470647" spans="21:21" x14ac:dyDescent="0.3">
      <c r="U470647" s="25"/>
    </row>
    <row r="470669" spans="21:21" x14ac:dyDescent="0.3">
      <c r="U470669" s="25"/>
    </row>
    <row r="470691" spans="21:21" x14ac:dyDescent="0.3">
      <c r="U470691" s="25"/>
    </row>
    <row r="470713" spans="21:21" x14ac:dyDescent="0.3">
      <c r="U470713" s="25"/>
    </row>
    <row r="470735" spans="21:21" x14ac:dyDescent="0.3">
      <c r="U470735" s="25"/>
    </row>
    <row r="470757" spans="21:21" x14ac:dyDescent="0.3">
      <c r="U470757" s="25"/>
    </row>
    <row r="470779" spans="21:21" x14ac:dyDescent="0.3">
      <c r="U470779" s="25"/>
    </row>
    <row r="470801" spans="21:21" x14ac:dyDescent="0.3">
      <c r="U470801" s="25"/>
    </row>
    <row r="470823" spans="21:21" x14ac:dyDescent="0.3">
      <c r="U470823" s="25"/>
    </row>
    <row r="470845" spans="21:21" x14ac:dyDescent="0.3">
      <c r="U470845" s="25"/>
    </row>
    <row r="470867" spans="21:21" x14ac:dyDescent="0.3">
      <c r="U470867" s="25"/>
    </row>
    <row r="470889" spans="21:21" x14ac:dyDescent="0.3">
      <c r="U470889" s="25"/>
    </row>
    <row r="470911" spans="21:21" x14ac:dyDescent="0.3">
      <c r="U470911" s="25"/>
    </row>
    <row r="470933" spans="21:21" x14ac:dyDescent="0.3">
      <c r="U470933" s="25"/>
    </row>
    <row r="470955" spans="21:21" x14ac:dyDescent="0.3">
      <c r="U470955" s="25"/>
    </row>
    <row r="470977" spans="21:21" x14ac:dyDescent="0.3">
      <c r="U470977" s="25"/>
    </row>
    <row r="470999" spans="21:21" x14ac:dyDescent="0.3">
      <c r="U470999" s="25"/>
    </row>
    <row r="471021" spans="21:21" x14ac:dyDescent="0.3">
      <c r="U471021" s="25"/>
    </row>
    <row r="471043" spans="21:21" x14ac:dyDescent="0.3">
      <c r="U471043" s="25"/>
    </row>
    <row r="471065" spans="21:21" x14ac:dyDescent="0.3">
      <c r="U471065" s="25"/>
    </row>
    <row r="471087" spans="21:21" x14ac:dyDescent="0.3">
      <c r="U471087" s="25"/>
    </row>
    <row r="471109" spans="21:21" x14ac:dyDescent="0.3">
      <c r="U471109" s="25"/>
    </row>
    <row r="471131" spans="21:21" x14ac:dyDescent="0.3">
      <c r="U471131" s="25"/>
    </row>
    <row r="471153" spans="21:21" x14ac:dyDescent="0.3">
      <c r="U471153" s="25"/>
    </row>
    <row r="471175" spans="21:21" x14ac:dyDescent="0.3">
      <c r="U471175" s="25"/>
    </row>
    <row r="471197" spans="21:21" x14ac:dyDescent="0.3">
      <c r="U471197" s="25"/>
    </row>
    <row r="471219" spans="21:21" x14ac:dyDescent="0.3">
      <c r="U471219" s="25"/>
    </row>
    <row r="471241" spans="21:21" x14ac:dyDescent="0.3">
      <c r="U471241" s="25"/>
    </row>
    <row r="471263" spans="21:21" x14ac:dyDescent="0.3">
      <c r="U471263" s="25"/>
    </row>
    <row r="471285" spans="21:21" x14ac:dyDescent="0.3">
      <c r="U471285" s="25"/>
    </row>
    <row r="471307" spans="21:21" x14ac:dyDescent="0.3">
      <c r="U471307" s="25"/>
    </row>
    <row r="471329" spans="21:21" x14ac:dyDescent="0.3">
      <c r="U471329" s="25"/>
    </row>
    <row r="471351" spans="21:21" x14ac:dyDescent="0.3">
      <c r="U471351" s="25"/>
    </row>
    <row r="471373" spans="21:21" x14ac:dyDescent="0.3">
      <c r="U471373" s="25"/>
    </row>
    <row r="471395" spans="21:21" x14ac:dyDescent="0.3">
      <c r="U471395" s="25"/>
    </row>
    <row r="471417" spans="21:21" x14ac:dyDescent="0.3">
      <c r="U471417" s="25"/>
    </row>
    <row r="471439" spans="21:21" x14ac:dyDescent="0.3">
      <c r="U471439" s="25"/>
    </row>
    <row r="471461" spans="21:21" x14ac:dyDescent="0.3">
      <c r="U471461" s="25"/>
    </row>
    <row r="471483" spans="21:21" x14ac:dyDescent="0.3">
      <c r="U471483" s="25"/>
    </row>
    <row r="471505" spans="21:21" x14ac:dyDescent="0.3">
      <c r="U471505" s="25"/>
    </row>
    <row r="471527" spans="21:21" x14ac:dyDescent="0.3">
      <c r="U471527" s="25"/>
    </row>
    <row r="471549" spans="21:21" x14ac:dyDescent="0.3">
      <c r="U471549" s="25"/>
    </row>
    <row r="471571" spans="21:21" x14ac:dyDescent="0.3">
      <c r="U471571" s="25"/>
    </row>
    <row r="471593" spans="21:21" x14ac:dyDescent="0.3">
      <c r="U471593" s="25"/>
    </row>
    <row r="471615" spans="21:21" x14ac:dyDescent="0.3">
      <c r="U471615" s="25"/>
    </row>
    <row r="471637" spans="21:21" x14ac:dyDescent="0.3">
      <c r="U471637" s="25"/>
    </row>
    <row r="471659" spans="21:21" x14ac:dyDescent="0.3">
      <c r="U471659" s="25"/>
    </row>
    <row r="471681" spans="21:21" x14ac:dyDescent="0.3">
      <c r="U471681" s="25"/>
    </row>
    <row r="471703" spans="21:21" x14ac:dyDescent="0.3">
      <c r="U471703" s="25"/>
    </row>
    <row r="471725" spans="21:21" x14ac:dyDescent="0.3">
      <c r="U471725" s="25"/>
    </row>
    <row r="471747" spans="21:21" x14ac:dyDescent="0.3">
      <c r="U471747" s="25"/>
    </row>
    <row r="471769" spans="21:21" x14ac:dyDescent="0.3">
      <c r="U471769" s="25"/>
    </row>
    <row r="471791" spans="21:21" x14ac:dyDescent="0.3">
      <c r="U471791" s="25"/>
    </row>
    <row r="471813" spans="21:21" x14ac:dyDescent="0.3">
      <c r="U471813" s="25"/>
    </row>
    <row r="471835" spans="21:21" x14ac:dyDescent="0.3">
      <c r="U471835" s="25"/>
    </row>
    <row r="471857" spans="21:21" x14ac:dyDescent="0.3">
      <c r="U471857" s="25"/>
    </row>
    <row r="471879" spans="21:21" x14ac:dyDescent="0.3">
      <c r="U471879" s="25"/>
    </row>
    <row r="471901" spans="21:21" x14ac:dyDescent="0.3">
      <c r="U471901" s="25"/>
    </row>
    <row r="471923" spans="21:21" x14ac:dyDescent="0.3">
      <c r="U471923" s="25"/>
    </row>
    <row r="471945" spans="21:21" x14ac:dyDescent="0.3">
      <c r="U471945" s="25"/>
    </row>
    <row r="471967" spans="21:21" x14ac:dyDescent="0.3">
      <c r="U471967" s="25"/>
    </row>
    <row r="471989" spans="21:21" x14ac:dyDescent="0.3">
      <c r="U471989" s="25"/>
    </row>
    <row r="472011" spans="21:21" x14ac:dyDescent="0.3">
      <c r="U472011" s="25"/>
    </row>
    <row r="472033" spans="21:21" x14ac:dyDescent="0.3">
      <c r="U472033" s="25"/>
    </row>
    <row r="472055" spans="21:21" x14ac:dyDescent="0.3">
      <c r="U472055" s="25"/>
    </row>
    <row r="472077" spans="21:21" x14ac:dyDescent="0.3">
      <c r="U472077" s="25"/>
    </row>
    <row r="472099" spans="21:21" x14ac:dyDescent="0.3">
      <c r="U472099" s="25"/>
    </row>
    <row r="472121" spans="21:21" x14ac:dyDescent="0.3">
      <c r="U472121" s="25"/>
    </row>
    <row r="472143" spans="21:21" x14ac:dyDescent="0.3">
      <c r="U472143" s="25"/>
    </row>
    <row r="472165" spans="21:21" x14ac:dyDescent="0.3">
      <c r="U472165" s="25"/>
    </row>
    <row r="472187" spans="21:21" x14ac:dyDescent="0.3">
      <c r="U472187" s="25"/>
    </row>
    <row r="472209" spans="21:21" x14ac:dyDescent="0.3">
      <c r="U472209" s="25"/>
    </row>
    <row r="472231" spans="21:21" x14ac:dyDescent="0.3">
      <c r="U472231" s="25"/>
    </row>
    <row r="472253" spans="21:21" x14ac:dyDescent="0.3">
      <c r="U472253" s="25"/>
    </row>
    <row r="472275" spans="21:21" x14ac:dyDescent="0.3">
      <c r="U472275" s="25"/>
    </row>
    <row r="472297" spans="21:21" x14ac:dyDescent="0.3">
      <c r="U472297" s="25"/>
    </row>
    <row r="472319" spans="21:21" x14ac:dyDescent="0.3">
      <c r="U472319" s="25"/>
    </row>
    <row r="472341" spans="21:21" x14ac:dyDescent="0.3">
      <c r="U472341" s="25"/>
    </row>
    <row r="472363" spans="21:21" x14ac:dyDescent="0.3">
      <c r="U472363" s="25"/>
    </row>
    <row r="472385" spans="21:21" x14ac:dyDescent="0.3">
      <c r="U472385" s="25"/>
    </row>
    <row r="472407" spans="21:21" x14ac:dyDescent="0.3">
      <c r="U472407" s="25"/>
    </row>
    <row r="472429" spans="21:21" x14ac:dyDescent="0.3">
      <c r="U472429" s="25"/>
    </row>
    <row r="472451" spans="21:21" x14ac:dyDescent="0.3">
      <c r="U472451" s="25"/>
    </row>
    <row r="472473" spans="21:21" x14ac:dyDescent="0.3">
      <c r="U472473" s="25"/>
    </row>
    <row r="472495" spans="21:21" x14ac:dyDescent="0.3">
      <c r="U472495" s="25"/>
    </row>
    <row r="472517" spans="21:21" x14ac:dyDescent="0.3">
      <c r="U472517" s="25"/>
    </row>
    <row r="472539" spans="21:21" x14ac:dyDescent="0.3">
      <c r="U472539" s="25"/>
    </row>
    <row r="472561" spans="21:21" x14ac:dyDescent="0.3">
      <c r="U472561" s="25"/>
    </row>
    <row r="472583" spans="21:21" x14ac:dyDescent="0.3">
      <c r="U472583" s="25"/>
    </row>
    <row r="472605" spans="21:21" x14ac:dyDescent="0.3">
      <c r="U472605" s="25"/>
    </row>
    <row r="472627" spans="21:21" x14ac:dyDescent="0.3">
      <c r="U472627" s="25"/>
    </row>
    <row r="472649" spans="21:21" x14ac:dyDescent="0.3">
      <c r="U472649" s="25"/>
    </row>
    <row r="472671" spans="21:21" x14ac:dyDescent="0.3">
      <c r="U472671" s="25"/>
    </row>
    <row r="472693" spans="21:21" x14ac:dyDescent="0.3">
      <c r="U472693" s="25"/>
    </row>
    <row r="472715" spans="21:21" x14ac:dyDescent="0.3">
      <c r="U472715" s="25"/>
    </row>
    <row r="472737" spans="21:21" x14ac:dyDescent="0.3">
      <c r="U472737" s="25"/>
    </row>
    <row r="472759" spans="21:21" x14ac:dyDescent="0.3">
      <c r="U472759" s="25"/>
    </row>
    <row r="472781" spans="21:21" x14ac:dyDescent="0.3">
      <c r="U472781" s="25"/>
    </row>
    <row r="472803" spans="21:21" x14ac:dyDescent="0.3">
      <c r="U472803" s="25"/>
    </row>
    <row r="472825" spans="21:21" x14ac:dyDescent="0.3">
      <c r="U472825" s="25"/>
    </row>
    <row r="472847" spans="21:21" x14ac:dyDescent="0.3">
      <c r="U472847" s="25"/>
    </row>
    <row r="472869" spans="21:21" x14ac:dyDescent="0.3">
      <c r="U472869" s="25"/>
    </row>
    <row r="472891" spans="21:21" x14ac:dyDescent="0.3">
      <c r="U472891" s="25"/>
    </row>
    <row r="472913" spans="21:21" x14ac:dyDescent="0.3">
      <c r="U472913" s="25"/>
    </row>
    <row r="472935" spans="21:21" x14ac:dyDescent="0.3">
      <c r="U472935" s="25"/>
    </row>
    <row r="472957" spans="21:21" x14ac:dyDescent="0.3">
      <c r="U472957" s="25"/>
    </row>
    <row r="472979" spans="21:21" x14ac:dyDescent="0.3">
      <c r="U472979" s="25"/>
    </row>
    <row r="473001" spans="21:21" x14ac:dyDescent="0.3">
      <c r="U473001" s="25"/>
    </row>
    <row r="473023" spans="21:21" x14ac:dyDescent="0.3">
      <c r="U473023" s="25"/>
    </row>
    <row r="473045" spans="21:21" x14ac:dyDescent="0.3">
      <c r="U473045" s="25"/>
    </row>
    <row r="473067" spans="21:21" x14ac:dyDescent="0.3">
      <c r="U473067" s="25"/>
    </row>
    <row r="473089" spans="21:21" x14ac:dyDescent="0.3">
      <c r="U473089" s="25"/>
    </row>
    <row r="473111" spans="21:21" x14ac:dyDescent="0.3">
      <c r="U473111" s="25"/>
    </row>
    <row r="473133" spans="21:21" x14ac:dyDescent="0.3">
      <c r="U473133" s="25"/>
    </row>
    <row r="473155" spans="21:21" x14ac:dyDescent="0.3">
      <c r="U473155" s="25"/>
    </row>
    <row r="473177" spans="21:21" x14ac:dyDescent="0.3">
      <c r="U473177" s="25"/>
    </row>
    <row r="473199" spans="21:21" x14ac:dyDescent="0.3">
      <c r="U473199" s="25"/>
    </row>
    <row r="473221" spans="21:21" x14ac:dyDescent="0.3">
      <c r="U473221" s="25"/>
    </row>
    <row r="473243" spans="21:21" x14ac:dyDescent="0.3">
      <c r="U473243" s="25"/>
    </row>
    <row r="473265" spans="21:21" x14ac:dyDescent="0.3">
      <c r="U473265" s="25"/>
    </row>
    <row r="473287" spans="21:21" x14ac:dyDescent="0.3">
      <c r="U473287" s="25"/>
    </row>
    <row r="473309" spans="21:21" x14ac:dyDescent="0.3">
      <c r="U473309" s="25"/>
    </row>
    <row r="473331" spans="21:21" x14ac:dyDescent="0.3">
      <c r="U473331" s="25"/>
    </row>
    <row r="473353" spans="21:21" x14ac:dyDescent="0.3">
      <c r="U473353" s="25"/>
    </row>
    <row r="473375" spans="21:21" x14ac:dyDescent="0.3">
      <c r="U473375" s="25"/>
    </row>
    <row r="473397" spans="21:21" x14ac:dyDescent="0.3">
      <c r="U473397" s="25"/>
    </row>
    <row r="473419" spans="21:21" x14ac:dyDescent="0.3">
      <c r="U473419" s="25"/>
    </row>
    <row r="473441" spans="21:21" x14ac:dyDescent="0.3">
      <c r="U473441" s="25"/>
    </row>
    <row r="473463" spans="21:21" x14ac:dyDescent="0.3">
      <c r="U473463" s="25"/>
    </row>
    <row r="473485" spans="21:21" x14ac:dyDescent="0.3">
      <c r="U473485" s="25"/>
    </row>
    <row r="473507" spans="21:21" x14ac:dyDescent="0.3">
      <c r="U473507" s="25"/>
    </row>
    <row r="473529" spans="21:21" x14ac:dyDescent="0.3">
      <c r="U473529" s="25"/>
    </row>
    <row r="473551" spans="21:21" x14ac:dyDescent="0.3">
      <c r="U473551" s="25"/>
    </row>
    <row r="473573" spans="21:21" x14ac:dyDescent="0.3">
      <c r="U473573" s="25"/>
    </row>
    <row r="473595" spans="21:21" x14ac:dyDescent="0.3">
      <c r="U473595" s="25"/>
    </row>
    <row r="473617" spans="21:21" x14ac:dyDescent="0.3">
      <c r="U473617" s="25"/>
    </row>
    <row r="473639" spans="21:21" x14ac:dyDescent="0.3">
      <c r="U473639" s="25"/>
    </row>
    <row r="473661" spans="21:21" x14ac:dyDescent="0.3">
      <c r="U473661" s="25"/>
    </row>
    <row r="473683" spans="21:21" x14ac:dyDescent="0.3">
      <c r="U473683" s="25"/>
    </row>
    <row r="473705" spans="21:21" x14ac:dyDescent="0.3">
      <c r="U473705" s="25"/>
    </row>
    <row r="473727" spans="21:21" x14ac:dyDescent="0.3">
      <c r="U473727" s="25"/>
    </row>
    <row r="473749" spans="21:21" x14ac:dyDescent="0.3">
      <c r="U473749" s="25"/>
    </row>
    <row r="473771" spans="21:21" x14ac:dyDescent="0.3">
      <c r="U473771" s="25"/>
    </row>
    <row r="473793" spans="21:21" x14ac:dyDescent="0.3">
      <c r="U473793" s="25"/>
    </row>
    <row r="473815" spans="21:21" x14ac:dyDescent="0.3">
      <c r="U473815" s="25"/>
    </row>
    <row r="473837" spans="21:21" x14ac:dyDescent="0.3">
      <c r="U473837" s="25"/>
    </row>
    <row r="473859" spans="21:21" x14ac:dyDescent="0.3">
      <c r="U473859" s="25"/>
    </row>
    <row r="473881" spans="21:21" x14ac:dyDescent="0.3">
      <c r="U473881" s="25"/>
    </row>
    <row r="473903" spans="21:21" x14ac:dyDescent="0.3">
      <c r="U473903" s="25"/>
    </row>
    <row r="473925" spans="21:21" x14ac:dyDescent="0.3">
      <c r="U473925" s="25"/>
    </row>
    <row r="473947" spans="21:21" x14ac:dyDescent="0.3">
      <c r="U473947" s="25"/>
    </row>
    <row r="473969" spans="21:21" x14ac:dyDescent="0.3">
      <c r="U473969" s="25"/>
    </row>
    <row r="473991" spans="21:21" x14ac:dyDescent="0.3">
      <c r="U473991" s="25"/>
    </row>
    <row r="474013" spans="21:21" x14ac:dyDescent="0.3">
      <c r="U474013" s="25"/>
    </row>
    <row r="474035" spans="21:21" x14ac:dyDescent="0.3">
      <c r="U474035" s="25"/>
    </row>
    <row r="474057" spans="21:21" x14ac:dyDescent="0.3">
      <c r="U474057" s="25"/>
    </row>
    <row r="474079" spans="21:21" x14ac:dyDescent="0.3">
      <c r="U474079" s="25"/>
    </row>
    <row r="474101" spans="21:21" x14ac:dyDescent="0.3">
      <c r="U474101" s="25"/>
    </row>
    <row r="474123" spans="21:21" x14ac:dyDescent="0.3">
      <c r="U474123" s="25"/>
    </row>
    <row r="474145" spans="21:21" x14ac:dyDescent="0.3">
      <c r="U474145" s="25"/>
    </row>
    <row r="474167" spans="21:21" x14ac:dyDescent="0.3">
      <c r="U474167" s="25"/>
    </row>
    <row r="474189" spans="21:21" x14ac:dyDescent="0.3">
      <c r="U474189" s="25"/>
    </row>
    <row r="474211" spans="21:21" x14ac:dyDescent="0.3">
      <c r="U474211" s="25"/>
    </row>
    <row r="474233" spans="21:21" x14ac:dyDescent="0.3">
      <c r="U474233" s="25"/>
    </row>
    <row r="474255" spans="21:21" x14ac:dyDescent="0.3">
      <c r="U474255" s="25"/>
    </row>
    <row r="474277" spans="21:21" x14ac:dyDescent="0.3">
      <c r="U474277" s="25"/>
    </row>
    <row r="474299" spans="21:21" x14ac:dyDescent="0.3">
      <c r="U474299" s="25"/>
    </row>
    <row r="474321" spans="21:21" x14ac:dyDescent="0.3">
      <c r="U474321" s="25"/>
    </row>
    <row r="474343" spans="21:21" x14ac:dyDescent="0.3">
      <c r="U474343" s="25"/>
    </row>
    <row r="474365" spans="21:21" x14ac:dyDescent="0.3">
      <c r="U474365" s="25"/>
    </row>
    <row r="474387" spans="21:21" x14ac:dyDescent="0.3">
      <c r="U474387" s="25"/>
    </row>
    <row r="474409" spans="21:21" x14ac:dyDescent="0.3">
      <c r="U474409" s="25"/>
    </row>
    <row r="474431" spans="21:21" x14ac:dyDescent="0.3">
      <c r="U474431" s="25"/>
    </row>
    <row r="474453" spans="21:21" x14ac:dyDescent="0.3">
      <c r="U474453" s="25"/>
    </row>
    <row r="474475" spans="21:21" x14ac:dyDescent="0.3">
      <c r="U474475" s="25"/>
    </row>
    <row r="474497" spans="21:21" x14ac:dyDescent="0.3">
      <c r="U474497" s="25"/>
    </row>
    <row r="474519" spans="21:21" x14ac:dyDescent="0.3">
      <c r="U474519" s="25"/>
    </row>
    <row r="474541" spans="21:21" x14ac:dyDescent="0.3">
      <c r="U474541" s="25"/>
    </row>
    <row r="474563" spans="21:21" x14ac:dyDescent="0.3">
      <c r="U474563" s="25"/>
    </row>
    <row r="474585" spans="21:21" x14ac:dyDescent="0.3">
      <c r="U474585" s="25"/>
    </row>
    <row r="474607" spans="21:21" x14ac:dyDescent="0.3">
      <c r="U474607" s="25"/>
    </row>
    <row r="474629" spans="21:21" x14ac:dyDescent="0.3">
      <c r="U474629" s="25"/>
    </row>
    <row r="474651" spans="21:21" x14ac:dyDescent="0.3">
      <c r="U474651" s="25"/>
    </row>
    <row r="474673" spans="21:21" x14ac:dyDescent="0.3">
      <c r="U474673" s="25"/>
    </row>
    <row r="474695" spans="21:21" x14ac:dyDescent="0.3">
      <c r="U474695" s="25"/>
    </row>
    <row r="474717" spans="21:21" x14ac:dyDescent="0.3">
      <c r="U474717" s="25"/>
    </row>
    <row r="474739" spans="21:21" x14ac:dyDescent="0.3">
      <c r="U474739" s="25"/>
    </row>
    <row r="474761" spans="21:21" x14ac:dyDescent="0.3">
      <c r="U474761" s="25"/>
    </row>
    <row r="474783" spans="21:21" x14ac:dyDescent="0.3">
      <c r="U474783" s="25"/>
    </row>
    <row r="474805" spans="21:21" x14ac:dyDescent="0.3">
      <c r="U474805" s="25"/>
    </row>
    <row r="474827" spans="21:21" x14ac:dyDescent="0.3">
      <c r="U474827" s="25"/>
    </row>
    <row r="474849" spans="21:21" x14ac:dyDescent="0.3">
      <c r="U474849" s="25"/>
    </row>
    <row r="474871" spans="21:21" x14ac:dyDescent="0.3">
      <c r="U474871" s="25"/>
    </row>
    <row r="474893" spans="21:21" x14ac:dyDescent="0.3">
      <c r="U474893" s="25"/>
    </row>
    <row r="474915" spans="21:21" x14ac:dyDescent="0.3">
      <c r="U474915" s="25"/>
    </row>
    <row r="474937" spans="21:21" x14ac:dyDescent="0.3">
      <c r="U474937" s="25"/>
    </row>
    <row r="474959" spans="21:21" x14ac:dyDescent="0.3">
      <c r="U474959" s="25"/>
    </row>
    <row r="474981" spans="21:21" x14ac:dyDescent="0.3">
      <c r="U474981" s="25"/>
    </row>
    <row r="475003" spans="21:21" x14ac:dyDescent="0.3">
      <c r="U475003" s="25"/>
    </row>
    <row r="475025" spans="21:21" x14ac:dyDescent="0.3">
      <c r="U475025" s="25"/>
    </row>
    <row r="475047" spans="21:21" x14ac:dyDescent="0.3">
      <c r="U475047" s="25"/>
    </row>
    <row r="475069" spans="21:21" x14ac:dyDescent="0.3">
      <c r="U475069" s="25"/>
    </row>
    <row r="475091" spans="21:21" x14ac:dyDescent="0.3">
      <c r="U475091" s="25"/>
    </row>
    <row r="475113" spans="21:21" x14ac:dyDescent="0.3">
      <c r="U475113" s="25"/>
    </row>
    <row r="475135" spans="21:21" x14ac:dyDescent="0.3">
      <c r="U475135" s="25"/>
    </row>
    <row r="475157" spans="21:21" x14ac:dyDescent="0.3">
      <c r="U475157" s="25"/>
    </row>
    <row r="475179" spans="21:21" x14ac:dyDescent="0.3">
      <c r="U475179" s="25"/>
    </row>
    <row r="475201" spans="21:21" x14ac:dyDescent="0.3">
      <c r="U475201" s="25"/>
    </row>
    <row r="475223" spans="21:21" x14ac:dyDescent="0.3">
      <c r="U475223" s="25"/>
    </row>
    <row r="475245" spans="21:21" x14ac:dyDescent="0.3">
      <c r="U475245" s="25"/>
    </row>
    <row r="475267" spans="21:21" x14ac:dyDescent="0.3">
      <c r="U475267" s="25"/>
    </row>
    <row r="475289" spans="21:21" x14ac:dyDescent="0.3">
      <c r="U475289" s="25"/>
    </row>
    <row r="475311" spans="21:21" x14ac:dyDescent="0.3">
      <c r="U475311" s="25"/>
    </row>
    <row r="475333" spans="21:21" x14ac:dyDescent="0.3">
      <c r="U475333" s="25"/>
    </row>
    <row r="475355" spans="21:21" x14ac:dyDescent="0.3">
      <c r="U475355" s="25"/>
    </row>
    <row r="475377" spans="21:21" x14ac:dyDescent="0.3">
      <c r="U475377" s="25"/>
    </row>
    <row r="475399" spans="21:21" x14ac:dyDescent="0.3">
      <c r="U475399" s="25"/>
    </row>
    <row r="475421" spans="21:21" x14ac:dyDescent="0.3">
      <c r="U475421" s="25"/>
    </row>
    <row r="475443" spans="21:21" x14ac:dyDescent="0.3">
      <c r="U475443" s="25"/>
    </row>
    <row r="475465" spans="21:21" x14ac:dyDescent="0.3">
      <c r="U475465" s="25"/>
    </row>
    <row r="475487" spans="21:21" x14ac:dyDescent="0.3">
      <c r="U475487" s="25"/>
    </row>
    <row r="475509" spans="21:21" x14ac:dyDescent="0.3">
      <c r="U475509" s="25"/>
    </row>
    <row r="475531" spans="21:21" x14ac:dyDescent="0.3">
      <c r="U475531" s="25"/>
    </row>
    <row r="475553" spans="21:21" x14ac:dyDescent="0.3">
      <c r="U475553" s="25"/>
    </row>
    <row r="475575" spans="21:21" x14ac:dyDescent="0.3">
      <c r="U475575" s="25"/>
    </row>
    <row r="475597" spans="21:21" x14ac:dyDescent="0.3">
      <c r="U475597" s="25"/>
    </row>
    <row r="475619" spans="21:21" x14ac:dyDescent="0.3">
      <c r="U475619" s="25"/>
    </row>
    <row r="475641" spans="21:21" x14ac:dyDescent="0.3">
      <c r="U475641" s="25"/>
    </row>
    <row r="475663" spans="21:21" x14ac:dyDescent="0.3">
      <c r="U475663" s="25"/>
    </row>
    <row r="475685" spans="21:21" x14ac:dyDescent="0.3">
      <c r="U475685" s="25"/>
    </row>
    <row r="475707" spans="21:21" x14ac:dyDescent="0.3">
      <c r="U475707" s="25"/>
    </row>
    <row r="475729" spans="21:21" x14ac:dyDescent="0.3">
      <c r="U475729" s="25"/>
    </row>
    <row r="475751" spans="21:21" x14ac:dyDescent="0.3">
      <c r="U475751" s="25"/>
    </row>
    <row r="475773" spans="21:21" x14ac:dyDescent="0.3">
      <c r="U475773" s="25"/>
    </row>
    <row r="475795" spans="21:21" x14ac:dyDescent="0.3">
      <c r="U475795" s="25"/>
    </row>
    <row r="475817" spans="21:21" x14ac:dyDescent="0.3">
      <c r="U475817" s="25"/>
    </row>
    <row r="475839" spans="21:21" x14ac:dyDescent="0.3">
      <c r="U475839" s="25"/>
    </row>
    <row r="475861" spans="21:21" x14ac:dyDescent="0.3">
      <c r="U475861" s="25"/>
    </row>
    <row r="475883" spans="21:21" x14ac:dyDescent="0.3">
      <c r="U475883" s="25"/>
    </row>
    <row r="475905" spans="21:21" x14ac:dyDescent="0.3">
      <c r="U475905" s="25"/>
    </row>
    <row r="475927" spans="21:21" x14ac:dyDescent="0.3">
      <c r="U475927" s="25"/>
    </row>
    <row r="475949" spans="21:21" x14ac:dyDescent="0.3">
      <c r="U475949" s="25"/>
    </row>
    <row r="475971" spans="21:21" x14ac:dyDescent="0.3">
      <c r="U475971" s="25"/>
    </row>
    <row r="475993" spans="21:21" x14ac:dyDescent="0.3">
      <c r="U475993" s="25"/>
    </row>
    <row r="476015" spans="21:21" x14ac:dyDescent="0.3">
      <c r="U476015" s="25"/>
    </row>
    <row r="476037" spans="21:21" x14ac:dyDescent="0.3">
      <c r="U476037" s="25"/>
    </row>
    <row r="476059" spans="21:21" x14ac:dyDescent="0.3">
      <c r="U476059" s="25"/>
    </row>
    <row r="476081" spans="21:21" x14ac:dyDescent="0.3">
      <c r="U476081" s="25"/>
    </row>
    <row r="476103" spans="21:21" x14ac:dyDescent="0.3">
      <c r="U476103" s="25"/>
    </row>
    <row r="476125" spans="21:21" x14ac:dyDescent="0.3">
      <c r="U476125" s="25"/>
    </row>
    <row r="476147" spans="21:21" x14ac:dyDescent="0.3">
      <c r="U476147" s="25"/>
    </row>
    <row r="476169" spans="21:21" x14ac:dyDescent="0.3">
      <c r="U476169" s="25"/>
    </row>
    <row r="476191" spans="21:21" x14ac:dyDescent="0.3">
      <c r="U476191" s="25"/>
    </row>
    <row r="476213" spans="21:21" x14ac:dyDescent="0.3">
      <c r="U476213" s="25"/>
    </row>
    <row r="476235" spans="21:21" x14ac:dyDescent="0.3">
      <c r="U476235" s="25"/>
    </row>
    <row r="476257" spans="21:21" x14ac:dyDescent="0.3">
      <c r="U476257" s="25"/>
    </row>
    <row r="476279" spans="21:21" x14ac:dyDescent="0.3">
      <c r="U476279" s="25"/>
    </row>
    <row r="476301" spans="21:21" x14ac:dyDescent="0.3">
      <c r="U476301" s="25"/>
    </row>
    <row r="476323" spans="21:21" x14ac:dyDescent="0.3">
      <c r="U476323" s="25"/>
    </row>
    <row r="476345" spans="21:21" x14ac:dyDescent="0.3">
      <c r="U476345" s="25"/>
    </row>
    <row r="476367" spans="21:21" x14ac:dyDescent="0.3">
      <c r="U476367" s="25"/>
    </row>
    <row r="476389" spans="21:21" x14ac:dyDescent="0.3">
      <c r="U476389" s="25"/>
    </row>
    <row r="476411" spans="21:21" x14ac:dyDescent="0.3">
      <c r="U476411" s="25"/>
    </row>
    <row r="476433" spans="21:21" x14ac:dyDescent="0.3">
      <c r="U476433" s="25"/>
    </row>
    <row r="476455" spans="21:21" x14ac:dyDescent="0.3">
      <c r="U476455" s="25"/>
    </row>
    <row r="476477" spans="21:21" x14ac:dyDescent="0.3">
      <c r="U476477" s="25"/>
    </row>
    <row r="476499" spans="21:21" x14ac:dyDescent="0.3">
      <c r="U476499" s="25"/>
    </row>
    <row r="476521" spans="21:21" x14ac:dyDescent="0.3">
      <c r="U476521" s="25"/>
    </row>
    <row r="476543" spans="21:21" x14ac:dyDescent="0.3">
      <c r="U476543" s="25"/>
    </row>
    <row r="476565" spans="21:21" x14ac:dyDescent="0.3">
      <c r="U476565" s="25"/>
    </row>
    <row r="476587" spans="21:21" x14ac:dyDescent="0.3">
      <c r="U476587" s="25"/>
    </row>
    <row r="476609" spans="21:21" x14ac:dyDescent="0.3">
      <c r="U476609" s="25"/>
    </row>
    <row r="476631" spans="21:21" x14ac:dyDescent="0.3">
      <c r="U476631" s="25"/>
    </row>
    <row r="476653" spans="21:21" x14ac:dyDescent="0.3">
      <c r="U476653" s="25"/>
    </row>
    <row r="476675" spans="21:21" x14ac:dyDescent="0.3">
      <c r="U476675" s="25"/>
    </row>
    <row r="476697" spans="21:21" x14ac:dyDescent="0.3">
      <c r="U476697" s="25"/>
    </row>
    <row r="476719" spans="21:21" x14ac:dyDescent="0.3">
      <c r="U476719" s="25"/>
    </row>
    <row r="476741" spans="21:21" x14ac:dyDescent="0.3">
      <c r="U476741" s="25"/>
    </row>
    <row r="476763" spans="21:21" x14ac:dyDescent="0.3">
      <c r="U476763" s="25"/>
    </row>
    <row r="476785" spans="21:21" x14ac:dyDescent="0.3">
      <c r="U476785" s="25"/>
    </row>
    <row r="476807" spans="21:21" x14ac:dyDescent="0.3">
      <c r="U476807" s="25"/>
    </row>
    <row r="476829" spans="21:21" x14ac:dyDescent="0.3">
      <c r="U476829" s="25"/>
    </row>
    <row r="476851" spans="21:21" x14ac:dyDescent="0.3">
      <c r="U476851" s="25"/>
    </row>
    <row r="476873" spans="21:21" x14ac:dyDescent="0.3">
      <c r="U476873" s="25"/>
    </row>
    <row r="476895" spans="21:21" x14ac:dyDescent="0.3">
      <c r="U476895" s="25"/>
    </row>
    <row r="476917" spans="21:21" x14ac:dyDescent="0.3">
      <c r="U476917" s="25"/>
    </row>
    <row r="476939" spans="21:21" x14ac:dyDescent="0.3">
      <c r="U476939" s="25"/>
    </row>
    <row r="476961" spans="21:21" x14ac:dyDescent="0.3">
      <c r="U476961" s="25"/>
    </row>
    <row r="476983" spans="21:21" x14ac:dyDescent="0.3">
      <c r="U476983" s="25"/>
    </row>
    <row r="477005" spans="21:21" x14ac:dyDescent="0.3">
      <c r="U477005" s="25"/>
    </row>
    <row r="477027" spans="21:21" x14ac:dyDescent="0.3">
      <c r="U477027" s="25"/>
    </row>
    <row r="477049" spans="21:21" x14ac:dyDescent="0.3">
      <c r="U477049" s="25"/>
    </row>
    <row r="477071" spans="21:21" x14ac:dyDescent="0.3">
      <c r="U477071" s="25"/>
    </row>
    <row r="477093" spans="21:21" x14ac:dyDescent="0.3">
      <c r="U477093" s="25"/>
    </row>
    <row r="477115" spans="21:21" x14ac:dyDescent="0.3">
      <c r="U477115" s="25"/>
    </row>
    <row r="477137" spans="21:21" x14ac:dyDescent="0.3">
      <c r="U477137" s="25"/>
    </row>
    <row r="477159" spans="21:21" x14ac:dyDescent="0.3">
      <c r="U477159" s="25"/>
    </row>
    <row r="477181" spans="21:21" x14ac:dyDescent="0.3">
      <c r="U477181" s="25"/>
    </row>
    <row r="477203" spans="21:21" x14ac:dyDescent="0.3">
      <c r="U477203" s="25"/>
    </row>
    <row r="477225" spans="21:21" x14ac:dyDescent="0.3">
      <c r="U477225" s="25"/>
    </row>
    <row r="477247" spans="21:21" x14ac:dyDescent="0.3">
      <c r="U477247" s="25"/>
    </row>
    <row r="477269" spans="21:21" x14ac:dyDescent="0.3">
      <c r="U477269" s="25"/>
    </row>
    <row r="477291" spans="21:21" x14ac:dyDescent="0.3">
      <c r="U477291" s="25"/>
    </row>
    <row r="477313" spans="21:21" x14ac:dyDescent="0.3">
      <c r="U477313" s="25"/>
    </row>
    <row r="477335" spans="21:21" x14ac:dyDescent="0.3">
      <c r="U477335" s="25"/>
    </row>
    <row r="477357" spans="21:21" x14ac:dyDescent="0.3">
      <c r="U477357" s="25"/>
    </row>
    <row r="477379" spans="21:21" x14ac:dyDescent="0.3">
      <c r="U477379" s="25"/>
    </row>
    <row r="477401" spans="21:21" x14ac:dyDescent="0.3">
      <c r="U477401" s="25"/>
    </row>
    <row r="477423" spans="21:21" x14ac:dyDescent="0.3">
      <c r="U477423" s="25"/>
    </row>
    <row r="477445" spans="21:21" x14ac:dyDescent="0.3">
      <c r="U477445" s="25"/>
    </row>
    <row r="477467" spans="21:21" x14ac:dyDescent="0.3">
      <c r="U477467" s="25"/>
    </row>
    <row r="477489" spans="21:21" x14ac:dyDescent="0.3">
      <c r="U477489" s="25"/>
    </row>
    <row r="477511" spans="21:21" x14ac:dyDescent="0.3">
      <c r="U477511" s="25"/>
    </row>
    <row r="477533" spans="21:21" x14ac:dyDescent="0.3">
      <c r="U477533" s="25"/>
    </row>
    <row r="477555" spans="21:21" x14ac:dyDescent="0.3">
      <c r="U477555" s="25"/>
    </row>
    <row r="477577" spans="21:21" x14ac:dyDescent="0.3">
      <c r="U477577" s="25"/>
    </row>
    <row r="477599" spans="21:21" x14ac:dyDescent="0.3">
      <c r="U477599" s="25"/>
    </row>
    <row r="477621" spans="21:21" x14ac:dyDescent="0.3">
      <c r="U477621" s="25"/>
    </row>
    <row r="477643" spans="21:21" x14ac:dyDescent="0.3">
      <c r="U477643" s="25"/>
    </row>
    <row r="477665" spans="21:21" x14ac:dyDescent="0.3">
      <c r="U477665" s="25"/>
    </row>
    <row r="477687" spans="21:21" x14ac:dyDescent="0.3">
      <c r="U477687" s="25"/>
    </row>
    <row r="477709" spans="21:21" x14ac:dyDescent="0.3">
      <c r="U477709" s="25"/>
    </row>
    <row r="477731" spans="21:21" x14ac:dyDescent="0.3">
      <c r="U477731" s="25"/>
    </row>
    <row r="477753" spans="21:21" x14ac:dyDescent="0.3">
      <c r="U477753" s="25"/>
    </row>
    <row r="477775" spans="21:21" x14ac:dyDescent="0.3">
      <c r="U477775" s="25"/>
    </row>
    <row r="477797" spans="21:21" x14ac:dyDescent="0.3">
      <c r="U477797" s="25"/>
    </row>
    <row r="477819" spans="21:21" x14ac:dyDescent="0.3">
      <c r="U477819" s="25"/>
    </row>
    <row r="477841" spans="21:21" x14ac:dyDescent="0.3">
      <c r="U477841" s="25"/>
    </row>
    <row r="477863" spans="21:21" x14ac:dyDescent="0.3">
      <c r="U477863" s="25"/>
    </row>
    <row r="477885" spans="21:21" x14ac:dyDescent="0.3">
      <c r="U477885" s="25"/>
    </row>
    <row r="477907" spans="21:21" x14ac:dyDescent="0.3">
      <c r="U477907" s="25"/>
    </row>
    <row r="477929" spans="21:21" x14ac:dyDescent="0.3">
      <c r="U477929" s="25"/>
    </row>
    <row r="477951" spans="21:21" x14ac:dyDescent="0.3">
      <c r="U477951" s="25"/>
    </row>
    <row r="477973" spans="21:21" x14ac:dyDescent="0.3">
      <c r="U477973" s="25"/>
    </row>
    <row r="477995" spans="21:21" x14ac:dyDescent="0.3">
      <c r="U477995" s="25"/>
    </row>
    <row r="478017" spans="21:21" x14ac:dyDescent="0.3">
      <c r="U478017" s="25"/>
    </row>
    <row r="478039" spans="21:21" x14ac:dyDescent="0.3">
      <c r="U478039" s="25"/>
    </row>
    <row r="478061" spans="21:21" x14ac:dyDescent="0.3">
      <c r="U478061" s="25"/>
    </row>
    <row r="478083" spans="21:21" x14ac:dyDescent="0.3">
      <c r="U478083" s="25"/>
    </row>
    <row r="478105" spans="21:21" x14ac:dyDescent="0.3">
      <c r="U478105" s="25"/>
    </row>
    <row r="478127" spans="21:21" x14ac:dyDescent="0.3">
      <c r="U478127" s="25"/>
    </row>
    <row r="478149" spans="21:21" x14ac:dyDescent="0.3">
      <c r="U478149" s="25"/>
    </row>
    <row r="478171" spans="21:21" x14ac:dyDescent="0.3">
      <c r="U478171" s="25"/>
    </row>
    <row r="478193" spans="21:21" x14ac:dyDescent="0.3">
      <c r="U478193" s="25"/>
    </row>
    <row r="478215" spans="21:21" x14ac:dyDescent="0.3">
      <c r="U478215" s="25"/>
    </row>
    <row r="478237" spans="21:21" x14ac:dyDescent="0.3">
      <c r="U478237" s="25"/>
    </row>
    <row r="478259" spans="21:21" x14ac:dyDescent="0.3">
      <c r="U478259" s="25"/>
    </row>
    <row r="478281" spans="21:21" x14ac:dyDescent="0.3">
      <c r="U478281" s="25"/>
    </row>
    <row r="478303" spans="21:21" x14ac:dyDescent="0.3">
      <c r="U478303" s="25"/>
    </row>
    <row r="478325" spans="21:21" x14ac:dyDescent="0.3">
      <c r="U478325" s="25"/>
    </row>
    <row r="478347" spans="21:21" x14ac:dyDescent="0.3">
      <c r="U478347" s="25"/>
    </row>
    <row r="478369" spans="21:21" x14ac:dyDescent="0.3">
      <c r="U478369" s="25"/>
    </row>
    <row r="478391" spans="21:21" x14ac:dyDescent="0.3">
      <c r="U478391" s="25"/>
    </row>
    <row r="478413" spans="21:21" x14ac:dyDescent="0.3">
      <c r="U478413" s="25"/>
    </row>
    <row r="478435" spans="21:21" x14ac:dyDescent="0.3">
      <c r="U478435" s="25"/>
    </row>
    <row r="478457" spans="21:21" x14ac:dyDescent="0.3">
      <c r="U478457" s="25"/>
    </row>
    <row r="478479" spans="21:21" x14ac:dyDescent="0.3">
      <c r="U478479" s="25"/>
    </row>
    <row r="478501" spans="21:21" x14ac:dyDescent="0.3">
      <c r="U478501" s="25"/>
    </row>
    <row r="478523" spans="21:21" x14ac:dyDescent="0.3">
      <c r="U478523" s="25"/>
    </row>
    <row r="478545" spans="21:21" x14ac:dyDescent="0.3">
      <c r="U478545" s="25"/>
    </row>
    <row r="478567" spans="21:21" x14ac:dyDescent="0.3">
      <c r="U478567" s="25"/>
    </row>
    <row r="478589" spans="21:21" x14ac:dyDescent="0.3">
      <c r="U478589" s="25"/>
    </row>
    <row r="478611" spans="21:21" x14ac:dyDescent="0.3">
      <c r="U478611" s="25"/>
    </row>
    <row r="478633" spans="21:21" x14ac:dyDescent="0.3">
      <c r="U478633" s="25"/>
    </row>
    <row r="478655" spans="21:21" x14ac:dyDescent="0.3">
      <c r="U478655" s="25"/>
    </row>
    <row r="478677" spans="21:21" x14ac:dyDescent="0.3">
      <c r="U478677" s="25"/>
    </row>
    <row r="478699" spans="21:21" x14ac:dyDescent="0.3">
      <c r="U478699" s="25"/>
    </row>
    <row r="478721" spans="21:21" x14ac:dyDescent="0.3">
      <c r="U478721" s="25"/>
    </row>
    <row r="478743" spans="21:21" x14ac:dyDescent="0.3">
      <c r="U478743" s="25"/>
    </row>
    <row r="478765" spans="21:21" x14ac:dyDescent="0.3">
      <c r="U478765" s="25"/>
    </row>
    <row r="478787" spans="21:21" x14ac:dyDescent="0.3">
      <c r="U478787" s="25"/>
    </row>
    <row r="478809" spans="21:21" x14ac:dyDescent="0.3">
      <c r="U478809" s="25"/>
    </row>
    <row r="478831" spans="21:21" x14ac:dyDescent="0.3">
      <c r="U478831" s="25"/>
    </row>
    <row r="478853" spans="21:21" x14ac:dyDescent="0.3">
      <c r="U478853" s="25"/>
    </row>
    <row r="478875" spans="21:21" x14ac:dyDescent="0.3">
      <c r="U478875" s="25"/>
    </row>
    <row r="478897" spans="21:21" x14ac:dyDescent="0.3">
      <c r="U478897" s="25"/>
    </row>
    <row r="478919" spans="21:21" x14ac:dyDescent="0.3">
      <c r="U478919" s="25"/>
    </row>
    <row r="478941" spans="21:21" x14ac:dyDescent="0.3">
      <c r="U478941" s="25"/>
    </row>
    <row r="478963" spans="21:21" x14ac:dyDescent="0.3">
      <c r="U478963" s="25"/>
    </row>
    <row r="478985" spans="21:21" x14ac:dyDescent="0.3">
      <c r="U478985" s="25"/>
    </row>
    <row r="479007" spans="21:21" x14ac:dyDescent="0.3">
      <c r="U479007" s="25"/>
    </row>
    <row r="479029" spans="21:21" x14ac:dyDescent="0.3">
      <c r="U479029" s="25"/>
    </row>
    <row r="479051" spans="21:21" x14ac:dyDescent="0.3">
      <c r="U479051" s="25"/>
    </row>
    <row r="479073" spans="21:21" x14ac:dyDescent="0.3">
      <c r="U479073" s="25"/>
    </row>
    <row r="479095" spans="21:21" x14ac:dyDescent="0.3">
      <c r="U479095" s="25"/>
    </row>
    <row r="479117" spans="21:21" x14ac:dyDescent="0.3">
      <c r="U479117" s="25"/>
    </row>
    <row r="479139" spans="21:21" x14ac:dyDescent="0.3">
      <c r="U479139" s="25"/>
    </row>
    <row r="479161" spans="21:21" x14ac:dyDescent="0.3">
      <c r="U479161" s="25"/>
    </row>
    <row r="479183" spans="21:21" x14ac:dyDescent="0.3">
      <c r="U479183" s="25"/>
    </row>
    <row r="479205" spans="21:21" x14ac:dyDescent="0.3">
      <c r="U479205" s="25"/>
    </row>
    <row r="479227" spans="21:21" x14ac:dyDescent="0.3">
      <c r="U479227" s="25"/>
    </row>
    <row r="479249" spans="21:21" x14ac:dyDescent="0.3">
      <c r="U479249" s="25"/>
    </row>
    <row r="479271" spans="21:21" x14ac:dyDescent="0.3">
      <c r="U479271" s="25"/>
    </row>
    <row r="479293" spans="21:21" x14ac:dyDescent="0.3">
      <c r="U479293" s="25"/>
    </row>
    <row r="479315" spans="21:21" x14ac:dyDescent="0.3">
      <c r="U479315" s="25"/>
    </row>
    <row r="479337" spans="21:21" x14ac:dyDescent="0.3">
      <c r="U479337" s="25"/>
    </row>
    <row r="479359" spans="21:21" x14ac:dyDescent="0.3">
      <c r="U479359" s="25"/>
    </row>
    <row r="479381" spans="21:21" x14ac:dyDescent="0.3">
      <c r="U479381" s="25"/>
    </row>
    <row r="479403" spans="21:21" x14ac:dyDescent="0.3">
      <c r="U479403" s="25"/>
    </row>
    <row r="479425" spans="21:21" x14ac:dyDescent="0.3">
      <c r="U479425" s="25"/>
    </row>
    <row r="479447" spans="21:21" x14ac:dyDescent="0.3">
      <c r="U479447" s="25"/>
    </row>
    <row r="479469" spans="21:21" x14ac:dyDescent="0.3">
      <c r="U479469" s="25"/>
    </row>
    <row r="479491" spans="21:21" x14ac:dyDescent="0.3">
      <c r="U479491" s="25"/>
    </row>
    <row r="479513" spans="21:21" x14ac:dyDescent="0.3">
      <c r="U479513" s="25"/>
    </row>
    <row r="479535" spans="21:21" x14ac:dyDescent="0.3">
      <c r="U479535" s="25"/>
    </row>
    <row r="479557" spans="21:21" x14ac:dyDescent="0.3">
      <c r="U479557" s="25"/>
    </row>
    <row r="479579" spans="21:21" x14ac:dyDescent="0.3">
      <c r="U479579" s="25"/>
    </row>
    <row r="479601" spans="21:21" x14ac:dyDescent="0.3">
      <c r="U479601" s="25"/>
    </row>
    <row r="479623" spans="21:21" x14ac:dyDescent="0.3">
      <c r="U479623" s="25"/>
    </row>
    <row r="479645" spans="21:21" x14ac:dyDescent="0.3">
      <c r="U479645" s="25"/>
    </row>
    <row r="479667" spans="21:21" x14ac:dyDescent="0.3">
      <c r="U479667" s="25"/>
    </row>
    <row r="479689" spans="21:21" x14ac:dyDescent="0.3">
      <c r="U479689" s="25"/>
    </row>
    <row r="479711" spans="21:21" x14ac:dyDescent="0.3">
      <c r="U479711" s="25"/>
    </row>
    <row r="479733" spans="21:21" x14ac:dyDescent="0.3">
      <c r="U479733" s="25"/>
    </row>
    <row r="479755" spans="21:21" x14ac:dyDescent="0.3">
      <c r="U479755" s="25"/>
    </row>
    <row r="479777" spans="21:21" x14ac:dyDescent="0.3">
      <c r="U479777" s="25"/>
    </row>
    <row r="479799" spans="21:21" x14ac:dyDescent="0.3">
      <c r="U479799" s="25"/>
    </row>
    <row r="479821" spans="21:21" x14ac:dyDescent="0.3">
      <c r="U479821" s="25"/>
    </row>
    <row r="479843" spans="21:21" x14ac:dyDescent="0.3">
      <c r="U479843" s="25"/>
    </row>
    <row r="479865" spans="21:21" x14ac:dyDescent="0.3">
      <c r="U479865" s="25"/>
    </row>
    <row r="479887" spans="21:21" x14ac:dyDescent="0.3">
      <c r="U479887" s="25"/>
    </row>
    <row r="479909" spans="21:21" x14ac:dyDescent="0.3">
      <c r="U479909" s="25"/>
    </row>
    <row r="479931" spans="21:21" x14ac:dyDescent="0.3">
      <c r="U479931" s="25"/>
    </row>
    <row r="479953" spans="21:21" x14ac:dyDescent="0.3">
      <c r="U479953" s="25"/>
    </row>
    <row r="479975" spans="21:21" x14ac:dyDescent="0.3">
      <c r="U479975" s="25"/>
    </row>
    <row r="479997" spans="21:21" x14ac:dyDescent="0.3">
      <c r="U479997" s="25"/>
    </row>
    <row r="480019" spans="21:21" x14ac:dyDescent="0.3">
      <c r="U480019" s="25"/>
    </row>
    <row r="480041" spans="21:21" x14ac:dyDescent="0.3">
      <c r="U480041" s="25"/>
    </row>
    <row r="480063" spans="21:21" x14ac:dyDescent="0.3">
      <c r="U480063" s="25"/>
    </row>
    <row r="480085" spans="21:21" x14ac:dyDescent="0.3">
      <c r="U480085" s="25"/>
    </row>
    <row r="480107" spans="21:21" x14ac:dyDescent="0.3">
      <c r="U480107" s="25"/>
    </row>
    <row r="480129" spans="21:21" x14ac:dyDescent="0.3">
      <c r="U480129" s="25"/>
    </row>
    <row r="480151" spans="21:21" x14ac:dyDescent="0.3">
      <c r="U480151" s="25"/>
    </row>
    <row r="480173" spans="21:21" x14ac:dyDescent="0.3">
      <c r="U480173" s="25"/>
    </row>
    <row r="480195" spans="21:21" x14ac:dyDescent="0.3">
      <c r="U480195" s="25"/>
    </row>
    <row r="480217" spans="21:21" x14ac:dyDescent="0.3">
      <c r="U480217" s="25"/>
    </row>
    <row r="480239" spans="21:21" x14ac:dyDescent="0.3">
      <c r="U480239" s="25"/>
    </row>
    <row r="480261" spans="21:21" x14ac:dyDescent="0.3">
      <c r="U480261" s="25"/>
    </row>
    <row r="480283" spans="21:21" x14ac:dyDescent="0.3">
      <c r="U480283" s="25"/>
    </row>
    <row r="480305" spans="21:21" x14ac:dyDescent="0.3">
      <c r="U480305" s="25"/>
    </row>
    <row r="480327" spans="21:21" x14ac:dyDescent="0.3">
      <c r="U480327" s="25"/>
    </row>
    <row r="480349" spans="21:21" x14ac:dyDescent="0.3">
      <c r="U480349" s="25"/>
    </row>
    <row r="480371" spans="21:21" x14ac:dyDescent="0.3">
      <c r="U480371" s="25"/>
    </row>
    <row r="480393" spans="21:21" x14ac:dyDescent="0.3">
      <c r="U480393" s="25"/>
    </row>
    <row r="480415" spans="21:21" x14ac:dyDescent="0.3">
      <c r="U480415" s="25"/>
    </row>
    <row r="480437" spans="21:21" x14ac:dyDescent="0.3">
      <c r="U480437" s="25"/>
    </row>
    <row r="480459" spans="21:21" x14ac:dyDescent="0.3">
      <c r="U480459" s="25"/>
    </row>
    <row r="480481" spans="21:21" x14ac:dyDescent="0.3">
      <c r="U480481" s="25"/>
    </row>
    <row r="480503" spans="21:21" x14ac:dyDescent="0.3">
      <c r="U480503" s="25"/>
    </row>
    <row r="480525" spans="21:21" x14ac:dyDescent="0.3">
      <c r="U480525" s="25"/>
    </row>
    <row r="480547" spans="21:21" x14ac:dyDescent="0.3">
      <c r="U480547" s="25"/>
    </row>
    <row r="480569" spans="21:21" x14ac:dyDescent="0.3">
      <c r="U480569" s="25"/>
    </row>
    <row r="480591" spans="21:21" x14ac:dyDescent="0.3">
      <c r="U480591" s="25"/>
    </row>
    <row r="480613" spans="21:21" x14ac:dyDescent="0.3">
      <c r="U480613" s="25"/>
    </row>
    <row r="480635" spans="21:21" x14ac:dyDescent="0.3">
      <c r="U480635" s="25"/>
    </row>
    <row r="480657" spans="21:21" x14ac:dyDescent="0.3">
      <c r="U480657" s="25"/>
    </row>
    <row r="480679" spans="21:21" x14ac:dyDescent="0.3">
      <c r="U480679" s="25"/>
    </row>
    <row r="480701" spans="21:21" x14ac:dyDescent="0.3">
      <c r="U480701" s="25"/>
    </row>
    <row r="480723" spans="21:21" x14ac:dyDescent="0.3">
      <c r="U480723" s="25"/>
    </row>
    <row r="480745" spans="21:21" x14ac:dyDescent="0.3">
      <c r="U480745" s="25"/>
    </row>
    <row r="480767" spans="21:21" x14ac:dyDescent="0.3">
      <c r="U480767" s="25"/>
    </row>
    <row r="480789" spans="21:21" x14ac:dyDescent="0.3">
      <c r="U480789" s="25"/>
    </row>
    <row r="480811" spans="21:21" x14ac:dyDescent="0.3">
      <c r="U480811" s="25"/>
    </row>
    <row r="480833" spans="21:21" x14ac:dyDescent="0.3">
      <c r="U480833" s="25"/>
    </row>
    <row r="480855" spans="21:21" x14ac:dyDescent="0.3">
      <c r="U480855" s="25"/>
    </row>
    <row r="480877" spans="21:21" x14ac:dyDescent="0.3">
      <c r="U480877" s="25"/>
    </row>
    <row r="480899" spans="21:21" x14ac:dyDescent="0.3">
      <c r="U480899" s="25"/>
    </row>
    <row r="480921" spans="21:21" x14ac:dyDescent="0.3">
      <c r="U480921" s="25"/>
    </row>
    <row r="480943" spans="21:21" x14ac:dyDescent="0.3">
      <c r="U480943" s="25"/>
    </row>
    <row r="480965" spans="21:21" x14ac:dyDescent="0.3">
      <c r="U480965" s="25"/>
    </row>
    <row r="480987" spans="21:21" x14ac:dyDescent="0.3">
      <c r="U480987" s="25"/>
    </row>
    <row r="481009" spans="21:21" x14ac:dyDescent="0.3">
      <c r="U481009" s="25"/>
    </row>
    <row r="481031" spans="21:21" x14ac:dyDescent="0.3">
      <c r="U481031" s="25"/>
    </row>
    <row r="481053" spans="21:21" x14ac:dyDescent="0.3">
      <c r="U481053" s="25"/>
    </row>
    <row r="481075" spans="21:21" x14ac:dyDescent="0.3">
      <c r="U481075" s="25"/>
    </row>
    <row r="481097" spans="21:21" x14ac:dyDescent="0.3">
      <c r="U481097" s="25"/>
    </row>
    <row r="481119" spans="21:21" x14ac:dyDescent="0.3">
      <c r="U481119" s="25"/>
    </row>
    <row r="481141" spans="21:21" x14ac:dyDescent="0.3">
      <c r="U481141" s="25"/>
    </row>
    <row r="481163" spans="21:21" x14ac:dyDescent="0.3">
      <c r="U481163" s="25"/>
    </row>
    <row r="481185" spans="21:21" x14ac:dyDescent="0.3">
      <c r="U481185" s="25"/>
    </row>
    <row r="481207" spans="21:21" x14ac:dyDescent="0.3">
      <c r="U481207" s="25"/>
    </row>
    <row r="481229" spans="21:21" x14ac:dyDescent="0.3">
      <c r="U481229" s="25"/>
    </row>
    <row r="481251" spans="21:21" x14ac:dyDescent="0.3">
      <c r="U481251" s="25"/>
    </row>
    <row r="481273" spans="21:21" x14ac:dyDescent="0.3">
      <c r="U481273" s="25"/>
    </row>
    <row r="481295" spans="21:21" x14ac:dyDescent="0.3">
      <c r="U481295" s="25"/>
    </row>
    <row r="481317" spans="21:21" x14ac:dyDescent="0.3">
      <c r="U481317" s="25"/>
    </row>
    <row r="481339" spans="21:21" x14ac:dyDescent="0.3">
      <c r="U481339" s="25"/>
    </row>
    <row r="481361" spans="21:21" x14ac:dyDescent="0.3">
      <c r="U481361" s="25"/>
    </row>
    <row r="481383" spans="21:21" x14ac:dyDescent="0.3">
      <c r="U481383" s="25"/>
    </row>
    <row r="481405" spans="21:21" x14ac:dyDescent="0.3">
      <c r="U481405" s="25"/>
    </row>
    <row r="481427" spans="21:21" x14ac:dyDescent="0.3">
      <c r="U481427" s="25"/>
    </row>
    <row r="481449" spans="21:21" x14ac:dyDescent="0.3">
      <c r="U481449" s="25"/>
    </row>
    <row r="481471" spans="21:21" x14ac:dyDescent="0.3">
      <c r="U481471" s="25"/>
    </row>
    <row r="481493" spans="21:21" x14ac:dyDescent="0.3">
      <c r="U481493" s="25"/>
    </row>
    <row r="481515" spans="21:21" x14ac:dyDescent="0.3">
      <c r="U481515" s="25"/>
    </row>
    <row r="481537" spans="21:21" x14ac:dyDescent="0.3">
      <c r="U481537" s="25"/>
    </row>
    <row r="481559" spans="21:21" x14ac:dyDescent="0.3">
      <c r="U481559" s="25"/>
    </row>
    <row r="481581" spans="21:21" x14ac:dyDescent="0.3">
      <c r="U481581" s="25"/>
    </row>
    <row r="481603" spans="21:21" x14ac:dyDescent="0.3">
      <c r="U481603" s="25"/>
    </row>
    <row r="481625" spans="21:21" x14ac:dyDescent="0.3">
      <c r="U481625" s="25"/>
    </row>
    <row r="481647" spans="21:21" x14ac:dyDescent="0.3">
      <c r="U481647" s="25"/>
    </row>
    <row r="481669" spans="21:21" x14ac:dyDescent="0.3">
      <c r="U481669" s="25"/>
    </row>
    <row r="481691" spans="21:21" x14ac:dyDescent="0.3">
      <c r="U481691" s="25"/>
    </row>
    <row r="481713" spans="21:21" x14ac:dyDescent="0.3">
      <c r="U481713" s="25"/>
    </row>
    <row r="481735" spans="21:21" x14ac:dyDescent="0.3">
      <c r="U481735" s="25"/>
    </row>
    <row r="481757" spans="21:21" x14ac:dyDescent="0.3">
      <c r="U481757" s="25"/>
    </row>
    <row r="481779" spans="21:21" x14ac:dyDescent="0.3">
      <c r="U481779" s="25"/>
    </row>
    <row r="481801" spans="21:21" x14ac:dyDescent="0.3">
      <c r="U481801" s="25"/>
    </row>
    <row r="481823" spans="21:21" x14ac:dyDescent="0.3">
      <c r="U481823" s="25"/>
    </row>
    <row r="481845" spans="21:21" x14ac:dyDescent="0.3">
      <c r="U481845" s="25"/>
    </row>
    <row r="481867" spans="21:21" x14ac:dyDescent="0.3">
      <c r="U481867" s="25"/>
    </row>
    <row r="481889" spans="21:21" x14ac:dyDescent="0.3">
      <c r="U481889" s="25"/>
    </row>
    <row r="481911" spans="21:21" x14ac:dyDescent="0.3">
      <c r="U481911" s="25"/>
    </row>
    <row r="481933" spans="21:21" x14ac:dyDescent="0.3">
      <c r="U481933" s="25"/>
    </row>
    <row r="481955" spans="21:21" x14ac:dyDescent="0.3">
      <c r="U481955" s="25"/>
    </row>
    <row r="481977" spans="21:21" x14ac:dyDescent="0.3">
      <c r="U481977" s="25"/>
    </row>
    <row r="481999" spans="21:21" x14ac:dyDescent="0.3">
      <c r="U481999" s="25"/>
    </row>
    <row r="482021" spans="21:21" x14ac:dyDescent="0.3">
      <c r="U482021" s="25"/>
    </row>
    <row r="482043" spans="21:21" x14ac:dyDescent="0.3">
      <c r="U482043" s="25"/>
    </row>
    <row r="482065" spans="21:21" x14ac:dyDescent="0.3">
      <c r="U482065" s="25"/>
    </row>
    <row r="482087" spans="21:21" x14ac:dyDescent="0.3">
      <c r="U482087" s="25"/>
    </row>
    <row r="482109" spans="21:21" x14ac:dyDescent="0.3">
      <c r="U482109" s="25"/>
    </row>
    <row r="482131" spans="21:21" x14ac:dyDescent="0.3">
      <c r="U482131" s="25"/>
    </row>
    <row r="482153" spans="21:21" x14ac:dyDescent="0.3">
      <c r="U482153" s="25"/>
    </row>
    <row r="482175" spans="21:21" x14ac:dyDescent="0.3">
      <c r="U482175" s="25"/>
    </row>
    <row r="482197" spans="21:21" x14ac:dyDescent="0.3">
      <c r="U482197" s="25"/>
    </row>
    <row r="482219" spans="21:21" x14ac:dyDescent="0.3">
      <c r="U482219" s="25"/>
    </row>
    <row r="482241" spans="21:21" x14ac:dyDescent="0.3">
      <c r="U482241" s="25"/>
    </row>
    <row r="482263" spans="21:21" x14ac:dyDescent="0.3">
      <c r="U482263" s="25"/>
    </row>
    <row r="482285" spans="21:21" x14ac:dyDescent="0.3">
      <c r="U482285" s="25"/>
    </row>
    <row r="482307" spans="21:21" x14ac:dyDescent="0.3">
      <c r="U482307" s="25"/>
    </row>
    <row r="482329" spans="21:21" x14ac:dyDescent="0.3">
      <c r="U482329" s="25"/>
    </row>
    <row r="482351" spans="21:21" x14ac:dyDescent="0.3">
      <c r="U482351" s="25"/>
    </row>
    <row r="482373" spans="21:21" x14ac:dyDescent="0.3">
      <c r="U482373" s="25"/>
    </row>
    <row r="482395" spans="21:21" x14ac:dyDescent="0.3">
      <c r="U482395" s="25"/>
    </row>
    <row r="482417" spans="21:21" x14ac:dyDescent="0.3">
      <c r="U482417" s="25"/>
    </row>
    <row r="482439" spans="21:21" x14ac:dyDescent="0.3">
      <c r="U482439" s="25"/>
    </row>
    <row r="482461" spans="21:21" x14ac:dyDescent="0.3">
      <c r="U482461" s="25"/>
    </row>
    <row r="482483" spans="21:21" x14ac:dyDescent="0.3">
      <c r="U482483" s="25"/>
    </row>
    <row r="482505" spans="21:21" x14ac:dyDescent="0.3">
      <c r="U482505" s="25"/>
    </row>
    <row r="482527" spans="21:21" x14ac:dyDescent="0.3">
      <c r="U482527" s="25"/>
    </row>
    <row r="482549" spans="21:21" x14ac:dyDescent="0.3">
      <c r="U482549" s="25"/>
    </row>
    <row r="482571" spans="21:21" x14ac:dyDescent="0.3">
      <c r="U482571" s="25"/>
    </row>
    <row r="482593" spans="21:21" x14ac:dyDescent="0.3">
      <c r="U482593" s="25"/>
    </row>
    <row r="482615" spans="21:21" x14ac:dyDescent="0.3">
      <c r="U482615" s="25"/>
    </row>
    <row r="482637" spans="21:21" x14ac:dyDescent="0.3">
      <c r="U482637" s="25"/>
    </row>
    <row r="482659" spans="21:21" x14ac:dyDescent="0.3">
      <c r="U482659" s="25"/>
    </row>
    <row r="482681" spans="21:21" x14ac:dyDescent="0.3">
      <c r="U482681" s="25"/>
    </row>
    <row r="482703" spans="21:21" x14ac:dyDescent="0.3">
      <c r="U482703" s="25"/>
    </row>
    <row r="482725" spans="21:21" x14ac:dyDescent="0.3">
      <c r="U482725" s="25"/>
    </row>
    <row r="482747" spans="21:21" x14ac:dyDescent="0.3">
      <c r="U482747" s="25"/>
    </row>
    <row r="482769" spans="21:21" x14ac:dyDescent="0.3">
      <c r="U482769" s="25"/>
    </row>
    <row r="482791" spans="21:21" x14ac:dyDescent="0.3">
      <c r="U482791" s="25"/>
    </row>
    <row r="482813" spans="21:21" x14ac:dyDescent="0.3">
      <c r="U482813" s="25"/>
    </row>
    <row r="482835" spans="21:21" x14ac:dyDescent="0.3">
      <c r="U482835" s="25"/>
    </row>
    <row r="482857" spans="21:21" x14ac:dyDescent="0.3">
      <c r="U482857" s="25"/>
    </row>
    <row r="482879" spans="21:21" x14ac:dyDescent="0.3">
      <c r="U482879" s="25"/>
    </row>
    <row r="482901" spans="21:21" x14ac:dyDescent="0.3">
      <c r="U482901" s="25"/>
    </row>
    <row r="482923" spans="21:21" x14ac:dyDescent="0.3">
      <c r="U482923" s="25"/>
    </row>
    <row r="482945" spans="21:21" x14ac:dyDescent="0.3">
      <c r="U482945" s="25"/>
    </row>
    <row r="482967" spans="21:21" x14ac:dyDescent="0.3">
      <c r="U482967" s="25"/>
    </row>
    <row r="482989" spans="21:21" x14ac:dyDescent="0.3">
      <c r="U482989" s="25"/>
    </row>
    <row r="483011" spans="21:21" x14ac:dyDescent="0.3">
      <c r="U483011" s="25"/>
    </row>
    <row r="483033" spans="21:21" x14ac:dyDescent="0.3">
      <c r="U483033" s="25"/>
    </row>
    <row r="483055" spans="21:21" x14ac:dyDescent="0.3">
      <c r="U483055" s="25"/>
    </row>
    <row r="483077" spans="21:21" x14ac:dyDescent="0.3">
      <c r="U483077" s="25"/>
    </row>
    <row r="483099" spans="21:21" x14ac:dyDescent="0.3">
      <c r="U483099" s="25"/>
    </row>
    <row r="483121" spans="21:21" x14ac:dyDescent="0.3">
      <c r="U483121" s="25"/>
    </row>
    <row r="483143" spans="21:21" x14ac:dyDescent="0.3">
      <c r="U483143" s="25"/>
    </row>
    <row r="483165" spans="21:21" x14ac:dyDescent="0.3">
      <c r="U483165" s="25"/>
    </row>
    <row r="483187" spans="21:21" x14ac:dyDescent="0.3">
      <c r="U483187" s="25"/>
    </row>
    <row r="483209" spans="21:21" x14ac:dyDescent="0.3">
      <c r="U483209" s="25"/>
    </row>
    <row r="483231" spans="21:21" x14ac:dyDescent="0.3">
      <c r="U483231" s="25"/>
    </row>
    <row r="483253" spans="21:21" x14ac:dyDescent="0.3">
      <c r="U483253" s="25"/>
    </row>
    <row r="483275" spans="21:21" x14ac:dyDescent="0.3">
      <c r="U483275" s="25"/>
    </row>
    <row r="483297" spans="21:21" x14ac:dyDescent="0.3">
      <c r="U483297" s="25"/>
    </row>
    <row r="483319" spans="21:21" x14ac:dyDescent="0.3">
      <c r="U483319" s="25"/>
    </row>
    <row r="483341" spans="21:21" x14ac:dyDescent="0.3">
      <c r="U483341" s="25"/>
    </row>
    <row r="483363" spans="21:21" x14ac:dyDescent="0.3">
      <c r="U483363" s="25"/>
    </row>
    <row r="483385" spans="21:21" x14ac:dyDescent="0.3">
      <c r="U483385" s="25"/>
    </row>
    <row r="483407" spans="21:21" x14ac:dyDescent="0.3">
      <c r="U483407" s="25"/>
    </row>
    <row r="483429" spans="21:21" x14ac:dyDescent="0.3">
      <c r="U483429" s="25"/>
    </row>
    <row r="483451" spans="21:21" x14ac:dyDescent="0.3">
      <c r="U483451" s="25"/>
    </row>
    <row r="483473" spans="21:21" x14ac:dyDescent="0.3">
      <c r="U483473" s="25"/>
    </row>
    <row r="483495" spans="21:21" x14ac:dyDescent="0.3">
      <c r="U483495" s="25"/>
    </row>
    <row r="483517" spans="21:21" x14ac:dyDescent="0.3">
      <c r="U483517" s="25"/>
    </row>
    <row r="483539" spans="21:21" x14ac:dyDescent="0.3">
      <c r="U483539" s="25"/>
    </row>
    <row r="483561" spans="21:21" x14ac:dyDescent="0.3">
      <c r="U483561" s="25"/>
    </row>
    <row r="483583" spans="21:21" x14ac:dyDescent="0.3">
      <c r="U483583" s="25"/>
    </row>
    <row r="483605" spans="21:21" x14ac:dyDescent="0.3">
      <c r="U483605" s="25"/>
    </row>
    <row r="483627" spans="21:21" x14ac:dyDescent="0.3">
      <c r="U483627" s="25"/>
    </row>
    <row r="483649" spans="21:21" x14ac:dyDescent="0.3">
      <c r="U483649" s="25"/>
    </row>
    <row r="483671" spans="21:21" x14ac:dyDescent="0.3">
      <c r="U483671" s="25"/>
    </row>
    <row r="483693" spans="21:21" x14ac:dyDescent="0.3">
      <c r="U483693" s="25"/>
    </row>
    <row r="483715" spans="21:21" x14ac:dyDescent="0.3">
      <c r="U483715" s="25"/>
    </row>
    <row r="483737" spans="21:21" x14ac:dyDescent="0.3">
      <c r="U483737" s="25"/>
    </row>
    <row r="483759" spans="21:21" x14ac:dyDescent="0.3">
      <c r="U483759" s="25"/>
    </row>
    <row r="483781" spans="21:21" x14ac:dyDescent="0.3">
      <c r="U483781" s="25"/>
    </row>
    <row r="483803" spans="21:21" x14ac:dyDescent="0.3">
      <c r="U483803" s="25"/>
    </row>
    <row r="483825" spans="21:21" x14ac:dyDescent="0.3">
      <c r="U483825" s="25"/>
    </row>
    <row r="483847" spans="21:21" x14ac:dyDescent="0.3">
      <c r="U483847" s="25"/>
    </row>
    <row r="483869" spans="21:21" x14ac:dyDescent="0.3">
      <c r="U483869" s="25"/>
    </row>
    <row r="483891" spans="21:21" x14ac:dyDescent="0.3">
      <c r="U483891" s="25"/>
    </row>
    <row r="483913" spans="21:21" x14ac:dyDescent="0.3">
      <c r="U483913" s="25"/>
    </row>
    <row r="483935" spans="21:21" x14ac:dyDescent="0.3">
      <c r="U483935" s="25"/>
    </row>
    <row r="483957" spans="21:21" x14ac:dyDescent="0.3">
      <c r="U483957" s="25"/>
    </row>
    <row r="483979" spans="21:21" x14ac:dyDescent="0.3">
      <c r="U483979" s="25"/>
    </row>
    <row r="484001" spans="21:21" x14ac:dyDescent="0.3">
      <c r="U484001" s="25"/>
    </row>
    <row r="484023" spans="21:21" x14ac:dyDescent="0.3">
      <c r="U484023" s="25"/>
    </row>
    <row r="484045" spans="21:21" x14ac:dyDescent="0.3">
      <c r="U484045" s="25"/>
    </row>
    <row r="484067" spans="21:21" x14ac:dyDescent="0.3">
      <c r="U484067" s="25"/>
    </row>
    <row r="484089" spans="21:21" x14ac:dyDescent="0.3">
      <c r="U484089" s="25"/>
    </row>
    <row r="484111" spans="21:21" x14ac:dyDescent="0.3">
      <c r="U484111" s="25"/>
    </row>
    <row r="484133" spans="21:21" x14ac:dyDescent="0.3">
      <c r="U484133" s="25"/>
    </row>
    <row r="484155" spans="21:21" x14ac:dyDescent="0.3">
      <c r="U484155" s="25"/>
    </row>
    <row r="484177" spans="21:21" x14ac:dyDescent="0.3">
      <c r="U484177" s="25"/>
    </row>
    <row r="484199" spans="21:21" x14ac:dyDescent="0.3">
      <c r="U484199" s="25"/>
    </row>
    <row r="484221" spans="21:21" x14ac:dyDescent="0.3">
      <c r="U484221" s="25"/>
    </row>
    <row r="484243" spans="21:21" x14ac:dyDescent="0.3">
      <c r="U484243" s="25"/>
    </row>
    <row r="484265" spans="21:21" x14ac:dyDescent="0.3">
      <c r="U484265" s="25"/>
    </row>
    <row r="484287" spans="21:21" x14ac:dyDescent="0.3">
      <c r="U484287" s="25"/>
    </row>
    <row r="484309" spans="21:21" x14ac:dyDescent="0.3">
      <c r="U484309" s="25"/>
    </row>
    <row r="484331" spans="21:21" x14ac:dyDescent="0.3">
      <c r="U484331" s="25"/>
    </row>
    <row r="484353" spans="21:21" x14ac:dyDescent="0.3">
      <c r="U484353" s="25"/>
    </row>
    <row r="484375" spans="21:21" x14ac:dyDescent="0.3">
      <c r="U484375" s="25"/>
    </row>
    <row r="484397" spans="21:21" x14ac:dyDescent="0.3">
      <c r="U484397" s="25"/>
    </row>
    <row r="484419" spans="21:21" x14ac:dyDescent="0.3">
      <c r="U484419" s="25"/>
    </row>
    <row r="484441" spans="21:21" x14ac:dyDescent="0.3">
      <c r="U484441" s="25"/>
    </row>
    <row r="484463" spans="21:21" x14ac:dyDescent="0.3">
      <c r="U484463" s="25"/>
    </row>
    <row r="484485" spans="21:21" x14ac:dyDescent="0.3">
      <c r="U484485" s="25"/>
    </row>
    <row r="484507" spans="21:21" x14ac:dyDescent="0.3">
      <c r="U484507" s="25"/>
    </row>
    <row r="484529" spans="21:21" x14ac:dyDescent="0.3">
      <c r="U484529" s="25"/>
    </row>
    <row r="484551" spans="21:21" x14ac:dyDescent="0.3">
      <c r="U484551" s="25"/>
    </row>
    <row r="484573" spans="21:21" x14ac:dyDescent="0.3">
      <c r="U484573" s="25"/>
    </row>
    <row r="484595" spans="21:21" x14ac:dyDescent="0.3">
      <c r="U484595" s="25"/>
    </row>
    <row r="484617" spans="21:21" x14ac:dyDescent="0.3">
      <c r="U484617" s="25"/>
    </row>
    <row r="484639" spans="21:21" x14ac:dyDescent="0.3">
      <c r="U484639" s="25"/>
    </row>
    <row r="484661" spans="21:21" x14ac:dyDescent="0.3">
      <c r="U484661" s="25"/>
    </row>
    <row r="484683" spans="21:21" x14ac:dyDescent="0.3">
      <c r="U484683" s="25"/>
    </row>
    <row r="484705" spans="21:21" x14ac:dyDescent="0.3">
      <c r="U484705" s="25"/>
    </row>
    <row r="484727" spans="21:21" x14ac:dyDescent="0.3">
      <c r="U484727" s="25"/>
    </row>
    <row r="484749" spans="21:21" x14ac:dyDescent="0.3">
      <c r="U484749" s="25"/>
    </row>
    <row r="484771" spans="21:21" x14ac:dyDescent="0.3">
      <c r="U484771" s="25"/>
    </row>
    <row r="484793" spans="21:21" x14ac:dyDescent="0.3">
      <c r="U484793" s="25"/>
    </row>
    <row r="484815" spans="21:21" x14ac:dyDescent="0.3">
      <c r="U484815" s="25"/>
    </row>
    <row r="484837" spans="21:21" x14ac:dyDescent="0.3">
      <c r="U484837" s="25"/>
    </row>
    <row r="484859" spans="21:21" x14ac:dyDescent="0.3">
      <c r="U484859" s="25"/>
    </row>
    <row r="484881" spans="21:21" x14ac:dyDescent="0.3">
      <c r="U484881" s="25"/>
    </row>
    <row r="484903" spans="21:21" x14ac:dyDescent="0.3">
      <c r="U484903" s="25"/>
    </row>
    <row r="484925" spans="21:21" x14ac:dyDescent="0.3">
      <c r="U484925" s="25"/>
    </row>
    <row r="484947" spans="21:21" x14ac:dyDescent="0.3">
      <c r="U484947" s="25"/>
    </row>
    <row r="484969" spans="21:21" x14ac:dyDescent="0.3">
      <c r="U484969" s="25"/>
    </row>
    <row r="484991" spans="21:21" x14ac:dyDescent="0.3">
      <c r="U484991" s="25"/>
    </row>
    <row r="485013" spans="21:21" x14ac:dyDescent="0.3">
      <c r="U485013" s="25"/>
    </row>
    <row r="485035" spans="21:21" x14ac:dyDescent="0.3">
      <c r="U485035" s="25"/>
    </row>
    <row r="485057" spans="21:21" x14ac:dyDescent="0.3">
      <c r="U485057" s="25"/>
    </row>
    <row r="485079" spans="21:21" x14ac:dyDescent="0.3">
      <c r="U485079" s="25"/>
    </row>
    <row r="485101" spans="21:21" x14ac:dyDescent="0.3">
      <c r="U485101" s="25"/>
    </row>
    <row r="485123" spans="21:21" x14ac:dyDescent="0.3">
      <c r="U485123" s="25"/>
    </row>
    <row r="485145" spans="21:21" x14ac:dyDescent="0.3">
      <c r="U485145" s="25"/>
    </row>
    <row r="485167" spans="21:21" x14ac:dyDescent="0.3">
      <c r="U485167" s="25"/>
    </row>
    <row r="485189" spans="21:21" x14ac:dyDescent="0.3">
      <c r="U485189" s="25"/>
    </row>
    <row r="485211" spans="21:21" x14ac:dyDescent="0.3">
      <c r="U485211" s="25"/>
    </row>
    <row r="485233" spans="21:21" x14ac:dyDescent="0.3">
      <c r="U485233" s="25"/>
    </row>
    <row r="485255" spans="21:21" x14ac:dyDescent="0.3">
      <c r="U485255" s="25"/>
    </row>
    <row r="485277" spans="21:21" x14ac:dyDescent="0.3">
      <c r="U485277" s="25"/>
    </row>
    <row r="485299" spans="21:21" x14ac:dyDescent="0.3">
      <c r="U485299" s="25"/>
    </row>
    <row r="485321" spans="21:21" x14ac:dyDescent="0.3">
      <c r="U485321" s="25"/>
    </row>
    <row r="485343" spans="21:21" x14ac:dyDescent="0.3">
      <c r="U485343" s="25"/>
    </row>
    <row r="485365" spans="21:21" x14ac:dyDescent="0.3">
      <c r="U485365" s="25"/>
    </row>
    <row r="485387" spans="21:21" x14ac:dyDescent="0.3">
      <c r="U485387" s="25"/>
    </row>
    <row r="485409" spans="21:21" x14ac:dyDescent="0.3">
      <c r="U485409" s="25"/>
    </row>
    <row r="485431" spans="21:21" x14ac:dyDescent="0.3">
      <c r="U485431" s="25"/>
    </row>
    <row r="485453" spans="21:21" x14ac:dyDescent="0.3">
      <c r="U485453" s="25"/>
    </row>
    <row r="485475" spans="21:21" x14ac:dyDescent="0.3">
      <c r="U485475" s="25"/>
    </row>
    <row r="485497" spans="21:21" x14ac:dyDescent="0.3">
      <c r="U485497" s="25"/>
    </row>
    <row r="485519" spans="21:21" x14ac:dyDescent="0.3">
      <c r="U485519" s="25"/>
    </row>
    <row r="485541" spans="21:21" x14ac:dyDescent="0.3">
      <c r="U485541" s="25"/>
    </row>
    <row r="485563" spans="21:21" x14ac:dyDescent="0.3">
      <c r="U485563" s="25"/>
    </row>
    <row r="485585" spans="21:21" x14ac:dyDescent="0.3">
      <c r="U485585" s="25"/>
    </row>
    <row r="485607" spans="21:21" x14ac:dyDescent="0.3">
      <c r="U485607" s="25"/>
    </row>
    <row r="485629" spans="21:21" x14ac:dyDescent="0.3">
      <c r="U485629" s="25"/>
    </row>
    <row r="485651" spans="21:21" x14ac:dyDescent="0.3">
      <c r="U485651" s="25"/>
    </row>
    <row r="485673" spans="21:21" x14ac:dyDescent="0.3">
      <c r="U485673" s="25"/>
    </row>
    <row r="485695" spans="21:21" x14ac:dyDescent="0.3">
      <c r="U485695" s="25"/>
    </row>
    <row r="485717" spans="21:21" x14ac:dyDescent="0.3">
      <c r="U485717" s="25"/>
    </row>
    <row r="485739" spans="21:21" x14ac:dyDescent="0.3">
      <c r="U485739" s="25"/>
    </row>
    <row r="485761" spans="21:21" x14ac:dyDescent="0.3">
      <c r="U485761" s="25"/>
    </row>
    <row r="485783" spans="21:21" x14ac:dyDescent="0.3">
      <c r="U485783" s="25"/>
    </row>
    <row r="485805" spans="21:21" x14ac:dyDescent="0.3">
      <c r="U485805" s="25"/>
    </row>
    <row r="485827" spans="21:21" x14ac:dyDescent="0.3">
      <c r="U485827" s="25"/>
    </row>
    <row r="485849" spans="21:21" x14ac:dyDescent="0.3">
      <c r="U485849" s="25"/>
    </row>
    <row r="485871" spans="21:21" x14ac:dyDescent="0.3">
      <c r="U485871" s="25"/>
    </row>
    <row r="485893" spans="21:21" x14ac:dyDescent="0.3">
      <c r="U485893" s="25"/>
    </row>
    <row r="485915" spans="21:21" x14ac:dyDescent="0.3">
      <c r="U485915" s="25"/>
    </row>
    <row r="485937" spans="21:21" x14ac:dyDescent="0.3">
      <c r="U485937" s="25"/>
    </row>
    <row r="485959" spans="21:21" x14ac:dyDescent="0.3">
      <c r="U485959" s="25"/>
    </row>
    <row r="485981" spans="21:21" x14ac:dyDescent="0.3">
      <c r="U485981" s="25"/>
    </row>
    <row r="486003" spans="21:21" x14ac:dyDescent="0.3">
      <c r="U486003" s="25"/>
    </row>
    <row r="486025" spans="21:21" x14ac:dyDescent="0.3">
      <c r="U486025" s="25"/>
    </row>
    <row r="486047" spans="21:21" x14ac:dyDescent="0.3">
      <c r="U486047" s="25"/>
    </row>
    <row r="486069" spans="21:21" x14ac:dyDescent="0.3">
      <c r="U486069" s="25"/>
    </row>
    <row r="486091" spans="21:21" x14ac:dyDescent="0.3">
      <c r="U486091" s="25"/>
    </row>
    <row r="486113" spans="21:21" x14ac:dyDescent="0.3">
      <c r="U486113" s="25"/>
    </row>
    <row r="486135" spans="21:21" x14ac:dyDescent="0.3">
      <c r="U486135" s="25"/>
    </row>
    <row r="486157" spans="21:21" x14ac:dyDescent="0.3">
      <c r="U486157" s="25"/>
    </row>
    <row r="486179" spans="21:21" x14ac:dyDescent="0.3">
      <c r="U486179" s="25"/>
    </row>
    <row r="486201" spans="21:21" x14ac:dyDescent="0.3">
      <c r="U486201" s="25"/>
    </row>
    <row r="486223" spans="21:21" x14ac:dyDescent="0.3">
      <c r="U486223" s="25"/>
    </row>
    <row r="486245" spans="21:21" x14ac:dyDescent="0.3">
      <c r="U486245" s="25"/>
    </row>
    <row r="486267" spans="21:21" x14ac:dyDescent="0.3">
      <c r="U486267" s="25"/>
    </row>
    <row r="486289" spans="21:21" x14ac:dyDescent="0.3">
      <c r="U486289" s="25"/>
    </row>
    <row r="486311" spans="21:21" x14ac:dyDescent="0.3">
      <c r="U486311" s="25"/>
    </row>
    <row r="486333" spans="21:21" x14ac:dyDescent="0.3">
      <c r="U486333" s="25"/>
    </row>
    <row r="486355" spans="21:21" x14ac:dyDescent="0.3">
      <c r="U486355" s="25"/>
    </row>
    <row r="486377" spans="21:21" x14ac:dyDescent="0.3">
      <c r="U486377" s="25"/>
    </row>
    <row r="486399" spans="21:21" x14ac:dyDescent="0.3">
      <c r="U486399" s="25"/>
    </row>
    <row r="486421" spans="21:21" x14ac:dyDescent="0.3">
      <c r="U486421" s="25"/>
    </row>
    <row r="486443" spans="21:21" x14ac:dyDescent="0.3">
      <c r="U486443" s="25"/>
    </row>
    <row r="486465" spans="21:21" x14ac:dyDescent="0.3">
      <c r="U486465" s="25"/>
    </row>
    <row r="486487" spans="21:21" x14ac:dyDescent="0.3">
      <c r="U486487" s="25"/>
    </row>
    <row r="486509" spans="21:21" x14ac:dyDescent="0.3">
      <c r="U486509" s="25"/>
    </row>
    <row r="486531" spans="21:21" x14ac:dyDescent="0.3">
      <c r="U486531" s="25"/>
    </row>
    <row r="486553" spans="21:21" x14ac:dyDescent="0.3">
      <c r="U486553" s="25"/>
    </row>
    <row r="486575" spans="21:21" x14ac:dyDescent="0.3">
      <c r="U486575" s="25"/>
    </row>
    <row r="486597" spans="21:21" x14ac:dyDescent="0.3">
      <c r="U486597" s="25"/>
    </row>
    <row r="486619" spans="21:21" x14ac:dyDescent="0.3">
      <c r="U486619" s="25"/>
    </row>
    <row r="486641" spans="21:21" x14ac:dyDescent="0.3">
      <c r="U486641" s="25"/>
    </row>
    <row r="486663" spans="21:21" x14ac:dyDescent="0.3">
      <c r="U486663" s="25"/>
    </row>
    <row r="486685" spans="21:21" x14ac:dyDescent="0.3">
      <c r="U486685" s="25"/>
    </row>
    <row r="486707" spans="21:21" x14ac:dyDescent="0.3">
      <c r="U486707" s="25"/>
    </row>
    <row r="486729" spans="21:21" x14ac:dyDescent="0.3">
      <c r="U486729" s="25"/>
    </row>
    <row r="486751" spans="21:21" x14ac:dyDescent="0.3">
      <c r="U486751" s="25"/>
    </row>
    <row r="486773" spans="21:21" x14ac:dyDescent="0.3">
      <c r="U486773" s="25"/>
    </row>
    <row r="486795" spans="21:21" x14ac:dyDescent="0.3">
      <c r="U486795" s="25"/>
    </row>
    <row r="486817" spans="21:21" x14ac:dyDescent="0.3">
      <c r="U486817" s="25"/>
    </row>
    <row r="486839" spans="21:21" x14ac:dyDescent="0.3">
      <c r="U486839" s="25"/>
    </row>
    <row r="486861" spans="21:21" x14ac:dyDescent="0.3">
      <c r="U486861" s="25"/>
    </row>
    <row r="486883" spans="21:21" x14ac:dyDescent="0.3">
      <c r="U486883" s="25"/>
    </row>
    <row r="486905" spans="21:21" x14ac:dyDescent="0.3">
      <c r="U486905" s="25"/>
    </row>
    <row r="486927" spans="21:21" x14ac:dyDescent="0.3">
      <c r="U486927" s="25"/>
    </row>
    <row r="486949" spans="21:21" x14ac:dyDescent="0.3">
      <c r="U486949" s="25"/>
    </row>
    <row r="486971" spans="21:21" x14ac:dyDescent="0.3">
      <c r="U486971" s="25"/>
    </row>
    <row r="486993" spans="21:21" x14ac:dyDescent="0.3">
      <c r="U486993" s="25"/>
    </row>
    <row r="487015" spans="21:21" x14ac:dyDescent="0.3">
      <c r="U487015" s="25"/>
    </row>
    <row r="487037" spans="21:21" x14ac:dyDescent="0.3">
      <c r="U487037" s="25"/>
    </row>
    <row r="487059" spans="21:21" x14ac:dyDescent="0.3">
      <c r="U487059" s="25"/>
    </row>
    <row r="487081" spans="21:21" x14ac:dyDescent="0.3">
      <c r="U487081" s="25"/>
    </row>
    <row r="487103" spans="21:21" x14ac:dyDescent="0.3">
      <c r="U487103" s="25"/>
    </row>
    <row r="487125" spans="21:21" x14ac:dyDescent="0.3">
      <c r="U487125" s="25"/>
    </row>
    <row r="487147" spans="21:21" x14ac:dyDescent="0.3">
      <c r="U487147" s="25"/>
    </row>
    <row r="487169" spans="21:21" x14ac:dyDescent="0.3">
      <c r="U487169" s="25"/>
    </row>
    <row r="487191" spans="21:21" x14ac:dyDescent="0.3">
      <c r="U487191" s="25"/>
    </row>
    <row r="487213" spans="21:21" x14ac:dyDescent="0.3">
      <c r="U487213" s="25"/>
    </row>
    <row r="487235" spans="21:21" x14ac:dyDescent="0.3">
      <c r="U487235" s="25"/>
    </row>
    <row r="487257" spans="21:21" x14ac:dyDescent="0.3">
      <c r="U487257" s="25"/>
    </row>
    <row r="487279" spans="21:21" x14ac:dyDescent="0.3">
      <c r="U487279" s="25"/>
    </row>
    <row r="487301" spans="21:21" x14ac:dyDescent="0.3">
      <c r="U487301" s="25"/>
    </row>
    <row r="487323" spans="21:21" x14ac:dyDescent="0.3">
      <c r="U487323" s="25"/>
    </row>
    <row r="487345" spans="21:21" x14ac:dyDescent="0.3">
      <c r="U487345" s="25"/>
    </row>
    <row r="487367" spans="21:21" x14ac:dyDescent="0.3">
      <c r="U487367" s="25"/>
    </row>
    <row r="487389" spans="21:21" x14ac:dyDescent="0.3">
      <c r="U487389" s="25"/>
    </row>
    <row r="487411" spans="21:21" x14ac:dyDescent="0.3">
      <c r="U487411" s="25"/>
    </row>
    <row r="487433" spans="21:21" x14ac:dyDescent="0.3">
      <c r="U487433" s="25"/>
    </row>
    <row r="487455" spans="21:21" x14ac:dyDescent="0.3">
      <c r="U487455" s="25"/>
    </row>
    <row r="487477" spans="21:21" x14ac:dyDescent="0.3">
      <c r="U487477" s="25"/>
    </row>
    <row r="487499" spans="21:21" x14ac:dyDescent="0.3">
      <c r="U487499" s="25"/>
    </row>
    <row r="487521" spans="21:21" x14ac:dyDescent="0.3">
      <c r="U487521" s="25"/>
    </row>
    <row r="487543" spans="21:21" x14ac:dyDescent="0.3">
      <c r="U487543" s="25"/>
    </row>
    <row r="487565" spans="21:21" x14ac:dyDescent="0.3">
      <c r="U487565" s="25"/>
    </row>
    <row r="487587" spans="21:21" x14ac:dyDescent="0.3">
      <c r="U487587" s="25"/>
    </row>
    <row r="487609" spans="21:21" x14ac:dyDescent="0.3">
      <c r="U487609" s="25"/>
    </row>
    <row r="487631" spans="21:21" x14ac:dyDescent="0.3">
      <c r="U487631" s="25"/>
    </row>
    <row r="487653" spans="21:21" x14ac:dyDescent="0.3">
      <c r="U487653" s="25"/>
    </row>
    <row r="487675" spans="21:21" x14ac:dyDescent="0.3">
      <c r="U487675" s="25"/>
    </row>
    <row r="487697" spans="21:21" x14ac:dyDescent="0.3">
      <c r="U487697" s="25"/>
    </row>
    <row r="487719" spans="21:21" x14ac:dyDescent="0.3">
      <c r="U487719" s="25"/>
    </row>
    <row r="487741" spans="21:21" x14ac:dyDescent="0.3">
      <c r="U487741" s="25"/>
    </row>
    <row r="487763" spans="21:21" x14ac:dyDescent="0.3">
      <c r="U487763" s="25"/>
    </row>
    <row r="487785" spans="21:21" x14ac:dyDescent="0.3">
      <c r="U487785" s="25"/>
    </row>
    <row r="487807" spans="21:21" x14ac:dyDescent="0.3">
      <c r="U487807" s="25"/>
    </row>
    <row r="487829" spans="21:21" x14ac:dyDescent="0.3">
      <c r="U487829" s="25"/>
    </row>
    <row r="487851" spans="21:21" x14ac:dyDescent="0.3">
      <c r="U487851" s="25"/>
    </row>
    <row r="487873" spans="21:21" x14ac:dyDescent="0.3">
      <c r="U487873" s="25"/>
    </row>
    <row r="487895" spans="21:21" x14ac:dyDescent="0.3">
      <c r="U487895" s="25"/>
    </row>
    <row r="487917" spans="21:21" x14ac:dyDescent="0.3">
      <c r="U487917" s="25"/>
    </row>
    <row r="487939" spans="21:21" x14ac:dyDescent="0.3">
      <c r="U487939" s="25"/>
    </row>
    <row r="487961" spans="21:21" x14ac:dyDescent="0.3">
      <c r="U487961" s="25"/>
    </row>
    <row r="487983" spans="21:21" x14ac:dyDescent="0.3">
      <c r="U487983" s="25"/>
    </row>
    <row r="488005" spans="21:21" x14ac:dyDescent="0.3">
      <c r="U488005" s="25"/>
    </row>
    <row r="488027" spans="21:21" x14ac:dyDescent="0.3">
      <c r="U488027" s="25"/>
    </row>
    <row r="488049" spans="21:21" x14ac:dyDescent="0.3">
      <c r="U488049" s="25"/>
    </row>
    <row r="488071" spans="21:21" x14ac:dyDescent="0.3">
      <c r="U488071" s="25"/>
    </row>
    <row r="488093" spans="21:21" x14ac:dyDescent="0.3">
      <c r="U488093" s="25"/>
    </row>
    <row r="488115" spans="21:21" x14ac:dyDescent="0.3">
      <c r="U488115" s="25"/>
    </row>
    <row r="488137" spans="21:21" x14ac:dyDescent="0.3">
      <c r="U488137" s="25"/>
    </row>
    <row r="488159" spans="21:21" x14ac:dyDescent="0.3">
      <c r="U488159" s="25"/>
    </row>
    <row r="488181" spans="21:21" x14ac:dyDescent="0.3">
      <c r="U488181" s="25"/>
    </row>
    <row r="488203" spans="21:21" x14ac:dyDescent="0.3">
      <c r="U488203" s="25"/>
    </row>
    <row r="488225" spans="21:21" x14ac:dyDescent="0.3">
      <c r="U488225" s="25"/>
    </row>
    <row r="488247" spans="21:21" x14ac:dyDescent="0.3">
      <c r="U488247" s="25"/>
    </row>
    <row r="488269" spans="21:21" x14ac:dyDescent="0.3">
      <c r="U488269" s="25"/>
    </row>
    <row r="488291" spans="21:21" x14ac:dyDescent="0.3">
      <c r="U488291" s="25"/>
    </row>
    <row r="488313" spans="21:21" x14ac:dyDescent="0.3">
      <c r="U488313" s="25"/>
    </row>
    <row r="488335" spans="21:21" x14ac:dyDescent="0.3">
      <c r="U488335" s="25"/>
    </row>
    <row r="488357" spans="21:21" x14ac:dyDescent="0.3">
      <c r="U488357" s="25"/>
    </row>
    <row r="488379" spans="21:21" x14ac:dyDescent="0.3">
      <c r="U488379" s="25"/>
    </row>
    <row r="488401" spans="21:21" x14ac:dyDescent="0.3">
      <c r="U488401" s="25"/>
    </row>
    <row r="488423" spans="21:21" x14ac:dyDescent="0.3">
      <c r="U488423" s="25"/>
    </row>
    <row r="488445" spans="21:21" x14ac:dyDescent="0.3">
      <c r="U488445" s="25"/>
    </row>
    <row r="488467" spans="21:21" x14ac:dyDescent="0.3">
      <c r="U488467" s="25"/>
    </row>
    <row r="488489" spans="21:21" x14ac:dyDescent="0.3">
      <c r="U488489" s="25"/>
    </row>
    <row r="488511" spans="21:21" x14ac:dyDescent="0.3">
      <c r="U488511" s="25"/>
    </row>
    <row r="488533" spans="21:21" x14ac:dyDescent="0.3">
      <c r="U488533" s="25"/>
    </row>
    <row r="488555" spans="21:21" x14ac:dyDescent="0.3">
      <c r="U488555" s="25"/>
    </row>
    <row r="488577" spans="21:21" x14ac:dyDescent="0.3">
      <c r="U488577" s="25"/>
    </row>
    <row r="488599" spans="21:21" x14ac:dyDescent="0.3">
      <c r="U488599" s="25"/>
    </row>
    <row r="488621" spans="21:21" x14ac:dyDescent="0.3">
      <c r="U488621" s="25"/>
    </row>
    <row r="488643" spans="21:21" x14ac:dyDescent="0.3">
      <c r="U488643" s="25"/>
    </row>
    <row r="488665" spans="21:21" x14ac:dyDescent="0.3">
      <c r="U488665" s="25"/>
    </row>
    <row r="488687" spans="21:21" x14ac:dyDescent="0.3">
      <c r="U488687" s="25"/>
    </row>
    <row r="488709" spans="21:21" x14ac:dyDescent="0.3">
      <c r="U488709" s="25"/>
    </row>
    <row r="488731" spans="21:21" x14ac:dyDescent="0.3">
      <c r="U488731" s="25"/>
    </row>
    <row r="488753" spans="21:21" x14ac:dyDescent="0.3">
      <c r="U488753" s="25"/>
    </row>
    <row r="488775" spans="21:21" x14ac:dyDescent="0.3">
      <c r="U488775" s="25"/>
    </row>
    <row r="488797" spans="21:21" x14ac:dyDescent="0.3">
      <c r="U488797" s="25"/>
    </row>
    <row r="488819" spans="21:21" x14ac:dyDescent="0.3">
      <c r="U488819" s="25"/>
    </row>
    <row r="488841" spans="21:21" x14ac:dyDescent="0.3">
      <c r="U488841" s="25"/>
    </row>
    <row r="488863" spans="21:21" x14ac:dyDescent="0.3">
      <c r="U488863" s="25"/>
    </row>
    <row r="488885" spans="21:21" x14ac:dyDescent="0.3">
      <c r="U488885" s="25"/>
    </row>
    <row r="488907" spans="21:21" x14ac:dyDescent="0.3">
      <c r="U488907" s="25"/>
    </row>
    <row r="488929" spans="21:21" x14ac:dyDescent="0.3">
      <c r="U488929" s="25"/>
    </row>
    <row r="488951" spans="21:21" x14ac:dyDescent="0.3">
      <c r="U488951" s="25"/>
    </row>
    <row r="488973" spans="21:21" x14ac:dyDescent="0.3">
      <c r="U488973" s="25"/>
    </row>
    <row r="488995" spans="21:21" x14ac:dyDescent="0.3">
      <c r="U488995" s="25"/>
    </row>
    <row r="489017" spans="21:21" x14ac:dyDescent="0.3">
      <c r="U489017" s="25"/>
    </row>
    <row r="489039" spans="21:21" x14ac:dyDescent="0.3">
      <c r="U489039" s="25"/>
    </row>
    <row r="489061" spans="21:21" x14ac:dyDescent="0.3">
      <c r="U489061" s="25"/>
    </row>
    <row r="489083" spans="21:21" x14ac:dyDescent="0.3">
      <c r="U489083" s="25"/>
    </row>
    <row r="489105" spans="21:21" x14ac:dyDescent="0.3">
      <c r="U489105" s="25"/>
    </row>
    <row r="489127" spans="21:21" x14ac:dyDescent="0.3">
      <c r="U489127" s="25"/>
    </row>
    <row r="489149" spans="21:21" x14ac:dyDescent="0.3">
      <c r="U489149" s="25"/>
    </row>
    <row r="489171" spans="21:21" x14ac:dyDescent="0.3">
      <c r="U489171" s="25"/>
    </row>
    <row r="489193" spans="21:21" x14ac:dyDescent="0.3">
      <c r="U489193" s="25"/>
    </row>
    <row r="489215" spans="21:21" x14ac:dyDescent="0.3">
      <c r="U489215" s="25"/>
    </row>
    <row r="489237" spans="21:21" x14ac:dyDescent="0.3">
      <c r="U489237" s="25"/>
    </row>
    <row r="489259" spans="21:21" x14ac:dyDescent="0.3">
      <c r="U489259" s="25"/>
    </row>
    <row r="489281" spans="21:21" x14ac:dyDescent="0.3">
      <c r="U489281" s="25"/>
    </row>
    <row r="489303" spans="21:21" x14ac:dyDescent="0.3">
      <c r="U489303" s="25"/>
    </row>
    <row r="489325" spans="21:21" x14ac:dyDescent="0.3">
      <c r="U489325" s="25"/>
    </row>
    <row r="489347" spans="21:21" x14ac:dyDescent="0.3">
      <c r="U489347" s="25"/>
    </row>
    <row r="489369" spans="21:21" x14ac:dyDescent="0.3">
      <c r="U489369" s="25"/>
    </row>
    <row r="489391" spans="21:21" x14ac:dyDescent="0.3">
      <c r="U489391" s="25"/>
    </row>
    <row r="489413" spans="21:21" x14ac:dyDescent="0.3">
      <c r="U489413" s="25"/>
    </row>
    <row r="489435" spans="21:21" x14ac:dyDescent="0.3">
      <c r="U489435" s="25"/>
    </row>
    <row r="489457" spans="21:21" x14ac:dyDescent="0.3">
      <c r="U489457" s="25"/>
    </row>
    <row r="489479" spans="21:21" x14ac:dyDescent="0.3">
      <c r="U489479" s="25"/>
    </row>
    <row r="489501" spans="21:21" x14ac:dyDescent="0.3">
      <c r="U489501" s="25"/>
    </row>
    <row r="489523" spans="21:21" x14ac:dyDescent="0.3">
      <c r="U489523" s="25"/>
    </row>
    <row r="489545" spans="21:21" x14ac:dyDescent="0.3">
      <c r="U489545" s="25"/>
    </row>
    <row r="489567" spans="21:21" x14ac:dyDescent="0.3">
      <c r="U489567" s="25"/>
    </row>
    <row r="489589" spans="21:21" x14ac:dyDescent="0.3">
      <c r="U489589" s="25"/>
    </row>
    <row r="489611" spans="21:21" x14ac:dyDescent="0.3">
      <c r="U489611" s="25"/>
    </row>
    <row r="489633" spans="21:21" x14ac:dyDescent="0.3">
      <c r="U489633" s="25"/>
    </row>
    <row r="489655" spans="21:21" x14ac:dyDescent="0.3">
      <c r="U489655" s="25"/>
    </row>
    <row r="489677" spans="21:21" x14ac:dyDescent="0.3">
      <c r="U489677" s="25"/>
    </row>
    <row r="489699" spans="21:21" x14ac:dyDescent="0.3">
      <c r="U489699" s="25"/>
    </row>
    <row r="489721" spans="21:21" x14ac:dyDescent="0.3">
      <c r="U489721" s="25"/>
    </row>
    <row r="489743" spans="21:21" x14ac:dyDescent="0.3">
      <c r="U489743" s="25"/>
    </row>
    <row r="489765" spans="21:21" x14ac:dyDescent="0.3">
      <c r="U489765" s="25"/>
    </row>
    <row r="489787" spans="21:21" x14ac:dyDescent="0.3">
      <c r="U489787" s="25"/>
    </row>
    <row r="489809" spans="21:21" x14ac:dyDescent="0.3">
      <c r="U489809" s="25"/>
    </row>
    <row r="489831" spans="21:21" x14ac:dyDescent="0.3">
      <c r="U489831" s="25"/>
    </row>
    <row r="489853" spans="21:21" x14ac:dyDescent="0.3">
      <c r="U489853" s="25"/>
    </row>
    <row r="489875" spans="21:21" x14ac:dyDescent="0.3">
      <c r="U489875" s="25"/>
    </row>
    <row r="489897" spans="21:21" x14ac:dyDescent="0.3">
      <c r="U489897" s="25"/>
    </row>
    <row r="489919" spans="21:21" x14ac:dyDescent="0.3">
      <c r="U489919" s="25"/>
    </row>
    <row r="489941" spans="21:21" x14ac:dyDescent="0.3">
      <c r="U489941" s="25"/>
    </row>
    <row r="489963" spans="21:21" x14ac:dyDescent="0.3">
      <c r="U489963" s="25"/>
    </row>
    <row r="489985" spans="21:21" x14ac:dyDescent="0.3">
      <c r="U489985" s="25"/>
    </row>
    <row r="490007" spans="21:21" x14ac:dyDescent="0.3">
      <c r="U490007" s="25"/>
    </row>
    <row r="490029" spans="21:21" x14ac:dyDescent="0.3">
      <c r="U490029" s="25"/>
    </row>
    <row r="490051" spans="21:21" x14ac:dyDescent="0.3">
      <c r="U490051" s="25"/>
    </row>
    <row r="490073" spans="21:21" x14ac:dyDescent="0.3">
      <c r="U490073" s="25"/>
    </row>
    <row r="490095" spans="21:21" x14ac:dyDescent="0.3">
      <c r="U490095" s="25"/>
    </row>
    <row r="490117" spans="21:21" x14ac:dyDescent="0.3">
      <c r="U490117" s="25"/>
    </row>
    <row r="490139" spans="21:21" x14ac:dyDescent="0.3">
      <c r="U490139" s="25"/>
    </row>
    <row r="490161" spans="21:21" x14ac:dyDescent="0.3">
      <c r="U490161" s="25"/>
    </row>
    <row r="490183" spans="21:21" x14ac:dyDescent="0.3">
      <c r="U490183" s="25"/>
    </row>
    <row r="490205" spans="21:21" x14ac:dyDescent="0.3">
      <c r="U490205" s="25"/>
    </row>
    <row r="490227" spans="21:21" x14ac:dyDescent="0.3">
      <c r="U490227" s="25"/>
    </row>
    <row r="490249" spans="21:21" x14ac:dyDescent="0.3">
      <c r="U490249" s="25"/>
    </row>
    <row r="490271" spans="21:21" x14ac:dyDescent="0.3">
      <c r="U490271" s="25"/>
    </row>
    <row r="490293" spans="21:21" x14ac:dyDescent="0.3">
      <c r="U490293" s="25"/>
    </row>
    <row r="490315" spans="21:21" x14ac:dyDescent="0.3">
      <c r="U490315" s="25"/>
    </row>
    <row r="490337" spans="21:21" x14ac:dyDescent="0.3">
      <c r="U490337" s="25"/>
    </row>
    <row r="490359" spans="21:21" x14ac:dyDescent="0.3">
      <c r="U490359" s="25"/>
    </row>
    <row r="490381" spans="21:21" x14ac:dyDescent="0.3">
      <c r="U490381" s="25"/>
    </row>
    <row r="490403" spans="21:21" x14ac:dyDescent="0.3">
      <c r="U490403" s="25"/>
    </row>
    <row r="490425" spans="21:21" x14ac:dyDescent="0.3">
      <c r="U490425" s="25"/>
    </row>
    <row r="490447" spans="21:21" x14ac:dyDescent="0.3">
      <c r="U490447" s="25"/>
    </row>
    <row r="490469" spans="21:21" x14ac:dyDescent="0.3">
      <c r="U490469" s="25"/>
    </row>
    <row r="490491" spans="21:21" x14ac:dyDescent="0.3">
      <c r="U490491" s="25"/>
    </row>
    <row r="490513" spans="21:21" x14ac:dyDescent="0.3">
      <c r="U490513" s="25"/>
    </row>
    <row r="490535" spans="21:21" x14ac:dyDescent="0.3">
      <c r="U490535" s="25"/>
    </row>
    <row r="490557" spans="21:21" x14ac:dyDescent="0.3">
      <c r="U490557" s="25"/>
    </row>
    <row r="490579" spans="21:21" x14ac:dyDescent="0.3">
      <c r="U490579" s="25"/>
    </row>
    <row r="490601" spans="21:21" x14ac:dyDescent="0.3">
      <c r="U490601" s="25"/>
    </row>
    <row r="490623" spans="21:21" x14ac:dyDescent="0.3">
      <c r="U490623" s="25"/>
    </row>
    <row r="490645" spans="21:21" x14ac:dyDescent="0.3">
      <c r="U490645" s="25"/>
    </row>
    <row r="490667" spans="21:21" x14ac:dyDescent="0.3">
      <c r="U490667" s="25"/>
    </row>
    <row r="490689" spans="21:21" x14ac:dyDescent="0.3">
      <c r="U490689" s="25"/>
    </row>
    <row r="490711" spans="21:21" x14ac:dyDescent="0.3">
      <c r="U490711" s="25"/>
    </row>
    <row r="490733" spans="21:21" x14ac:dyDescent="0.3">
      <c r="U490733" s="25"/>
    </row>
    <row r="490755" spans="21:21" x14ac:dyDescent="0.3">
      <c r="U490755" s="25"/>
    </row>
    <row r="490777" spans="21:21" x14ac:dyDescent="0.3">
      <c r="U490777" s="25"/>
    </row>
    <row r="490799" spans="21:21" x14ac:dyDescent="0.3">
      <c r="U490799" s="25"/>
    </row>
    <row r="490821" spans="21:21" x14ac:dyDescent="0.3">
      <c r="U490821" s="25"/>
    </row>
    <row r="490843" spans="21:21" x14ac:dyDescent="0.3">
      <c r="U490843" s="25"/>
    </row>
    <row r="490865" spans="21:21" x14ac:dyDescent="0.3">
      <c r="U490865" s="25"/>
    </row>
    <row r="490887" spans="21:21" x14ac:dyDescent="0.3">
      <c r="U490887" s="25"/>
    </row>
    <row r="490909" spans="21:21" x14ac:dyDescent="0.3">
      <c r="U490909" s="25"/>
    </row>
    <row r="490931" spans="21:21" x14ac:dyDescent="0.3">
      <c r="U490931" s="25"/>
    </row>
    <row r="490953" spans="21:21" x14ac:dyDescent="0.3">
      <c r="U490953" s="25"/>
    </row>
    <row r="490975" spans="21:21" x14ac:dyDescent="0.3">
      <c r="U490975" s="25"/>
    </row>
    <row r="490997" spans="21:21" x14ac:dyDescent="0.3">
      <c r="U490997" s="25"/>
    </row>
    <row r="491019" spans="21:21" x14ac:dyDescent="0.3">
      <c r="U491019" s="25"/>
    </row>
    <row r="491041" spans="21:21" x14ac:dyDescent="0.3">
      <c r="U491041" s="25"/>
    </row>
    <row r="491063" spans="21:21" x14ac:dyDescent="0.3">
      <c r="U491063" s="25"/>
    </row>
    <row r="491085" spans="21:21" x14ac:dyDescent="0.3">
      <c r="U491085" s="25"/>
    </row>
    <row r="491107" spans="21:21" x14ac:dyDescent="0.3">
      <c r="U491107" s="25"/>
    </row>
    <row r="491129" spans="21:21" x14ac:dyDescent="0.3">
      <c r="U491129" s="25"/>
    </row>
    <row r="491151" spans="21:21" x14ac:dyDescent="0.3">
      <c r="U491151" s="25"/>
    </row>
    <row r="491173" spans="21:21" x14ac:dyDescent="0.3">
      <c r="U491173" s="25"/>
    </row>
    <row r="491195" spans="21:21" x14ac:dyDescent="0.3">
      <c r="U491195" s="25"/>
    </row>
    <row r="491217" spans="21:21" x14ac:dyDescent="0.3">
      <c r="U491217" s="25"/>
    </row>
    <row r="491239" spans="21:21" x14ac:dyDescent="0.3">
      <c r="U491239" s="25"/>
    </row>
    <row r="491261" spans="21:21" x14ac:dyDescent="0.3">
      <c r="U491261" s="25"/>
    </row>
    <row r="491283" spans="21:21" x14ac:dyDescent="0.3">
      <c r="U491283" s="25"/>
    </row>
    <row r="491305" spans="21:21" x14ac:dyDescent="0.3">
      <c r="U491305" s="25"/>
    </row>
    <row r="491327" spans="21:21" x14ac:dyDescent="0.3">
      <c r="U491327" s="25"/>
    </row>
    <row r="491349" spans="21:21" x14ac:dyDescent="0.3">
      <c r="U491349" s="25"/>
    </row>
    <row r="491371" spans="21:21" x14ac:dyDescent="0.3">
      <c r="U491371" s="25"/>
    </row>
    <row r="491393" spans="21:21" x14ac:dyDescent="0.3">
      <c r="U491393" s="25"/>
    </row>
    <row r="491415" spans="21:21" x14ac:dyDescent="0.3">
      <c r="U491415" s="25"/>
    </row>
    <row r="491437" spans="21:21" x14ac:dyDescent="0.3">
      <c r="U491437" s="25"/>
    </row>
    <row r="491459" spans="21:21" x14ac:dyDescent="0.3">
      <c r="U491459" s="25"/>
    </row>
    <row r="491481" spans="21:21" x14ac:dyDescent="0.3">
      <c r="U491481" s="25"/>
    </row>
    <row r="491503" spans="21:21" x14ac:dyDescent="0.3">
      <c r="U491503" s="25"/>
    </row>
    <row r="491525" spans="21:21" x14ac:dyDescent="0.3">
      <c r="U491525" s="25"/>
    </row>
    <row r="491547" spans="21:21" x14ac:dyDescent="0.3">
      <c r="U491547" s="25"/>
    </row>
    <row r="491569" spans="21:21" x14ac:dyDescent="0.3">
      <c r="U491569" s="25"/>
    </row>
    <row r="491591" spans="21:21" x14ac:dyDescent="0.3">
      <c r="U491591" s="25"/>
    </row>
    <row r="491613" spans="21:21" x14ac:dyDescent="0.3">
      <c r="U491613" s="25"/>
    </row>
    <row r="491635" spans="21:21" x14ac:dyDescent="0.3">
      <c r="U491635" s="25"/>
    </row>
    <row r="491657" spans="21:21" x14ac:dyDescent="0.3">
      <c r="U491657" s="25"/>
    </row>
    <row r="491679" spans="21:21" x14ac:dyDescent="0.3">
      <c r="U491679" s="25"/>
    </row>
    <row r="491701" spans="21:21" x14ac:dyDescent="0.3">
      <c r="U491701" s="25"/>
    </row>
    <row r="491723" spans="21:21" x14ac:dyDescent="0.3">
      <c r="U491723" s="25"/>
    </row>
    <row r="491745" spans="21:21" x14ac:dyDescent="0.3">
      <c r="U491745" s="25"/>
    </row>
    <row r="491767" spans="21:21" x14ac:dyDescent="0.3">
      <c r="U491767" s="25"/>
    </row>
    <row r="491789" spans="21:21" x14ac:dyDescent="0.3">
      <c r="U491789" s="25"/>
    </row>
    <row r="491811" spans="21:21" x14ac:dyDescent="0.3">
      <c r="U491811" s="25"/>
    </row>
    <row r="491833" spans="21:21" x14ac:dyDescent="0.3">
      <c r="U491833" s="25"/>
    </row>
    <row r="491855" spans="21:21" x14ac:dyDescent="0.3">
      <c r="U491855" s="25"/>
    </row>
    <row r="491877" spans="21:21" x14ac:dyDescent="0.3">
      <c r="U491877" s="25"/>
    </row>
    <row r="491899" spans="21:21" x14ac:dyDescent="0.3">
      <c r="U491899" s="25"/>
    </row>
    <row r="491921" spans="21:21" x14ac:dyDescent="0.3">
      <c r="U491921" s="25"/>
    </row>
    <row r="491943" spans="21:21" x14ac:dyDescent="0.3">
      <c r="U491943" s="25"/>
    </row>
    <row r="491965" spans="21:21" x14ac:dyDescent="0.3">
      <c r="U491965" s="25"/>
    </row>
    <row r="491987" spans="21:21" x14ac:dyDescent="0.3">
      <c r="U491987" s="25"/>
    </row>
    <row r="492009" spans="21:21" x14ac:dyDescent="0.3">
      <c r="U492009" s="25"/>
    </row>
    <row r="492031" spans="21:21" x14ac:dyDescent="0.3">
      <c r="U492031" s="25"/>
    </row>
    <row r="492053" spans="21:21" x14ac:dyDescent="0.3">
      <c r="U492053" s="25"/>
    </row>
    <row r="492075" spans="21:21" x14ac:dyDescent="0.3">
      <c r="U492075" s="25"/>
    </row>
    <row r="492097" spans="21:21" x14ac:dyDescent="0.3">
      <c r="U492097" s="25"/>
    </row>
    <row r="492119" spans="21:21" x14ac:dyDescent="0.3">
      <c r="U492119" s="25"/>
    </row>
    <row r="492141" spans="21:21" x14ac:dyDescent="0.3">
      <c r="U492141" s="25"/>
    </row>
    <row r="492163" spans="21:21" x14ac:dyDescent="0.3">
      <c r="U492163" s="25"/>
    </row>
    <row r="492185" spans="21:21" x14ac:dyDescent="0.3">
      <c r="U492185" s="25"/>
    </row>
    <row r="492207" spans="21:21" x14ac:dyDescent="0.3">
      <c r="U492207" s="25"/>
    </row>
    <row r="492229" spans="21:21" x14ac:dyDescent="0.3">
      <c r="U492229" s="25"/>
    </row>
    <row r="492251" spans="21:21" x14ac:dyDescent="0.3">
      <c r="U492251" s="25"/>
    </row>
    <row r="492273" spans="21:21" x14ac:dyDescent="0.3">
      <c r="U492273" s="25"/>
    </row>
    <row r="492295" spans="21:21" x14ac:dyDescent="0.3">
      <c r="U492295" s="25"/>
    </row>
    <row r="492317" spans="21:21" x14ac:dyDescent="0.3">
      <c r="U492317" s="25"/>
    </row>
    <row r="492339" spans="21:21" x14ac:dyDescent="0.3">
      <c r="U492339" s="25"/>
    </row>
    <row r="492361" spans="21:21" x14ac:dyDescent="0.3">
      <c r="U492361" s="25"/>
    </row>
    <row r="492383" spans="21:21" x14ac:dyDescent="0.3">
      <c r="U492383" s="25"/>
    </row>
    <row r="492405" spans="21:21" x14ac:dyDescent="0.3">
      <c r="U492405" s="25"/>
    </row>
    <row r="492427" spans="21:21" x14ac:dyDescent="0.3">
      <c r="U492427" s="25"/>
    </row>
    <row r="492449" spans="21:21" x14ac:dyDescent="0.3">
      <c r="U492449" s="25"/>
    </row>
    <row r="492471" spans="21:21" x14ac:dyDescent="0.3">
      <c r="U492471" s="25"/>
    </row>
    <row r="492493" spans="21:21" x14ac:dyDescent="0.3">
      <c r="U492493" s="25"/>
    </row>
    <row r="492515" spans="21:21" x14ac:dyDescent="0.3">
      <c r="U492515" s="25"/>
    </row>
    <row r="492537" spans="21:21" x14ac:dyDescent="0.3">
      <c r="U492537" s="25"/>
    </row>
    <row r="492559" spans="21:21" x14ac:dyDescent="0.3">
      <c r="U492559" s="25"/>
    </row>
    <row r="492581" spans="21:21" x14ac:dyDescent="0.3">
      <c r="U492581" s="25"/>
    </row>
    <row r="492603" spans="21:21" x14ac:dyDescent="0.3">
      <c r="U492603" s="25"/>
    </row>
    <row r="492625" spans="21:21" x14ac:dyDescent="0.3">
      <c r="U492625" s="25"/>
    </row>
    <row r="492647" spans="21:21" x14ac:dyDescent="0.3">
      <c r="U492647" s="25"/>
    </row>
    <row r="492669" spans="21:21" x14ac:dyDescent="0.3">
      <c r="U492669" s="25"/>
    </row>
    <row r="492691" spans="21:21" x14ac:dyDescent="0.3">
      <c r="U492691" s="25"/>
    </row>
    <row r="492713" spans="21:21" x14ac:dyDescent="0.3">
      <c r="U492713" s="25"/>
    </row>
    <row r="492735" spans="21:21" x14ac:dyDescent="0.3">
      <c r="U492735" s="25"/>
    </row>
    <row r="492757" spans="21:21" x14ac:dyDescent="0.3">
      <c r="U492757" s="25"/>
    </row>
    <row r="492779" spans="21:21" x14ac:dyDescent="0.3">
      <c r="U492779" s="25"/>
    </row>
    <row r="492801" spans="21:21" x14ac:dyDescent="0.3">
      <c r="U492801" s="25"/>
    </row>
    <row r="492823" spans="21:21" x14ac:dyDescent="0.3">
      <c r="U492823" s="25"/>
    </row>
    <row r="492845" spans="21:21" x14ac:dyDescent="0.3">
      <c r="U492845" s="25"/>
    </row>
    <row r="492867" spans="21:21" x14ac:dyDescent="0.3">
      <c r="U492867" s="25"/>
    </row>
    <row r="492889" spans="21:21" x14ac:dyDescent="0.3">
      <c r="U492889" s="25"/>
    </row>
    <row r="492911" spans="21:21" x14ac:dyDescent="0.3">
      <c r="U492911" s="25"/>
    </row>
    <row r="492933" spans="21:21" x14ac:dyDescent="0.3">
      <c r="U492933" s="25"/>
    </row>
    <row r="492955" spans="21:21" x14ac:dyDescent="0.3">
      <c r="U492955" s="25"/>
    </row>
    <row r="492977" spans="21:21" x14ac:dyDescent="0.3">
      <c r="U492977" s="25"/>
    </row>
    <row r="492999" spans="21:21" x14ac:dyDescent="0.3">
      <c r="U492999" s="25"/>
    </row>
    <row r="493021" spans="21:21" x14ac:dyDescent="0.3">
      <c r="U493021" s="25"/>
    </row>
    <row r="493043" spans="21:21" x14ac:dyDescent="0.3">
      <c r="U493043" s="25"/>
    </row>
    <row r="493065" spans="21:21" x14ac:dyDescent="0.3">
      <c r="U493065" s="25"/>
    </row>
    <row r="493087" spans="21:21" x14ac:dyDescent="0.3">
      <c r="U493087" s="25"/>
    </row>
    <row r="493109" spans="21:21" x14ac:dyDescent="0.3">
      <c r="U493109" s="25"/>
    </row>
    <row r="493131" spans="21:21" x14ac:dyDescent="0.3">
      <c r="U493131" s="25"/>
    </row>
    <row r="493153" spans="21:21" x14ac:dyDescent="0.3">
      <c r="U493153" s="25"/>
    </row>
    <row r="493175" spans="21:21" x14ac:dyDescent="0.3">
      <c r="U493175" s="25"/>
    </row>
    <row r="493197" spans="21:21" x14ac:dyDescent="0.3">
      <c r="U493197" s="25"/>
    </row>
    <row r="493219" spans="21:21" x14ac:dyDescent="0.3">
      <c r="U493219" s="25"/>
    </row>
    <row r="493241" spans="21:21" x14ac:dyDescent="0.3">
      <c r="U493241" s="25"/>
    </row>
    <row r="493263" spans="21:21" x14ac:dyDescent="0.3">
      <c r="U493263" s="25"/>
    </row>
    <row r="493285" spans="21:21" x14ac:dyDescent="0.3">
      <c r="U493285" s="25"/>
    </row>
    <row r="493307" spans="21:21" x14ac:dyDescent="0.3">
      <c r="U493307" s="25"/>
    </row>
    <row r="493329" spans="21:21" x14ac:dyDescent="0.3">
      <c r="U493329" s="25"/>
    </row>
    <row r="493351" spans="21:21" x14ac:dyDescent="0.3">
      <c r="U493351" s="25"/>
    </row>
    <row r="493373" spans="21:21" x14ac:dyDescent="0.3">
      <c r="U493373" s="25"/>
    </row>
    <row r="493395" spans="21:21" x14ac:dyDescent="0.3">
      <c r="U493395" s="25"/>
    </row>
    <row r="493417" spans="21:21" x14ac:dyDescent="0.3">
      <c r="U493417" s="25"/>
    </row>
    <row r="493439" spans="21:21" x14ac:dyDescent="0.3">
      <c r="U493439" s="25"/>
    </row>
    <row r="493461" spans="21:21" x14ac:dyDescent="0.3">
      <c r="U493461" s="25"/>
    </row>
    <row r="493483" spans="21:21" x14ac:dyDescent="0.3">
      <c r="U493483" s="25"/>
    </row>
    <row r="493505" spans="21:21" x14ac:dyDescent="0.3">
      <c r="U493505" s="25"/>
    </row>
    <row r="493527" spans="21:21" x14ac:dyDescent="0.3">
      <c r="U493527" s="25"/>
    </row>
    <row r="493549" spans="21:21" x14ac:dyDescent="0.3">
      <c r="U493549" s="25"/>
    </row>
    <row r="493571" spans="21:21" x14ac:dyDescent="0.3">
      <c r="U493571" s="25"/>
    </row>
    <row r="493593" spans="21:21" x14ac:dyDescent="0.3">
      <c r="U493593" s="25"/>
    </row>
    <row r="493615" spans="21:21" x14ac:dyDescent="0.3">
      <c r="U493615" s="25"/>
    </row>
    <row r="493637" spans="21:21" x14ac:dyDescent="0.3">
      <c r="U493637" s="25"/>
    </row>
    <row r="493659" spans="21:21" x14ac:dyDescent="0.3">
      <c r="U493659" s="25"/>
    </row>
    <row r="493681" spans="21:21" x14ac:dyDescent="0.3">
      <c r="U493681" s="25"/>
    </row>
    <row r="493703" spans="21:21" x14ac:dyDescent="0.3">
      <c r="U493703" s="25"/>
    </row>
    <row r="493725" spans="21:21" x14ac:dyDescent="0.3">
      <c r="U493725" s="25"/>
    </row>
    <row r="493747" spans="21:21" x14ac:dyDescent="0.3">
      <c r="U493747" s="25"/>
    </row>
    <row r="493769" spans="21:21" x14ac:dyDescent="0.3">
      <c r="U493769" s="25"/>
    </row>
    <row r="493791" spans="21:21" x14ac:dyDescent="0.3">
      <c r="U493791" s="25"/>
    </row>
    <row r="493813" spans="21:21" x14ac:dyDescent="0.3">
      <c r="U493813" s="25"/>
    </row>
    <row r="493835" spans="21:21" x14ac:dyDescent="0.3">
      <c r="U493835" s="25"/>
    </row>
    <row r="493857" spans="21:21" x14ac:dyDescent="0.3">
      <c r="U493857" s="25"/>
    </row>
    <row r="493879" spans="21:21" x14ac:dyDescent="0.3">
      <c r="U493879" s="25"/>
    </row>
    <row r="493901" spans="21:21" x14ac:dyDescent="0.3">
      <c r="U493901" s="25"/>
    </row>
    <row r="493923" spans="21:21" x14ac:dyDescent="0.3">
      <c r="U493923" s="25"/>
    </row>
    <row r="493945" spans="21:21" x14ac:dyDescent="0.3">
      <c r="U493945" s="25"/>
    </row>
    <row r="493967" spans="21:21" x14ac:dyDescent="0.3">
      <c r="U493967" s="25"/>
    </row>
    <row r="493989" spans="21:21" x14ac:dyDescent="0.3">
      <c r="U493989" s="25"/>
    </row>
    <row r="494011" spans="21:21" x14ac:dyDescent="0.3">
      <c r="U494011" s="25"/>
    </row>
    <row r="494033" spans="21:21" x14ac:dyDescent="0.3">
      <c r="U494033" s="25"/>
    </row>
    <row r="494055" spans="21:21" x14ac:dyDescent="0.3">
      <c r="U494055" s="25"/>
    </row>
    <row r="494077" spans="21:21" x14ac:dyDescent="0.3">
      <c r="U494077" s="25"/>
    </row>
    <row r="494099" spans="21:21" x14ac:dyDescent="0.3">
      <c r="U494099" s="25"/>
    </row>
    <row r="494121" spans="21:21" x14ac:dyDescent="0.3">
      <c r="U494121" s="25"/>
    </row>
    <row r="494143" spans="21:21" x14ac:dyDescent="0.3">
      <c r="U494143" s="25"/>
    </row>
    <row r="494165" spans="21:21" x14ac:dyDescent="0.3">
      <c r="U494165" s="25"/>
    </row>
    <row r="494187" spans="21:21" x14ac:dyDescent="0.3">
      <c r="U494187" s="25"/>
    </row>
    <row r="494209" spans="21:21" x14ac:dyDescent="0.3">
      <c r="U494209" s="25"/>
    </row>
    <row r="494231" spans="21:21" x14ac:dyDescent="0.3">
      <c r="U494231" s="25"/>
    </row>
    <row r="494253" spans="21:21" x14ac:dyDescent="0.3">
      <c r="U494253" s="25"/>
    </row>
    <row r="494275" spans="21:21" x14ac:dyDescent="0.3">
      <c r="U494275" s="25"/>
    </row>
    <row r="494297" spans="21:21" x14ac:dyDescent="0.3">
      <c r="U494297" s="25"/>
    </row>
    <row r="494319" spans="21:21" x14ac:dyDescent="0.3">
      <c r="U494319" s="25"/>
    </row>
    <row r="494341" spans="21:21" x14ac:dyDescent="0.3">
      <c r="U494341" s="25"/>
    </row>
    <row r="494363" spans="21:21" x14ac:dyDescent="0.3">
      <c r="U494363" s="25"/>
    </row>
    <row r="494385" spans="21:21" x14ac:dyDescent="0.3">
      <c r="U494385" s="25"/>
    </row>
    <row r="494407" spans="21:21" x14ac:dyDescent="0.3">
      <c r="U494407" s="25"/>
    </row>
    <row r="494429" spans="21:21" x14ac:dyDescent="0.3">
      <c r="U494429" s="25"/>
    </row>
    <row r="494451" spans="21:21" x14ac:dyDescent="0.3">
      <c r="U494451" s="25"/>
    </row>
    <row r="494473" spans="21:21" x14ac:dyDescent="0.3">
      <c r="U494473" s="25"/>
    </row>
    <row r="494495" spans="21:21" x14ac:dyDescent="0.3">
      <c r="U494495" s="25"/>
    </row>
    <row r="494517" spans="21:21" x14ac:dyDescent="0.3">
      <c r="U494517" s="25"/>
    </row>
    <row r="494539" spans="21:21" x14ac:dyDescent="0.3">
      <c r="U494539" s="25"/>
    </row>
    <row r="494561" spans="21:21" x14ac:dyDescent="0.3">
      <c r="U494561" s="25"/>
    </row>
    <row r="494583" spans="21:21" x14ac:dyDescent="0.3">
      <c r="U494583" s="25"/>
    </row>
    <row r="494605" spans="21:21" x14ac:dyDescent="0.3">
      <c r="U494605" s="25"/>
    </row>
    <row r="494627" spans="21:21" x14ac:dyDescent="0.3">
      <c r="U494627" s="25"/>
    </row>
    <row r="494649" spans="21:21" x14ac:dyDescent="0.3">
      <c r="U494649" s="25"/>
    </row>
    <row r="494671" spans="21:21" x14ac:dyDescent="0.3">
      <c r="U494671" s="25"/>
    </row>
    <row r="494693" spans="21:21" x14ac:dyDescent="0.3">
      <c r="U494693" s="25"/>
    </row>
    <row r="494715" spans="21:21" x14ac:dyDescent="0.3">
      <c r="U494715" s="25"/>
    </row>
    <row r="494737" spans="21:21" x14ac:dyDescent="0.3">
      <c r="U494737" s="25"/>
    </row>
    <row r="494759" spans="21:21" x14ac:dyDescent="0.3">
      <c r="U494759" s="25"/>
    </row>
    <row r="494781" spans="21:21" x14ac:dyDescent="0.3">
      <c r="U494781" s="25"/>
    </row>
    <row r="494803" spans="21:21" x14ac:dyDescent="0.3">
      <c r="U494803" s="25"/>
    </row>
    <row r="494825" spans="21:21" x14ac:dyDescent="0.3">
      <c r="U494825" s="25"/>
    </row>
    <row r="494847" spans="21:21" x14ac:dyDescent="0.3">
      <c r="U494847" s="25"/>
    </row>
    <row r="494869" spans="21:21" x14ac:dyDescent="0.3">
      <c r="U494869" s="25"/>
    </row>
    <row r="494891" spans="21:21" x14ac:dyDescent="0.3">
      <c r="U494891" s="25"/>
    </row>
    <row r="494913" spans="21:21" x14ac:dyDescent="0.3">
      <c r="U494913" s="25"/>
    </row>
    <row r="494935" spans="21:21" x14ac:dyDescent="0.3">
      <c r="U494935" s="25"/>
    </row>
    <row r="494957" spans="21:21" x14ac:dyDescent="0.3">
      <c r="U494957" s="25"/>
    </row>
    <row r="494979" spans="21:21" x14ac:dyDescent="0.3">
      <c r="U494979" s="25"/>
    </row>
    <row r="495001" spans="21:21" x14ac:dyDescent="0.3">
      <c r="U495001" s="25"/>
    </row>
    <row r="495023" spans="21:21" x14ac:dyDescent="0.3">
      <c r="U495023" s="25"/>
    </row>
    <row r="495045" spans="21:21" x14ac:dyDescent="0.3">
      <c r="U495045" s="25"/>
    </row>
    <row r="495067" spans="21:21" x14ac:dyDescent="0.3">
      <c r="U495067" s="25"/>
    </row>
    <row r="495089" spans="21:21" x14ac:dyDescent="0.3">
      <c r="U495089" s="25"/>
    </row>
    <row r="495111" spans="21:21" x14ac:dyDescent="0.3">
      <c r="U495111" s="25"/>
    </row>
    <row r="495133" spans="21:21" x14ac:dyDescent="0.3">
      <c r="U495133" s="25"/>
    </row>
    <row r="495155" spans="21:21" x14ac:dyDescent="0.3">
      <c r="U495155" s="25"/>
    </row>
    <row r="495177" spans="21:21" x14ac:dyDescent="0.3">
      <c r="U495177" s="25"/>
    </row>
    <row r="495199" spans="21:21" x14ac:dyDescent="0.3">
      <c r="U495199" s="25"/>
    </row>
    <row r="495221" spans="21:21" x14ac:dyDescent="0.3">
      <c r="U495221" s="25"/>
    </row>
    <row r="495243" spans="21:21" x14ac:dyDescent="0.3">
      <c r="U495243" s="25"/>
    </row>
    <row r="495265" spans="21:21" x14ac:dyDescent="0.3">
      <c r="U495265" s="25"/>
    </row>
    <row r="495287" spans="21:21" x14ac:dyDescent="0.3">
      <c r="U495287" s="25"/>
    </row>
    <row r="495309" spans="21:21" x14ac:dyDescent="0.3">
      <c r="U495309" s="25"/>
    </row>
    <row r="495331" spans="21:21" x14ac:dyDescent="0.3">
      <c r="U495331" s="25"/>
    </row>
    <row r="495353" spans="21:21" x14ac:dyDescent="0.3">
      <c r="U495353" s="25"/>
    </row>
    <row r="495375" spans="21:21" x14ac:dyDescent="0.3">
      <c r="U495375" s="25"/>
    </row>
    <row r="495397" spans="21:21" x14ac:dyDescent="0.3">
      <c r="U495397" s="25"/>
    </row>
    <row r="495419" spans="21:21" x14ac:dyDescent="0.3">
      <c r="U495419" s="25"/>
    </row>
    <row r="495441" spans="21:21" x14ac:dyDescent="0.3">
      <c r="U495441" s="25"/>
    </row>
    <row r="495463" spans="21:21" x14ac:dyDescent="0.3">
      <c r="U495463" s="25"/>
    </row>
    <row r="495485" spans="21:21" x14ac:dyDescent="0.3">
      <c r="U495485" s="25"/>
    </row>
    <row r="495507" spans="21:21" x14ac:dyDescent="0.3">
      <c r="U495507" s="25"/>
    </row>
    <row r="495529" spans="21:21" x14ac:dyDescent="0.3">
      <c r="U495529" s="25"/>
    </row>
    <row r="495551" spans="21:21" x14ac:dyDescent="0.3">
      <c r="U495551" s="25"/>
    </row>
    <row r="495573" spans="21:21" x14ac:dyDescent="0.3">
      <c r="U495573" s="25"/>
    </row>
    <row r="495595" spans="21:21" x14ac:dyDescent="0.3">
      <c r="U495595" s="25"/>
    </row>
    <row r="495617" spans="21:21" x14ac:dyDescent="0.3">
      <c r="U495617" s="25"/>
    </row>
    <row r="495639" spans="21:21" x14ac:dyDescent="0.3">
      <c r="U495639" s="25"/>
    </row>
    <row r="495661" spans="21:21" x14ac:dyDescent="0.3">
      <c r="U495661" s="25"/>
    </row>
    <row r="495683" spans="21:21" x14ac:dyDescent="0.3">
      <c r="U495683" s="25"/>
    </row>
    <row r="495705" spans="21:21" x14ac:dyDescent="0.3">
      <c r="U495705" s="25"/>
    </row>
    <row r="495727" spans="21:21" x14ac:dyDescent="0.3">
      <c r="U495727" s="25"/>
    </row>
    <row r="495749" spans="21:21" x14ac:dyDescent="0.3">
      <c r="U495749" s="25"/>
    </row>
    <row r="495771" spans="21:21" x14ac:dyDescent="0.3">
      <c r="U495771" s="25"/>
    </row>
    <row r="495793" spans="21:21" x14ac:dyDescent="0.3">
      <c r="U495793" s="25"/>
    </row>
    <row r="495815" spans="21:21" x14ac:dyDescent="0.3">
      <c r="U495815" s="25"/>
    </row>
    <row r="495837" spans="21:21" x14ac:dyDescent="0.3">
      <c r="U495837" s="25"/>
    </row>
    <row r="495859" spans="21:21" x14ac:dyDescent="0.3">
      <c r="U495859" s="25"/>
    </row>
    <row r="495881" spans="21:21" x14ac:dyDescent="0.3">
      <c r="U495881" s="25"/>
    </row>
    <row r="495903" spans="21:21" x14ac:dyDescent="0.3">
      <c r="U495903" s="25"/>
    </row>
    <row r="495925" spans="21:21" x14ac:dyDescent="0.3">
      <c r="U495925" s="25"/>
    </row>
    <row r="495947" spans="21:21" x14ac:dyDescent="0.3">
      <c r="U495947" s="25"/>
    </row>
    <row r="495969" spans="21:21" x14ac:dyDescent="0.3">
      <c r="U495969" s="25"/>
    </row>
    <row r="495991" spans="21:21" x14ac:dyDescent="0.3">
      <c r="U495991" s="25"/>
    </row>
    <row r="496013" spans="21:21" x14ac:dyDescent="0.3">
      <c r="U496013" s="25"/>
    </row>
    <row r="496035" spans="21:21" x14ac:dyDescent="0.3">
      <c r="U496035" s="25"/>
    </row>
    <row r="496057" spans="21:21" x14ac:dyDescent="0.3">
      <c r="U496057" s="25"/>
    </row>
    <row r="496079" spans="21:21" x14ac:dyDescent="0.3">
      <c r="U496079" s="25"/>
    </row>
    <row r="496101" spans="21:21" x14ac:dyDescent="0.3">
      <c r="U496101" s="25"/>
    </row>
    <row r="496123" spans="21:21" x14ac:dyDescent="0.3">
      <c r="U496123" s="25"/>
    </row>
    <row r="496145" spans="21:21" x14ac:dyDescent="0.3">
      <c r="U496145" s="25"/>
    </row>
    <row r="496167" spans="21:21" x14ac:dyDescent="0.3">
      <c r="U496167" s="25"/>
    </row>
    <row r="496189" spans="21:21" x14ac:dyDescent="0.3">
      <c r="U496189" s="25"/>
    </row>
    <row r="496211" spans="21:21" x14ac:dyDescent="0.3">
      <c r="U496211" s="25"/>
    </row>
    <row r="496233" spans="21:21" x14ac:dyDescent="0.3">
      <c r="U496233" s="25"/>
    </row>
    <row r="496255" spans="21:21" x14ac:dyDescent="0.3">
      <c r="U496255" s="25"/>
    </row>
    <row r="496277" spans="21:21" x14ac:dyDescent="0.3">
      <c r="U496277" s="25"/>
    </row>
    <row r="496299" spans="21:21" x14ac:dyDescent="0.3">
      <c r="U496299" s="25"/>
    </row>
    <row r="496321" spans="21:21" x14ac:dyDescent="0.3">
      <c r="U496321" s="25"/>
    </row>
    <row r="496343" spans="21:21" x14ac:dyDescent="0.3">
      <c r="U496343" s="25"/>
    </row>
    <row r="496365" spans="21:21" x14ac:dyDescent="0.3">
      <c r="U496365" s="25"/>
    </row>
    <row r="496387" spans="21:21" x14ac:dyDescent="0.3">
      <c r="U496387" s="25"/>
    </row>
    <row r="496409" spans="21:21" x14ac:dyDescent="0.3">
      <c r="U496409" s="25"/>
    </row>
    <row r="496431" spans="21:21" x14ac:dyDescent="0.3">
      <c r="U496431" s="25"/>
    </row>
    <row r="496453" spans="21:21" x14ac:dyDescent="0.3">
      <c r="U496453" s="25"/>
    </row>
    <row r="496475" spans="21:21" x14ac:dyDescent="0.3">
      <c r="U496475" s="25"/>
    </row>
    <row r="496497" spans="21:21" x14ac:dyDescent="0.3">
      <c r="U496497" s="25"/>
    </row>
    <row r="496519" spans="21:21" x14ac:dyDescent="0.3">
      <c r="U496519" s="25"/>
    </row>
    <row r="496541" spans="21:21" x14ac:dyDescent="0.3">
      <c r="U496541" s="25"/>
    </row>
    <row r="496563" spans="21:21" x14ac:dyDescent="0.3">
      <c r="U496563" s="25"/>
    </row>
    <row r="496585" spans="21:21" x14ac:dyDescent="0.3">
      <c r="U496585" s="25"/>
    </row>
    <row r="496607" spans="21:21" x14ac:dyDescent="0.3">
      <c r="U496607" s="25"/>
    </row>
    <row r="496629" spans="21:21" x14ac:dyDescent="0.3">
      <c r="U496629" s="25"/>
    </row>
    <row r="496651" spans="21:21" x14ac:dyDescent="0.3">
      <c r="U496651" s="25"/>
    </row>
    <row r="496673" spans="21:21" x14ac:dyDescent="0.3">
      <c r="U496673" s="25"/>
    </row>
    <row r="496695" spans="21:21" x14ac:dyDescent="0.3">
      <c r="U496695" s="25"/>
    </row>
    <row r="496717" spans="21:21" x14ac:dyDescent="0.3">
      <c r="U496717" s="25"/>
    </row>
    <row r="496739" spans="21:21" x14ac:dyDescent="0.3">
      <c r="U496739" s="25"/>
    </row>
    <row r="496761" spans="21:21" x14ac:dyDescent="0.3">
      <c r="U496761" s="25"/>
    </row>
    <row r="496783" spans="21:21" x14ac:dyDescent="0.3">
      <c r="U496783" s="25"/>
    </row>
    <row r="496805" spans="21:21" x14ac:dyDescent="0.3">
      <c r="U496805" s="25"/>
    </row>
    <row r="496827" spans="21:21" x14ac:dyDescent="0.3">
      <c r="U496827" s="25"/>
    </row>
    <row r="496849" spans="21:21" x14ac:dyDescent="0.3">
      <c r="U496849" s="25"/>
    </row>
    <row r="496871" spans="21:21" x14ac:dyDescent="0.3">
      <c r="U496871" s="25"/>
    </row>
    <row r="496893" spans="21:21" x14ac:dyDescent="0.3">
      <c r="U496893" s="25"/>
    </row>
    <row r="496915" spans="21:21" x14ac:dyDescent="0.3">
      <c r="U496915" s="25"/>
    </row>
    <row r="496937" spans="21:21" x14ac:dyDescent="0.3">
      <c r="U496937" s="25"/>
    </row>
    <row r="496959" spans="21:21" x14ac:dyDescent="0.3">
      <c r="U496959" s="25"/>
    </row>
    <row r="496981" spans="21:21" x14ac:dyDescent="0.3">
      <c r="U496981" s="25"/>
    </row>
    <row r="497003" spans="21:21" x14ac:dyDescent="0.3">
      <c r="U497003" s="25"/>
    </row>
    <row r="497025" spans="21:21" x14ac:dyDescent="0.3">
      <c r="U497025" s="25"/>
    </row>
    <row r="497047" spans="21:21" x14ac:dyDescent="0.3">
      <c r="U497047" s="25"/>
    </row>
    <row r="497069" spans="21:21" x14ac:dyDescent="0.3">
      <c r="U497069" s="25"/>
    </row>
    <row r="497091" spans="21:21" x14ac:dyDescent="0.3">
      <c r="U497091" s="25"/>
    </row>
    <row r="497113" spans="21:21" x14ac:dyDescent="0.3">
      <c r="U497113" s="25"/>
    </row>
    <row r="497135" spans="21:21" x14ac:dyDescent="0.3">
      <c r="U497135" s="25"/>
    </row>
    <row r="497157" spans="21:21" x14ac:dyDescent="0.3">
      <c r="U497157" s="25"/>
    </row>
    <row r="497179" spans="21:21" x14ac:dyDescent="0.3">
      <c r="U497179" s="25"/>
    </row>
    <row r="497201" spans="21:21" x14ac:dyDescent="0.3">
      <c r="U497201" s="25"/>
    </row>
    <row r="497223" spans="21:21" x14ac:dyDescent="0.3">
      <c r="U497223" s="25"/>
    </row>
    <row r="497245" spans="21:21" x14ac:dyDescent="0.3">
      <c r="U497245" s="25"/>
    </row>
    <row r="497267" spans="21:21" x14ac:dyDescent="0.3">
      <c r="U497267" s="25"/>
    </row>
    <row r="497289" spans="21:21" x14ac:dyDescent="0.3">
      <c r="U497289" s="25"/>
    </row>
    <row r="497311" spans="21:21" x14ac:dyDescent="0.3">
      <c r="U497311" s="25"/>
    </row>
    <row r="497333" spans="21:21" x14ac:dyDescent="0.3">
      <c r="U497333" s="25"/>
    </row>
    <row r="497355" spans="21:21" x14ac:dyDescent="0.3">
      <c r="U497355" s="25"/>
    </row>
    <row r="497377" spans="21:21" x14ac:dyDescent="0.3">
      <c r="U497377" s="25"/>
    </row>
    <row r="497399" spans="21:21" x14ac:dyDescent="0.3">
      <c r="U497399" s="25"/>
    </row>
    <row r="497421" spans="21:21" x14ac:dyDescent="0.3">
      <c r="U497421" s="25"/>
    </row>
    <row r="497443" spans="21:21" x14ac:dyDescent="0.3">
      <c r="U497443" s="25"/>
    </row>
    <row r="497465" spans="21:21" x14ac:dyDescent="0.3">
      <c r="U497465" s="25"/>
    </row>
    <row r="497487" spans="21:21" x14ac:dyDescent="0.3">
      <c r="U497487" s="25"/>
    </row>
    <row r="497509" spans="21:21" x14ac:dyDescent="0.3">
      <c r="U497509" s="25"/>
    </row>
    <row r="497531" spans="21:21" x14ac:dyDescent="0.3">
      <c r="U497531" s="25"/>
    </row>
    <row r="497553" spans="21:21" x14ac:dyDescent="0.3">
      <c r="U497553" s="25"/>
    </row>
    <row r="497575" spans="21:21" x14ac:dyDescent="0.3">
      <c r="U497575" s="25"/>
    </row>
    <row r="497597" spans="21:21" x14ac:dyDescent="0.3">
      <c r="U497597" s="25"/>
    </row>
    <row r="497619" spans="21:21" x14ac:dyDescent="0.3">
      <c r="U497619" s="25"/>
    </row>
    <row r="497641" spans="21:21" x14ac:dyDescent="0.3">
      <c r="U497641" s="25"/>
    </row>
    <row r="497663" spans="21:21" x14ac:dyDescent="0.3">
      <c r="U497663" s="25"/>
    </row>
    <row r="497685" spans="21:21" x14ac:dyDescent="0.3">
      <c r="U497685" s="25"/>
    </row>
    <row r="497707" spans="21:21" x14ac:dyDescent="0.3">
      <c r="U497707" s="25"/>
    </row>
    <row r="497729" spans="21:21" x14ac:dyDescent="0.3">
      <c r="U497729" s="25"/>
    </row>
    <row r="497751" spans="21:21" x14ac:dyDescent="0.3">
      <c r="U497751" s="25"/>
    </row>
    <row r="497773" spans="21:21" x14ac:dyDescent="0.3">
      <c r="U497773" s="25"/>
    </row>
    <row r="497795" spans="21:21" x14ac:dyDescent="0.3">
      <c r="U497795" s="25"/>
    </row>
    <row r="497817" spans="21:21" x14ac:dyDescent="0.3">
      <c r="U497817" s="25"/>
    </row>
    <row r="497839" spans="21:21" x14ac:dyDescent="0.3">
      <c r="U497839" s="25"/>
    </row>
    <row r="497861" spans="21:21" x14ac:dyDescent="0.3">
      <c r="U497861" s="25"/>
    </row>
    <row r="497883" spans="21:21" x14ac:dyDescent="0.3">
      <c r="U497883" s="25"/>
    </row>
    <row r="497905" spans="21:21" x14ac:dyDescent="0.3">
      <c r="U497905" s="25"/>
    </row>
    <row r="497927" spans="21:21" x14ac:dyDescent="0.3">
      <c r="U497927" s="25"/>
    </row>
    <row r="497949" spans="21:21" x14ac:dyDescent="0.3">
      <c r="U497949" s="25"/>
    </row>
    <row r="497971" spans="21:21" x14ac:dyDescent="0.3">
      <c r="U497971" s="25"/>
    </row>
    <row r="497993" spans="21:21" x14ac:dyDescent="0.3">
      <c r="U497993" s="25"/>
    </row>
    <row r="498015" spans="21:21" x14ac:dyDescent="0.3">
      <c r="U498015" s="25"/>
    </row>
    <row r="498037" spans="21:21" x14ac:dyDescent="0.3">
      <c r="U498037" s="25"/>
    </row>
    <row r="498059" spans="21:21" x14ac:dyDescent="0.3">
      <c r="U498059" s="25"/>
    </row>
    <row r="498081" spans="21:21" x14ac:dyDescent="0.3">
      <c r="U498081" s="25"/>
    </row>
    <row r="498103" spans="21:21" x14ac:dyDescent="0.3">
      <c r="U498103" s="25"/>
    </row>
    <row r="498125" spans="21:21" x14ac:dyDescent="0.3">
      <c r="U498125" s="25"/>
    </row>
    <row r="498147" spans="21:21" x14ac:dyDescent="0.3">
      <c r="U498147" s="25"/>
    </row>
    <row r="498169" spans="21:21" x14ac:dyDescent="0.3">
      <c r="U498169" s="25"/>
    </row>
    <row r="498191" spans="21:21" x14ac:dyDescent="0.3">
      <c r="U498191" s="25"/>
    </row>
    <row r="498213" spans="21:21" x14ac:dyDescent="0.3">
      <c r="U498213" s="25"/>
    </row>
    <row r="498235" spans="21:21" x14ac:dyDescent="0.3">
      <c r="U498235" s="25"/>
    </row>
    <row r="498257" spans="21:21" x14ac:dyDescent="0.3">
      <c r="U498257" s="25"/>
    </row>
    <row r="498279" spans="21:21" x14ac:dyDescent="0.3">
      <c r="U498279" s="25"/>
    </row>
    <row r="498301" spans="21:21" x14ac:dyDescent="0.3">
      <c r="U498301" s="25"/>
    </row>
    <row r="498323" spans="21:21" x14ac:dyDescent="0.3">
      <c r="U498323" s="25"/>
    </row>
    <row r="498345" spans="21:21" x14ac:dyDescent="0.3">
      <c r="U498345" s="25"/>
    </row>
    <row r="498367" spans="21:21" x14ac:dyDescent="0.3">
      <c r="U498367" s="25"/>
    </row>
    <row r="498389" spans="21:21" x14ac:dyDescent="0.3">
      <c r="U498389" s="25"/>
    </row>
    <row r="498411" spans="21:21" x14ac:dyDescent="0.3">
      <c r="U498411" s="25"/>
    </row>
    <row r="498433" spans="21:21" x14ac:dyDescent="0.3">
      <c r="U498433" s="25"/>
    </row>
    <row r="498455" spans="21:21" x14ac:dyDescent="0.3">
      <c r="U498455" s="25"/>
    </row>
    <row r="498477" spans="21:21" x14ac:dyDescent="0.3">
      <c r="U498477" s="25"/>
    </row>
    <row r="498499" spans="21:21" x14ac:dyDescent="0.3">
      <c r="U498499" s="25"/>
    </row>
    <row r="498521" spans="21:21" x14ac:dyDescent="0.3">
      <c r="U498521" s="25"/>
    </row>
    <row r="498543" spans="21:21" x14ac:dyDescent="0.3">
      <c r="U498543" s="25"/>
    </row>
    <row r="498565" spans="21:21" x14ac:dyDescent="0.3">
      <c r="U498565" s="25"/>
    </row>
    <row r="498587" spans="21:21" x14ac:dyDescent="0.3">
      <c r="U498587" s="25"/>
    </row>
    <row r="498609" spans="21:21" x14ac:dyDescent="0.3">
      <c r="U498609" s="25"/>
    </row>
    <row r="498631" spans="21:21" x14ac:dyDescent="0.3">
      <c r="U498631" s="25"/>
    </row>
    <row r="498653" spans="21:21" x14ac:dyDescent="0.3">
      <c r="U498653" s="25"/>
    </row>
    <row r="498675" spans="21:21" x14ac:dyDescent="0.3">
      <c r="U498675" s="25"/>
    </row>
    <row r="498697" spans="21:21" x14ac:dyDescent="0.3">
      <c r="U498697" s="25"/>
    </row>
    <row r="498719" spans="21:21" x14ac:dyDescent="0.3">
      <c r="U498719" s="25"/>
    </row>
    <row r="498741" spans="21:21" x14ac:dyDescent="0.3">
      <c r="U498741" s="25"/>
    </row>
    <row r="498763" spans="21:21" x14ac:dyDescent="0.3">
      <c r="U498763" s="25"/>
    </row>
    <row r="498785" spans="21:21" x14ac:dyDescent="0.3">
      <c r="U498785" s="25"/>
    </row>
    <row r="498807" spans="21:21" x14ac:dyDescent="0.3">
      <c r="U498807" s="25"/>
    </row>
    <row r="498829" spans="21:21" x14ac:dyDescent="0.3">
      <c r="U498829" s="25"/>
    </row>
    <row r="498851" spans="21:21" x14ac:dyDescent="0.3">
      <c r="U498851" s="25"/>
    </row>
    <row r="498873" spans="21:21" x14ac:dyDescent="0.3">
      <c r="U498873" s="25"/>
    </row>
    <row r="498895" spans="21:21" x14ac:dyDescent="0.3">
      <c r="U498895" s="25"/>
    </row>
    <row r="498917" spans="21:21" x14ac:dyDescent="0.3">
      <c r="U498917" s="25"/>
    </row>
    <row r="498939" spans="21:21" x14ac:dyDescent="0.3">
      <c r="U498939" s="25"/>
    </row>
    <row r="498961" spans="21:21" x14ac:dyDescent="0.3">
      <c r="U498961" s="25"/>
    </row>
    <row r="498983" spans="21:21" x14ac:dyDescent="0.3">
      <c r="U498983" s="25"/>
    </row>
    <row r="499005" spans="21:21" x14ac:dyDescent="0.3">
      <c r="U499005" s="25"/>
    </row>
    <row r="499027" spans="21:21" x14ac:dyDescent="0.3">
      <c r="U499027" s="25"/>
    </row>
    <row r="499049" spans="21:21" x14ac:dyDescent="0.3">
      <c r="U499049" s="25"/>
    </row>
    <row r="499071" spans="21:21" x14ac:dyDescent="0.3">
      <c r="U499071" s="25"/>
    </row>
    <row r="499093" spans="21:21" x14ac:dyDescent="0.3">
      <c r="U499093" s="25"/>
    </row>
    <row r="499115" spans="21:21" x14ac:dyDescent="0.3">
      <c r="U499115" s="25"/>
    </row>
    <row r="499137" spans="21:21" x14ac:dyDescent="0.3">
      <c r="U499137" s="25"/>
    </row>
    <row r="499159" spans="21:21" x14ac:dyDescent="0.3">
      <c r="U499159" s="25"/>
    </row>
    <row r="499181" spans="21:21" x14ac:dyDescent="0.3">
      <c r="U499181" s="25"/>
    </row>
    <row r="499203" spans="21:21" x14ac:dyDescent="0.3">
      <c r="U499203" s="25"/>
    </row>
    <row r="499225" spans="21:21" x14ac:dyDescent="0.3">
      <c r="U499225" s="25"/>
    </row>
    <row r="499247" spans="21:21" x14ac:dyDescent="0.3">
      <c r="U499247" s="25"/>
    </row>
    <row r="499269" spans="21:21" x14ac:dyDescent="0.3">
      <c r="U499269" s="25"/>
    </row>
    <row r="499291" spans="21:21" x14ac:dyDescent="0.3">
      <c r="U499291" s="25"/>
    </row>
    <row r="499313" spans="21:21" x14ac:dyDescent="0.3">
      <c r="U499313" s="25"/>
    </row>
    <row r="499335" spans="21:21" x14ac:dyDescent="0.3">
      <c r="U499335" s="25"/>
    </row>
    <row r="499357" spans="21:21" x14ac:dyDescent="0.3">
      <c r="U499357" s="25"/>
    </row>
    <row r="499379" spans="21:21" x14ac:dyDescent="0.3">
      <c r="U499379" s="25"/>
    </row>
    <row r="499401" spans="21:21" x14ac:dyDescent="0.3">
      <c r="U499401" s="25"/>
    </row>
    <row r="499423" spans="21:21" x14ac:dyDescent="0.3">
      <c r="U499423" s="25"/>
    </row>
    <row r="499445" spans="21:21" x14ac:dyDescent="0.3">
      <c r="U499445" s="25"/>
    </row>
    <row r="499467" spans="21:21" x14ac:dyDescent="0.3">
      <c r="U499467" s="25"/>
    </row>
    <row r="499489" spans="21:21" x14ac:dyDescent="0.3">
      <c r="U499489" s="25"/>
    </row>
    <row r="499511" spans="21:21" x14ac:dyDescent="0.3">
      <c r="U499511" s="25"/>
    </row>
    <row r="499533" spans="21:21" x14ac:dyDescent="0.3">
      <c r="U499533" s="25"/>
    </row>
    <row r="499555" spans="21:21" x14ac:dyDescent="0.3">
      <c r="U499555" s="25"/>
    </row>
    <row r="499577" spans="21:21" x14ac:dyDescent="0.3">
      <c r="U499577" s="25"/>
    </row>
    <row r="499599" spans="21:21" x14ac:dyDescent="0.3">
      <c r="U499599" s="25"/>
    </row>
    <row r="499621" spans="21:21" x14ac:dyDescent="0.3">
      <c r="U499621" s="25"/>
    </row>
    <row r="499643" spans="21:21" x14ac:dyDescent="0.3">
      <c r="U499643" s="25"/>
    </row>
    <row r="499665" spans="21:21" x14ac:dyDescent="0.3">
      <c r="U499665" s="25"/>
    </row>
    <row r="499687" spans="21:21" x14ac:dyDescent="0.3">
      <c r="U499687" s="25"/>
    </row>
    <row r="499709" spans="21:21" x14ac:dyDescent="0.3">
      <c r="U499709" s="25"/>
    </row>
    <row r="499731" spans="21:21" x14ac:dyDescent="0.3">
      <c r="U499731" s="25"/>
    </row>
    <row r="499753" spans="21:21" x14ac:dyDescent="0.3">
      <c r="U499753" s="25"/>
    </row>
    <row r="499775" spans="21:21" x14ac:dyDescent="0.3">
      <c r="U499775" s="25"/>
    </row>
    <row r="499797" spans="21:21" x14ac:dyDescent="0.3">
      <c r="U499797" s="25"/>
    </row>
    <row r="499819" spans="21:21" x14ac:dyDescent="0.3">
      <c r="U499819" s="25"/>
    </row>
    <row r="499841" spans="21:21" x14ac:dyDescent="0.3">
      <c r="U499841" s="25"/>
    </row>
    <row r="499863" spans="21:21" x14ac:dyDescent="0.3">
      <c r="U499863" s="25"/>
    </row>
    <row r="499885" spans="21:21" x14ac:dyDescent="0.3">
      <c r="U499885" s="25"/>
    </row>
    <row r="499907" spans="21:21" x14ac:dyDescent="0.3">
      <c r="U499907" s="25"/>
    </row>
    <row r="499929" spans="21:21" x14ac:dyDescent="0.3">
      <c r="U499929" s="25"/>
    </row>
    <row r="499951" spans="21:21" x14ac:dyDescent="0.3">
      <c r="U499951" s="25"/>
    </row>
    <row r="499973" spans="21:21" x14ac:dyDescent="0.3">
      <c r="U499973" s="25"/>
    </row>
    <row r="499995" spans="21:21" x14ac:dyDescent="0.3">
      <c r="U499995" s="25"/>
    </row>
    <row r="500017" spans="21:21" x14ac:dyDescent="0.3">
      <c r="U500017" s="25"/>
    </row>
    <row r="500039" spans="21:21" x14ac:dyDescent="0.3">
      <c r="U500039" s="25"/>
    </row>
    <row r="500061" spans="21:21" x14ac:dyDescent="0.3">
      <c r="U500061" s="25"/>
    </row>
    <row r="500083" spans="21:21" x14ac:dyDescent="0.3">
      <c r="U500083" s="25"/>
    </row>
    <row r="500105" spans="21:21" x14ac:dyDescent="0.3">
      <c r="U500105" s="25"/>
    </row>
    <row r="500127" spans="21:21" x14ac:dyDescent="0.3">
      <c r="U500127" s="25"/>
    </row>
    <row r="500149" spans="21:21" x14ac:dyDescent="0.3">
      <c r="U500149" s="25"/>
    </row>
    <row r="500171" spans="21:21" x14ac:dyDescent="0.3">
      <c r="U500171" s="25"/>
    </row>
    <row r="500193" spans="21:21" x14ac:dyDescent="0.3">
      <c r="U500193" s="25"/>
    </row>
    <row r="500215" spans="21:21" x14ac:dyDescent="0.3">
      <c r="U500215" s="25"/>
    </row>
    <row r="500237" spans="21:21" x14ac:dyDescent="0.3">
      <c r="U500237" s="25"/>
    </row>
    <row r="500259" spans="21:21" x14ac:dyDescent="0.3">
      <c r="U500259" s="25"/>
    </row>
    <row r="500281" spans="21:21" x14ac:dyDescent="0.3">
      <c r="U500281" s="25"/>
    </row>
    <row r="500303" spans="21:21" x14ac:dyDescent="0.3">
      <c r="U500303" s="25"/>
    </row>
    <row r="500325" spans="21:21" x14ac:dyDescent="0.3">
      <c r="U500325" s="25"/>
    </row>
    <row r="500347" spans="21:21" x14ac:dyDescent="0.3">
      <c r="U500347" s="25"/>
    </row>
    <row r="500369" spans="21:21" x14ac:dyDescent="0.3">
      <c r="U500369" s="25"/>
    </row>
    <row r="500391" spans="21:21" x14ac:dyDescent="0.3">
      <c r="U500391" s="25"/>
    </row>
    <row r="500413" spans="21:21" x14ac:dyDescent="0.3">
      <c r="U500413" s="25"/>
    </row>
    <row r="500435" spans="21:21" x14ac:dyDescent="0.3">
      <c r="U500435" s="25"/>
    </row>
    <row r="500457" spans="21:21" x14ac:dyDescent="0.3">
      <c r="U500457" s="25"/>
    </row>
    <row r="500479" spans="21:21" x14ac:dyDescent="0.3">
      <c r="U500479" s="25"/>
    </row>
    <row r="500501" spans="21:21" x14ac:dyDescent="0.3">
      <c r="U500501" s="25"/>
    </row>
    <row r="500523" spans="21:21" x14ac:dyDescent="0.3">
      <c r="U500523" s="25"/>
    </row>
    <row r="500545" spans="21:21" x14ac:dyDescent="0.3">
      <c r="U500545" s="25"/>
    </row>
    <row r="500567" spans="21:21" x14ac:dyDescent="0.3">
      <c r="U500567" s="25"/>
    </row>
    <row r="500589" spans="21:21" x14ac:dyDescent="0.3">
      <c r="U500589" s="25"/>
    </row>
    <row r="500611" spans="21:21" x14ac:dyDescent="0.3">
      <c r="U500611" s="25"/>
    </row>
    <row r="500633" spans="21:21" x14ac:dyDescent="0.3">
      <c r="U500633" s="25"/>
    </row>
    <row r="500655" spans="21:21" x14ac:dyDescent="0.3">
      <c r="U500655" s="25"/>
    </row>
    <row r="500677" spans="21:21" x14ac:dyDescent="0.3">
      <c r="U500677" s="25"/>
    </row>
    <row r="500699" spans="21:21" x14ac:dyDescent="0.3">
      <c r="U500699" s="25"/>
    </row>
    <row r="500721" spans="21:21" x14ac:dyDescent="0.3">
      <c r="U500721" s="25"/>
    </row>
    <row r="500743" spans="21:21" x14ac:dyDescent="0.3">
      <c r="U500743" s="25"/>
    </row>
    <row r="500765" spans="21:21" x14ac:dyDescent="0.3">
      <c r="U500765" s="25"/>
    </row>
    <row r="500787" spans="21:21" x14ac:dyDescent="0.3">
      <c r="U500787" s="25"/>
    </row>
    <row r="500809" spans="21:21" x14ac:dyDescent="0.3">
      <c r="U500809" s="25"/>
    </row>
    <row r="500831" spans="21:21" x14ac:dyDescent="0.3">
      <c r="U500831" s="25"/>
    </row>
    <row r="500853" spans="21:21" x14ac:dyDescent="0.3">
      <c r="U500853" s="25"/>
    </row>
    <row r="500875" spans="21:21" x14ac:dyDescent="0.3">
      <c r="U500875" s="25"/>
    </row>
    <row r="500897" spans="21:21" x14ac:dyDescent="0.3">
      <c r="U500897" s="25"/>
    </row>
    <row r="500919" spans="21:21" x14ac:dyDescent="0.3">
      <c r="U500919" s="25"/>
    </row>
    <row r="500941" spans="21:21" x14ac:dyDescent="0.3">
      <c r="U500941" s="25"/>
    </row>
    <row r="500963" spans="21:21" x14ac:dyDescent="0.3">
      <c r="U500963" s="25"/>
    </row>
    <row r="500985" spans="21:21" x14ac:dyDescent="0.3">
      <c r="U500985" s="25"/>
    </row>
    <row r="501007" spans="21:21" x14ac:dyDescent="0.3">
      <c r="U501007" s="25"/>
    </row>
    <row r="501029" spans="21:21" x14ac:dyDescent="0.3">
      <c r="U501029" s="25"/>
    </row>
    <row r="501051" spans="21:21" x14ac:dyDescent="0.3">
      <c r="U501051" s="25"/>
    </row>
    <row r="501073" spans="21:21" x14ac:dyDescent="0.3">
      <c r="U501073" s="25"/>
    </row>
    <row r="501095" spans="21:21" x14ac:dyDescent="0.3">
      <c r="U501095" s="25"/>
    </row>
    <row r="501117" spans="21:21" x14ac:dyDescent="0.3">
      <c r="U501117" s="25"/>
    </row>
    <row r="501139" spans="21:21" x14ac:dyDescent="0.3">
      <c r="U501139" s="25"/>
    </row>
    <row r="501161" spans="21:21" x14ac:dyDescent="0.3">
      <c r="U501161" s="25"/>
    </row>
    <row r="501183" spans="21:21" x14ac:dyDescent="0.3">
      <c r="U501183" s="25"/>
    </row>
    <row r="501205" spans="21:21" x14ac:dyDescent="0.3">
      <c r="U501205" s="25"/>
    </row>
    <row r="501227" spans="21:21" x14ac:dyDescent="0.3">
      <c r="U501227" s="25"/>
    </row>
    <row r="501249" spans="21:21" x14ac:dyDescent="0.3">
      <c r="U501249" s="25"/>
    </row>
    <row r="501271" spans="21:21" x14ac:dyDescent="0.3">
      <c r="U501271" s="25"/>
    </row>
    <row r="501293" spans="21:21" x14ac:dyDescent="0.3">
      <c r="U501293" s="25"/>
    </row>
    <row r="501315" spans="21:21" x14ac:dyDescent="0.3">
      <c r="U501315" s="25"/>
    </row>
    <row r="501337" spans="21:21" x14ac:dyDescent="0.3">
      <c r="U501337" s="25"/>
    </row>
    <row r="501359" spans="21:21" x14ac:dyDescent="0.3">
      <c r="U501359" s="25"/>
    </row>
    <row r="501381" spans="21:21" x14ac:dyDescent="0.3">
      <c r="U501381" s="25"/>
    </row>
    <row r="501403" spans="21:21" x14ac:dyDescent="0.3">
      <c r="U501403" s="25"/>
    </row>
    <row r="501425" spans="21:21" x14ac:dyDescent="0.3">
      <c r="U501425" s="25"/>
    </row>
    <row r="501447" spans="21:21" x14ac:dyDescent="0.3">
      <c r="U501447" s="25"/>
    </row>
    <row r="501469" spans="21:21" x14ac:dyDescent="0.3">
      <c r="U501469" s="25"/>
    </row>
    <row r="501491" spans="21:21" x14ac:dyDescent="0.3">
      <c r="U501491" s="25"/>
    </row>
    <row r="501513" spans="21:21" x14ac:dyDescent="0.3">
      <c r="U501513" s="25"/>
    </row>
    <row r="501535" spans="21:21" x14ac:dyDescent="0.3">
      <c r="U501535" s="25"/>
    </row>
    <row r="501557" spans="21:21" x14ac:dyDescent="0.3">
      <c r="U501557" s="25"/>
    </row>
    <row r="501579" spans="21:21" x14ac:dyDescent="0.3">
      <c r="U501579" s="25"/>
    </row>
    <row r="501601" spans="21:21" x14ac:dyDescent="0.3">
      <c r="U501601" s="25"/>
    </row>
    <row r="501623" spans="21:21" x14ac:dyDescent="0.3">
      <c r="U501623" s="25"/>
    </row>
    <row r="501645" spans="21:21" x14ac:dyDescent="0.3">
      <c r="U501645" s="25"/>
    </row>
    <row r="501667" spans="21:21" x14ac:dyDescent="0.3">
      <c r="U501667" s="25"/>
    </row>
    <row r="501689" spans="21:21" x14ac:dyDescent="0.3">
      <c r="U501689" s="25"/>
    </row>
    <row r="501711" spans="21:21" x14ac:dyDescent="0.3">
      <c r="U501711" s="25"/>
    </row>
    <row r="501733" spans="21:21" x14ac:dyDescent="0.3">
      <c r="U501733" s="25"/>
    </row>
    <row r="501755" spans="21:21" x14ac:dyDescent="0.3">
      <c r="U501755" s="25"/>
    </row>
    <row r="501777" spans="21:21" x14ac:dyDescent="0.3">
      <c r="U501777" s="25"/>
    </row>
    <row r="501799" spans="21:21" x14ac:dyDescent="0.3">
      <c r="U501799" s="25"/>
    </row>
    <row r="501821" spans="21:21" x14ac:dyDescent="0.3">
      <c r="U501821" s="25"/>
    </row>
    <row r="501843" spans="21:21" x14ac:dyDescent="0.3">
      <c r="U501843" s="25"/>
    </row>
    <row r="501865" spans="21:21" x14ac:dyDescent="0.3">
      <c r="U501865" s="25"/>
    </row>
    <row r="501887" spans="21:21" x14ac:dyDescent="0.3">
      <c r="U501887" s="25"/>
    </row>
    <row r="501909" spans="21:21" x14ac:dyDescent="0.3">
      <c r="U501909" s="25"/>
    </row>
    <row r="501931" spans="21:21" x14ac:dyDescent="0.3">
      <c r="U501931" s="25"/>
    </row>
    <row r="501953" spans="21:21" x14ac:dyDescent="0.3">
      <c r="U501953" s="25"/>
    </row>
    <row r="501975" spans="21:21" x14ac:dyDescent="0.3">
      <c r="U501975" s="25"/>
    </row>
    <row r="501997" spans="21:21" x14ac:dyDescent="0.3">
      <c r="U501997" s="25"/>
    </row>
    <row r="502019" spans="21:21" x14ac:dyDescent="0.3">
      <c r="U502019" s="25"/>
    </row>
    <row r="502041" spans="21:21" x14ac:dyDescent="0.3">
      <c r="U502041" s="25"/>
    </row>
    <row r="502063" spans="21:21" x14ac:dyDescent="0.3">
      <c r="U502063" s="25"/>
    </row>
    <row r="502085" spans="21:21" x14ac:dyDescent="0.3">
      <c r="U502085" s="25"/>
    </row>
    <row r="502107" spans="21:21" x14ac:dyDescent="0.3">
      <c r="U502107" s="25"/>
    </row>
    <row r="502129" spans="21:21" x14ac:dyDescent="0.3">
      <c r="U502129" s="25"/>
    </row>
    <row r="502151" spans="21:21" x14ac:dyDescent="0.3">
      <c r="U502151" s="25"/>
    </row>
    <row r="502173" spans="21:21" x14ac:dyDescent="0.3">
      <c r="U502173" s="25"/>
    </row>
    <row r="502195" spans="21:21" x14ac:dyDescent="0.3">
      <c r="U502195" s="25"/>
    </row>
    <row r="502217" spans="21:21" x14ac:dyDescent="0.3">
      <c r="U502217" s="25"/>
    </row>
    <row r="502239" spans="21:21" x14ac:dyDescent="0.3">
      <c r="U502239" s="25"/>
    </row>
    <row r="502261" spans="21:21" x14ac:dyDescent="0.3">
      <c r="U502261" s="25"/>
    </row>
    <row r="502283" spans="21:21" x14ac:dyDescent="0.3">
      <c r="U502283" s="25"/>
    </row>
    <row r="502305" spans="21:21" x14ac:dyDescent="0.3">
      <c r="U502305" s="25"/>
    </row>
    <row r="502327" spans="21:21" x14ac:dyDescent="0.3">
      <c r="U502327" s="25"/>
    </row>
    <row r="502349" spans="21:21" x14ac:dyDescent="0.3">
      <c r="U502349" s="25"/>
    </row>
    <row r="502371" spans="21:21" x14ac:dyDescent="0.3">
      <c r="U502371" s="25"/>
    </row>
    <row r="502393" spans="21:21" x14ac:dyDescent="0.3">
      <c r="U502393" s="25"/>
    </row>
    <row r="502415" spans="21:21" x14ac:dyDescent="0.3">
      <c r="U502415" s="25"/>
    </row>
    <row r="502437" spans="21:21" x14ac:dyDescent="0.3">
      <c r="U502437" s="25"/>
    </row>
    <row r="502459" spans="21:21" x14ac:dyDescent="0.3">
      <c r="U502459" s="25"/>
    </row>
    <row r="502481" spans="21:21" x14ac:dyDescent="0.3">
      <c r="U502481" s="25"/>
    </row>
    <row r="502503" spans="21:21" x14ac:dyDescent="0.3">
      <c r="U502503" s="25"/>
    </row>
    <row r="502525" spans="21:21" x14ac:dyDescent="0.3">
      <c r="U502525" s="25"/>
    </row>
    <row r="502547" spans="21:21" x14ac:dyDescent="0.3">
      <c r="U502547" s="25"/>
    </row>
    <row r="502569" spans="21:21" x14ac:dyDescent="0.3">
      <c r="U502569" s="25"/>
    </row>
    <row r="502591" spans="21:21" x14ac:dyDescent="0.3">
      <c r="U502591" s="25"/>
    </row>
    <row r="502613" spans="21:21" x14ac:dyDescent="0.3">
      <c r="U502613" s="25"/>
    </row>
    <row r="502635" spans="21:21" x14ac:dyDescent="0.3">
      <c r="U502635" s="25"/>
    </row>
    <row r="502657" spans="21:21" x14ac:dyDescent="0.3">
      <c r="U502657" s="25"/>
    </row>
    <row r="502679" spans="21:21" x14ac:dyDescent="0.3">
      <c r="U502679" s="25"/>
    </row>
    <row r="502701" spans="21:21" x14ac:dyDescent="0.3">
      <c r="U502701" s="25"/>
    </row>
    <row r="502723" spans="21:21" x14ac:dyDescent="0.3">
      <c r="U502723" s="25"/>
    </row>
    <row r="502745" spans="21:21" x14ac:dyDescent="0.3">
      <c r="U502745" s="25"/>
    </row>
    <row r="502767" spans="21:21" x14ac:dyDescent="0.3">
      <c r="U502767" s="25"/>
    </row>
    <row r="502789" spans="21:21" x14ac:dyDescent="0.3">
      <c r="U502789" s="25"/>
    </row>
    <row r="502811" spans="21:21" x14ac:dyDescent="0.3">
      <c r="U502811" s="25"/>
    </row>
    <row r="502833" spans="21:21" x14ac:dyDescent="0.3">
      <c r="U502833" s="25"/>
    </row>
    <row r="502855" spans="21:21" x14ac:dyDescent="0.3">
      <c r="U502855" s="25"/>
    </row>
    <row r="502877" spans="21:21" x14ac:dyDescent="0.3">
      <c r="U502877" s="25"/>
    </row>
    <row r="502899" spans="21:21" x14ac:dyDescent="0.3">
      <c r="U502899" s="25"/>
    </row>
    <row r="502921" spans="21:21" x14ac:dyDescent="0.3">
      <c r="U502921" s="25"/>
    </row>
    <row r="502943" spans="21:21" x14ac:dyDescent="0.3">
      <c r="U502943" s="25"/>
    </row>
    <row r="502965" spans="21:21" x14ac:dyDescent="0.3">
      <c r="U502965" s="25"/>
    </row>
    <row r="502987" spans="21:21" x14ac:dyDescent="0.3">
      <c r="U502987" s="25"/>
    </row>
    <row r="503009" spans="21:21" x14ac:dyDescent="0.3">
      <c r="U503009" s="25"/>
    </row>
    <row r="503031" spans="21:21" x14ac:dyDescent="0.3">
      <c r="U503031" s="25"/>
    </row>
    <row r="503053" spans="21:21" x14ac:dyDescent="0.3">
      <c r="U503053" s="25"/>
    </row>
    <row r="503075" spans="21:21" x14ac:dyDescent="0.3">
      <c r="U503075" s="25"/>
    </row>
    <row r="503097" spans="21:21" x14ac:dyDescent="0.3">
      <c r="U503097" s="25"/>
    </row>
    <row r="503119" spans="21:21" x14ac:dyDescent="0.3">
      <c r="U503119" s="25"/>
    </row>
    <row r="503141" spans="21:21" x14ac:dyDescent="0.3">
      <c r="U503141" s="25"/>
    </row>
    <row r="503163" spans="21:21" x14ac:dyDescent="0.3">
      <c r="U503163" s="25"/>
    </row>
    <row r="503185" spans="21:21" x14ac:dyDescent="0.3">
      <c r="U503185" s="25"/>
    </row>
    <row r="503207" spans="21:21" x14ac:dyDescent="0.3">
      <c r="U503207" s="25"/>
    </row>
    <row r="503229" spans="21:21" x14ac:dyDescent="0.3">
      <c r="U503229" s="25"/>
    </row>
    <row r="503251" spans="21:21" x14ac:dyDescent="0.3">
      <c r="U503251" s="25"/>
    </row>
    <row r="503273" spans="21:21" x14ac:dyDescent="0.3">
      <c r="U503273" s="25"/>
    </row>
    <row r="503295" spans="21:21" x14ac:dyDescent="0.3">
      <c r="U503295" s="25"/>
    </row>
    <row r="503317" spans="21:21" x14ac:dyDescent="0.3">
      <c r="U503317" s="25"/>
    </row>
    <row r="503339" spans="21:21" x14ac:dyDescent="0.3">
      <c r="U503339" s="25"/>
    </row>
    <row r="503361" spans="21:21" x14ac:dyDescent="0.3">
      <c r="U503361" s="25"/>
    </row>
    <row r="503383" spans="21:21" x14ac:dyDescent="0.3">
      <c r="U503383" s="25"/>
    </row>
    <row r="503405" spans="21:21" x14ac:dyDescent="0.3">
      <c r="U503405" s="25"/>
    </row>
    <row r="503427" spans="21:21" x14ac:dyDescent="0.3">
      <c r="U503427" s="25"/>
    </row>
    <row r="503449" spans="21:21" x14ac:dyDescent="0.3">
      <c r="U503449" s="25"/>
    </row>
    <row r="503471" spans="21:21" x14ac:dyDescent="0.3">
      <c r="U503471" s="25"/>
    </row>
    <row r="503493" spans="21:21" x14ac:dyDescent="0.3">
      <c r="U503493" s="25"/>
    </row>
    <row r="503515" spans="21:21" x14ac:dyDescent="0.3">
      <c r="U503515" s="25"/>
    </row>
    <row r="503537" spans="21:21" x14ac:dyDescent="0.3">
      <c r="U503537" s="25"/>
    </row>
    <row r="503559" spans="21:21" x14ac:dyDescent="0.3">
      <c r="U503559" s="25"/>
    </row>
    <row r="503581" spans="21:21" x14ac:dyDescent="0.3">
      <c r="U503581" s="25"/>
    </row>
    <row r="503603" spans="21:21" x14ac:dyDescent="0.3">
      <c r="U503603" s="25"/>
    </row>
    <row r="503625" spans="21:21" x14ac:dyDescent="0.3">
      <c r="U503625" s="25"/>
    </row>
    <row r="503647" spans="21:21" x14ac:dyDescent="0.3">
      <c r="U503647" s="25"/>
    </row>
    <row r="503669" spans="21:21" x14ac:dyDescent="0.3">
      <c r="U503669" s="25"/>
    </row>
    <row r="503691" spans="21:21" x14ac:dyDescent="0.3">
      <c r="U503691" s="25"/>
    </row>
    <row r="503713" spans="21:21" x14ac:dyDescent="0.3">
      <c r="U503713" s="25"/>
    </row>
    <row r="503735" spans="21:21" x14ac:dyDescent="0.3">
      <c r="U503735" s="25"/>
    </row>
    <row r="503757" spans="21:21" x14ac:dyDescent="0.3">
      <c r="U503757" s="25"/>
    </row>
    <row r="503779" spans="21:21" x14ac:dyDescent="0.3">
      <c r="U503779" s="25"/>
    </row>
    <row r="503801" spans="21:21" x14ac:dyDescent="0.3">
      <c r="U503801" s="25"/>
    </row>
    <row r="503823" spans="21:21" x14ac:dyDescent="0.3">
      <c r="U503823" s="25"/>
    </row>
    <row r="503845" spans="21:21" x14ac:dyDescent="0.3">
      <c r="U503845" s="25"/>
    </row>
    <row r="503867" spans="21:21" x14ac:dyDescent="0.3">
      <c r="U503867" s="25"/>
    </row>
    <row r="503889" spans="21:21" x14ac:dyDescent="0.3">
      <c r="U503889" s="25"/>
    </row>
    <row r="503911" spans="21:21" x14ac:dyDescent="0.3">
      <c r="U503911" s="25"/>
    </row>
    <row r="503933" spans="21:21" x14ac:dyDescent="0.3">
      <c r="U503933" s="25"/>
    </row>
    <row r="503955" spans="21:21" x14ac:dyDescent="0.3">
      <c r="U503955" s="25"/>
    </row>
    <row r="503977" spans="21:21" x14ac:dyDescent="0.3">
      <c r="U503977" s="25"/>
    </row>
    <row r="503999" spans="21:21" x14ac:dyDescent="0.3">
      <c r="U503999" s="25"/>
    </row>
    <row r="504021" spans="21:21" x14ac:dyDescent="0.3">
      <c r="U504021" s="25"/>
    </row>
    <row r="504043" spans="21:21" x14ac:dyDescent="0.3">
      <c r="U504043" s="25"/>
    </row>
    <row r="504065" spans="21:21" x14ac:dyDescent="0.3">
      <c r="U504065" s="25"/>
    </row>
    <row r="504087" spans="21:21" x14ac:dyDescent="0.3">
      <c r="U504087" s="25"/>
    </row>
    <row r="504109" spans="21:21" x14ac:dyDescent="0.3">
      <c r="U504109" s="25"/>
    </row>
    <row r="504131" spans="21:21" x14ac:dyDescent="0.3">
      <c r="U504131" s="25"/>
    </row>
    <row r="504153" spans="21:21" x14ac:dyDescent="0.3">
      <c r="U504153" s="25"/>
    </row>
    <row r="504175" spans="21:21" x14ac:dyDescent="0.3">
      <c r="U504175" s="25"/>
    </row>
    <row r="504197" spans="21:21" x14ac:dyDescent="0.3">
      <c r="U504197" s="25"/>
    </row>
    <row r="504219" spans="21:21" x14ac:dyDescent="0.3">
      <c r="U504219" s="25"/>
    </row>
    <row r="504241" spans="21:21" x14ac:dyDescent="0.3">
      <c r="U504241" s="25"/>
    </row>
    <row r="504263" spans="21:21" x14ac:dyDescent="0.3">
      <c r="U504263" s="25"/>
    </row>
    <row r="504285" spans="21:21" x14ac:dyDescent="0.3">
      <c r="U504285" s="25"/>
    </row>
    <row r="504307" spans="21:21" x14ac:dyDescent="0.3">
      <c r="U504307" s="25"/>
    </row>
    <row r="504329" spans="21:21" x14ac:dyDescent="0.3">
      <c r="U504329" s="25"/>
    </row>
    <row r="504351" spans="21:21" x14ac:dyDescent="0.3">
      <c r="U504351" s="25"/>
    </row>
    <row r="504373" spans="21:21" x14ac:dyDescent="0.3">
      <c r="U504373" s="25"/>
    </row>
    <row r="504395" spans="21:21" x14ac:dyDescent="0.3">
      <c r="U504395" s="25"/>
    </row>
    <row r="504417" spans="21:21" x14ac:dyDescent="0.3">
      <c r="U504417" s="25"/>
    </row>
    <row r="504439" spans="21:21" x14ac:dyDescent="0.3">
      <c r="U504439" s="25"/>
    </row>
    <row r="504461" spans="21:21" x14ac:dyDescent="0.3">
      <c r="U504461" s="25"/>
    </row>
    <row r="504483" spans="21:21" x14ac:dyDescent="0.3">
      <c r="U504483" s="25"/>
    </row>
    <row r="504505" spans="21:21" x14ac:dyDescent="0.3">
      <c r="U504505" s="25"/>
    </row>
    <row r="504527" spans="21:21" x14ac:dyDescent="0.3">
      <c r="U504527" s="25"/>
    </row>
    <row r="504549" spans="21:21" x14ac:dyDescent="0.3">
      <c r="U504549" s="25"/>
    </row>
    <row r="504571" spans="21:21" x14ac:dyDescent="0.3">
      <c r="U504571" s="25"/>
    </row>
    <row r="504593" spans="21:21" x14ac:dyDescent="0.3">
      <c r="U504593" s="25"/>
    </row>
    <row r="504615" spans="21:21" x14ac:dyDescent="0.3">
      <c r="U504615" s="25"/>
    </row>
    <row r="504637" spans="21:21" x14ac:dyDescent="0.3">
      <c r="U504637" s="25"/>
    </row>
    <row r="504659" spans="21:21" x14ac:dyDescent="0.3">
      <c r="U504659" s="25"/>
    </row>
    <row r="504681" spans="21:21" x14ac:dyDescent="0.3">
      <c r="U504681" s="25"/>
    </row>
    <row r="504703" spans="21:21" x14ac:dyDescent="0.3">
      <c r="U504703" s="25"/>
    </row>
    <row r="504725" spans="21:21" x14ac:dyDescent="0.3">
      <c r="U504725" s="25"/>
    </row>
    <row r="504747" spans="21:21" x14ac:dyDescent="0.3">
      <c r="U504747" s="25"/>
    </row>
    <row r="504769" spans="21:21" x14ac:dyDescent="0.3">
      <c r="U504769" s="25"/>
    </row>
    <row r="504791" spans="21:21" x14ac:dyDescent="0.3">
      <c r="U504791" s="25"/>
    </row>
    <row r="504813" spans="21:21" x14ac:dyDescent="0.3">
      <c r="U504813" s="25"/>
    </row>
    <row r="504835" spans="21:21" x14ac:dyDescent="0.3">
      <c r="U504835" s="25"/>
    </row>
    <row r="504857" spans="21:21" x14ac:dyDescent="0.3">
      <c r="U504857" s="25"/>
    </row>
    <row r="504879" spans="21:21" x14ac:dyDescent="0.3">
      <c r="U504879" s="25"/>
    </row>
    <row r="504901" spans="21:21" x14ac:dyDescent="0.3">
      <c r="U504901" s="25"/>
    </row>
    <row r="504923" spans="21:21" x14ac:dyDescent="0.3">
      <c r="U504923" s="25"/>
    </row>
    <row r="504945" spans="21:21" x14ac:dyDescent="0.3">
      <c r="U504945" s="25"/>
    </row>
    <row r="504967" spans="21:21" x14ac:dyDescent="0.3">
      <c r="U504967" s="25"/>
    </row>
    <row r="504989" spans="21:21" x14ac:dyDescent="0.3">
      <c r="U504989" s="25"/>
    </row>
    <row r="505011" spans="21:21" x14ac:dyDescent="0.3">
      <c r="U505011" s="25"/>
    </row>
    <row r="505033" spans="21:21" x14ac:dyDescent="0.3">
      <c r="U505033" s="25"/>
    </row>
    <row r="505055" spans="21:21" x14ac:dyDescent="0.3">
      <c r="U505055" s="25"/>
    </row>
    <row r="505077" spans="21:21" x14ac:dyDescent="0.3">
      <c r="U505077" s="25"/>
    </row>
    <row r="505099" spans="21:21" x14ac:dyDescent="0.3">
      <c r="U505099" s="25"/>
    </row>
    <row r="505121" spans="21:21" x14ac:dyDescent="0.3">
      <c r="U505121" s="25"/>
    </row>
    <row r="505143" spans="21:21" x14ac:dyDescent="0.3">
      <c r="U505143" s="25"/>
    </row>
    <row r="505165" spans="21:21" x14ac:dyDescent="0.3">
      <c r="U505165" s="25"/>
    </row>
    <row r="505187" spans="21:21" x14ac:dyDescent="0.3">
      <c r="U505187" s="25"/>
    </row>
    <row r="505209" spans="21:21" x14ac:dyDescent="0.3">
      <c r="U505209" s="25"/>
    </row>
    <row r="505231" spans="21:21" x14ac:dyDescent="0.3">
      <c r="U505231" s="25"/>
    </row>
    <row r="505253" spans="21:21" x14ac:dyDescent="0.3">
      <c r="U505253" s="25"/>
    </row>
    <row r="505275" spans="21:21" x14ac:dyDescent="0.3">
      <c r="U505275" s="25"/>
    </row>
    <row r="505297" spans="21:21" x14ac:dyDescent="0.3">
      <c r="U505297" s="25"/>
    </row>
    <row r="505319" spans="21:21" x14ac:dyDescent="0.3">
      <c r="U505319" s="25"/>
    </row>
    <row r="505341" spans="21:21" x14ac:dyDescent="0.3">
      <c r="U505341" s="25"/>
    </row>
    <row r="505363" spans="21:21" x14ac:dyDescent="0.3">
      <c r="U505363" s="25"/>
    </row>
    <row r="505385" spans="21:21" x14ac:dyDescent="0.3">
      <c r="U505385" s="25"/>
    </row>
    <row r="505407" spans="21:21" x14ac:dyDescent="0.3">
      <c r="U505407" s="25"/>
    </row>
    <row r="505429" spans="21:21" x14ac:dyDescent="0.3">
      <c r="U505429" s="25"/>
    </row>
    <row r="505451" spans="21:21" x14ac:dyDescent="0.3">
      <c r="U505451" s="25"/>
    </row>
    <row r="505473" spans="21:21" x14ac:dyDescent="0.3">
      <c r="U505473" s="25"/>
    </row>
    <row r="505495" spans="21:21" x14ac:dyDescent="0.3">
      <c r="U505495" s="25"/>
    </row>
    <row r="505517" spans="21:21" x14ac:dyDescent="0.3">
      <c r="U505517" s="25"/>
    </row>
    <row r="505539" spans="21:21" x14ac:dyDescent="0.3">
      <c r="U505539" s="25"/>
    </row>
    <row r="505561" spans="21:21" x14ac:dyDescent="0.3">
      <c r="U505561" s="25"/>
    </row>
    <row r="505583" spans="21:21" x14ac:dyDescent="0.3">
      <c r="U505583" s="25"/>
    </row>
    <row r="505605" spans="21:21" x14ac:dyDescent="0.3">
      <c r="U505605" s="25"/>
    </row>
    <row r="505627" spans="21:21" x14ac:dyDescent="0.3">
      <c r="U505627" s="25"/>
    </row>
    <row r="505649" spans="21:21" x14ac:dyDescent="0.3">
      <c r="U505649" s="25"/>
    </row>
    <row r="505671" spans="21:21" x14ac:dyDescent="0.3">
      <c r="U505671" s="25"/>
    </row>
    <row r="505693" spans="21:21" x14ac:dyDescent="0.3">
      <c r="U505693" s="25"/>
    </row>
    <row r="505715" spans="21:21" x14ac:dyDescent="0.3">
      <c r="U505715" s="25"/>
    </row>
    <row r="505737" spans="21:21" x14ac:dyDescent="0.3">
      <c r="U505737" s="25"/>
    </row>
    <row r="505759" spans="21:21" x14ac:dyDescent="0.3">
      <c r="U505759" s="25"/>
    </row>
    <row r="505781" spans="21:21" x14ac:dyDescent="0.3">
      <c r="U505781" s="25"/>
    </row>
    <row r="505803" spans="21:21" x14ac:dyDescent="0.3">
      <c r="U505803" s="25"/>
    </row>
    <row r="505825" spans="21:21" x14ac:dyDescent="0.3">
      <c r="U505825" s="25"/>
    </row>
    <row r="505847" spans="21:21" x14ac:dyDescent="0.3">
      <c r="U505847" s="25"/>
    </row>
    <row r="505869" spans="21:21" x14ac:dyDescent="0.3">
      <c r="U505869" s="25"/>
    </row>
    <row r="505891" spans="21:21" x14ac:dyDescent="0.3">
      <c r="U505891" s="25"/>
    </row>
    <row r="505913" spans="21:21" x14ac:dyDescent="0.3">
      <c r="U505913" s="25"/>
    </row>
    <row r="505935" spans="21:21" x14ac:dyDescent="0.3">
      <c r="U505935" s="25"/>
    </row>
    <row r="505957" spans="21:21" x14ac:dyDescent="0.3">
      <c r="U505957" s="25"/>
    </row>
    <row r="505979" spans="21:21" x14ac:dyDescent="0.3">
      <c r="U505979" s="25"/>
    </row>
    <row r="506001" spans="21:21" x14ac:dyDescent="0.3">
      <c r="U506001" s="25"/>
    </row>
    <row r="506023" spans="21:21" x14ac:dyDescent="0.3">
      <c r="U506023" s="25"/>
    </row>
    <row r="506045" spans="21:21" x14ac:dyDescent="0.3">
      <c r="U506045" s="25"/>
    </row>
    <row r="506067" spans="21:21" x14ac:dyDescent="0.3">
      <c r="U506067" s="25"/>
    </row>
    <row r="506089" spans="21:21" x14ac:dyDescent="0.3">
      <c r="U506089" s="25"/>
    </row>
    <row r="506111" spans="21:21" x14ac:dyDescent="0.3">
      <c r="U506111" s="25"/>
    </row>
    <row r="506133" spans="21:21" x14ac:dyDescent="0.3">
      <c r="U506133" s="25"/>
    </row>
    <row r="506155" spans="21:21" x14ac:dyDescent="0.3">
      <c r="U506155" s="25"/>
    </row>
    <row r="506177" spans="21:21" x14ac:dyDescent="0.3">
      <c r="U506177" s="25"/>
    </row>
    <row r="506199" spans="21:21" x14ac:dyDescent="0.3">
      <c r="U506199" s="25"/>
    </row>
    <row r="506221" spans="21:21" x14ac:dyDescent="0.3">
      <c r="U506221" s="25"/>
    </row>
    <row r="506243" spans="21:21" x14ac:dyDescent="0.3">
      <c r="U506243" s="25"/>
    </row>
    <row r="506265" spans="21:21" x14ac:dyDescent="0.3">
      <c r="U506265" s="25"/>
    </row>
    <row r="506287" spans="21:21" x14ac:dyDescent="0.3">
      <c r="U506287" s="25"/>
    </row>
    <row r="506309" spans="21:21" x14ac:dyDescent="0.3">
      <c r="U506309" s="25"/>
    </row>
    <row r="506331" spans="21:21" x14ac:dyDescent="0.3">
      <c r="U506331" s="25"/>
    </row>
    <row r="506353" spans="21:21" x14ac:dyDescent="0.3">
      <c r="U506353" s="25"/>
    </row>
    <row r="506375" spans="21:21" x14ac:dyDescent="0.3">
      <c r="U506375" s="25"/>
    </row>
    <row r="506397" spans="21:21" x14ac:dyDescent="0.3">
      <c r="U506397" s="25"/>
    </row>
    <row r="506419" spans="21:21" x14ac:dyDescent="0.3">
      <c r="U506419" s="25"/>
    </row>
    <row r="506441" spans="21:21" x14ac:dyDescent="0.3">
      <c r="U506441" s="25"/>
    </row>
    <row r="506463" spans="21:21" x14ac:dyDescent="0.3">
      <c r="U506463" s="25"/>
    </row>
    <row r="506485" spans="21:21" x14ac:dyDescent="0.3">
      <c r="U506485" s="25"/>
    </row>
    <row r="506507" spans="21:21" x14ac:dyDescent="0.3">
      <c r="U506507" s="25"/>
    </row>
    <row r="506529" spans="21:21" x14ac:dyDescent="0.3">
      <c r="U506529" s="25"/>
    </row>
    <row r="506551" spans="21:21" x14ac:dyDescent="0.3">
      <c r="U506551" s="25"/>
    </row>
    <row r="506573" spans="21:21" x14ac:dyDescent="0.3">
      <c r="U506573" s="25"/>
    </row>
    <row r="506595" spans="21:21" x14ac:dyDescent="0.3">
      <c r="U506595" s="25"/>
    </row>
    <row r="506617" spans="21:21" x14ac:dyDescent="0.3">
      <c r="U506617" s="25"/>
    </row>
    <row r="506639" spans="21:21" x14ac:dyDescent="0.3">
      <c r="U506639" s="25"/>
    </row>
    <row r="506661" spans="21:21" x14ac:dyDescent="0.3">
      <c r="U506661" s="25"/>
    </row>
    <row r="506683" spans="21:21" x14ac:dyDescent="0.3">
      <c r="U506683" s="25"/>
    </row>
    <row r="506705" spans="21:21" x14ac:dyDescent="0.3">
      <c r="U506705" s="25"/>
    </row>
    <row r="506727" spans="21:21" x14ac:dyDescent="0.3">
      <c r="U506727" s="25"/>
    </row>
    <row r="506749" spans="21:21" x14ac:dyDescent="0.3">
      <c r="U506749" s="25"/>
    </row>
    <row r="506771" spans="21:21" x14ac:dyDescent="0.3">
      <c r="U506771" s="25"/>
    </row>
    <row r="506793" spans="21:21" x14ac:dyDescent="0.3">
      <c r="U506793" s="25"/>
    </row>
    <row r="506815" spans="21:21" x14ac:dyDescent="0.3">
      <c r="U506815" s="25"/>
    </row>
    <row r="506837" spans="21:21" x14ac:dyDescent="0.3">
      <c r="U506837" s="25"/>
    </row>
    <row r="506859" spans="21:21" x14ac:dyDescent="0.3">
      <c r="U506859" s="25"/>
    </row>
    <row r="506881" spans="21:21" x14ac:dyDescent="0.3">
      <c r="U506881" s="25"/>
    </row>
    <row r="506903" spans="21:21" x14ac:dyDescent="0.3">
      <c r="U506903" s="25"/>
    </row>
    <row r="506925" spans="21:21" x14ac:dyDescent="0.3">
      <c r="U506925" s="25"/>
    </row>
    <row r="506947" spans="21:21" x14ac:dyDescent="0.3">
      <c r="U506947" s="25"/>
    </row>
    <row r="506969" spans="21:21" x14ac:dyDescent="0.3">
      <c r="U506969" s="25"/>
    </row>
    <row r="506991" spans="21:21" x14ac:dyDescent="0.3">
      <c r="U506991" s="25"/>
    </row>
    <row r="507013" spans="21:21" x14ac:dyDescent="0.3">
      <c r="U507013" s="25"/>
    </row>
    <row r="507035" spans="21:21" x14ac:dyDescent="0.3">
      <c r="U507035" s="25"/>
    </row>
    <row r="507057" spans="21:21" x14ac:dyDescent="0.3">
      <c r="U507057" s="25"/>
    </row>
    <row r="507079" spans="21:21" x14ac:dyDescent="0.3">
      <c r="U507079" s="25"/>
    </row>
    <row r="507101" spans="21:21" x14ac:dyDescent="0.3">
      <c r="U507101" s="25"/>
    </row>
    <row r="507123" spans="21:21" x14ac:dyDescent="0.3">
      <c r="U507123" s="25"/>
    </row>
    <row r="507145" spans="21:21" x14ac:dyDescent="0.3">
      <c r="U507145" s="25"/>
    </row>
    <row r="507167" spans="21:21" x14ac:dyDescent="0.3">
      <c r="U507167" s="25"/>
    </row>
    <row r="507189" spans="21:21" x14ac:dyDescent="0.3">
      <c r="U507189" s="25"/>
    </row>
    <row r="507211" spans="21:21" x14ac:dyDescent="0.3">
      <c r="U507211" s="25"/>
    </row>
    <row r="507233" spans="21:21" x14ac:dyDescent="0.3">
      <c r="U507233" s="25"/>
    </row>
    <row r="507255" spans="21:21" x14ac:dyDescent="0.3">
      <c r="U507255" s="25"/>
    </row>
    <row r="507277" spans="21:21" x14ac:dyDescent="0.3">
      <c r="U507277" s="25"/>
    </row>
    <row r="507299" spans="21:21" x14ac:dyDescent="0.3">
      <c r="U507299" s="25"/>
    </row>
    <row r="507321" spans="21:21" x14ac:dyDescent="0.3">
      <c r="U507321" s="25"/>
    </row>
    <row r="507343" spans="21:21" x14ac:dyDescent="0.3">
      <c r="U507343" s="25"/>
    </row>
    <row r="507365" spans="21:21" x14ac:dyDescent="0.3">
      <c r="U507365" s="25"/>
    </row>
    <row r="507387" spans="21:21" x14ac:dyDescent="0.3">
      <c r="U507387" s="25"/>
    </row>
    <row r="507409" spans="21:21" x14ac:dyDescent="0.3">
      <c r="U507409" s="25"/>
    </row>
    <row r="507431" spans="21:21" x14ac:dyDescent="0.3">
      <c r="U507431" s="25"/>
    </row>
    <row r="507453" spans="21:21" x14ac:dyDescent="0.3">
      <c r="U507453" s="25"/>
    </row>
    <row r="507475" spans="21:21" x14ac:dyDescent="0.3">
      <c r="U507475" s="25"/>
    </row>
    <row r="507497" spans="21:21" x14ac:dyDescent="0.3">
      <c r="U507497" s="25"/>
    </row>
    <row r="507519" spans="21:21" x14ac:dyDescent="0.3">
      <c r="U507519" s="25"/>
    </row>
    <row r="507541" spans="21:21" x14ac:dyDescent="0.3">
      <c r="U507541" s="25"/>
    </row>
    <row r="507563" spans="21:21" x14ac:dyDescent="0.3">
      <c r="U507563" s="25"/>
    </row>
    <row r="507585" spans="21:21" x14ac:dyDescent="0.3">
      <c r="U507585" s="25"/>
    </row>
    <row r="507607" spans="21:21" x14ac:dyDescent="0.3">
      <c r="U507607" s="25"/>
    </row>
    <row r="507629" spans="21:21" x14ac:dyDescent="0.3">
      <c r="U507629" s="25"/>
    </row>
    <row r="507651" spans="21:21" x14ac:dyDescent="0.3">
      <c r="U507651" s="25"/>
    </row>
    <row r="507673" spans="21:21" x14ac:dyDescent="0.3">
      <c r="U507673" s="25"/>
    </row>
    <row r="507695" spans="21:21" x14ac:dyDescent="0.3">
      <c r="U507695" s="25"/>
    </row>
    <row r="507717" spans="21:21" x14ac:dyDescent="0.3">
      <c r="U507717" s="25"/>
    </row>
    <row r="507739" spans="21:21" x14ac:dyDescent="0.3">
      <c r="U507739" s="25"/>
    </row>
    <row r="507761" spans="21:21" x14ac:dyDescent="0.3">
      <c r="U507761" s="25"/>
    </row>
    <row r="507783" spans="21:21" x14ac:dyDescent="0.3">
      <c r="U507783" s="25"/>
    </row>
    <row r="507805" spans="21:21" x14ac:dyDescent="0.3">
      <c r="U507805" s="25"/>
    </row>
    <row r="507827" spans="21:21" x14ac:dyDescent="0.3">
      <c r="U507827" s="25"/>
    </row>
    <row r="507849" spans="21:21" x14ac:dyDescent="0.3">
      <c r="U507849" s="25"/>
    </row>
    <row r="507871" spans="21:21" x14ac:dyDescent="0.3">
      <c r="U507871" s="25"/>
    </row>
    <row r="507893" spans="21:21" x14ac:dyDescent="0.3">
      <c r="U507893" s="25"/>
    </row>
    <row r="507915" spans="21:21" x14ac:dyDescent="0.3">
      <c r="U507915" s="25"/>
    </row>
    <row r="507937" spans="21:21" x14ac:dyDescent="0.3">
      <c r="U507937" s="25"/>
    </row>
    <row r="507959" spans="21:21" x14ac:dyDescent="0.3">
      <c r="U507959" s="25"/>
    </row>
    <row r="507981" spans="21:21" x14ac:dyDescent="0.3">
      <c r="U507981" s="25"/>
    </row>
    <row r="508003" spans="21:21" x14ac:dyDescent="0.3">
      <c r="U508003" s="25"/>
    </row>
    <row r="508025" spans="21:21" x14ac:dyDescent="0.3">
      <c r="U508025" s="25"/>
    </row>
    <row r="508047" spans="21:21" x14ac:dyDescent="0.3">
      <c r="U508047" s="25"/>
    </row>
    <row r="508069" spans="21:21" x14ac:dyDescent="0.3">
      <c r="U508069" s="25"/>
    </row>
    <row r="508091" spans="21:21" x14ac:dyDescent="0.3">
      <c r="U508091" s="25"/>
    </row>
    <row r="508113" spans="21:21" x14ac:dyDescent="0.3">
      <c r="U508113" s="25"/>
    </row>
    <row r="508135" spans="21:21" x14ac:dyDescent="0.3">
      <c r="U508135" s="25"/>
    </row>
    <row r="508157" spans="21:21" x14ac:dyDescent="0.3">
      <c r="U508157" s="25"/>
    </row>
    <row r="508179" spans="21:21" x14ac:dyDescent="0.3">
      <c r="U508179" s="25"/>
    </row>
    <row r="508201" spans="21:21" x14ac:dyDescent="0.3">
      <c r="U508201" s="25"/>
    </row>
    <row r="508223" spans="21:21" x14ac:dyDescent="0.3">
      <c r="U508223" s="25"/>
    </row>
    <row r="508245" spans="21:21" x14ac:dyDescent="0.3">
      <c r="U508245" s="25"/>
    </row>
    <row r="508267" spans="21:21" x14ac:dyDescent="0.3">
      <c r="U508267" s="25"/>
    </row>
    <row r="508289" spans="21:21" x14ac:dyDescent="0.3">
      <c r="U508289" s="25"/>
    </row>
    <row r="508311" spans="21:21" x14ac:dyDescent="0.3">
      <c r="U508311" s="25"/>
    </row>
    <row r="508333" spans="21:21" x14ac:dyDescent="0.3">
      <c r="U508333" s="25"/>
    </row>
    <row r="508355" spans="21:21" x14ac:dyDescent="0.3">
      <c r="U508355" s="25"/>
    </row>
    <row r="508377" spans="21:21" x14ac:dyDescent="0.3">
      <c r="U508377" s="25"/>
    </row>
    <row r="508399" spans="21:21" x14ac:dyDescent="0.3">
      <c r="U508399" s="25"/>
    </row>
    <row r="508421" spans="21:21" x14ac:dyDescent="0.3">
      <c r="U508421" s="25"/>
    </row>
    <row r="508443" spans="21:21" x14ac:dyDescent="0.3">
      <c r="U508443" s="25"/>
    </row>
    <row r="508465" spans="21:21" x14ac:dyDescent="0.3">
      <c r="U508465" s="25"/>
    </row>
    <row r="508487" spans="21:21" x14ac:dyDescent="0.3">
      <c r="U508487" s="25"/>
    </row>
    <row r="508509" spans="21:21" x14ac:dyDescent="0.3">
      <c r="U508509" s="25"/>
    </row>
    <row r="508531" spans="21:21" x14ac:dyDescent="0.3">
      <c r="U508531" s="25"/>
    </row>
    <row r="508553" spans="21:21" x14ac:dyDescent="0.3">
      <c r="U508553" s="25"/>
    </row>
    <row r="508575" spans="21:21" x14ac:dyDescent="0.3">
      <c r="U508575" s="25"/>
    </row>
    <row r="508597" spans="21:21" x14ac:dyDescent="0.3">
      <c r="U508597" s="25"/>
    </row>
    <row r="508619" spans="21:21" x14ac:dyDescent="0.3">
      <c r="U508619" s="25"/>
    </row>
    <row r="508641" spans="21:21" x14ac:dyDescent="0.3">
      <c r="U508641" s="25"/>
    </row>
    <row r="508663" spans="21:21" x14ac:dyDescent="0.3">
      <c r="U508663" s="25"/>
    </row>
    <row r="508685" spans="21:21" x14ac:dyDescent="0.3">
      <c r="U508685" s="25"/>
    </row>
    <row r="508707" spans="21:21" x14ac:dyDescent="0.3">
      <c r="U508707" s="25"/>
    </row>
    <row r="508729" spans="21:21" x14ac:dyDescent="0.3">
      <c r="U508729" s="25"/>
    </row>
    <row r="508751" spans="21:21" x14ac:dyDescent="0.3">
      <c r="U508751" s="25"/>
    </row>
    <row r="508773" spans="21:21" x14ac:dyDescent="0.3">
      <c r="U508773" s="25"/>
    </row>
    <row r="508795" spans="21:21" x14ac:dyDescent="0.3">
      <c r="U508795" s="25"/>
    </row>
    <row r="508817" spans="21:21" x14ac:dyDescent="0.3">
      <c r="U508817" s="25"/>
    </row>
    <row r="508839" spans="21:21" x14ac:dyDescent="0.3">
      <c r="U508839" s="25"/>
    </row>
    <row r="508861" spans="21:21" x14ac:dyDescent="0.3">
      <c r="U508861" s="25"/>
    </row>
    <row r="508883" spans="21:21" x14ac:dyDescent="0.3">
      <c r="U508883" s="25"/>
    </row>
    <row r="508905" spans="21:21" x14ac:dyDescent="0.3">
      <c r="U508905" s="25"/>
    </row>
    <row r="508927" spans="21:21" x14ac:dyDescent="0.3">
      <c r="U508927" s="25"/>
    </row>
    <row r="508949" spans="21:21" x14ac:dyDescent="0.3">
      <c r="U508949" s="25"/>
    </row>
    <row r="508971" spans="21:21" x14ac:dyDescent="0.3">
      <c r="U508971" s="25"/>
    </row>
    <row r="508993" spans="21:21" x14ac:dyDescent="0.3">
      <c r="U508993" s="25"/>
    </row>
    <row r="509015" spans="21:21" x14ac:dyDescent="0.3">
      <c r="U509015" s="25"/>
    </row>
    <row r="509037" spans="21:21" x14ac:dyDescent="0.3">
      <c r="U509037" s="25"/>
    </row>
    <row r="509059" spans="21:21" x14ac:dyDescent="0.3">
      <c r="U509059" s="25"/>
    </row>
    <row r="509081" spans="21:21" x14ac:dyDescent="0.3">
      <c r="U509081" s="25"/>
    </row>
    <row r="509103" spans="21:21" x14ac:dyDescent="0.3">
      <c r="U509103" s="25"/>
    </row>
    <row r="509125" spans="21:21" x14ac:dyDescent="0.3">
      <c r="U509125" s="25"/>
    </row>
    <row r="509147" spans="21:21" x14ac:dyDescent="0.3">
      <c r="U509147" s="25"/>
    </row>
    <row r="509169" spans="21:21" x14ac:dyDescent="0.3">
      <c r="U509169" s="25"/>
    </row>
    <row r="509191" spans="21:21" x14ac:dyDescent="0.3">
      <c r="U509191" s="25"/>
    </row>
    <row r="509213" spans="21:21" x14ac:dyDescent="0.3">
      <c r="U509213" s="25"/>
    </row>
    <row r="509235" spans="21:21" x14ac:dyDescent="0.3">
      <c r="U509235" s="25"/>
    </row>
    <row r="509257" spans="21:21" x14ac:dyDescent="0.3">
      <c r="U509257" s="25"/>
    </row>
    <row r="509279" spans="21:21" x14ac:dyDescent="0.3">
      <c r="U509279" s="25"/>
    </row>
    <row r="509301" spans="21:21" x14ac:dyDescent="0.3">
      <c r="U509301" s="25"/>
    </row>
    <row r="509323" spans="21:21" x14ac:dyDescent="0.3">
      <c r="U509323" s="25"/>
    </row>
    <row r="509345" spans="21:21" x14ac:dyDescent="0.3">
      <c r="U509345" s="25"/>
    </row>
    <row r="509367" spans="21:21" x14ac:dyDescent="0.3">
      <c r="U509367" s="25"/>
    </row>
    <row r="509389" spans="21:21" x14ac:dyDescent="0.3">
      <c r="U509389" s="25"/>
    </row>
    <row r="509411" spans="21:21" x14ac:dyDescent="0.3">
      <c r="U509411" s="25"/>
    </row>
    <row r="509433" spans="21:21" x14ac:dyDescent="0.3">
      <c r="U509433" s="25"/>
    </row>
    <row r="509455" spans="21:21" x14ac:dyDescent="0.3">
      <c r="U509455" s="25"/>
    </row>
    <row r="509477" spans="21:21" x14ac:dyDescent="0.3">
      <c r="U509477" s="25"/>
    </row>
    <row r="509499" spans="21:21" x14ac:dyDescent="0.3">
      <c r="U509499" s="25"/>
    </row>
    <row r="509521" spans="21:21" x14ac:dyDescent="0.3">
      <c r="U509521" s="25"/>
    </row>
    <row r="509543" spans="21:21" x14ac:dyDescent="0.3">
      <c r="U509543" s="25"/>
    </row>
    <row r="509565" spans="21:21" x14ac:dyDescent="0.3">
      <c r="U509565" s="25"/>
    </row>
    <row r="509587" spans="21:21" x14ac:dyDescent="0.3">
      <c r="U509587" s="25"/>
    </row>
    <row r="509609" spans="21:21" x14ac:dyDescent="0.3">
      <c r="U509609" s="25"/>
    </row>
    <row r="509631" spans="21:21" x14ac:dyDescent="0.3">
      <c r="U509631" s="25"/>
    </row>
    <row r="509653" spans="21:21" x14ac:dyDescent="0.3">
      <c r="U509653" s="25"/>
    </row>
    <row r="509675" spans="21:21" x14ac:dyDescent="0.3">
      <c r="U509675" s="25"/>
    </row>
    <row r="509697" spans="21:21" x14ac:dyDescent="0.3">
      <c r="U509697" s="25"/>
    </row>
    <row r="509719" spans="21:21" x14ac:dyDescent="0.3">
      <c r="U509719" s="25"/>
    </row>
    <row r="509741" spans="21:21" x14ac:dyDescent="0.3">
      <c r="U509741" s="25"/>
    </row>
    <row r="509763" spans="21:21" x14ac:dyDescent="0.3">
      <c r="U509763" s="25"/>
    </row>
    <row r="509785" spans="21:21" x14ac:dyDescent="0.3">
      <c r="U509785" s="25"/>
    </row>
    <row r="509807" spans="21:21" x14ac:dyDescent="0.3">
      <c r="U509807" s="25"/>
    </row>
    <row r="509829" spans="21:21" x14ac:dyDescent="0.3">
      <c r="U509829" s="25"/>
    </row>
    <row r="509851" spans="21:21" x14ac:dyDescent="0.3">
      <c r="U509851" s="25"/>
    </row>
    <row r="509873" spans="21:21" x14ac:dyDescent="0.3">
      <c r="U509873" s="25"/>
    </row>
    <row r="509895" spans="21:21" x14ac:dyDescent="0.3">
      <c r="U509895" s="25"/>
    </row>
    <row r="509917" spans="21:21" x14ac:dyDescent="0.3">
      <c r="U509917" s="25"/>
    </row>
    <row r="509939" spans="21:21" x14ac:dyDescent="0.3">
      <c r="U509939" s="25"/>
    </row>
    <row r="509961" spans="21:21" x14ac:dyDescent="0.3">
      <c r="U509961" s="25"/>
    </row>
    <row r="509983" spans="21:21" x14ac:dyDescent="0.3">
      <c r="U509983" s="25"/>
    </row>
    <row r="510005" spans="21:21" x14ac:dyDescent="0.3">
      <c r="U510005" s="25"/>
    </row>
    <row r="510027" spans="21:21" x14ac:dyDescent="0.3">
      <c r="U510027" s="25"/>
    </row>
    <row r="510049" spans="21:21" x14ac:dyDescent="0.3">
      <c r="U510049" s="25"/>
    </row>
    <row r="510071" spans="21:21" x14ac:dyDescent="0.3">
      <c r="U510071" s="25"/>
    </row>
    <row r="510093" spans="21:21" x14ac:dyDescent="0.3">
      <c r="U510093" s="25"/>
    </row>
    <row r="510115" spans="21:21" x14ac:dyDescent="0.3">
      <c r="U510115" s="25"/>
    </row>
    <row r="510137" spans="21:21" x14ac:dyDescent="0.3">
      <c r="U510137" s="25"/>
    </row>
    <row r="510159" spans="21:21" x14ac:dyDescent="0.3">
      <c r="U510159" s="25"/>
    </row>
    <row r="510181" spans="21:21" x14ac:dyDescent="0.3">
      <c r="U510181" s="25"/>
    </row>
    <row r="510203" spans="21:21" x14ac:dyDescent="0.3">
      <c r="U510203" s="25"/>
    </row>
    <row r="510225" spans="21:21" x14ac:dyDescent="0.3">
      <c r="U510225" s="25"/>
    </row>
    <row r="510247" spans="21:21" x14ac:dyDescent="0.3">
      <c r="U510247" s="25"/>
    </row>
    <row r="510269" spans="21:21" x14ac:dyDescent="0.3">
      <c r="U510269" s="25"/>
    </row>
    <row r="510291" spans="21:21" x14ac:dyDescent="0.3">
      <c r="U510291" s="25"/>
    </row>
    <row r="510313" spans="21:21" x14ac:dyDescent="0.3">
      <c r="U510313" s="25"/>
    </row>
    <row r="510335" spans="21:21" x14ac:dyDescent="0.3">
      <c r="U510335" s="25"/>
    </row>
    <row r="510357" spans="21:21" x14ac:dyDescent="0.3">
      <c r="U510357" s="25"/>
    </row>
    <row r="510379" spans="21:21" x14ac:dyDescent="0.3">
      <c r="U510379" s="25"/>
    </row>
    <row r="510401" spans="21:21" x14ac:dyDescent="0.3">
      <c r="U510401" s="25"/>
    </row>
    <row r="510423" spans="21:21" x14ac:dyDescent="0.3">
      <c r="U510423" s="25"/>
    </row>
    <row r="510445" spans="21:21" x14ac:dyDescent="0.3">
      <c r="U510445" s="25"/>
    </row>
    <row r="510467" spans="21:21" x14ac:dyDescent="0.3">
      <c r="U510467" s="25"/>
    </row>
    <row r="510489" spans="21:21" x14ac:dyDescent="0.3">
      <c r="U510489" s="25"/>
    </row>
    <row r="510511" spans="21:21" x14ac:dyDescent="0.3">
      <c r="U510511" s="25"/>
    </row>
    <row r="510533" spans="21:21" x14ac:dyDescent="0.3">
      <c r="U510533" s="25"/>
    </row>
    <row r="510555" spans="21:21" x14ac:dyDescent="0.3">
      <c r="U510555" s="25"/>
    </row>
    <row r="510577" spans="21:21" x14ac:dyDescent="0.3">
      <c r="U510577" s="25"/>
    </row>
    <row r="510599" spans="21:21" x14ac:dyDescent="0.3">
      <c r="U510599" s="25"/>
    </row>
    <row r="510621" spans="21:21" x14ac:dyDescent="0.3">
      <c r="U510621" s="25"/>
    </row>
    <row r="510643" spans="21:21" x14ac:dyDescent="0.3">
      <c r="U510643" s="25"/>
    </row>
    <row r="510665" spans="21:21" x14ac:dyDescent="0.3">
      <c r="U510665" s="25"/>
    </row>
    <row r="510687" spans="21:21" x14ac:dyDescent="0.3">
      <c r="U510687" s="25"/>
    </row>
    <row r="510709" spans="21:21" x14ac:dyDescent="0.3">
      <c r="U510709" s="25"/>
    </row>
    <row r="510731" spans="21:21" x14ac:dyDescent="0.3">
      <c r="U510731" s="25"/>
    </row>
    <row r="510753" spans="21:21" x14ac:dyDescent="0.3">
      <c r="U510753" s="25"/>
    </row>
    <row r="510775" spans="21:21" x14ac:dyDescent="0.3">
      <c r="U510775" s="25"/>
    </row>
    <row r="510797" spans="21:21" x14ac:dyDescent="0.3">
      <c r="U510797" s="25"/>
    </row>
    <row r="510819" spans="21:21" x14ac:dyDescent="0.3">
      <c r="U510819" s="25"/>
    </row>
    <row r="510841" spans="21:21" x14ac:dyDescent="0.3">
      <c r="U510841" s="25"/>
    </row>
    <row r="510863" spans="21:21" x14ac:dyDescent="0.3">
      <c r="U510863" s="25"/>
    </row>
    <row r="510885" spans="21:21" x14ac:dyDescent="0.3">
      <c r="U510885" s="25"/>
    </row>
    <row r="510907" spans="21:21" x14ac:dyDescent="0.3">
      <c r="U510907" s="25"/>
    </row>
    <row r="510929" spans="21:21" x14ac:dyDescent="0.3">
      <c r="U510929" s="25"/>
    </row>
    <row r="510951" spans="21:21" x14ac:dyDescent="0.3">
      <c r="U510951" s="25"/>
    </row>
    <row r="510973" spans="21:21" x14ac:dyDescent="0.3">
      <c r="U510973" s="25"/>
    </row>
    <row r="510995" spans="21:21" x14ac:dyDescent="0.3">
      <c r="U510995" s="25"/>
    </row>
    <row r="511017" spans="21:21" x14ac:dyDescent="0.3">
      <c r="U511017" s="25"/>
    </row>
    <row r="511039" spans="21:21" x14ac:dyDescent="0.3">
      <c r="U511039" s="25"/>
    </row>
    <row r="511061" spans="21:21" x14ac:dyDescent="0.3">
      <c r="U511061" s="25"/>
    </row>
    <row r="511083" spans="21:21" x14ac:dyDescent="0.3">
      <c r="U511083" s="25"/>
    </row>
    <row r="511105" spans="21:21" x14ac:dyDescent="0.3">
      <c r="U511105" s="25"/>
    </row>
    <row r="511127" spans="21:21" x14ac:dyDescent="0.3">
      <c r="U511127" s="25"/>
    </row>
    <row r="511149" spans="21:21" x14ac:dyDescent="0.3">
      <c r="U511149" s="25"/>
    </row>
    <row r="511171" spans="21:21" x14ac:dyDescent="0.3">
      <c r="U511171" s="25"/>
    </row>
    <row r="511193" spans="21:21" x14ac:dyDescent="0.3">
      <c r="U511193" s="25"/>
    </row>
    <row r="511215" spans="21:21" x14ac:dyDescent="0.3">
      <c r="U511215" s="25"/>
    </row>
    <row r="511237" spans="21:21" x14ac:dyDescent="0.3">
      <c r="U511237" s="25"/>
    </row>
    <row r="511259" spans="21:21" x14ac:dyDescent="0.3">
      <c r="U511259" s="25"/>
    </row>
    <row r="511281" spans="21:21" x14ac:dyDescent="0.3">
      <c r="U511281" s="25"/>
    </row>
    <row r="511303" spans="21:21" x14ac:dyDescent="0.3">
      <c r="U511303" s="25"/>
    </row>
    <row r="511325" spans="21:21" x14ac:dyDescent="0.3">
      <c r="U511325" s="25"/>
    </row>
    <row r="511347" spans="21:21" x14ac:dyDescent="0.3">
      <c r="U511347" s="25"/>
    </row>
    <row r="511369" spans="21:21" x14ac:dyDescent="0.3">
      <c r="U511369" s="25"/>
    </row>
    <row r="511391" spans="21:21" x14ac:dyDescent="0.3">
      <c r="U511391" s="25"/>
    </row>
    <row r="511413" spans="21:21" x14ac:dyDescent="0.3">
      <c r="U511413" s="25"/>
    </row>
    <row r="511435" spans="21:21" x14ac:dyDescent="0.3">
      <c r="U511435" s="25"/>
    </row>
    <row r="511457" spans="21:21" x14ac:dyDescent="0.3">
      <c r="U511457" s="25"/>
    </row>
    <row r="511479" spans="21:21" x14ac:dyDescent="0.3">
      <c r="U511479" s="25"/>
    </row>
    <row r="511501" spans="21:21" x14ac:dyDescent="0.3">
      <c r="U511501" s="25"/>
    </row>
    <row r="511523" spans="21:21" x14ac:dyDescent="0.3">
      <c r="U511523" s="25"/>
    </row>
    <row r="511545" spans="21:21" x14ac:dyDescent="0.3">
      <c r="U511545" s="25"/>
    </row>
    <row r="511567" spans="21:21" x14ac:dyDescent="0.3">
      <c r="U511567" s="25"/>
    </row>
    <row r="511589" spans="21:21" x14ac:dyDescent="0.3">
      <c r="U511589" s="25"/>
    </row>
    <row r="511611" spans="21:21" x14ac:dyDescent="0.3">
      <c r="U511611" s="25"/>
    </row>
    <row r="511633" spans="21:21" x14ac:dyDescent="0.3">
      <c r="U511633" s="25"/>
    </row>
    <row r="511655" spans="21:21" x14ac:dyDescent="0.3">
      <c r="U511655" s="25"/>
    </row>
    <row r="511677" spans="21:21" x14ac:dyDescent="0.3">
      <c r="U511677" s="25"/>
    </row>
    <row r="511699" spans="21:21" x14ac:dyDescent="0.3">
      <c r="U511699" s="25"/>
    </row>
    <row r="511721" spans="21:21" x14ac:dyDescent="0.3">
      <c r="U511721" s="25"/>
    </row>
    <row r="511743" spans="21:21" x14ac:dyDescent="0.3">
      <c r="U511743" s="25"/>
    </row>
    <row r="511765" spans="21:21" x14ac:dyDescent="0.3">
      <c r="U511765" s="25"/>
    </row>
    <row r="511787" spans="21:21" x14ac:dyDescent="0.3">
      <c r="U511787" s="25"/>
    </row>
    <row r="511809" spans="21:21" x14ac:dyDescent="0.3">
      <c r="U511809" s="25"/>
    </row>
    <row r="511831" spans="21:21" x14ac:dyDescent="0.3">
      <c r="U511831" s="25"/>
    </row>
    <row r="511853" spans="21:21" x14ac:dyDescent="0.3">
      <c r="U511853" s="25"/>
    </row>
    <row r="511875" spans="21:21" x14ac:dyDescent="0.3">
      <c r="U511875" s="25"/>
    </row>
    <row r="511897" spans="21:21" x14ac:dyDescent="0.3">
      <c r="U511897" s="25"/>
    </row>
    <row r="511919" spans="21:21" x14ac:dyDescent="0.3">
      <c r="U511919" s="25"/>
    </row>
    <row r="511941" spans="21:21" x14ac:dyDescent="0.3">
      <c r="U511941" s="25"/>
    </row>
    <row r="511963" spans="21:21" x14ac:dyDescent="0.3">
      <c r="U511963" s="25"/>
    </row>
    <row r="511985" spans="21:21" x14ac:dyDescent="0.3">
      <c r="U511985" s="25"/>
    </row>
    <row r="512007" spans="21:21" x14ac:dyDescent="0.3">
      <c r="U512007" s="25"/>
    </row>
    <row r="512029" spans="21:21" x14ac:dyDescent="0.3">
      <c r="U512029" s="25"/>
    </row>
    <row r="512051" spans="21:21" x14ac:dyDescent="0.3">
      <c r="U512051" s="25"/>
    </row>
    <row r="512073" spans="21:21" x14ac:dyDescent="0.3">
      <c r="U512073" s="25"/>
    </row>
    <row r="512095" spans="21:21" x14ac:dyDescent="0.3">
      <c r="U512095" s="25"/>
    </row>
    <row r="512117" spans="21:21" x14ac:dyDescent="0.3">
      <c r="U512117" s="25"/>
    </row>
    <row r="512139" spans="21:21" x14ac:dyDescent="0.3">
      <c r="U512139" s="25"/>
    </row>
    <row r="512161" spans="21:21" x14ac:dyDescent="0.3">
      <c r="U512161" s="25"/>
    </row>
    <row r="512183" spans="21:21" x14ac:dyDescent="0.3">
      <c r="U512183" s="25"/>
    </row>
    <row r="512205" spans="21:21" x14ac:dyDescent="0.3">
      <c r="U512205" s="25"/>
    </row>
    <row r="512227" spans="21:21" x14ac:dyDescent="0.3">
      <c r="U512227" s="25"/>
    </row>
    <row r="512249" spans="21:21" x14ac:dyDescent="0.3">
      <c r="U512249" s="25"/>
    </row>
    <row r="512271" spans="21:21" x14ac:dyDescent="0.3">
      <c r="U512271" s="25"/>
    </row>
    <row r="512293" spans="21:21" x14ac:dyDescent="0.3">
      <c r="U512293" s="25"/>
    </row>
    <row r="512315" spans="21:21" x14ac:dyDescent="0.3">
      <c r="U512315" s="25"/>
    </row>
    <row r="512337" spans="21:21" x14ac:dyDescent="0.3">
      <c r="U512337" s="25"/>
    </row>
    <row r="512359" spans="21:21" x14ac:dyDescent="0.3">
      <c r="U512359" s="25"/>
    </row>
    <row r="512381" spans="21:21" x14ac:dyDescent="0.3">
      <c r="U512381" s="25"/>
    </row>
    <row r="512403" spans="21:21" x14ac:dyDescent="0.3">
      <c r="U512403" s="25"/>
    </row>
    <row r="512425" spans="21:21" x14ac:dyDescent="0.3">
      <c r="U512425" s="25"/>
    </row>
    <row r="512447" spans="21:21" x14ac:dyDescent="0.3">
      <c r="U512447" s="25"/>
    </row>
    <row r="512469" spans="21:21" x14ac:dyDescent="0.3">
      <c r="U512469" s="25"/>
    </row>
    <row r="512491" spans="21:21" x14ac:dyDescent="0.3">
      <c r="U512491" s="25"/>
    </row>
    <row r="512513" spans="21:21" x14ac:dyDescent="0.3">
      <c r="U512513" s="25"/>
    </row>
    <row r="512535" spans="21:21" x14ac:dyDescent="0.3">
      <c r="U512535" s="25"/>
    </row>
    <row r="512557" spans="21:21" x14ac:dyDescent="0.3">
      <c r="U512557" s="25"/>
    </row>
    <row r="512579" spans="21:21" x14ac:dyDescent="0.3">
      <c r="U512579" s="25"/>
    </row>
    <row r="512601" spans="21:21" x14ac:dyDescent="0.3">
      <c r="U512601" s="25"/>
    </row>
    <row r="512623" spans="21:21" x14ac:dyDescent="0.3">
      <c r="U512623" s="25"/>
    </row>
    <row r="512645" spans="21:21" x14ac:dyDescent="0.3">
      <c r="U512645" s="25"/>
    </row>
    <row r="512667" spans="21:21" x14ac:dyDescent="0.3">
      <c r="U512667" s="25"/>
    </row>
    <row r="512689" spans="21:21" x14ac:dyDescent="0.3">
      <c r="U512689" s="25"/>
    </row>
    <row r="512711" spans="21:21" x14ac:dyDescent="0.3">
      <c r="U512711" s="25"/>
    </row>
    <row r="512733" spans="21:21" x14ac:dyDescent="0.3">
      <c r="U512733" s="25"/>
    </row>
    <row r="512755" spans="21:21" x14ac:dyDescent="0.3">
      <c r="U512755" s="25"/>
    </row>
    <row r="512777" spans="21:21" x14ac:dyDescent="0.3">
      <c r="U512777" s="25"/>
    </row>
    <row r="512799" spans="21:21" x14ac:dyDescent="0.3">
      <c r="U512799" s="25"/>
    </row>
    <row r="512821" spans="21:21" x14ac:dyDescent="0.3">
      <c r="U512821" s="25"/>
    </row>
    <row r="512843" spans="21:21" x14ac:dyDescent="0.3">
      <c r="U512843" s="25"/>
    </row>
    <row r="512865" spans="21:21" x14ac:dyDescent="0.3">
      <c r="U512865" s="25"/>
    </row>
    <row r="512887" spans="21:21" x14ac:dyDescent="0.3">
      <c r="U512887" s="25"/>
    </row>
    <row r="512909" spans="21:21" x14ac:dyDescent="0.3">
      <c r="U512909" s="25"/>
    </row>
    <row r="512931" spans="21:21" x14ac:dyDescent="0.3">
      <c r="U512931" s="25"/>
    </row>
    <row r="512953" spans="21:21" x14ac:dyDescent="0.3">
      <c r="U512953" s="25"/>
    </row>
    <row r="512975" spans="21:21" x14ac:dyDescent="0.3">
      <c r="U512975" s="25"/>
    </row>
    <row r="512997" spans="21:21" x14ac:dyDescent="0.3">
      <c r="U512997" s="25"/>
    </row>
    <row r="513019" spans="21:21" x14ac:dyDescent="0.3">
      <c r="U513019" s="25"/>
    </row>
    <row r="513041" spans="21:21" x14ac:dyDescent="0.3">
      <c r="U513041" s="25"/>
    </row>
    <row r="513063" spans="21:21" x14ac:dyDescent="0.3">
      <c r="U513063" s="25"/>
    </row>
    <row r="513085" spans="21:21" x14ac:dyDescent="0.3">
      <c r="U513085" s="25"/>
    </row>
    <row r="513107" spans="21:21" x14ac:dyDescent="0.3">
      <c r="U513107" s="25"/>
    </row>
    <row r="513129" spans="21:21" x14ac:dyDescent="0.3">
      <c r="U513129" s="25"/>
    </row>
    <row r="513151" spans="21:21" x14ac:dyDescent="0.3">
      <c r="U513151" s="25"/>
    </row>
    <row r="513173" spans="21:21" x14ac:dyDescent="0.3">
      <c r="U513173" s="25"/>
    </row>
    <row r="513195" spans="21:21" x14ac:dyDescent="0.3">
      <c r="U513195" s="25"/>
    </row>
    <row r="513217" spans="21:21" x14ac:dyDescent="0.3">
      <c r="U513217" s="25"/>
    </row>
    <row r="513239" spans="21:21" x14ac:dyDescent="0.3">
      <c r="U513239" s="25"/>
    </row>
    <row r="513261" spans="21:21" x14ac:dyDescent="0.3">
      <c r="U513261" s="25"/>
    </row>
    <row r="513283" spans="21:21" x14ac:dyDescent="0.3">
      <c r="U513283" s="25"/>
    </row>
    <row r="513305" spans="21:21" x14ac:dyDescent="0.3">
      <c r="U513305" s="25"/>
    </row>
    <row r="513327" spans="21:21" x14ac:dyDescent="0.3">
      <c r="U513327" s="25"/>
    </row>
    <row r="513349" spans="21:21" x14ac:dyDescent="0.3">
      <c r="U513349" s="25"/>
    </row>
    <row r="513371" spans="21:21" x14ac:dyDescent="0.3">
      <c r="U513371" s="25"/>
    </row>
    <row r="513393" spans="21:21" x14ac:dyDescent="0.3">
      <c r="U513393" s="25"/>
    </row>
    <row r="513415" spans="21:21" x14ac:dyDescent="0.3">
      <c r="U513415" s="25"/>
    </row>
    <row r="513437" spans="21:21" x14ac:dyDescent="0.3">
      <c r="U513437" s="25"/>
    </row>
    <row r="513459" spans="21:21" x14ac:dyDescent="0.3">
      <c r="U513459" s="25"/>
    </row>
    <row r="513481" spans="21:21" x14ac:dyDescent="0.3">
      <c r="U513481" s="25"/>
    </row>
    <row r="513503" spans="21:21" x14ac:dyDescent="0.3">
      <c r="U513503" s="25"/>
    </row>
    <row r="513525" spans="21:21" x14ac:dyDescent="0.3">
      <c r="U513525" s="25"/>
    </row>
    <row r="513547" spans="21:21" x14ac:dyDescent="0.3">
      <c r="U513547" s="25"/>
    </row>
    <row r="513569" spans="21:21" x14ac:dyDescent="0.3">
      <c r="U513569" s="25"/>
    </row>
    <row r="513591" spans="21:21" x14ac:dyDescent="0.3">
      <c r="U513591" s="25"/>
    </row>
    <row r="513613" spans="21:21" x14ac:dyDescent="0.3">
      <c r="U513613" s="25"/>
    </row>
    <row r="513635" spans="21:21" x14ac:dyDescent="0.3">
      <c r="U513635" s="25"/>
    </row>
    <row r="513657" spans="21:21" x14ac:dyDescent="0.3">
      <c r="U513657" s="25"/>
    </row>
    <row r="513679" spans="21:21" x14ac:dyDescent="0.3">
      <c r="U513679" s="25"/>
    </row>
    <row r="513701" spans="21:21" x14ac:dyDescent="0.3">
      <c r="U513701" s="25"/>
    </row>
    <row r="513723" spans="21:21" x14ac:dyDescent="0.3">
      <c r="U513723" s="25"/>
    </row>
    <row r="513745" spans="21:21" x14ac:dyDescent="0.3">
      <c r="U513745" s="25"/>
    </row>
    <row r="513767" spans="21:21" x14ac:dyDescent="0.3">
      <c r="U513767" s="25"/>
    </row>
    <row r="513789" spans="21:21" x14ac:dyDescent="0.3">
      <c r="U513789" s="25"/>
    </row>
    <row r="513811" spans="21:21" x14ac:dyDescent="0.3">
      <c r="U513811" s="25"/>
    </row>
    <row r="513833" spans="21:21" x14ac:dyDescent="0.3">
      <c r="U513833" s="25"/>
    </row>
    <row r="513855" spans="21:21" x14ac:dyDescent="0.3">
      <c r="U513855" s="25"/>
    </row>
    <row r="513877" spans="21:21" x14ac:dyDescent="0.3">
      <c r="U513877" s="25"/>
    </row>
    <row r="513899" spans="21:21" x14ac:dyDescent="0.3">
      <c r="U513899" s="25"/>
    </row>
    <row r="513921" spans="21:21" x14ac:dyDescent="0.3">
      <c r="U513921" s="25"/>
    </row>
    <row r="513943" spans="21:21" x14ac:dyDescent="0.3">
      <c r="U513943" s="25"/>
    </row>
    <row r="513965" spans="21:21" x14ac:dyDescent="0.3">
      <c r="U513965" s="25"/>
    </row>
    <row r="513987" spans="21:21" x14ac:dyDescent="0.3">
      <c r="U513987" s="25"/>
    </row>
    <row r="514009" spans="21:21" x14ac:dyDescent="0.3">
      <c r="U514009" s="25"/>
    </row>
    <row r="514031" spans="21:21" x14ac:dyDescent="0.3">
      <c r="U514031" s="25"/>
    </row>
    <row r="514053" spans="21:21" x14ac:dyDescent="0.3">
      <c r="U514053" s="25"/>
    </row>
    <row r="514075" spans="21:21" x14ac:dyDescent="0.3">
      <c r="U514075" s="25"/>
    </row>
    <row r="514097" spans="21:21" x14ac:dyDescent="0.3">
      <c r="U514097" s="25"/>
    </row>
    <row r="514119" spans="21:21" x14ac:dyDescent="0.3">
      <c r="U514119" s="25"/>
    </row>
    <row r="514141" spans="21:21" x14ac:dyDescent="0.3">
      <c r="U514141" s="25"/>
    </row>
    <row r="514163" spans="21:21" x14ac:dyDescent="0.3">
      <c r="U514163" s="25"/>
    </row>
    <row r="514185" spans="21:21" x14ac:dyDescent="0.3">
      <c r="U514185" s="25"/>
    </row>
    <row r="514207" spans="21:21" x14ac:dyDescent="0.3">
      <c r="U514207" s="25"/>
    </row>
    <row r="514229" spans="21:21" x14ac:dyDescent="0.3">
      <c r="U514229" s="25"/>
    </row>
    <row r="514251" spans="21:21" x14ac:dyDescent="0.3">
      <c r="U514251" s="25"/>
    </row>
    <row r="514273" spans="21:21" x14ac:dyDescent="0.3">
      <c r="U514273" s="25"/>
    </row>
    <row r="514295" spans="21:21" x14ac:dyDescent="0.3">
      <c r="U514295" s="25"/>
    </row>
    <row r="514317" spans="21:21" x14ac:dyDescent="0.3">
      <c r="U514317" s="25"/>
    </row>
    <row r="514339" spans="21:21" x14ac:dyDescent="0.3">
      <c r="U514339" s="25"/>
    </row>
    <row r="514361" spans="21:21" x14ac:dyDescent="0.3">
      <c r="U514361" s="25"/>
    </row>
    <row r="514383" spans="21:21" x14ac:dyDescent="0.3">
      <c r="U514383" s="25"/>
    </row>
    <row r="514405" spans="21:21" x14ac:dyDescent="0.3">
      <c r="U514405" s="25"/>
    </row>
    <row r="514427" spans="21:21" x14ac:dyDescent="0.3">
      <c r="U514427" s="25"/>
    </row>
    <row r="514449" spans="21:21" x14ac:dyDescent="0.3">
      <c r="U514449" s="25"/>
    </row>
    <row r="514471" spans="21:21" x14ac:dyDescent="0.3">
      <c r="U514471" s="25"/>
    </row>
    <row r="514493" spans="21:21" x14ac:dyDescent="0.3">
      <c r="U514493" s="25"/>
    </row>
    <row r="514515" spans="21:21" x14ac:dyDescent="0.3">
      <c r="U514515" s="25"/>
    </row>
    <row r="514537" spans="21:21" x14ac:dyDescent="0.3">
      <c r="U514537" s="25"/>
    </row>
    <row r="514559" spans="21:21" x14ac:dyDescent="0.3">
      <c r="U514559" s="25"/>
    </row>
    <row r="514581" spans="21:21" x14ac:dyDescent="0.3">
      <c r="U514581" s="25"/>
    </row>
    <row r="514603" spans="21:21" x14ac:dyDescent="0.3">
      <c r="U514603" s="25"/>
    </row>
    <row r="514625" spans="21:21" x14ac:dyDescent="0.3">
      <c r="U514625" s="25"/>
    </row>
    <row r="514647" spans="21:21" x14ac:dyDescent="0.3">
      <c r="U514647" s="25"/>
    </row>
    <row r="514669" spans="21:21" x14ac:dyDescent="0.3">
      <c r="U514669" s="25"/>
    </row>
    <row r="514691" spans="21:21" x14ac:dyDescent="0.3">
      <c r="U514691" s="25"/>
    </row>
    <row r="514713" spans="21:21" x14ac:dyDescent="0.3">
      <c r="U514713" s="25"/>
    </row>
    <row r="514735" spans="21:21" x14ac:dyDescent="0.3">
      <c r="U514735" s="25"/>
    </row>
    <row r="514757" spans="21:21" x14ac:dyDescent="0.3">
      <c r="U514757" s="25"/>
    </row>
    <row r="514779" spans="21:21" x14ac:dyDescent="0.3">
      <c r="U514779" s="25"/>
    </row>
    <row r="514801" spans="21:21" x14ac:dyDescent="0.3">
      <c r="U514801" s="25"/>
    </row>
    <row r="514823" spans="21:21" x14ac:dyDescent="0.3">
      <c r="U514823" s="25"/>
    </row>
    <row r="514845" spans="21:21" x14ac:dyDescent="0.3">
      <c r="U514845" s="25"/>
    </row>
    <row r="514867" spans="21:21" x14ac:dyDescent="0.3">
      <c r="U514867" s="25"/>
    </row>
    <row r="514889" spans="21:21" x14ac:dyDescent="0.3">
      <c r="U514889" s="25"/>
    </row>
    <row r="514911" spans="21:21" x14ac:dyDescent="0.3">
      <c r="U514911" s="25"/>
    </row>
    <row r="514933" spans="21:21" x14ac:dyDescent="0.3">
      <c r="U514933" s="25"/>
    </row>
    <row r="514955" spans="21:21" x14ac:dyDescent="0.3">
      <c r="U514955" s="25"/>
    </row>
    <row r="514977" spans="21:21" x14ac:dyDescent="0.3">
      <c r="U514977" s="25"/>
    </row>
    <row r="514999" spans="21:21" x14ac:dyDescent="0.3">
      <c r="U514999" s="25"/>
    </row>
    <row r="515021" spans="21:21" x14ac:dyDescent="0.3">
      <c r="U515021" s="25"/>
    </row>
    <row r="515043" spans="21:21" x14ac:dyDescent="0.3">
      <c r="U515043" s="25"/>
    </row>
    <row r="515065" spans="21:21" x14ac:dyDescent="0.3">
      <c r="U515065" s="25"/>
    </row>
    <row r="515087" spans="21:21" x14ac:dyDescent="0.3">
      <c r="U515087" s="25"/>
    </row>
    <row r="515109" spans="21:21" x14ac:dyDescent="0.3">
      <c r="U515109" s="25"/>
    </row>
    <row r="515131" spans="21:21" x14ac:dyDescent="0.3">
      <c r="U515131" s="25"/>
    </row>
    <row r="515153" spans="21:21" x14ac:dyDescent="0.3">
      <c r="U515153" s="25"/>
    </row>
    <row r="515175" spans="21:21" x14ac:dyDescent="0.3">
      <c r="U515175" s="25"/>
    </row>
    <row r="515197" spans="21:21" x14ac:dyDescent="0.3">
      <c r="U515197" s="25"/>
    </row>
    <row r="515219" spans="21:21" x14ac:dyDescent="0.3">
      <c r="U515219" s="25"/>
    </row>
    <row r="515241" spans="21:21" x14ac:dyDescent="0.3">
      <c r="U515241" s="25"/>
    </row>
    <row r="515263" spans="21:21" x14ac:dyDescent="0.3">
      <c r="U515263" s="25"/>
    </row>
    <row r="515285" spans="21:21" x14ac:dyDescent="0.3">
      <c r="U515285" s="25"/>
    </row>
    <row r="515307" spans="21:21" x14ac:dyDescent="0.3">
      <c r="U515307" s="25"/>
    </row>
    <row r="515329" spans="21:21" x14ac:dyDescent="0.3">
      <c r="U515329" s="25"/>
    </row>
    <row r="515351" spans="21:21" x14ac:dyDescent="0.3">
      <c r="U515351" s="25"/>
    </row>
    <row r="515373" spans="21:21" x14ac:dyDescent="0.3">
      <c r="U515373" s="25"/>
    </row>
    <row r="515395" spans="21:21" x14ac:dyDescent="0.3">
      <c r="U515395" s="25"/>
    </row>
    <row r="515417" spans="21:21" x14ac:dyDescent="0.3">
      <c r="U515417" s="25"/>
    </row>
    <row r="515439" spans="21:21" x14ac:dyDescent="0.3">
      <c r="U515439" s="25"/>
    </row>
    <row r="515461" spans="21:21" x14ac:dyDescent="0.3">
      <c r="U515461" s="25"/>
    </row>
    <row r="515483" spans="21:21" x14ac:dyDescent="0.3">
      <c r="U515483" s="25"/>
    </row>
    <row r="515505" spans="21:21" x14ac:dyDescent="0.3">
      <c r="U515505" s="25"/>
    </row>
    <row r="515527" spans="21:21" x14ac:dyDescent="0.3">
      <c r="U515527" s="25"/>
    </row>
    <row r="515549" spans="21:21" x14ac:dyDescent="0.3">
      <c r="U515549" s="25"/>
    </row>
    <row r="515571" spans="21:21" x14ac:dyDescent="0.3">
      <c r="U515571" s="25"/>
    </row>
    <row r="515593" spans="21:21" x14ac:dyDescent="0.3">
      <c r="U515593" s="25"/>
    </row>
    <row r="515615" spans="21:21" x14ac:dyDescent="0.3">
      <c r="U515615" s="25"/>
    </row>
    <row r="515637" spans="21:21" x14ac:dyDescent="0.3">
      <c r="U515637" s="25"/>
    </row>
    <row r="515659" spans="21:21" x14ac:dyDescent="0.3">
      <c r="U515659" s="25"/>
    </row>
    <row r="515681" spans="21:21" x14ac:dyDescent="0.3">
      <c r="U515681" s="25"/>
    </row>
    <row r="515703" spans="21:21" x14ac:dyDescent="0.3">
      <c r="U515703" s="25"/>
    </row>
    <row r="515725" spans="21:21" x14ac:dyDescent="0.3">
      <c r="U515725" s="25"/>
    </row>
    <row r="515747" spans="21:21" x14ac:dyDescent="0.3">
      <c r="U515747" s="25"/>
    </row>
    <row r="515769" spans="21:21" x14ac:dyDescent="0.3">
      <c r="U515769" s="25"/>
    </row>
    <row r="515791" spans="21:21" x14ac:dyDescent="0.3">
      <c r="U515791" s="25"/>
    </row>
    <row r="515813" spans="21:21" x14ac:dyDescent="0.3">
      <c r="U515813" s="25"/>
    </row>
    <row r="515835" spans="21:21" x14ac:dyDescent="0.3">
      <c r="U515835" s="25"/>
    </row>
    <row r="515857" spans="21:21" x14ac:dyDescent="0.3">
      <c r="U515857" s="25"/>
    </row>
    <row r="515879" spans="21:21" x14ac:dyDescent="0.3">
      <c r="U515879" s="25"/>
    </row>
    <row r="515901" spans="21:21" x14ac:dyDescent="0.3">
      <c r="U515901" s="25"/>
    </row>
    <row r="515923" spans="21:21" x14ac:dyDescent="0.3">
      <c r="U515923" s="25"/>
    </row>
    <row r="515945" spans="21:21" x14ac:dyDescent="0.3">
      <c r="U515945" s="25"/>
    </row>
    <row r="515967" spans="21:21" x14ac:dyDescent="0.3">
      <c r="U515967" s="25"/>
    </row>
    <row r="515989" spans="21:21" x14ac:dyDescent="0.3">
      <c r="U515989" s="25"/>
    </row>
    <row r="516011" spans="21:21" x14ac:dyDescent="0.3">
      <c r="U516011" s="25"/>
    </row>
    <row r="516033" spans="21:21" x14ac:dyDescent="0.3">
      <c r="U516033" s="25"/>
    </row>
    <row r="516055" spans="21:21" x14ac:dyDescent="0.3">
      <c r="U516055" s="25"/>
    </row>
    <row r="516077" spans="21:21" x14ac:dyDescent="0.3">
      <c r="U516077" s="25"/>
    </row>
    <row r="516099" spans="21:21" x14ac:dyDescent="0.3">
      <c r="U516099" s="25"/>
    </row>
    <row r="516121" spans="21:21" x14ac:dyDescent="0.3">
      <c r="U516121" s="25"/>
    </row>
    <row r="516143" spans="21:21" x14ac:dyDescent="0.3">
      <c r="U516143" s="25"/>
    </row>
    <row r="516165" spans="21:21" x14ac:dyDescent="0.3">
      <c r="U516165" s="25"/>
    </row>
    <row r="516187" spans="21:21" x14ac:dyDescent="0.3">
      <c r="U516187" s="25"/>
    </row>
    <row r="516209" spans="21:21" x14ac:dyDescent="0.3">
      <c r="U516209" s="25"/>
    </row>
    <row r="516231" spans="21:21" x14ac:dyDescent="0.3">
      <c r="U516231" s="25"/>
    </row>
    <row r="516253" spans="21:21" x14ac:dyDescent="0.3">
      <c r="U516253" s="25"/>
    </row>
    <row r="516275" spans="21:21" x14ac:dyDescent="0.3">
      <c r="U516275" s="25"/>
    </row>
    <row r="516297" spans="21:21" x14ac:dyDescent="0.3">
      <c r="U516297" s="25"/>
    </row>
    <row r="516319" spans="21:21" x14ac:dyDescent="0.3">
      <c r="U516319" s="25"/>
    </row>
    <row r="516341" spans="21:21" x14ac:dyDescent="0.3">
      <c r="U516341" s="25"/>
    </row>
    <row r="516363" spans="21:21" x14ac:dyDescent="0.3">
      <c r="U516363" s="25"/>
    </row>
    <row r="516385" spans="21:21" x14ac:dyDescent="0.3">
      <c r="U516385" s="25"/>
    </row>
    <row r="516407" spans="21:21" x14ac:dyDescent="0.3">
      <c r="U516407" s="25"/>
    </row>
    <row r="516429" spans="21:21" x14ac:dyDescent="0.3">
      <c r="U516429" s="25"/>
    </row>
    <row r="516451" spans="21:21" x14ac:dyDescent="0.3">
      <c r="U516451" s="25"/>
    </row>
    <row r="516473" spans="21:21" x14ac:dyDescent="0.3">
      <c r="U516473" s="25"/>
    </row>
    <row r="516495" spans="21:21" x14ac:dyDescent="0.3">
      <c r="U516495" s="25"/>
    </row>
    <row r="516517" spans="21:21" x14ac:dyDescent="0.3">
      <c r="U516517" s="25"/>
    </row>
    <row r="516539" spans="21:21" x14ac:dyDescent="0.3">
      <c r="U516539" s="25"/>
    </row>
    <row r="516561" spans="21:21" x14ac:dyDescent="0.3">
      <c r="U516561" s="25"/>
    </row>
    <row r="516583" spans="21:21" x14ac:dyDescent="0.3">
      <c r="U516583" s="25"/>
    </row>
    <row r="516605" spans="21:21" x14ac:dyDescent="0.3">
      <c r="U516605" s="25"/>
    </row>
    <row r="516627" spans="21:21" x14ac:dyDescent="0.3">
      <c r="U516627" s="25"/>
    </row>
    <row r="516649" spans="21:21" x14ac:dyDescent="0.3">
      <c r="U516649" s="25"/>
    </row>
    <row r="516671" spans="21:21" x14ac:dyDescent="0.3">
      <c r="U516671" s="25"/>
    </row>
    <row r="516693" spans="21:21" x14ac:dyDescent="0.3">
      <c r="U516693" s="25"/>
    </row>
    <row r="516715" spans="21:21" x14ac:dyDescent="0.3">
      <c r="U516715" s="25"/>
    </row>
    <row r="516737" spans="21:21" x14ac:dyDescent="0.3">
      <c r="U516737" s="25"/>
    </row>
    <row r="516759" spans="21:21" x14ac:dyDescent="0.3">
      <c r="U516759" s="25"/>
    </row>
    <row r="516781" spans="21:21" x14ac:dyDescent="0.3">
      <c r="U516781" s="25"/>
    </row>
    <row r="516803" spans="21:21" x14ac:dyDescent="0.3">
      <c r="U516803" s="25"/>
    </row>
    <row r="516825" spans="21:21" x14ac:dyDescent="0.3">
      <c r="U516825" s="25"/>
    </row>
    <row r="516847" spans="21:21" x14ac:dyDescent="0.3">
      <c r="U516847" s="25"/>
    </row>
    <row r="516869" spans="21:21" x14ac:dyDescent="0.3">
      <c r="U516869" s="25"/>
    </row>
    <row r="516891" spans="21:21" x14ac:dyDescent="0.3">
      <c r="U516891" s="25"/>
    </row>
    <row r="516913" spans="21:21" x14ac:dyDescent="0.3">
      <c r="U516913" s="25"/>
    </row>
    <row r="516935" spans="21:21" x14ac:dyDescent="0.3">
      <c r="U516935" s="25"/>
    </row>
    <row r="516957" spans="21:21" x14ac:dyDescent="0.3">
      <c r="U516957" s="25"/>
    </row>
    <row r="516979" spans="21:21" x14ac:dyDescent="0.3">
      <c r="U516979" s="25"/>
    </row>
    <row r="517001" spans="21:21" x14ac:dyDescent="0.3">
      <c r="U517001" s="25"/>
    </row>
    <row r="517023" spans="21:21" x14ac:dyDescent="0.3">
      <c r="U517023" s="25"/>
    </row>
    <row r="517045" spans="21:21" x14ac:dyDescent="0.3">
      <c r="U517045" s="25"/>
    </row>
    <row r="517067" spans="21:21" x14ac:dyDescent="0.3">
      <c r="U517067" s="25"/>
    </row>
    <row r="517089" spans="21:21" x14ac:dyDescent="0.3">
      <c r="U517089" s="25"/>
    </row>
    <row r="517111" spans="21:21" x14ac:dyDescent="0.3">
      <c r="U517111" s="25"/>
    </row>
    <row r="517133" spans="21:21" x14ac:dyDescent="0.3">
      <c r="U517133" s="25"/>
    </row>
    <row r="517155" spans="21:21" x14ac:dyDescent="0.3">
      <c r="U517155" s="25"/>
    </row>
    <row r="517177" spans="21:21" x14ac:dyDescent="0.3">
      <c r="U517177" s="25"/>
    </row>
    <row r="517199" spans="21:21" x14ac:dyDescent="0.3">
      <c r="U517199" s="25"/>
    </row>
    <row r="517221" spans="21:21" x14ac:dyDescent="0.3">
      <c r="U517221" s="25"/>
    </row>
    <row r="517243" spans="21:21" x14ac:dyDescent="0.3">
      <c r="U517243" s="25"/>
    </row>
    <row r="517265" spans="21:21" x14ac:dyDescent="0.3">
      <c r="U517265" s="25"/>
    </row>
    <row r="517287" spans="21:21" x14ac:dyDescent="0.3">
      <c r="U517287" s="25"/>
    </row>
    <row r="517309" spans="21:21" x14ac:dyDescent="0.3">
      <c r="U517309" s="25"/>
    </row>
    <row r="517331" spans="21:21" x14ac:dyDescent="0.3">
      <c r="U517331" s="25"/>
    </row>
    <row r="517353" spans="21:21" x14ac:dyDescent="0.3">
      <c r="U517353" s="25"/>
    </row>
    <row r="517375" spans="21:21" x14ac:dyDescent="0.3">
      <c r="U517375" s="25"/>
    </row>
    <row r="517397" spans="21:21" x14ac:dyDescent="0.3">
      <c r="U517397" s="25"/>
    </row>
    <row r="517419" spans="21:21" x14ac:dyDescent="0.3">
      <c r="U517419" s="25"/>
    </row>
    <row r="517441" spans="21:21" x14ac:dyDescent="0.3">
      <c r="U517441" s="25"/>
    </row>
    <row r="517463" spans="21:21" x14ac:dyDescent="0.3">
      <c r="U517463" s="25"/>
    </row>
    <row r="517485" spans="21:21" x14ac:dyDescent="0.3">
      <c r="U517485" s="25"/>
    </row>
    <row r="517507" spans="21:21" x14ac:dyDescent="0.3">
      <c r="U517507" s="25"/>
    </row>
    <row r="517529" spans="21:21" x14ac:dyDescent="0.3">
      <c r="U517529" s="25"/>
    </row>
    <row r="517551" spans="21:21" x14ac:dyDescent="0.3">
      <c r="U517551" s="25"/>
    </row>
    <row r="517573" spans="21:21" x14ac:dyDescent="0.3">
      <c r="U517573" s="25"/>
    </row>
    <row r="517595" spans="21:21" x14ac:dyDescent="0.3">
      <c r="U517595" s="25"/>
    </row>
    <row r="517617" spans="21:21" x14ac:dyDescent="0.3">
      <c r="U517617" s="25"/>
    </row>
    <row r="517639" spans="21:21" x14ac:dyDescent="0.3">
      <c r="U517639" s="25"/>
    </row>
    <row r="517661" spans="21:21" x14ac:dyDescent="0.3">
      <c r="U517661" s="25"/>
    </row>
    <row r="517683" spans="21:21" x14ac:dyDescent="0.3">
      <c r="U517683" s="25"/>
    </row>
    <row r="517705" spans="21:21" x14ac:dyDescent="0.3">
      <c r="U517705" s="25"/>
    </row>
    <row r="517727" spans="21:21" x14ac:dyDescent="0.3">
      <c r="U517727" s="25"/>
    </row>
    <row r="517749" spans="21:21" x14ac:dyDescent="0.3">
      <c r="U517749" s="25"/>
    </row>
    <row r="517771" spans="21:21" x14ac:dyDescent="0.3">
      <c r="U517771" s="25"/>
    </row>
    <row r="517793" spans="21:21" x14ac:dyDescent="0.3">
      <c r="U517793" s="25"/>
    </row>
    <row r="517815" spans="21:21" x14ac:dyDescent="0.3">
      <c r="U517815" s="25"/>
    </row>
    <row r="517837" spans="21:21" x14ac:dyDescent="0.3">
      <c r="U517837" s="25"/>
    </row>
    <row r="517859" spans="21:21" x14ac:dyDescent="0.3">
      <c r="U517859" s="25"/>
    </row>
    <row r="517881" spans="21:21" x14ac:dyDescent="0.3">
      <c r="U517881" s="25"/>
    </row>
    <row r="517903" spans="21:21" x14ac:dyDescent="0.3">
      <c r="U517903" s="25"/>
    </row>
    <row r="517925" spans="21:21" x14ac:dyDescent="0.3">
      <c r="U517925" s="25"/>
    </row>
    <row r="517947" spans="21:21" x14ac:dyDescent="0.3">
      <c r="U517947" s="25"/>
    </row>
    <row r="517969" spans="21:21" x14ac:dyDescent="0.3">
      <c r="U517969" s="25"/>
    </row>
    <row r="517991" spans="21:21" x14ac:dyDescent="0.3">
      <c r="U517991" s="25"/>
    </row>
    <row r="518013" spans="21:21" x14ac:dyDescent="0.3">
      <c r="U518013" s="25"/>
    </row>
    <row r="518035" spans="21:21" x14ac:dyDescent="0.3">
      <c r="U518035" s="25"/>
    </row>
    <row r="518057" spans="21:21" x14ac:dyDescent="0.3">
      <c r="U518057" s="25"/>
    </row>
    <row r="518079" spans="21:21" x14ac:dyDescent="0.3">
      <c r="U518079" s="25"/>
    </row>
    <row r="518101" spans="21:21" x14ac:dyDescent="0.3">
      <c r="U518101" s="25"/>
    </row>
    <row r="518123" spans="21:21" x14ac:dyDescent="0.3">
      <c r="U518123" s="25"/>
    </row>
    <row r="518145" spans="21:21" x14ac:dyDescent="0.3">
      <c r="U518145" s="25"/>
    </row>
    <row r="518167" spans="21:21" x14ac:dyDescent="0.3">
      <c r="U518167" s="25"/>
    </row>
    <row r="518189" spans="21:21" x14ac:dyDescent="0.3">
      <c r="U518189" s="25"/>
    </row>
    <row r="518211" spans="21:21" x14ac:dyDescent="0.3">
      <c r="U518211" s="25"/>
    </row>
    <row r="518233" spans="21:21" x14ac:dyDescent="0.3">
      <c r="U518233" s="25"/>
    </row>
    <row r="518255" spans="21:21" x14ac:dyDescent="0.3">
      <c r="U518255" s="25"/>
    </row>
    <row r="518277" spans="21:21" x14ac:dyDescent="0.3">
      <c r="U518277" s="25"/>
    </row>
    <row r="518299" spans="21:21" x14ac:dyDescent="0.3">
      <c r="U518299" s="25"/>
    </row>
    <row r="518321" spans="21:21" x14ac:dyDescent="0.3">
      <c r="U518321" s="25"/>
    </row>
    <row r="518343" spans="21:21" x14ac:dyDescent="0.3">
      <c r="U518343" s="25"/>
    </row>
    <row r="518365" spans="21:21" x14ac:dyDescent="0.3">
      <c r="U518365" s="25"/>
    </row>
    <row r="518387" spans="21:21" x14ac:dyDescent="0.3">
      <c r="U518387" s="25"/>
    </row>
    <row r="518409" spans="21:21" x14ac:dyDescent="0.3">
      <c r="U518409" s="25"/>
    </row>
    <row r="518431" spans="21:21" x14ac:dyDescent="0.3">
      <c r="U518431" s="25"/>
    </row>
    <row r="518453" spans="21:21" x14ac:dyDescent="0.3">
      <c r="U518453" s="25"/>
    </row>
    <row r="518475" spans="21:21" x14ac:dyDescent="0.3">
      <c r="U518475" s="25"/>
    </row>
    <row r="518497" spans="21:21" x14ac:dyDescent="0.3">
      <c r="U518497" s="25"/>
    </row>
    <row r="518519" spans="21:21" x14ac:dyDescent="0.3">
      <c r="U518519" s="25"/>
    </row>
    <row r="518541" spans="21:21" x14ac:dyDescent="0.3">
      <c r="U518541" s="25"/>
    </row>
    <row r="518563" spans="21:21" x14ac:dyDescent="0.3">
      <c r="U518563" s="25"/>
    </row>
    <row r="518585" spans="21:21" x14ac:dyDescent="0.3">
      <c r="U518585" s="25"/>
    </row>
    <row r="518607" spans="21:21" x14ac:dyDescent="0.3">
      <c r="U518607" s="25"/>
    </row>
    <row r="518629" spans="21:21" x14ac:dyDescent="0.3">
      <c r="U518629" s="25"/>
    </row>
    <row r="518651" spans="21:21" x14ac:dyDescent="0.3">
      <c r="U518651" s="25"/>
    </row>
    <row r="518673" spans="21:21" x14ac:dyDescent="0.3">
      <c r="U518673" s="25"/>
    </row>
    <row r="518695" spans="21:21" x14ac:dyDescent="0.3">
      <c r="U518695" s="25"/>
    </row>
    <row r="518717" spans="21:21" x14ac:dyDescent="0.3">
      <c r="U518717" s="25"/>
    </row>
    <row r="518739" spans="21:21" x14ac:dyDescent="0.3">
      <c r="U518739" s="25"/>
    </row>
    <row r="518761" spans="21:21" x14ac:dyDescent="0.3">
      <c r="U518761" s="25"/>
    </row>
    <row r="518783" spans="21:21" x14ac:dyDescent="0.3">
      <c r="U518783" s="25"/>
    </row>
    <row r="518805" spans="21:21" x14ac:dyDescent="0.3">
      <c r="U518805" s="25"/>
    </row>
    <row r="518827" spans="21:21" x14ac:dyDescent="0.3">
      <c r="U518827" s="25"/>
    </row>
    <row r="518849" spans="21:21" x14ac:dyDescent="0.3">
      <c r="U518849" s="25"/>
    </row>
    <row r="518871" spans="21:21" x14ac:dyDescent="0.3">
      <c r="U518871" s="25"/>
    </row>
    <row r="518893" spans="21:21" x14ac:dyDescent="0.3">
      <c r="U518893" s="25"/>
    </row>
    <row r="518915" spans="21:21" x14ac:dyDescent="0.3">
      <c r="U518915" s="25"/>
    </row>
    <row r="518937" spans="21:21" x14ac:dyDescent="0.3">
      <c r="U518937" s="25"/>
    </row>
    <row r="518959" spans="21:21" x14ac:dyDescent="0.3">
      <c r="U518959" s="25"/>
    </row>
    <row r="518981" spans="21:21" x14ac:dyDescent="0.3">
      <c r="U518981" s="25"/>
    </row>
    <row r="519003" spans="21:21" x14ac:dyDescent="0.3">
      <c r="U519003" s="25"/>
    </row>
    <row r="519025" spans="21:21" x14ac:dyDescent="0.3">
      <c r="U519025" s="25"/>
    </row>
    <row r="519047" spans="21:21" x14ac:dyDescent="0.3">
      <c r="U519047" s="25"/>
    </row>
    <row r="519069" spans="21:21" x14ac:dyDescent="0.3">
      <c r="U519069" s="25"/>
    </row>
    <row r="519091" spans="21:21" x14ac:dyDescent="0.3">
      <c r="U519091" s="25"/>
    </row>
    <row r="519113" spans="21:21" x14ac:dyDescent="0.3">
      <c r="U519113" s="25"/>
    </row>
    <row r="519135" spans="21:21" x14ac:dyDescent="0.3">
      <c r="U519135" s="25"/>
    </row>
    <row r="519157" spans="21:21" x14ac:dyDescent="0.3">
      <c r="U519157" s="25"/>
    </row>
    <row r="519179" spans="21:21" x14ac:dyDescent="0.3">
      <c r="U519179" s="25"/>
    </row>
    <row r="519201" spans="21:21" x14ac:dyDescent="0.3">
      <c r="U519201" s="25"/>
    </row>
    <row r="519223" spans="21:21" x14ac:dyDescent="0.3">
      <c r="U519223" s="25"/>
    </row>
    <row r="519245" spans="21:21" x14ac:dyDescent="0.3">
      <c r="U519245" s="25"/>
    </row>
    <row r="519267" spans="21:21" x14ac:dyDescent="0.3">
      <c r="U519267" s="25"/>
    </row>
    <row r="519289" spans="21:21" x14ac:dyDescent="0.3">
      <c r="U519289" s="25"/>
    </row>
    <row r="519311" spans="21:21" x14ac:dyDescent="0.3">
      <c r="U519311" s="25"/>
    </row>
    <row r="519333" spans="21:21" x14ac:dyDescent="0.3">
      <c r="U519333" s="25"/>
    </row>
    <row r="519355" spans="21:21" x14ac:dyDescent="0.3">
      <c r="U519355" s="25"/>
    </row>
    <row r="519377" spans="21:21" x14ac:dyDescent="0.3">
      <c r="U519377" s="25"/>
    </row>
    <row r="519399" spans="21:21" x14ac:dyDescent="0.3">
      <c r="U519399" s="25"/>
    </row>
    <row r="519421" spans="21:21" x14ac:dyDescent="0.3">
      <c r="U519421" s="25"/>
    </row>
    <row r="519443" spans="21:21" x14ac:dyDescent="0.3">
      <c r="U519443" s="25"/>
    </row>
    <row r="519465" spans="21:21" x14ac:dyDescent="0.3">
      <c r="U519465" s="25"/>
    </row>
    <row r="519487" spans="21:21" x14ac:dyDescent="0.3">
      <c r="U519487" s="25"/>
    </row>
    <row r="519509" spans="21:21" x14ac:dyDescent="0.3">
      <c r="U519509" s="25"/>
    </row>
    <row r="519531" spans="21:21" x14ac:dyDescent="0.3">
      <c r="U519531" s="25"/>
    </row>
    <row r="519553" spans="21:21" x14ac:dyDescent="0.3">
      <c r="U519553" s="25"/>
    </row>
    <row r="519575" spans="21:21" x14ac:dyDescent="0.3">
      <c r="U519575" s="25"/>
    </row>
    <row r="519597" spans="21:21" x14ac:dyDescent="0.3">
      <c r="U519597" s="25"/>
    </row>
    <row r="519619" spans="21:21" x14ac:dyDescent="0.3">
      <c r="U519619" s="25"/>
    </row>
    <row r="519641" spans="21:21" x14ac:dyDescent="0.3">
      <c r="U519641" s="25"/>
    </row>
    <row r="519663" spans="21:21" x14ac:dyDescent="0.3">
      <c r="U519663" s="25"/>
    </row>
    <row r="519685" spans="21:21" x14ac:dyDescent="0.3">
      <c r="U519685" s="25"/>
    </row>
    <row r="519707" spans="21:21" x14ac:dyDescent="0.3">
      <c r="U519707" s="25"/>
    </row>
    <row r="519729" spans="21:21" x14ac:dyDescent="0.3">
      <c r="U519729" s="25"/>
    </row>
    <row r="519751" spans="21:21" x14ac:dyDescent="0.3">
      <c r="U519751" s="25"/>
    </row>
    <row r="519773" spans="21:21" x14ac:dyDescent="0.3">
      <c r="U519773" s="25"/>
    </row>
    <row r="519795" spans="21:21" x14ac:dyDescent="0.3">
      <c r="U519795" s="25"/>
    </row>
    <row r="519817" spans="21:21" x14ac:dyDescent="0.3">
      <c r="U519817" s="25"/>
    </row>
    <row r="519839" spans="21:21" x14ac:dyDescent="0.3">
      <c r="U519839" s="25"/>
    </row>
    <row r="519861" spans="21:21" x14ac:dyDescent="0.3">
      <c r="U519861" s="25"/>
    </row>
    <row r="519883" spans="21:21" x14ac:dyDescent="0.3">
      <c r="U519883" s="25"/>
    </row>
    <row r="519905" spans="21:21" x14ac:dyDescent="0.3">
      <c r="U519905" s="25"/>
    </row>
    <row r="519927" spans="21:21" x14ac:dyDescent="0.3">
      <c r="U519927" s="25"/>
    </row>
    <row r="519949" spans="21:21" x14ac:dyDescent="0.3">
      <c r="U519949" s="25"/>
    </row>
    <row r="519971" spans="21:21" x14ac:dyDescent="0.3">
      <c r="U519971" s="25"/>
    </row>
    <row r="519993" spans="21:21" x14ac:dyDescent="0.3">
      <c r="U519993" s="25"/>
    </row>
    <row r="520015" spans="21:21" x14ac:dyDescent="0.3">
      <c r="U520015" s="25"/>
    </row>
    <row r="520037" spans="21:21" x14ac:dyDescent="0.3">
      <c r="U520037" s="25"/>
    </row>
    <row r="520059" spans="21:21" x14ac:dyDescent="0.3">
      <c r="U520059" s="25"/>
    </row>
    <row r="520081" spans="21:21" x14ac:dyDescent="0.3">
      <c r="U520081" s="25"/>
    </row>
    <row r="520103" spans="21:21" x14ac:dyDescent="0.3">
      <c r="U520103" s="25"/>
    </row>
    <row r="520125" spans="21:21" x14ac:dyDescent="0.3">
      <c r="U520125" s="25"/>
    </row>
    <row r="520147" spans="21:21" x14ac:dyDescent="0.3">
      <c r="U520147" s="25"/>
    </row>
    <row r="520169" spans="21:21" x14ac:dyDescent="0.3">
      <c r="U520169" s="25"/>
    </row>
    <row r="520191" spans="21:21" x14ac:dyDescent="0.3">
      <c r="U520191" s="25"/>
    </row>
    <row r="520213" spans="21:21" x14ac:dyDescent="0.3">
      <c r="U520213" s="25"/>
    </row>
    <row r="520235" spans="21:21" x14ac:dyDescent="0.3">
      <c r="U520235" s="25"/>
    </row>
    <row r="520257" spans="21:21" x14ac:dyDescent="0.3">
      <c r="U520257" s="25"/>
    </row>
    <row r="520279" spans="21:21" x14ac:dyDescent="0.3">
      <c r="U520279" s="25"/>
    </row>
    <row r="520301" spans="21:21" x14ac:dyDescent="0.3">
      <c r="U520301" s="25"/>
    </row>
    <row r="520323" spans="21:21" x14ac:dyDescent="0.3">
      <c r="U520323" s="25"/>
    </row>
    <row r="520345" spans="21:21" x14ac:dyDescent="0.3">
      <c r="U520345" s="25"/>
    </row>
    <row r="520367" spans="21:21" x14ac:dyDescent="0.3">
      <c r="U520367" s="25"/>
    </row>
    <row r="520389" spans="21:21" x14ac:dyDescent="0.3">
      <c r="U520389" s="25"/>
    </row>
    <row r="520411" spans="21:21" x14ac:dyDescent="0.3">
      <c r="U520411" s="25"/>
    </row>
    <row r="520433" spans="21:21" x14ac:dyDescent="0.3">
      <c r="U520433" s="25"/>
    </row>
    <row r="520455" spans="21:21" x14ac:dyDescent="0.3">
      <c r="U520455" s="25"/>
    </row>
    <row r="520477" spans="21:21" x14ac:dyDescent="0.3">
      <c r="U520477" s="25"/>
    </row>
    <row r="520499" spans="21:21" x14ac:dyDescent="0.3">
      <c r="U520499" s="25"/>
    </row>
    <row r="520521" spans="21:21" x14ac:dyDescent="0.3">
      <c r="U520521" s="25"/>
    </row>
    <row r="520543" spans="21:21" x14ac:dyDescent="0.3">
      <c r="U520543" s="25"/>
    </row>
    <row r="520565" spans="21:21" x14ac:dyDescent="0.3">
      <c r="U520565" s="25"/>
    </row>
    <row r="520587" spans="21:21" x14ac:dyDescent="0.3">
      <c r="U520587" s="25"/>
    </row>
    <row r="520609" spans="21:21" x14ac:dyDescent="0.3">
      <c r="U520609" s="25"/>
    </row>
    <row r="520631" spans="21:21" x14ac:dyDescent="0.3">
      <c r="U520631" s="25"/>
    </row>
    <row r="520653" spans="21:21" x14ac:dyDescent="0.3">
      <c r="U520653" s="25"/>
    </row>
    <row r="520675" spans="21:21" x14ac:dyDescent="0.3">
      <c r="U520675" s="25"/>
    </row>
    <row r="520697" spans="21:21" x14ac:dyDescent="0.3">
      <c r="U520697" s="25"/>
    </row>
    <row r="520719" spans="21:21" x14ac:dyDescent="0.3">
      <c r="U520719" s="25"/>
    </row>
    <row r="520741" spans="21:21" x14ac:dyDescent="0.3">
      <c r="U520741" s="25"/>
    </row>
    <row r="520763" spans="21:21" x14ac:dyDescent="0.3">
      <c r="U520763" s="25"/>
    </row>
    <row r="520785" spans="21:21" x14ac:dyDescent="0.3">
      <c r="U520785" s="25"/>
    </row>
    <row r="520807" spans="21:21" x14ac:dyDescent="0.3">
      <c r="U520807" s="25"/>
    </row>
    <row r="520829" spans="21:21" x14ac:dyDescent="0.3">
      <c r="U520829" s="25"/>
    </row>
    <row r="520851" spans="21:21" x14ac:dyDescent="0.3">
      <c r="U520851" s="25"/>
    </row>
    <row r="520873" spans="21:21" x14ac:dyDescent="0.3">
      <c r="U520873" s="25"/>
    </row>
    <row r="520895" spans="21:21" x14ac:dyDescent="0.3">
      <c r="U520895" s="25"/>
    </row>
    <row r="520917" spans="21:21" x14ac:dyDescent="0.3">
      <c r="U520917" s="25"/>
    </row>
    <row r="520939" spans="21:21" x14ac:dyDescent="0.3">
      <c r="U520939" s="25"/>
    </row>
    <row r="520961" spans="21:21" x14ac:dyDescent="0.3">
      <c r="U520961" s="25"/>
    </row>
    <row r="520983" spans="21:21" x14ac:dyDescent="0.3">
      <c r="U520983" s="25"/>
    </row>
    <row r="521005" spans="21:21" x14ac:dyDescent="0.3">
      <c r="U521005" s="25"/>
    </row>
    <row r="521027" spans="21:21" x14ac:dyDescent="0.3">
      <c r="U521027" s="25"/>
    </row>
    <row r="521049" spans="21:21" x14ac:dyDescent="0.3">
      <c r="U521049" s="25"/>
    </row>
    <row r="521071" spans="21:21" x14ac:dyDescent="0.3">
      <c r="U521071" s="25"/>
    </row>
    <row r="521093" spans="21:21" x14ac:dyDescent="0.3">
      <c r="U521093" s="25"/>
    </row>
    <row r="521115" spans="21:21" x14ac:dyDescent="0.3">
      <c r="U521115" s="25"/>
    </row>
    <row r="521137" spans="21:21" x14ac:dyDescent="0.3">
      <c r="U521137" s="25"/>
    </row>
    <row r="521159" spans="21:21" x14ac:dyDescent="0.3">
      <c r="U521159" s="25"/>
    </row>
    <row r="521181" spans="21:21" x14ac:dyDescent="0.3">
      <c r="U521181" s="25"/>
    </row>
    <row r="521203" spans="21:21" x14ac:dyDescent="0.3">
      <c r="U521203" s="25"/>
    </row>
    <row r="521225" spans="21:21" x14ac:dyDescent="0.3">
      <c r="U521225" s="25"/>
    </row>
    <row r="521247" spans="21:21" x14ac:dyDescent="0.3">
      <c r="U521247" s="25"/>
    </row>
    <row r="521269" spans="21:21" x14ac:dyDescent="0.3">
      <c r="U521269" s="25"/>
    </row>
    <row r="521291" spans="21:21" x14ac:dyDescent="0.3">
      <c r="U521291" s="25"/>
    </row>
    <row r="521313" spans="21:21" x14ac:dyDescent="0.3">
      <c r="U521313" s="25"/>
    </row>
    <row r="521335" spans="21:21" x14ac:dyDescent="0.3">
      <c r="U521335" s="25"/>
    </row>
    <row r="521357" spans="21:21" x14ac:dyDescent="0.3">
      <c r="U521357" s="25"/>
    </row>
    <row r="521379" spans="21:21" x14ac:dyDescent="0.3">
      <c r="U521379" s="25"/>
    </row>
    <row r="521401" spans="21:21" x14ac:dyDescent="0.3">
      <c r="U521401" s="25"/>
    </row>
    <row r="521423" spans="21:21" x14ac:dyDescent="0.3">
      <c r="U521423" s="25"/>
    </row>
    <row r="521445" spans="21:21" x14ac:dyDescent="0.3">
      <c r="U521445" s="25"/>
    </row>
    <row r="521467" spans="21:21" x14ac:dyDescent="0.3">
      <c r="U521467" s="25"/>
    </row>
    <row r="521489" spans="21:21" x14ac:dyDescent="0.3">
      <c r="U521489" s="25"/>
    </row>
    <row r="521511" spans="21:21" x14ac:dyDescent="0.3">
      <c r="U521511" s="25"/>
    </row>
    <row r="521533" spans="21:21" x14ac:dyDescent="0.3">
      <c r="U521533" s="25"/>
    </row>
    <row r="521555" spans="21:21" x14ac:dyDescent="0.3">
      <c r="U521555" s="25"/>
    </row>
    <row r="521577" spans="21:21" x14ac:dyDescent="0.3">
      <c r="U521577" s="25"/>
    </row>
    <row r="521599" spans="21:21" x14ac:dyDescent="0.3">
      <c r="U521599" s="25"/>
    </row>
    <row r="521621" spans="21:21" x14ac:dyDescent="0.3">
      <c r="U521621" s="25"/>
    </row>
    <row r="521643" spans="21:21" x14ac:dyDescent="0.3">
      <c r="U521643" s="25"/>
    </row>
    <row r="521665" spans="21:21" x14ac:dyDescent="0.3">
      <c r="U521665" s="25"/>
    </row>
    <row r="521687" spans="21:21" x14ac:dyDescent="0.3">
      <c r="U521687" s="25"/>
    </row>
    <row r="521709" spans="21:21" x14ac:dyDescent="0.3">
      <c r="U521709" s="25"/>
    </row>
    <row r="521731" spans="21:21" x14ac:dyDescent="0.3">
      <c r="U521731" s="25"/>
    </row>
    <row r="521753" spans="21:21" x14ac:dyDescent="0.3">
      <c r="U521753" s="25"/>
    </row>
    <row r="521775" spans="21:21" x14ac:dyDescent="0.3">
      <c r="U521775" s="25"/>
    </row>
    <row r="521797" spans="21:21" x14ac:dyDescent="0.3">
      <c r="U521797" s="25"/>
    </row>
    <row r="521819" spans="21:21" x14ac:dyDescent="0.3">
      <c r="U521819" s="25"/>
    </row>
    <row r="521841" spans="21:21" x14ac:dyDescent="0.3">
      <c r="U521841" s="25"/>
    </row>
    <row r="521863" spans="21:21" x14ac:dyDescent="0.3">
      <c r="U521863" s="25"/>
    </row>
    <row r="521885" spans="21:21" x14ac:dyDescent="0.3">
      <c r="U521885" s="25"/>
    </row>
    <row r="521907" spans="21:21" x14ac:dyDescent="0.3">
      <c r="U521907" s="25"/>
    </row>
    <row r="521929" spans="21:21" x14ac:dyDescent="0.3">
      <c r="U521929" s="25"/>
    </row>
    <row r="521951" spans="21:21" x14ac:dyDescent="0.3">
      <c r="U521951" s="25"/>
    </row>
    <row r="521973" spans="21:21" x14ac:dyDescent="0.3">
      <c r="U521973" s="25"/>
    </row>
    <row r="521995" spans="21:21" x14ac:dyDescent="0.3">
      <c r="U521995" s="25"/>
    </row>
    <row r="522017" spans="21:21" x14ac:dyDescent="0.3">
      <c r="U522017" s="25"/>
    </row>
    <row r="522039" spans="21:21" x14ac:dyDescent="0.3">
      <c r="U522039" s="25"/>
    </row>
    <row r="522061" spans="21:21" x14ac:dyDescent="0.3">
      <c r="U522061" s="25"/>
    </row>
    <row r="522083" spans="21:21" x14ac:dyDescent="0.3">
      <c r="U522083" s="25"/>
    </row>
    <row r="522105" spans="21:21" x14ac:dyDescent="0.3">
      <c r="U522105" s="25"/>
    </row>
    <row r="522127" spans="21:21" x14ac:dyDescent="0.3">
      <c r="U522127" s="25"/>
    </row>
    <row r="522149" spans="21:21" x14ac:dyDescent="0.3">
      <c r="U522149" s="25"/>
    </row>
    <row r="522171" spans="21:21" x14ac:dyDescent="0.3">
      <c r="U522171" s="25"/>
    </row>
    <row r="522193" spans="21:21" x14ac:dyDescent="0.3">
      <c r="U522193" s="25"/>
    </row>
    <row r="522215" spans="21:21" x14ac:dyDescent="0.3">
      <c r="U522215" s="25"/>
    </row>
    <row r="522237" spans="21:21" x14ac:dyDescent="0.3">
      <c r="U522237" s="25"/>
    </row>
    <row r="522259" spans="21:21" x14ac:dyDescent="0.3">
      <c r="U522259" s="25"/>
    </row>
    <row r="522281" spans="21:21" x14ac:dyDescent="0.3">
      <c r="U522281" s="25"/>
    </row>
    <row r="522303" spans="21:21" x14ac:dyDescent="0.3">
      <c r="U522303" s="25"/>
    </row>
    <row r="522325" spans="21:21" x14ac:dyDescent="0.3">
      <c r="U522325" s="25"/>
    </row>
    <row r="522347" spans="21:21" x14ac:dyDescent="0.3">
      <c r="U522347" s="25"/>
    </row>
    <row r="522369" spans="21:21" x14ac:dyDescent="0.3">
      <c r="U522369" s="25"/>
    </row>
    <row r="522391" spans="21:21" x14ac:dyDescent="0.3">
      <c r="U522391" s="25"/>
    </row>
    <row r="522413" spans="21:21" x14ac:dyDescent="0.3">
      <c r="U522413" s="25"/>
    </row>
    <row r="522435" spans="21:21" x14ac:dyDescent="0.3">
      <c r="U522435" s="25"/>
    </row>
    <row r="522457" spans="21:21" x14ac:dyDescent="0.3">
      <c r="U522457" s="25"/>
    </row>
    <row r="522479" spans="21:21" x14ac:dyDescent="0.3">
      <c r="U522479" s="25"/>
    </row>
    <row r="522501" spans="21:21" x14ac:dyDescent="0.3">
      <c r="U522501" s="25"/>
    </row>
    <row r="522523" spans="21:21" x14ac:dyDescent="0.3">
      <c r="U522523" s="25"/>
    </row>
    <row r="522545" spans="21:21" x14ac:dyDescent="0.3">
      <c r="U522545" s="25"/>
    </row>
    <row r="522567" spans="21:21" x14ac:dyDescent="0.3">
      <c r="U522567" s="25"/>
    </row>
    <row r="522589" spans="21:21" x14ac:dyDescent="0.3">
      <c r="U522589" s="25"/>
    </row>
    <row r="522611" spans="21:21" x14ac:dyDescent="0.3">
      <c r="U522611" s="25"/>
    </row>
    <row r="522633" spans="21:21" x14ac:dyDescent="0.3">
      <c r="U522633" s="25"/>
    </row>
    <row r="522655" spans="21:21" x14ac:dyDescent="0.3">
      <c r="U522655" s="25"/>
    </row>
    <row r="522677" spans="21:21" x14ac:dyDescent="0.3">
      <c r="U522677" s="25"/>
    </row>
    <row r="522699" spans="21:21" x14ac:dyDescent="0.3">
      <c r="U522699" s="25"/>
    </row>
    <row r="522721" spans="21:21" x14ac:dyDescent="0.3">
      <c r="U522721" s="25"/>
    </row>
    <row r="522743" spans="21:21" x14ac:dyDescent="0.3">
      <c r="U522743" s="25"/>
    </row>
    <row r="522765" spans="21:21" x14ac:dyDescent="0.3">
      <c r="U522765" s="25"/>
    </row>
    <row r="522787" spans="21:21" x14ac:dyDescent="0.3">
      <c r="U522787" s="25"/>
    </row>
    <row r="522809" spans="21:21" x14ac:dyDescent="0.3">
      <c r="U522809" s="25"/>
    </row>
    <row r="522831" spans="21:21" x14ac:dyDescent="0.3">
      <c r="U522831" s="25"/>
    </row>
    <row r="522853" spans="21:21" x14ac:dyDescent="0.3">
      <c r="U522853" s="25"/>
    </row>
    <row r="522875" spans="21:21" x14ac:dyDescent="0.3">
      <c r="U522875" s="25"/>
    </row>
    <row r="522897" spans="21:21" x14ac:dyDescent="0.3">
      <c r="U522897" s="25"/>
    </row>
    <row r="522919" spans="21:21" x14ac:dyDescent="0.3">
      <c r="U522919" s="25"/>
    </row>
    <row r="522941" spans="21:21" x14ac:dyDescent="0.3">
      <c r="U522941" s="25"/>
    </row>
    <row r="522963" spans="21:21" x14ac:dyDescent="0.3">
      <c r="U522963" s="25"/>
    </row>
    <row r="522985" spans="21:21" x14ac:dyDescent="0.3">
      <c r="U522985" s="25"/>
    </row>
    <row r="523007" spans="21:21" x14ac:dyDescent="0.3">
      <c r="U523007" s="25"/>
    </row>
    <row r="523029" spans="21:21" x14ac:dyDescent="0.3">
      <c r="U523029" s="25"/>
    </row>
    <row r="523051" spans="21:21" x14ac:dyDescent="0.3">
      <c r="U523051" s="25"/>
    </row>
    <row r="523073" spans="21:21" x14ac:dyDescent="0.3">
      <c r="U523073" s="25"/>
    </row>
    <row r="523095" spans="21:21" x14ac:dyDescent="0.3">
      <c r="U523095" s="25"/>
    </row>
    <row r="523117" spans="21:21" x14ac:dyDescent="0.3">
      <c r="U523117" s="25"/>
    </row>
    <row r="523139" spans="21:21" x14ac:dyDescent="0.3">
      <c r="U523139" s="25"/>
    </row>
    <row r="523161" spans="21:21" x14ac:dyDescent="0.3">
      <c r="U523161" s="25"/>
    </row>
    <row r="523183" spans="21:21" x14ac:dyDescent="0.3">
      <c r="U523183" s="25"/>
    </row>
    <row r="523205" spans="21:21" x14ac:dyDescent="0.3">
      <c r="U523205" s="25"/>
    </row>
    <row r="523227" spans="21:21" x14ac:dyDescent="0.3">
      <c r="U523227" s="25"/>
    </row>
    <row r="523249" spans="21:21" x14ac:dyDescent="0.3">
      <c r="U523249" s="25"/>
    </row>
    <row r="523271" spans="21:21" x14ac:dyDescent="0.3">
      <c r="U523271" s="25"/>
    </row>
    <row r="523293" spans="21:21" x14ac:dyDescent="0.3">
      <c r="U523293" s="25"/>
    </row>
    <row r="523315" spans="21:21" x14ac:dyDescent="0.3">
      <c r="U523315" s="25"/>
    </row>
    <row r="523337" spans="21:21" x14ac:dyDescent="0.3">
      <c r="U523337" s="25"/>
    </row>
    <row r="523359" spans="21:21" x14ac:dyDescent="0.3">
      <c r="U523359" s="25"/>
    </row>
    <row r="523381" spans="21:21" x14ac:dyDescent="0.3">
      <c r="U523381" s="25"/>
    </row>
    <row r="523403" spans="21:21" x14ac:dyDescent="0.3">
      <c r="U523403" s="25"/>
    </row>
    <row r="523425" spans="21:21" x14ac:dyDescent="0.3">
      <c r="U523425" s="25"/>
    </row>
    <row r="523447" spans="21:21" x14ac:dyDescent="0.3">
      <c r="U523447" s="25"/>
    </row>
    <row r="523469" spans="21:21" x14ac:dyDescent="0.3">
      <c r="U523469" s="25"/>
    </row>
    <row r="523491" spans="21:21" x14ac:dyDescent="0.3">
      <c r="U523491" s="25"/>
    </row>
    <row r="523513" spans="21:21" x14ac:dyDescent="0.3">
      <c r="U523513" s="25"/>
    </row>
    <row r="523535" spans="21:21" x14ac:dyDescent="0.3">
      <c r="U523535" s="25"/>
    </row>
    <row r="523557" spans="21:21" x14ac:dyDescent="0.3">
      <c r="U523557" s="25"/>
    </row>
    <row r="523579" spans="21:21" x14ac:dyDescent="0.3">
      <c r="U523579" s="25"/>
    </row>
    <row r="523601" spans="21:21" x14ac:dyDescent="0.3">
      <c r="U523601" s="25"/>
    </row>
    <row r="523623" spans="21:21" x14ac:dyDescent="0.3">
      <c r="U523623" s="25"/>
    </row>
    <row r="523645" spans="21:21" x14ac:dyDescent="0.3">
      <c r="U523645" s="25"/>
    </row>
    <row r="523667" spans="21:21" x14ac:dyDescent="0.3">
      <c r="U523667" s="25"/>
    </row>
    <row r="523689" spans="21:21" x14ac:dyDescent="0.3">
      <c r="U523689" s="25"/>
    </row>
    <row r="523711" spans="21:21" x14ac:dyDescent="0.3">
      <c r="U523711" s="25"/>
    </row>
    <row r="523733" spans="21:21" x14ac:dyDescent="0.3">
      <c r="U523733" s="25"/>
    </row>
    <row r="523755" spans="21:21" x14ac:dyDescent="0.3">
      <c r="U523755" s="25"/>
    </row>
    <row r="523777" spans="21:21" x14ac:dyDescent="0.3">
      <c r="U523777" s="25"/>
    </row>
    <row r="523799" spans="21:21" x14ac:dyDescent="0.3">
      <c r="U523799" s="25"/>
    </row>
    <row r="523821" spans="21:21" x14ac:dyDescent="0.3">
      <c r="U523821" s="25"/>
    </row>
    <row r="523843" spans="21:21" x14ac:dyDescent="0.3">
      <c r="U523843" s="25"/>
    </row>
    <row r="523865" spans="21:21" x14ac:dyDescent="0.3">
      <c r="U523865" s="25"/>
    </row>
    <row r="523887" spans="21:21" x14ac:dyDescent="0.3">
      <c r="U523887" s="25"/>
    </row>
    <row r="523909" spans="21:21" x14ac:dyDescent="0.3">
      <c r="U523909" s="25"/>
    </row>
    <row r="523931" spans="21:21" x14ac:dyDescent="0.3">
      <c r="U523931" s="25"/>
    </row>
    <row r="523953" spans="21:21" x14ac:dyDescent="0.3">
      <c r="U523953" s="25"/>
    </row>
    <row r="523975" spans="21:21" x14ac:dyDescent="0.3">
      <c r="U523975" s="25"/>
    </row>
    <row r="523997" spans="21:21" x14ac:dyDescent="0.3">
      <c r="U523997" s="25"/>
    </row>
    <row r="524019" spans="21:21" x14ac:dyDescent="0.3">
      <c r="U524019" s="25"/>
    </row>
    <row r="524041" spans="21:21" x14ac:dyDescent="0.3">
      <c r="U524041" s="25"/>
    </row>
    <row r="524063" spans="21:21" x14ac:dyDescent="0.3">
      <c r="U524063" s="25"/>
    </row>
    <row r="524085" spans="21:21" x14ac:dyDescent="0.3">
      <c r="U524085" s="25"/>
    </row>
    <row r="524107" spans="21:21" x14ac:dyDescent="0.3">
      <c r="U524107" s="25"/>
    </row>
    <row r="524129" spans="21:21" x14ac:dyDescent="0.3">
      <c r="U524129" s="25"/>
    </row>
    <row r="524151" spans="21:21" x14ac:dyDescent="0.3">
      <c r="U524151" s="25"/>
    </row>
    <row r="524173" spans="21:21" x14ac:dyDescent="0.3">
      <c r="U524173" s="25"/>
    </row>
    <row r="524195" spans="21:21" x14ac:dyDescent="0.3">
      <c r="U524195" s="25"/>
    </row>
    <row r="524217" spans="21:21" x14ac:dyDescent="0.3">
      <c r="U524217" s="25"/>
    </row>
    <row r="524239" spans="21:21" x14ac:dyDescent="0.3">
      <c r="U524239" s="25"/>
    </row>
    <row r="524261" spans="21:21" x14ac:dyDescent="0.3">
      <c r="U524261" s="25"/>
    </row>
    <row r="524283" spans="21:21" x14ac:dyDescent="0.3">
      <c r="U524283" s="25"/>
    </row>
    <row r="524305" spans="21:21" x14ac:dyDescent="0.3">
      <c r="U524305" s="25"/>
    </row>
    <row r="524327" spans="21:21" x14ac:dyDescent="0.3">
      <c r="U524327" s="25"/>
    </row>
    <row r="524349" spans="21:21" x14ac:dyDescent="0.3">
      <c r="U524349" s="25"/>
    </row>
    <row r="524371" spans="21:21" x14ac:dyDescent="0.3">
      <c r="U524371" s="25"/>
    </row>
    <row r="524393" spans="21:21" x14ac:dyDescent="0.3">
      <c r="U524393" s="25"/>
    </row>
    <row r="524415" spans="21:21" x14ac:dyDescent="0.3">
      <c r="U524415" s="25"/>
    </row>
    <row r="524437" spans="21:21" x14ac:dyDescent="0.3">
      <c r="U524437" s="25"/>
    </row>
    <row r="524459" spans="21:21" x14ac:dyDescent="0.3">
      <c r="U524459" s="25"/>
    </row>
    <row r="524481" spans="21:21" x14ac:dyDescent="0.3">
      <c r="U524481" s="25"/>
    </row>
    <row r="524503" spans="21:21" x14ac:dyDescent="0.3">
      <c r="U524503" s="25"/>
    </row>
    <row r="524525" spans="21:21" x14ac:dyDescent="0.3">
      <c r="U524525" s="25"/>
    </row>
    <row r="524547" spans="21:21" x14ac:dyDescent="0.3">
      <c r="U524547" s="25"/>
    </row>
    <row r="524569" spans="21:21" x14ac:dyDescent="0.3">
      <c r="U524569" s="25"/>
    </row>
    <row r="524591" spans="21:21" x14ac:dyDescent="0.3">
      <c r="U524591" s="25"/>
    </row>
    <row r="524613" spans="21:21" x14ac:dyDescent="0.3">
      <c r="U524613" s="25"/>
    </row>
    <row r="524635" spans="21:21" x14ac:dyDescent="0.3">
      <c r="U524635" s="25"/>
    </row>
    <row r="524657" spans="21:21" x14ac:dyDescent="0.3">
      <c r="U524657" s="25"/>
    </row>
    <row r="524679" spans="21:21" x14ac:dyDescent="0.3">
      <c r="U524679" s="25"/>
    </row>
    <row r="524701" spans="21:21" x14ac:dyDescent="0.3">
      <c r="U524701" s="25"/>
    </row>
    <row r="524723" spans="21:21" x14ac:dyDescent="0.3">
      <c r="U524723" s="25"/>
    </row>
    <row r="524745" spans="21:21" x14ac:dyDescent="0.3">
      <c r="U524745" s="25"/>
    </row>
    <row r="524767" spans="21:21" x14ac:dyDescent="0.3">
      <c r="U524767" s="25"/>
    </row>
    <row r="524789" spans="21:21" x14ac:dyDescent="0.3">
      <c r="U524789" s="25"/>
    </row>
    <row r="524811" spans="21:21" x14ac:dyDescent="0.3">
      <c r="U524811" s="25"/>
    </row>
    <row r="524833" spans="21:21" x14ac:dyDescent="0.3">
      <c r="U524833" s="25"/>
    </row>
    <row r="524855" spans="21:21" x14ac:dyDescent="0.3">
      <c r="U524855" s="25"/>
    </row>
    <row r="524877" spans="21:21" x14ac:dyDescent="0.3">
      <c r="U524877" s="25"/>
    </row>
    <row r="524899" spans="21:21" x14ac:dyDescent="0.3">
      <c r="U524899" s="25"/>
    </row>
    <row r="524921" spans="21:21" x14ac:dyDescent="0.3">
      <c r="U524921" s="25"/>
    </row>
    <row r="524943" spans="21:21" x14ac:dyDescent="0.3">
      <c r="U524943" s="25"/>
    </row>
    <row r="524965" spans="21:21" x14ac:dyDescent="0.3">
      <c r="U524965" s="25"/>
    </row>
    <row r="524987" spans="21:21" x14ac:dyDescent="0.3">
      <c r="U524987" s="25"/>
    </row>
    <row r="525009" spans="21:21" x14ac:dyDescent="0.3">
      <c r="U525009" s="25"/>
    </row>
    <row r="525031" spans="21:21" x14ac:dyDescent="0.3">
      <c r="U525031" s="25"/>
    </row>
    <row r="525053" spans="21:21" x14ac:dyDescent="0.3">
      <c r="U525053" s="25"/>
    </row>
    <row r="525075" spans="21:21" x14ac:dyDescent="0.3">
      <c r="U525075" s="25"/>
    </row>
    <row r="525097" spans="21:21" x14ac:dyDescent="0.3">
      <c r="U525097" s="25"/>
    </row>
    <row r="525119" spans="21:21" x14ac:dyDescent="0.3">
      <c r="U525119" s="25"/>
    </row>
    <row r="525141" spans="21:21" x14ac:dyDescent="0.3">
      <c r="U525141" s="25"/>
    </row>
    <row r="525163" spans="21:21" x14ac:dyDescent="0.3">
      <c r="U525163" s="25"/>
    </row>
    <row r="525185" spans="21:21" x14ac:dyDescent="0.3">
      <c r="U525185" s="25"/>
    </row>
    <row r="525207" spans="21:21" x14ac:dyDescent="0.3">
      <c r="U525207" s="25"/>
    </row>
    <row r="525229" spans="21:21" x14ac:dyDescent="0.3">
      <c r="U525229" s="25"/>
    </row>
    <row r="525251" spans="21:21" x14ac:dyDescent="0.3">
      <c r="U525251" s="25"/>
    </row>
    <row r="525273" spans="21:21" x14ac:dyDescent="0.3">
      <c r="U525273" s="25"/>
    </row>
    <row r="525295" spans="21:21" x14ac:dyDescent="0.3">
      <c r="U525295" s="25"/>
    </row>
    <row r="525317" spans="21:21" x14ac:dyDescent="0.3">
      <c r="U525317" s="25"/>
    </row>
    <row r="525339" spans="21:21" x14ac:dyDescent="0.3">
      <c r="U525339" s="25"/>
    </row>
    <row r="525361" spans="21:21" x14ac:dyDescent="0.3">
      <c r="U525361" s="25"/>
    </row>
    <row r="525383" spans="21:21" x14ac:dyDescent="0.3">
      <c r="U525383" s="25"/>
    </row>
    <row r="525405" spans="21:21" x14ac:dyDescent="0.3">
      <c r="U525405" s="25"/>
    </row>
    <row r="525427" spans="21:21" x14ac:dyDescent="0.3">
      <c r="U525427" s="25"/>
    </row>
    <row r="525449" spans="21:21" x14ac:dyDescent="0.3">
      <c r="U525449" s="25"/>
    </row>
    <row r="525471" spans="21:21" x14ac:dyDescent="0.3">
      <c r="U525471" s="25"/>
    </row>
    <row r="525493" spans="21:21" x14ac:dyDescent="0.3">
      <c r="U525493" s="25"/>
    </row>
    <row r="525515" spans="21:21" x14ac:dyDescent="0.3">
      <c r="U525515" s="25"/>
    </row>
    <row r="525537" spans="21:21" x14ac:dyDescent="0.3">
      <c r="U525537" s="25"/>
    </row>
    <row r="525559" spans="21:21" x14ac:dyDescent="0.3">
      <c r="U525559" s="25"/>
    </row>
    <row r="525581" spans="21:21" x14ac:dyDescent="0.3">
      <c r="U525581" s="25"/>
    </row>
    <row r="525603" spans="21:21" x14ac:dyDescent="0.3">
      <c r="U525603" s="25"/>
    </row>
    <row r="525625" spans="21:21" x14ac:dyDescent="0.3">
      <c r="U525625" s="25"/>
    </row>
    <row r="525647" spans="21:21" x14ac:dyDescent="0.3">
      <c r="U525647" s="25"/>
    </row>
    <row r="525669" spans="21:21" x14ac:dyDescent="0.3">
      <c r="U525669" s="25"/>
    </row>
    <row r="525691" spans="21:21" x14ac:dyDescent="0.3">
      <c r="U525691" s="25"/>
    </row>
    <row r="525713" spans="21:21" x14ac:dyDescent="0.3">
      <c r="U525713" s="25"/>
    </row>
    <row r="525735" spans="21:21" x14ac:dyDescent="0.3">
      <c r="U525735" s="25"/>
    </row>
    <row r="525757" spans="21:21" x14ac:dyDescent="0.3">
      <c r="U525757" s="25"/>
    </row>
    <row r="525779" spans="21:21" x14ac:dyDescent="0.3">
      <c r="U525779" s="25"/>
    </row>
    <row r="525801" spans="21:21" x14ac:dyDescent="0.3">
      <c r="U525801" s="25"/>
    </row>
    <row r="525823" spans="21:21" x14ac:dyDescent="0.3">
      <c r="U525823" s="25"/>
    </row>
    <row r="525845" spans="21:21" x14ac:dyDescent="0.3">
      <c r="U525845" s="25"/>
    </row>
    <row r="525867" spans="21:21" x14ac:dyDescent="0.3">
      <c r="U525867" s="25"/>
    </row>
    <row r="525889" spans="21:21" x14ac:dyDescent="0.3">
      <c r="U525889" s="25"/>
    </row>
    <row r="525911" spans="21:21" x14ac:dyDescent="0.3">
      <c r="U525911" s="25"/>
    </row>
    <row r="525933" spans="21:21" x14ac:dyDescent="0.3">
      <c r="U525933" s="25"/>
    </row>
    <row r="525955" spans="21:21" x14ac:dyDescent="0.3">
      <c r="U525955" s="25"/>
    </row>
    <row r="525977" spans="21:21" x14ac:dyDescent="0.3">
      <c r="U525977" s="25"/>
    </row>
    <row r="525999" spans="21:21" x14ac:dyDescent="0.3">
      <c r="U525999" s="25"/>
    </row>
    <row r="526021" spans="21:21" x14ac:dyDescent="0.3">
      <c r="U526021" s="25"/>
    </row>
    <row r="526043" spans="21:21" x14ac:dyDescent="0.3">
      <c r="U526043" s="25"/>
    </row>
    <row r="526065" spans="21:21" x14ac:dyDescent="0.3">
      <c r="U526065" s="25"/>
    </row>
    <row r="526087" spans="21:21" x14ac:dyDescent="0.3">
      <c r="U526087" s="25"/>
    </row>
    <row r="526109" spans="21:21" x14ac:dyDescent="0.3">
      <c r="U526109" s="25"/>
    </row>
    <row r="526131" spans="21:21" x14ac:dyDescent="0.3">
      <c r="U526131" s="25"/>
    </row>
    <row r="526153" spans="21:21" x14ac:dyDescent="0.3">
      <c r="U526153" s="25"/>
    </row>
    <row r="526175" spans="21:21" x14ac:dyDescent="0.3">
      <c r="U526175" s="25"/>
    </row>
    <row r="526197" spans="21:21" x14ac:dyDescent="0.3">
      <c r="U526197" s="25"/>
    </row>
    <row r="526219" spans="21:21" x14ac:dyDescent="0.3">
      <c r="U526219" s="25"/>
    </row>
    <row r="526241" spans="21:21" x14ac:dyDescent="0.3">
      <c r="U526241" s="25"/>
    </row>
    <row r="526263" spans="21:21" x14ac:dyDescent="0.3">
      <c r="U526263" s="25"/>
    </row>
    <row r="526285" spans="21:21" x14ac:dyDescent="0.3">
      <c r="U526285" s="25"/>
    </row>
    <row r="526307" spans="21:21" x14ac:dyDescent="0.3">
      <c r="U526307" s="25"/>
    </row>
    <row r="526329" spans="21:21" x14ac:dyDescent="0.3">
      <c r="U526329" s="25"/>
    </row>
    <row r="526351" spans="21:21" x14ac:dyDescent="0.3">
      <c r="U526351" s="25"/>
    </row>
    <row r="526373" spans="21:21" x14ac:dyDescent="0.3">
      <c r="U526373" s="25"/>
    </row>
    <row r="526395" spans="21:21" x14ac:dyDescent="0.3">
      <c r="U526395" s="25"/>
    </row>
    <row r="526417" spans="21:21" x14ac:dyDescent="0.3">
      <c r="U526417" s="25"/>
    </row>
    <row r="526439" spans="21:21" x14ac:dyDescent="0.3">
      <c r="U526439" s="25"/>
    </row>
    <row r="526461" spans="21:21" x14ac:dyDescent="0.3">
      <c r="U526461" s="25"/>
    </row>
    <row r="526483" spans="21:21" x14ac:dyDescent="0.3">
      <c r="U526483" s="25"/>
    </row>
    <row r="526505" spans="21:21" x14ac:dyDescent="0.3">
      <c r="U526505" s="25"/>
    </row>
    <row r="526527" spans="21:21" x14ac:dyDescent="0.3">
      <c r="U526527" s="25"/>
    </row>
    <row r="526549" spans="21:21" x14ac:dyDescent="0.3">
      <c r="U526549" s="25"/>
    </row>
    <row r="526571" spans="21:21" x14ac:dyDescent="0.3">
      <c r="U526571" s="25"/>
    </row>
    <row r="526593" spans="21:21" x14ac:dyDescent="0.3">
      <c r="U526593" s="25"/>
    </row>
    <row r="526615" spans="21:21" x14ac:dyDescent="0.3">
      <c r="U526615" s="25"/>
    </row>
    <row r="526637" spans="21:21" x14ac:dyDescent="0.3">
      <c r="U526637" s="25"/>
    </row>
    <row r="526659" spans="21:21" x14ac:dyDescent="0.3">
      <c r="U526659" s="25"/>
    </row>
    <row r="526681" spans="21:21" x14ac:dyDescent="0.3">
      <c r="U526681" s="25"/>
    </row>
    <row r="526703" spans="21:21" x14ac:dyDescent="0.3">
      <c r="U526703" s="25"/>
    </row>
    <row r="526725" spans="21:21" x14ac:dyDescent="0.3">
      <c r="U526725" s="25"/>
    </row>
    <row r="526747" spans="21:21" x14ac:dyDescent="0.3">
      <c r="U526747" s="25"/>
    </row>
    <row r="526769" spans="21:21" x14ac:dyDescent="0.3">
      <c r="U526769" s="25"/>
    </row>
    <row r="526791" spans="21:21" x14ac:dyDescent="0.3">
      <c r="U526791" s="25"/>
    </row>
    <row r="526813" spans="21:21" x14ac:dyDescent="0.3">
      <c r="U526813" s="25"/>
    </row>
    <row r="526835" spans="21:21" x14ac:dyDescent="0.3">
      <c r="U526835" s="25"/>
    </row>
    <row r="526857" spans="21:21" x14ac:dyDescent="0.3">
      <c r="U526857" s="25"/>
    </row>
    <row r="526879" spans="21:21" x14ac:dyDescent="0.3">
      <c r="U526879" s="25"/>
    </row>
    <row r="526901" spans="21:21" x14ac:dyDescent="0.3">
      <c r="U526901" s="25"/>
    </row>
    <row r="526923" spans="21:21" x14ac:dyDescent="0.3">
      <c r="U526923" s="25"/>
    </row>
    <row r="526945" spans="21:21" x14ac:dyDescent="0.3">
      <c r="U526945" s="25"/>
    </row>
    <row r="526967" spans="21:21" x14ac:dyDescent="0.3">
      <c r="U526967" s="25"/>
    </row>
    <row r="526989" spans="21:21" x14ac:dyDescent="0.3">
      <c r="U526989" s="25"/>
    </row>
    <row r="527011" spans="21:21" x14ac:dyDescent="0.3">
      <c r="U527011" s="25"/>
    </row>
    <row r="527033" spans="21:21" x14ac:dyDescent="0.3">
      <c r="U527033" s="25"/>
    </row>
    <row r="527055" spans="21:21" x14ac:dyDescent="0.3">
      <c r="U527055" s="25"/>
    </row>
    <row r="527077" spans="21:21" x14ac:dyDescent="0.3">
      <c r="U527077" s="25"/>
    </row>
    <row r="527099" spans="21:21" x14ac:dyDescent="0.3">
      <c r="U527099" s="25"/>
    </row>
    <row r="527121" spans="21:21" x14ac:dyDescent="0.3">
      <c r="U527121" s="25"/>
    </row>
    <row r="527143" spans="21:21" x14ac:dyDescent="0.3">
      <c r="U527143" s="25"/>
    </row>
    <row r="527165" spans="21:21" x14ac:dyDescent="0.3">
      <c r="U527165" s="25"/>
    </row>
    <row r="527187" spans="21:21" x14ac:dyDescent="0.3">
      <c r="U527187" s="25"/>
    </row>
    <row r="527209" spans="21:21" x14ac:dyDescent="0.3">
      <c r="U527209" s="25"/>
    </row>
    <row r="527231" spans="21:21" x14ac:dyDescent="0.3">
      <c r="U527231" s="25"/>
    </row>
    <row r="527253" spans="21:21" x14ac:dyDescent="0.3">
      <c r="U527253" s="25"/>
    </row>
    <row r="527275" spans="21:21" x14ac:dyDescent="0.3">
      <c r="U527275" s="25"/>
    </row>
    <row r="527297" spans="21:21" x14ac:dyDescent="0.3">
      <c r="U527297" s="25"/>
    </row>
    <row r="527319" spans="21:21" x14ac:dyDescent="0.3">
      <c r="U527319" s="25"/>
    </row>
    <row r="527341" spans="21:21" x14ac:dyDescent="0.3">
      <c r="U527341" s="25"/>
    </row>
    <row r="527363" spans="21:21" x14ac:dyDescent="0.3">
      <c r="U527363" s="25"/>
    </row>
    <row r="527385" spans="21:21" x14ac:dyDescent="0.3">
      <c r="U527385" s="25"/>
    </row>
    <row r="527407" spans="21:21" x14ac:dyDescent="0.3">
      <c r="U527407" s="25"/>
    </row>
    <row r="527429" spans="21:21" x14ac:dyDescent="0.3">
      <c r="U527429" s="25"/>
    </row>
    <row r="527451" spans="21:21" x14ac:dyDescent="0.3">
      <c r="U527451" s="25"/>
    </row>
    <row r="527473" spans="21:21" x14ac:dyDescent="0.3">
      <c r="U527473" s="25"/>
    </row>
    <row r="527495" spans="21:21" x14ac:dyDescent="0.3">
      <c r="U527495" s="25"/>
    </row>
    <row r="527517" spans="21:21" x14ac:dyDescent="0.3">
      <c r="U527517" s="25"/>
    </row>
    <row r="527539" spans="21:21" x14ac:dyDescent="0.3">
      <c r="U527539" s="25"/>
    </row>
    <row r="527561" spans="21:21" x14ac:dyDescent="0.3">
      <c r="U527561" s="25"/>
    </row>
    <row r="527583" spans="21:21" x14ac:dyDescent="0.3">
      <c r="U527583" s="25"/>
    </row>
    <row r="527605" spans="21:21" x14ac:dyDescent="0.3">
      <c r="U527605" s="25"/>
    </row>
    <row r="527627" spans="21:21" x14ac:dyDescent="0.3">
      <c r="U527627" s="25"/>
    </row>
    <row r="527649" spans="21:21" x14ac:dyDescent="0.3">
      <c r="U527649" s="25"/>
    </row>
    <row r="527671" spans="21:21" x14ac:dyDescent="0.3">
      <c r="U527671" s="25"/>
    </row>
    <row r="527693" spans="21:21" x14ac:dyDescent="0.3">
      <c r="U527693" s="25"/>
    </row>
    <row r="527715" spans="21:21" x14ac:dyDescent="0.3">
      <c r="U527715" s="25"/>
    </row>
    <row r="527737" spans="21:21" x14ac:dyDescent="0.3">
      <c r="U527737" s="25"/>
    </row>
    <row r="527759" spans="21:21" x14ac:dyDescent="0.3">
      <c r="U527759" s="25"/>
    </row>
    <row r="527781" spans="21:21" x14ac:dyDescent="0.3">
      <c r="U527781" s="25"/>
    </row>
    <row r="527803" spans="21:21" x14ac:dyDescent="0.3">
      <c r="U527803" s="25"/>
    </row>
    <row r="527825" spans="21:21" x14ac:dyDescent="0.3">
      <c r="U527825" s="25"/>
    </row>
    <row r="527847" spans="21:21" x14ac:dyDescent="0.3">
      <c r="U527847" s="25"/>
    </row>
    <row r="527869" spans="21:21" x14ac:dyDescent="0.3">
      <c r="U527869" s="25"/>
    </row>
    <row r="527891" spans="21:21" x14ac:dyDescent="0.3">
      <c r="U527891" s="25"/>
    </row>
    <row r="527913" spans="21:21" x14ac:dyDescent="0.3">
      <c r="U527913" s="25"/>
    </row>
    <row r="527935" spans="21:21" x14ac:dyDescent="0.3">
      <c r="U527935" s="25"/>
    </row>
    <row r="527957" spans="21:21" x14ac:dyDescent="0.3">
      <c r="U527957" s="25"/>
    </row>
    <row r="527979" spans="21:21" x14ac:dyDescent="0.3">
      <c r="U527979" s="25"/>
    </row>
    <row r="528001" spans="21:21" x14ac:dyDescent="0.3">
      <c r="U528001" s="25"/>
    </row>
    <row r="528023" spans="21:21" x14ac:dyDescent="0.3">
      <c r="U528023" s="25"/>
    </row>
    <row r="528045" spans="21:21" x14ac:dyDescent="0.3">
      <c r="U528045" s="25"/>
    </row>
    <row r="528067" spans="21:21" x14ac:dyDescent="0.3">
      <c r="U528067" s="25"/>
    </row>
    <row r="528089" spans="21:21" x14ac:dyDescent="0.3">
      <c r="U528089" s="25"/>
    </row>
    <row r="528111" spans="21:21" x14ac:dyDescent="0.3">
      <c r="U528111" s="25"/>
    </row>
    <row r="528133" spans="21:21" x14ac:dyDescent="0.3">
      <c r="U528133" s="25"/>
    </row>
    <row r="528155" spans="21:21" x14ac:dyDescent="0.3">
      <c r="U528155" s="25"/>
    </row>
    <row r="528177" spans="21:21" x14ac:dyDescent="0.3">
      <c r="U528177" s="25"/>
    </row>
    <row r="528199" spans="21:21" x14ac:dyDescent="0.3">
      <c r="U528199" s="25"/>
    </row>
    <row r="528221" spans="21:21" x14ac:dyDescent="0.3">
      <c r="U528221" s="25"/>
    </row>
    <row r="528243" spans="21:21" x14ac:dyDescent="0.3">
      <c r="U528243" s="25"/>
    </row>
    <row r="528265" spans="21:21" x14ac:dyDescent="0.3">
      <c r="U528265" s="25"/>
    </row>
    <row r="528287" spans="21:21" x14ac:dyDescent="0.3">
      <c r="U528287" s="25"/>
    </row>
    <row r="528309" spans="21:21" x14ac:dyDescent="0.3">
      <c r="U528309" s="25"/>
    </row>
    <row r="528331" spans="21:21" x14ac:dyDescent="0.3">
      <c r="U528331" s="25"/>
    </row>
    <row r="528353" spans="21:21" x14ac:dyDescent="0.3">
      <c r="U528353" s="25"/>
    </row>
    <row r="528375" spans="21:21" x14ac:dyDescent="0.3">
      <c r="U528375" s="25"/>
    </row>
    <row r="528397" spans="21:21" x14ac:dyDescent="0.3">
      <c r="U528397" s="25"/>
    </row>
    <row r="528419" spans="21:21" x14ac:dyDescent="0.3">
      <c r="U528419" s="25"/>
    </row>
    <row r="528441" spans="21:21" x14ac:dyDescent="0.3">
      <c r="U528441" s="25"/>
    </row>
    <row r="528463" spans="21:21" x14ac:dyDescent="0.3">
      <c r="U528463" s="25"/>
    </row>
    <row r="528485" spans="21:21" x14ac:dyDescent="0.3">
      <c r="U528485" s="25"/>
    </row>
    <row r="528507" spans="21:21" x14ac:dyDescent="0.3">
      <c r="U528507" s="25"/>
    </row>
    <row r="528529" spans="21:21" x14ac:dyDescent="0.3">
      <c r="U528529" s="25"/>
    </row>
    <row r="528551" spans="21:21" x14ac:dyDescent="0.3">
      <c r="U528551" s="25"/>
    </row>
    <row r="528573" spans="21:21" x14ac:dyDescent="0.3">
      <c r="U528573" s="25"/>
    </row>
    <row r="528595" spans="21:21" x14ac:dyDescent="0.3">
      <c r="U528595" s="25"/>
    </row>
    <row r="528617" spans="21:21" x14ac:dyDescent="0.3">
      <c r="U528617" s="25"/>
    </row>
    <row r="528639" spans="21:21" x14ac:dyDescent="0.3">
      <c r="U528639" s="25"/>
    </row>
    <row r="528661" spans="21:21" x14ac:dyDescent="0.3">
      <c r="U528661" s="25"/>
    </row>
    <row r="528683" spans="21:21" x14ac:dyDescent="0.3">
      <c r="U528683" s="25"/>
    </row>
    <row r="528705" spans="21:21" x14ac:dyDescent="0.3">
      <c r="U528705" s="25"/>
    </row>
    <row r="528727" spans="21:21" x14ac:dyDescent="0.3">
      <c r="U528727" s="25"/>
    </row>
    <row r="528749" spans="21:21" x14ac:dyDescent="0.3">
      <c r="U528749" s="25"/>
    </row>
    <row r="528771" spans="21:21" x14ac:dyDescent="0.3">
      <c r="U528771" s="25"/>
    </row>
    <row r="528793" spans="21:21" x14ac:dyDescent="0.3">
      <c r="U528793" s="25"/>
    </row>
    <row r="528815" spans="21:21" x14ac:dyDescent="0.3">
      <c r="U528815" s="25"/>
    </row>
    <row r="528837" spans="21:21" x14ac:dyDescent="0.3">
      <c r="U528837" s="25"/>
    </row>
    <row r="528859" spans="21:21" x14ac:dyDescent="0.3">
      <c r="U528859" s="25"/>
    </row>
    <row r="528881" spans="21:21" x14ac:dyDescent="0.3">
      <c r="U528881" s="25"/>
    </row>
    <row r="528903" spans="21:21" x14ac:dyDescent="0.3">
      <c r="U528903" s="25"/>
    </row>
    <row r="528925" spans="21:21" x14ac:dyDescent="0.3">
      <c r="U528925" s="25"/>
    </row>
    <row r="528947" spans="21:21" x14ac:dyDescent="0.3">
      <c r="U528947" s="25"/>
    </row>
    <row r="528969" spans="21:21" x14ac:dyDescent="0.3">
      <c r="U528969" s="25"/>
    </row>
    <row r="528991" spans="21:21" x14ac:dyDescent="0.3">
      <c r="U528991" s="25"/>
    </row>
    <row r="529013" spans="21:21" x14ac:dyDescent="0.3">
      <c r="U529013" s="25"/>
    </row>
    <row r="529035" spans="21:21" x14ac:dyDescent="0.3">
      <c r="U529035" s="25"/>
    </row>
    <row r="529057" spans="21:21" x14ac:dyDescent="0.3">
      <c r="U529057" s="25"/>
    </row>
    <row r="529079" spans="21:21" x14ac:dyDescent="0.3">
      <c r="U529079" s="25"/>
    </row>
    <row r="529101" spans="21:21" x14ac:dyDescent="0.3">
      <c r="U529101" s="25"/>
    </row>
    <row r="529123" spans="21:21" x14ac:dyDescent="0.3">
      <c r="U529123" s="25"/>
    </row>
    <row r="529145" spans="21:21" x14ac:dyDescent="0.3">
      <c r="U529145" s="25"/>
    </row>
    <row r="529167" spans="21:21" x14ac:dyDescent="0.3">
      <c r="U529167" s="25"/>
    </row>
    <row r="529189" spans="21:21" x14ac:dyDescent="0.3">
      <c r="U529189" s="25"/>
    </row>
    <row r="529211" spans="21:21" x14ac:dyDescent="0.3">
      <c r="U529211" s="25"/>
    </row>
    <row r="529233" spans="21:21" x14ac:dyDescent="0.3">
      <c r="U529233" s="25"/>
    </row>
    <row r="529255" spans="21:21" x14ac:dyDescent="0.3">
      <c r="U529255" s="25"/>
    </row>
    <row r="529277" spans="21:21" x14ac:dyDescent="0.3">
      <c r="U529277" s="25"/>
    </row>
    <row r="529299" spans="21:21" x14ac:dyDescent="0.3">
      <c r="U529299" s="25"/>
    </row>
    <row r="529321" spans="21:21" x14ac:dyDescent="0.3">
      <c r="U529321" s="25"/>
    </row>
    <row r="529343" spans="21:21" x14ac:dyDescent="0.3">
      <c r="U529343" s="25"/>
    </row>
    <row r="529365" spans="21:21" x14ac:dyDescent="0.3">
      <c r="U529365" s="25"/>
    </row>
    <row r="529387" spans="21:21" x14ac:dyDescent="0.3">
      <c r="U529387" s="25"/>
    </row>
    <row r="529409" spans="21:21" x14ac:dyDescent="0.3">
      <c r="U529409" s="25"/>
    </row>
    <row r="529431" spans="21:21" x14ac:dyDescent="0.3">
      <c r="U529431" s="25"/>
    </row>
    <row r="529453" spans="21:21" x14ac:dyDescent="0.3">
      <c r="U529453" s="25"/>
    </row>
    <row r="529475" spans="21:21" x14ac:dyDescent="0.3">
      <c r="U529475" s="25"/>
    </row>
    <row r="529497" spans="21:21" x14ac:dyDescent="0.3">
      <c r="U529497" s="25"/>
    </row>
    <row r="529519" spans="21:21" x14ac:dyDescent="0.3">
      <c r="U529519" s="25"/>
    </row>
    <row r="529541" spans="21:21" x14ac:dyDescent="0.3">
      <c r="U529541" s="25"/>
    </row>
    <row r="529563" spans="21:21" x14ac:dyDescent="0.3">
      <c r="U529563" s="25"/>
    </row>
    <row r="529585" spans="21:21" x14ac:dyDescent="0.3">
      <c r="U529585" s="25"/>
    </row>
    <row r="529607" spans="21:21" x14ac:dyDescent="0.3">
      <c r="U529607" s="25"/>
    </row>
    <row r="529629" spans="21:21" x14ac:dyDescent="0.3">
      <c r="U529629" s="25"/>
    </row>
    <row r="529651" spans="21:21" x14ac:dyDescent="0.3">
      <c r="U529651" s="25"/>
    </row>
    <row r="529673" spans="21:21" x14ac:dyDescent="0.3">
      <c r="U529673" s="25"/>
    </row>
    <row r="529695" spans="21:21" x14ac:dyDescent="0.3">
      <c r="U529695" s="25"/>
    </row>
    <row r="529717" spans="21:21" x14ac:dyDescent="0.3">
      <c r="U529717" s="25"/>
    </row>
    <row r="529739" spans="21:21" x14ac:dyDescent="0.3">
      <c r="U529739" s="25"/>
    </row>
    <row r="529761" spans="21:21" x14ac:dyDescent="0.3">
      <c r="U529761" s="25"/>
    </row>
    <row r="529783" spans="21:21" x14ac:dyDescent="0.3">
      <c r="U529783" s="25"/>
    </row>
    <row r="529805" spans="21:21" x14ac:dyDescent="0.3">
      <c r="U529805" s="25"/>
    </row>
    <row r="529827" spans="21:21" x14ac:dyDescent="0.3">
      <c r="U529827" s="25"/>
    </row>
    <row r="529849" spans="21:21" x14ac:dyDescent="0.3">
      <c r="U529849" s="25"/>
    </row>
    <row r="529871" spans="21:21" x14ac:dyDescent="0.3">
      <c r="U529871" s="25"/>
    </row>
    <row r="529893" spans="21:21" x14ac:dyDescent="0.3">
      <c r="U529893" s="25"/>
    </row>
    <row r="529915" spans="21:21" x14ac:dyDescent="0.3">
      <c r="U529915" s="25"/>
    </row>
    <row r="529937" spans="21:21" x14ac:dyDescent="0.3">
      <c r="U529937" s="25"/>
    </row>
    <row r="529959" spans="21:21" x14ac:dyDescent="0.3">
      <c r="U529959" s="25"/>
    </row>
    <row r="529981" spans="21:21" x14ac:dyDescent="0.3">
      <c r="U529981" s="25"/>
    </row>
    <row r="530003" spans="21:21" x14ac:dyDescent="0.3">
      <c r="U530003" s="25"/>
    </row>
    <row r="530025" spans="21:21" x14ac:dyDescent="0.3">
      <c r="U530025" s="25"/>
    </row>
    <row r="530047" spans="21:21" x14ac:dyDescent="0.3">
      <c r="U530047" s="25"/>
    </row>
    <row r="530069" spans="21:21" x14ac:dyDescent="0.3">
      <c r="U530069" s="25"/>
    </row>
    <row r="530091" spans="21:21" x14ac:dyDescent="0.3">
      <c r="U530091" s="25"/>
    </row>
    <row r="530113" spans="21:21" x14ac:dyDescent="0.3">
      <c r="U530113" s="25"/>
    </row>
    <row r="530135" spans="21:21" x14ac:dyDescent="0.3">
      <c r="U530135" s="25"/>
    </row>
    <row r="530157" spans="21:21" x14ac:dyDescent="0.3">
      <c r="U530157" s="25"/>
    </row>
    <row r="530179" spans="21:21" x14ac:dyDescent="0.3">
      <c r="U530179" s="25"/>
    </row>
    <row r="530201" spans="21:21" x14ac:dyDescent="0.3">
      <c r="U530201" s="25"/>
    </row>
    <row r="530223" spans="21:21" x14ac:dyDescent="0.3">
      <c r="U530223" s="25"/>
    </row>
    <row r="530245" spans="21:21" x14ac:dyDescent="0.3">
      <c r="U530245" s="25"/>
    </row>
    <row r="530267" spans="21:21" x14ac:dyDescent="0.3">
      <c r="U530267" s="25"/>
    </row>
    <row r="530289" spans="21:21" x14ac:dyDescent="0.3">
      <c r="U530289" s="25"/>
    </row>
    <row r="530311" spans="21:21" x14ac:dyDescent="0.3">
      <c r="U530311" s="25"/>
    </row>
    <row r="530333" spans="21:21" x14ac:dyDescent="0.3">
      <c r="U530333" s="25"/>
    </row>
    <row r="530355" spans="21:21" x14ac:dyDescent="0.3">
      <c r="U530355" s="25"/>
    </row>
    <row r="530377" spans="21:21" x14ac:dyDescent="0.3">
      <c r="U530377" s="25"/>
    </row>
    <row r="530399" spans="21:21" x14ac:dyDescent="0.3">
      <c r="U530399" s="25"/>
    </row>
    <row r="530421" spans="21:21" x14ac:dyDescent="0.3">
      <c r="U530421" s="25"/>
    </row>
    <row r="530443" spans="21:21" x14ac:dyDescent="0.3">
      <c r="U530443" s="25"/>
    </row>
    <row r="530465" spans="21:21" x14ac:dyDescent="0.3">
      <c r="U530465" s="25"/>
    </row>
    <row r="530487" spans="21:21" x14ac:dyDescent="0.3">
      <c r="U530487" s="25"/>
    </row>
    <row r="530509" spans="21:21" x14ac:dyDescent="0.3">
      <c r="U530509" s="25"/>
    </row>
    <row r="530531" spans="21:21" x14ac:dyDescent="0.3">
      <c r="U530531" s="25"/>
    </row>
    <row r="530553" spans="21:21" x14ac:dyDescent="0.3">
      <c r="U530553" s="25"/>
    </row>
    <row r="530575" spans="21:21" x14ac:dyDescent="0.3">
      <c r="U530575" s="25"/>
    </row>
    <row r="530597" spans="21:21" x14ac:dyDescent="0.3">
      <c r="U530597" s="25"/>
    </row>
    <row r="530619" spans="21:21" x14ac:dyDescent="0.3">
      <c r="U530619" s="25"/>
    </row>
    <row r="530641" spans="21:21" x14ac:dyDescent="0.3">
      <c r="U530641" s="25"/>
    </row>
    <row r="530663" spans="21:21" x14ac:dyDescent="0.3">
      <c r="U530663" s="25"/>
    </row>
    <row r="530685" spans="21:21" x14ac:dyDescent="0.3">
      <c r="U530685" s="25"/>
    </row>
    <row r="530707" spans="21:21" x14ac:dyDescent="0.3">
      <c r="U530707" s="25"/>
    </row>
    <row r="530729" spans="21:21" x14ac:dyDescent="0.3">
      <c r="U530729" s="25"/>
    </row>
    <row r="530751" spans="21:21" x14ac:dyDescent="0.3">
      <c r="U530751" s="25"/>
    </row>
    <row r="530773" spans="21:21" x14ac:dyDescent="0.3">
      <c r="U530773" s="25"/>
    </row>
    <row r="530795" spans="21:21" x14ac:dyDescent="0.3">
      <c r="U530795" s="25"/>
    </row>
    <row r="530817" spans="21:21" x14ac:dyDescent="0.3">
      <c r="U530817" s="25"/>
    </row>
    <row r="530839" spans="21:21" x14ac:dyDescent="0.3">
      <c r="U530839" s="25"/>
    </row>
    <row r="530861" spans="21:21" x14ac:dyDescent="0.3">
      <c r="U530861" s="25"/>
    </row>
    <row r="530883" spans="21:21" x14ac:dyDescent="0.3">
      <c r="U530883" s="25"/>
    </row>
    <row r="530905" spans="21:21" x14ac:dyDescent="0.3">
      <c r="U530905" s="25"/>
    </row>
    <row r="530927" spans="21:21" x14ac:dyDescent="0.3">
      <c r="U530927" s="25"/>
    </row>
    <row r="530949" spans="21:21" x14ac:dyDescent="0.3">
      <c r="U530949" s="25"/>
    </row>
    <row r="530971" spans="21:21" x14ac:dyDescent="0.3">
      <c r="U530971" s="25"/>
    </row>
    <row r="530993" spans="21:21" x14ac:dyDescent="0.3">
      <c r="U530993" s="25"/>
    </row>
    <row r="531015" spans="21:21" x14ac:dyDescent="0.3">
      <c r="U531015" s="25"/>
    </row>
    <row r="531037" spans="21:21" x14ac:dyDescent="0.3">
      <c r="U531037" s="25"/>
    </row>
    <row r="531059" spans="21:21" x14ac:dyDescent="0.3">
      <c r="U531059" s="25"/>
    </row>
    <row r="531081" spans="21:21" x14ac:dyDescent="0.3">
      <c r="U531081" s="25"/>
    </row>
    <row r="531103" spans="21:21" x14ac:dyDescent="0.3">
      <c r="U531103" s="25"/>
    </row>
    <row r="531125" spans="21:21" x14ac:dyDescent="0.3">
      <c r="U531125" s="25"/>
    </row>
    <row r="531147" spans="21:21" x14ac:dyDescent="0.3">
      <c r="U531147" s="25"/>
    </row>
    <row r="531169" spans="21:21" x14ac:dyDescent="0.3">
      <c r="U531169" s="25"/>
    </row>
    <row r="531191" spans="21:21" x14ac:dyDescent="0.3">
      <c r="U531191" s="25"/>
    </row>
    <row r="531213" spans="21:21" x14ac:dyDescent="0.3">
      <c r="U531213" s="25"/>
    </row>
    <row r="531235" spans="21:21" x14ac:dyDescent="0.3">
      <c r="U531235" s="25"/>
    </row>
    <row r="531257" spans="21:21" x14ac:dyDescent="0.3">
      <c r="U531257" s="25"/>
    </row>
    <row r="531279" spans="21:21" x14ac:dyDescent="0.3">
      <c r="U531279" s="25"/>
    </row>
    <row r="531301" spans="21:21" x14ac:dyDescent="0.3">
      <c r="U531301" s="25"/>
    </row>
    <row r="531323" spans="21:21" x14ac:dyDescent="0.3">
      <c r="U531323" s="25"/>
    </row>
    <row r="531345" spans="21:21" x14ac:dyDescent="0.3">
      <c r="U531345" s="25"/>
    </row>
    <row r="531367" spans="21:21" x14ac:dyDescent="0.3">
      <c r="U531367" s="25"/>
    </row>
    <row r="531389" spans="21:21" x14ac:dyDescent="0.3">
      <c r="U531389" s="25"/>
    </row>
    <row r="531411" spans="21:21" x14ac:dyDescent="0.3">
      <c r="U531411" s="25"/>
    </row>
    <row r="531433" spans="21:21" x14ac:dyDescent="0.3">
      <c r="U531433" s="25"/>
    </row>
    <row r="531455" spans="21:21" x14ac:dyDescent="0.3">
      <c r="U531455" s="25"/>
    </row>
    <row r="531477" spans="21:21" x14ac:dyDescent="0.3">
      <c r="U531477" s="25"/>
    </row>
    <row r="531499" spans="21:21" x14ac:dyDescent="0.3">
      <c r="U531499" s="25"/>
    </row>
    <row r="531521" spans="21:21" x14ac:dyDescent="0.3">
      <c r="U531521" s="25"/>
    </row>
    <row r="531543" spans="21:21" x14ac:dyDescent="0.3">
      <c r="U531543" s="25"/>
    </row>
    <row r="531565" spans="21:21" x14ac:dyDescent="0.3">
      <c r="U531565" s="25"/>
    </row>
    <row r="531587" spans="21:21" x14ac:dyDescent="0.3">
      <c r="U531587" s="25"/>
    </row>
    <row r="531609" spans="21:21" x14ac:dyDescent="0.3">
      <c r="U531609" s="25"/>
    </row>
    <row r="531631" spans="21:21" x14ac:dyDescent="0.3">
      <c r="U531631" s="25"/>
    </row>
    <row r="531653" spans="21:21" x14ac:dyDescent="0.3">
      <c r="U531653" s="25"/>
    </row>
    <row r="531675" spans="21:21" x14ac:dyDescent="0.3">
      <c r="U531675" s="25"/>
    </row>
    <row r="531697" spans="21:21" x14ac:dyDescent="0.3">
      <c r="U531697" s="25"/>
    </row>
    <row r="531719" spans="21:21" x14ac:dyDescent="0.3">
      <c r="U531719" s="25"/>
    </row>
    <row r="531741" spans="21:21" x14ac:dyDescent="0.3">
      <c r="U531741" s="25"/>
    </row>
    <row r="531763" spans="21:21" x14ac:dyDescent="0.3">
      <c r="U531763" s="25"/>
    </row>
    <row r="531785" spans="21:21" x14ac:dyDescent="0.3">
      <c r="U531785" s="25"/>
    </row>
    <row r="531807" spans="21:21" x14ac:dyDescent="0.3">
      <c r="U531807" s="25"/>
    </row>
    <row r="531829" spans="21:21" x14ac:dyDescent="0.3">
      <c r="U531829" s="25"/>
    </row>
    <row r="531851" spans="21:21" x14ac:dyDescent="0.3">
      <c r="U531851" s="25"/>
    </row>
    <row r="531873" spans="21:21" x14ac:dyDescent="0.3">
      <c r="U531873" s="25"/>
    </row>
    <row r="531895" spans="21:21" x14ac:dyDescent="0.3">
      <c r="U531895" s="25"/>
    </row>
    <row r="531917" spans="21:21" x14ac:dyDescent="0.3">
      <c r="U531917" s="25"/>
    </row>
    <row r="531939" spans="21:21" x14ac:dyDescent="0.3">
      <c r="U531939" s="25"/>
    </row>
    <row r="531961" spans="21:21" x14ac:dyDescent="0.3">
      <c r="U531961" s="25"/>
    </row>
    <row r="531983" spans="21:21" x14ac:dyDescent="0.3">
      <c r="U531983" s="25"/>
    </row>
    <row r="532005" spans="21:21" x14ac:dyDescent="0.3">
      <c r="U532005" s="25"/>
    </row>
    <row r="532027" spans="21:21" x14ac:dyDescent="0.3">
      <c r="U532027" s="25"/>
    </row>
    <row r="532049" spans="21:21" x14ac:dyDescent="0.3">
      <c r="U532049" s="25"/>
    </row>
    <row r="532071" spans="21:21" x14ac:dyDescent="0.3">
      <c r="U532071" s="25"/>
    </row>
    <row r="532093" spans="21:21" x14ac:dyDescent="0.3">
      <c r="U532093" s="25"/>
    </row>
    <row r="532115" spans="21:21" x14ac:dyDescent="0.3">
      <c r="U532115" s="25"/>
    </row>
    <row r="532137" spans="21:21" x14ac:dyDescent="0.3">
      <c r="U532137" s="25"/>
    </row>
    <row r="532159" spans="21:21" x14ac:dyDescent="0.3">
      <c r="U532159" s="25"/>
    </row>
    <row r="532181" spans="21:21" x14ac:dyDescent="0.3">
      <c r="U532181" s="25"/>
    </row>
    <row r="532203" spans="21:21" x14ac:dyDescent="0.3">
      <c r="U532203" s="25"/>
    </row>
    <row r="532225" spans="21:21" x14ac:dyDescent="0.3">
      <c r="U532225" s="25"/>
    </row>
    <row r="532247" spans="21:21" x14ac:dyDescent="0.3">
      <c r="U532247" s="25"/>
    </row>
    <row r="532269" spans="21:21" x14ac:dyDescent="0.3">
      <c r="U532269" s="25"/>
    </row>
    <row r="532291" spans="21:21" x14ac:dyDescent="0.3">
      <c r="U532291" s="25"/>
    </row>
    <row r="532313" spans="21:21" x14ac:dyDescent="0.3">
      <c r="U532313" s="25"/>
    </row>
    <row r="532335" spans="21:21" x14ac:dyDescent="0.3">
      <c r="U532335" s="25"/>
    </row>
    <row r="532357" spans="21:21" x14ac:dyDescent="0.3">
      <c r="U532357" s="25"/>
    </row>
    <row r="532379" spans="21:21" x14ac:dyDescent="0.3">
      <c r="U532379" s="25"/>
    </row>
    <row r="532401" spans="21:21" x14ac:dyDescent="0.3">
      <c r="U532401" s="25"/>
    </row>
    <row r="532423" spans="21:21" x14ac:dyDescent="0.3">
      <c r="U532423" s="25"/>
    </row>
    <row r="532445" spans="21:21" x14ac:dyDescent="0.3">
      <c r="U532445" s="25"/>
    </row>
    <row r="532467" spans="21:21" x14ac:dyDescent="0.3">
      <c r="U532467" s="25"/>
    </row>
    <row r="532489" spans="21:21" x14ac:dyDescent="0.3">
      <c r="U532489" s="25"/>
    </row>
    <row r="532511" spans="21:21" x14ac:dyDescent="0.3">
      <c r="U532511" s="25"/>
    </row>
    <row r="532533" spans="21:21" x14ac:dyDescent="0.3">
      <c r="U532533" s="25"/>
    </row>
    <row r="532555" spans="21:21" x14ac:dyDescent="0.3">
      <c r="U532555" s="25"/>
    </row>
    <row r="532577" spans="21:21" x14ac:dyDescent="0.3">
      <c r="U532577" s="25"/>
    </row>
    <row r="532599" spans="21:21" x14ac:dyDescent="0.3">
      <c r="U532599" s="25"/>
    </row>
    <row r="532621" spans="21:21" x14ac:dyDescent="0.3">
      <c r="U532621" s="25"/>
    </row>
    <row r="532643" spans="21:21" x14ac:dyDescent="0.3">
      <c r="U532643" s="25"/>
    </row>
    <row r="532665" spans="21:21" x14ac:dyDescent="0.3">
      <c r="U532665" s="25"/>
    </row>
    <row r="532687" spans="21:21" x14ac:dyDescent="0.3">
      <c r="U532687" s="25"/>
    </row>
    <row r="532709" spans="21:21" x14ac:dyDescent="0.3">
      <c r="U532709" s="25"/>
    </row>
    <row r="532731" spans="21:21" x14ac:dyDescent="0.3">
      <c r="U532731" s="25"/>
    </row>
    <row r="532753" spans="21:21" x14ac:dyDescent="0.3">
      <c r="U532753" s="25"/>
    </row>
    <row r="532775" spans="21:21" x14ac:dyDescent="0.3">
      <c r="U532775" s="25"/>
    </row>
    <row r="532797" spans="21:21" x14ac:dyDescent="0.3">
      <c r="U532797" s="25"/>
    </row>
    <row r="532819" spans="21:21" x14ac:dyDescent="0.3">
      <c r="U532819" s="25"/>
    </row>
    <row r="532841" spans="21:21" x14ac:dyDescent="0.3">
      <c r="U532841" s="25"/>
    </row>
    <row r="532863" spans="21:21" x14ac:dyDescent="0.3">
      <c r="U532863" s="25"/>
    </row>
    <row r="532885" spans="21:21" x14ac:dyDescent="0.3">
      <c r="U532885" s="25"/>
    </row>
    <row r="532907" spans="21:21" x14ac:dyDescent="0.3">
      <c r="U532907" s="25"/>
    </row>
    <row r="532929" spans="21:21" x14ac:dyDescent="0.3">
      <c r="U532929" s="25"/>
    </row>
    <row r="532951" spans="21:21" x14ac:dyDescent="0.3">
      <c r="U532951" s="25"/>
    </row>
    <row r="532973" spans="21:21" x14ac:dyDescent="0.3">
      <c r="U532973" s="25"/>
    </row>
    <row r="532995" spans="21:21" x14ac:dyDescent="0.3">
      <c r="U532995" s="25"/>
    </row>
    <row r="533017" spans="21:21" x14ac:dyDescent="0.3">
      <c r="U533017" s="25"/>
    </row>
    <row r="533039" spans="21:21" x14ac:dyDescent="0.3">
      <c r="U533039" s="25"/>
    </row>
    <row r="533061" spans="21:21" x14ac:dyDescent="0.3">
      <c r="U533061" s="25"/>
    </row>
    <row r="533083" spans="21:21" x14ac:dyDescent="0.3">
      <c r="U533083" s="25"/>
    </row>
    <row r="533105" spans="21:21" x14ac:dyDescent="0.3">
      <c r="U533105" s="25"/>
    </row>
    <row r="533127" spans="21:21" x14ac:dyDescent="0.3">
      <c r="U533127" s="25"/>
    </row>
    <row r="533149" spans="21:21" x14ac:dyDescent="0.3">
      <c r="U533149" s="25"/>
    </row>
    <row r="533171" spans="21:21" x14ac:dyDescent="0.3">
      <c r="U533171" s="25"/>
    </row>
    <row r="533193" spans="21:21" x14ac:dyDescent="0.3">
      <c r="U533193" s="25"/>
    </row>
    <row r="533215" spans="21:21" x14ac:dyDescent="0.3">
      <c r="U533215" s="25"/>
    </row>
    <row r="533237" spans="21:21" x14ac:dyDescent="0.3">
      <c r="U533237" s="25"/>
    </row>
    <row r="533259" spans="21:21" x14ac:dyDescent="0.3">
      <c r="U533259" s="25"/>
    </row>
    <row r="533281" spans="21:21" x14ac:dyDescent="0.3">
      <c r="U533281" s="25"/>
    </row>
    <row r="533303" spans="21:21" x14ac:dyDescent="0.3">
      <c r="U533303" s="25"/>
    </row>
    <row r="533325" spans="21:21" x14ac:dyDescent="0.3">
      <c r="U533325" s="25"/>
    </row>
    <row r="533347" spans="21:21" x14ac:dyDescent="0.3">
      <c r="U533347" s="25"/>
    </row>
    <row r="533369" spans="21:21" x14ac:dyDescent="0.3">
      <c r="U533369" s="25"/>
    </row>
    <row r="533391" spans="21:21" x14ac:dyDescent="0.3">
      <c r="U533391" s="25"/>
    </row>
    <row r="533413" spans="21:21" x14ac:dyDescent="0.3">
      <c r="U533413" s="25"/>
    </row>
    <row r="533435" spans="21:21" x14ac:dyDescent="0.3">
      <c r="U533435" s="25"/>
    </row>
    <row r="533457" spans="21:21" x14ac:dyDescent="0.3">
      <c r="U533457" s="25"/>
    </row>
    <row r="533479" spans="21:21" x14ac:dyDescent="0.3">
      <c r="U533479" s="25"/>
    </row>
    <row r="533501" spans="21:21" x14ac:dyDescent="0.3">
      <c r="U533501" s="25"/>
    </row>
    <row r="533523" spans="21:21" x14ac:dyDescent="0.3">
      <c r="U533523" s="25"/>
    </row>
    <row r="533545" spans="21:21" x14ac:dyDescent="0.3">
      <c r="U533545" s="25"/>
    </row>
    <row r="533567" spans="21:21" x14ac:dyDescent="0.3">
      <c r="U533567" s="25"/>
    </row>
    <row r="533589" spans="21:21" x14ac:dyDescent="0.3">
      <c r="U533589" s="25"/>
    </row>
    <row r="533611" spans="21:21" x14ac:dyDescent="0.3">
      <c r="U533611" s="25"/>
    </row>
    <row r="533633" spans="21:21" x14ac:dyDescent="0.3">
      <c r="U533633" s="25"/>
    </row>
    <row r="533655" spans="21:21" x14ac:dyDescent="0.3">
      <c r="U533655" s="25"/>
    </row>
    <row r="533677" spans="21:21" x14ac:dyDescent="0.3">
      <c r="U533677" s="25"/>
    </row>
    <row r="533699" spans="21:21" x14ac:dyDescent="0.3">
      <c r="U533699" s="25"/>
    </row>
    <row r="533721" spans="21:21" x14ac:dyDescent="0.3">
      <c r="U533721" s="25"/>
    </row>
    <row r="533743" spans="21:21" x14ac:dyDescent="0.3">
      <c r="U533743" s="25"/>
    </row>
    <row r="533765" spans="21:21" x14ac:dyDescent="0.3">
      <c r="U533765" s="25"/>
    </row>
    <row r="533787" spans="21:21" x14ac:dyDescent="0.3">
      <c r="U533787" s="25"/>
    </row>
    <row r="533809" spans="21:21" x14ac:dyDescent="0.3">
      <c r="U533809" s="25"/>
    </row>
    <row r="533831" spans="21:21" x14ac:dyDescent="0.3">
      <c r="U533831" s="25"/>
    </row>
    <row r="533853" spans="21:21" x14ac:dyDescent="0.3">
      <c r="U533853" s="25"/>
    </row>
    <row r="533875" spans="21:21" x14ac:dyDescent="0.3">
      <c r="U533875" s="25"/>
    </row>
    <row r="533897" spans="21:21" x14ac:dyDescent="0.3">
      <c r="U533897" s="25"/>
    </row>
    <row r="533919" spans="21:21" x14ac:dyDescent="0.3">
      <c r="U533919" s="25"/>
    </row>
    <row r="533941" spans="21:21" x14ac:dyDescent="0.3">
      <c r="U533941" s="25"/>
    </row>
    <row r="533963" spans="21:21" x14ac:dyDescent="0.3">
      <c r="U533963" s="25"/>
    </row>
    <row r="533985" spans="21:21" x14ac:dyDescent="0.3">
      <c r="U533985" s="25"/>
    </row>
    <row r="534007" spans="21:21" x14ac:dyDescent="0.3">
      <c r="U534007" s="25"/>
    </row>
    <row r="534029" spans="21:21" x14ac:dyDescent="0.3">
      <c r="U534029" s="25"/>
    </row>
    <row r="534051" spans="21:21" x14ac:dyDescent="0.3">
      <c r="U534051" s="25"/>
    </row>
    <row r="534073" spans="21:21" x14ac:dyDescent="0.3">
      <c r="U534073" s="25"/>
    </row>
    <row r="534095" spans="21:21" x14ac:dyDescent="0.3">
      <c r="U534095" s="25"/>
    </row>
    <row r="534117" spans="21:21" x14ac:dyDescent="0.3">
      <c r="U534117" s="25"/>
    </row>
    <row r="534139" spans="21:21" x14ac:dyDescent="0.3">
      <c r="U534139" s="25"/>
    </row>
    <row r="534161" spans="21:21" x14ac:dyDescent="0.3">
      <c r="U534161" s="25"/>
    </row>
    <row r="534183" spans="21:21" x14ac:dyDescent="0.3">
      <c r="U534183" s="25"/>
    </row>
    <row r="534205" spans="21:21" x14ac:dyDescent="0.3">
      <c r="U534205" s="25"/>
    </row>
    <row r="534227" spans="21:21" x14ac:dyDescent="0.3">
      <c r="U534227" s="25"/>
    </row>
    <row r="534249" spans="21:21" x14ac:dyDescent="0.3">
      <c r="U534249" s="25"/>
    </row>
    <row r="534271" spans="21:21" x14ac:dyDescent="0.3">
      <c r="U534271" s="25"/>
    </row>
    <row r="534293" spans="21:21" x14ac:dyDescent="0.3">
      <c r="U534293" s="25"/>
    </row>
    <row r="534315" spans="21:21" x14ac:dyDescent="0.3">
      <c r="U534315" s="25"/>
    </row>
    <row r="534337" spans="21:21" x14ac:dyDescent="0.3">
      <c r="U534337" s="25"/>
    </row>
    <row r="534359" spans="21:21" x14ac:dyDescent="0.3">
      <c r="U534359" s="25"/>
    </row>
    <row r="534381" spans="21:21" x14ac:dyDescent="0.3">
      <c r="U534381" s="25"/>
    </row>
    <row r="534403" spans="21:21" x14ac:dyDescent="0.3">
      <c r="U534403" s="25"/>
    </row>
    <row r="534425" spans="21:21" x14ac:dyDescent="0.3">
      <c r="U534425" s="25"/>
    </row>
    <row r="534447" spans="21:21" x14ac:dyDescent="0.3">
      <c r="U534447" s="25"/>
    </row>
    <row r="534469" spans="21:21" x14ac:dyDescent="0.3">
      <c r="U534469" s="25"/>
    </row>
    <row r="534491" spans="21:21" x14ac:dyDescent="0.3">
      <c r="U534491" s="25"/>
    </row>
    <row r="534513" spans="21:21" x14ac:dyDescent="0.3">
      <c r="U534513" s="25"/>
    </row>
    <row r="534535" spans="21:21" x14ac:dyDescent="0.3">
      <c r="U534535" s="25"/>
    </row>
    <row r="534557" spans="21:21" x14ac:dyDescent="0.3">
      <c r="U534557" s="25"/>
    </row>
    <row r="534579" spans="21:21" x14ac:dyDescent="0.3">
      <c r="U534579" s="25"/>
    </row>
    <row r="534601" spans="21:21" x14ac:dyDescent="0.3">
      <c r="U534601" s="25"/>
    </row>
    <row r="534623" spans="21:21" x14ac:dyDescent="0.3">
      <c r="U534623" s="25"/>
    </row>
    <row r="534645" spans="21:21" x14ac:dyDescent="0.3">
      <c r="U534645" s="25"/>
    </row>
    <row r="534667" spans="21:21" x14ac:dyDescent="0.3">
      <c r="U534667" s="25"/>
    </row>
    <row r="534689" spans="21:21" x14ac:dyDescent="0.3">
      <c r="U534689" s="25"/>
    </row>
    <row r="534711" spans="21:21" x14ac:dyDescent="0.3">
      <c r="U534711" s="25"/>
    </row>
    <row r="534733" spans="21:21" x14ac:dyDescent="0.3">
      <c r="U534733" s="25"/>
    </row>
    <row r="534755" spans="21:21" x14ac:dyDescent="0.3">
      <c r="U534755" s="25"/>
    </row>
    <row r="534777" spans="21:21" x14ac:dyDescent="0.3">
      <c r="U534777" s="25"/>
    </row>
    <row r="534799" spans="21:21" x14ac:dyDescent="0.3">
      <c r="U534799" s="25"/>
    </row>
    <row r="534821" spans="21:21" x14ac:dyDescent="0.3">
      <c r="U534821" s="25"/>
    </row>
    <row r="534843" spans="21:21" x14ac:dyDescent="0.3">
      <c r="U534843" s="25"/>
    </row>
    <row r="534865" spans="21:21" x14ac:dyDescent="0.3">
      <c r="U534865" s="25"/>
    </row>
    <row r="534887" spans="21:21" x14ac:dyDescent="0.3">
      <c r="U534887" s="25"/>
    </row>
    <row r="534909" spans="21:21" x14ac:dyDescent="0.3">
      <c r="U534909" s="25"/>
    </row>
    <row r="534931" spans="21:21" x14ac:dyDescent="0.3">
      <c r="U534931" s="25"/>
    </row>
    <row r="534953" spans="21:21" x14ac:dyDescent="0.3">
      <c r="U534953" s="25"/>
    </row>
    <row r="534975" spans="21:21" x14ac:dyDescent="0.3">
      <c r="U534975" s="25"/>
    </row>
    <row r="534997" spans="21:21" x14ac:dyDescent="0.3">
      <c r="U534997" s="25"/>
    </row>
    <row r="535019" spans="21:21" x14ac:dyDescent="0.3">
      <c r="U535019" s="25"/>
    </row>
    <row r="535041" spans="21:21" x14ac:dyDescent="0.3">
      <c r="U535041" s="25"/>
    </row>
    <row r="535063" spans="21:21" x14ac:dyDescent="0.3">
      <c r="U535063" s="25"/>
    </row>
    <row r="535085" spans="21:21" x14ac:dyDescent="0.3">
      <c r="U535085" s="25"/>
    </row>
    <row r="535107" spans="21:21" x14ac:dyDescent="0.3">
      <c r="U535107" s="25"/>
    </row>
    <row r="535129" spans="21:21" x14ac:dyDescent="0.3">
      <c r="U535129" s="25"/>
    </row>
    <row r="535151" spans="21:21" x14ac:dyDescent="0.3">
      <c r="U535151" s="25"/>
    </row>
    <row r="535173" spans="21:21" x14ac:dyDescent="0.3">
      <c r="U535173" s="25"/>
    </row>
    <row r="535195" spans="21:21" x14ac:dyDescent="0.3">
      <c r="U535195" s="25"/>
    </row>
    <row r="535217" spans="21:21" x14ac:dyDescent="0.3">
      <c r="U535217" s="25"/>
    </row>
    <row r="535239" spans="21:21" x14ac:dyDescent="0.3">
      <c r="U535239" s="25"/>
    </row>
    <row r="535261" spans="21:21" x14ac:dyDescent="0.3">
      <c r="U535261" s="25"/>
    </row>
    <row r="535283" spans="21:21" x14ac:dyDescent="0.3">
      <c r="U535283" s="25"/>
    </row>
    <row r="535305" spans="21:21" x14ac:dyDescent="0.3">
      <c r="U535305" s="25"/>
    </row>
    <row r="535327" spans="21:21" x14ac:dyDescent="0.3">
      <c r="U535327" s="25"/>
    </row>
    <row r="535349" spans="21:21" x14ac:dyDescent="0.3">
      <c r="U535349" s="25"/>
    </row>
    <row r="535371" spans="21:21" x14ac:dyDescent="0.3">
      <c r="U535371" s="25"/>
    </row>
    <row r="535393" spans="21:21" x14ac:dyDescent="0.3">
      <c r="U535393" s="25"/>
    </row>
    <row r="535415" spans="21:21" x14ac:dyDescent="0.3">
      <c r="U535415" s="25"/>
    </row>
    <row r="535437" spans="21:21" x14ac:dyDescent="0.3">
      <c r="U535437" s="25"/>
    </row>
    <row r="535459" spans="21:21" x14ac:dyDescent="0.3">
      <c r="U535459" s="25"/>
    </row>
    <row r="535481" spans="21:21" x14ac:dyDescent="0.3">
      <c r="U535481" s="25"/>
    </row>
    <row r="535503" spans="21:21" x14ac:dyDescent="0.3">
      <c r="U535503" s="25"/>
    </row>
    <row r="535525" spans="21:21" x14ac:dyDescent="0.3">
      <c r="U535525" s="25"/>
    </row>
    <row r="535547" spans="21:21" x14ac:dyDescent="0.3">
      <c r="U535547" s="25"/>
    </row>
    <row r="535569" spans="21:21" x14ac:dyDescent="0.3">
      <c r="U535569" s="25"/>
    </row>
    <row r="535591" spans="21:21" x14ac:dyDescent="0.3">
      <c r="U535591" s="25"/>
    </row>
    <row r="535613" spans="21:21" x14ac:dyDescent="0.3">
      <c r="U535613" s="25"/>
    </row>
    <row r="535635" spans="21:21" x14ac:dyDescent="0.3">
      <c r="U535635" s="25"/>
    </row>
    <row r="535657" spans="21:21" x14ac:dyDescent="0.3">
      <c r="U535657" s="25"/>
    </row>
    <row r="535679" spans="21:21" x14ac:dyDescent="0.3">
      <c r="U535679" s="25"/>
    </row>
    <row r="535701" spans="21:21" x14ac:dyDescent="0.3">
      <c r="U535701" s="25"/>
    </row>
    <row r="535723" spans="21:21" x14ac:dyDescent="0.3">
      <c r="U535723" s="25"/>
    </row>
    <row r="535745" spans="21:21" x14ac:dyDescent="0.3">
      <c r="U535745" s="25"/>
    </row>
    <row r="535767" spans="21:21" x14ac:dyDescent="0.3">
      <c r="U535767" s="25"/>
    </row>
    <row r="535789" spans="21:21" x14ac:dyDescent="0.3">
      <c r="U535789" s="25"/>
    </row>
    <row r="535811" spans="21:21" x14ac:dyDescent="0.3">
      <c r="U535811" s="25"/>
    </row>
    <row r="535833" spans="21:21" x14ac:dyDescent="0.3">
      <c r="U535833" s="25"/>
    </row>
    <row r="535855" spans="21:21" x14ac:dyDescent="0.3">
      <c r="U535855" s="25"/>
    </row>
    <row r="535877" spans="21:21" x14ac:dyDescent="0.3">
      <c r="U535877" s="25"/>
    </row>
    <row r="535899" spans="21:21" x14ac:dyDescent="0.3">
      <c r="U535899" s="25"/>
    </row>
    <row r="535921" spans="21:21" x14ac:dyDescent="0.3">
      <c r="U535921" s="25"/>
    </row>
    <row r="535943" spans="21:21" x14ac:dyDescent="0.3">
      <c r="U535943" s="25"/>
    </row>
    <row r="535965" spans="21:21" x14ac:dyDescent="0.3">
      <c r="U535965" s="25"/>
    </row>
    <row r="535987" spans="21:21" x14ac:dyDescent="0.3">
      <c r="U535987" s="25"/>
    </row>
    <row r="536009" spans="21:21" x14ac:dyDescent="0.3">
      <c r="U536009" s="25"/>
    </row>
    <row r="536031" spans="21:21" x14ac:dyDescent="0.3">
      <c r="U536031" s="25"/>
    </row>
    <row r="536053" spans="21:21" x14ac:dyDescent="0.3">
      <c r="U536053" s="25"/>
    </row>
    <row r="536075" spans="21:21" x14ac:dyDescent="0.3">
      <c r="U536075" s="25"/>
    </row>
    <row r="536097" spans="21:21" x14ac:dyDescent="0.3">
      <c r="U536097" s="25"/>
    </row>
    <row r="536119" spans="21:21" x14ac:dyDescent="0.3">
      <c r="U536119" s="25"/>
    </row>
    <row r="536141" spans="21:21" x14ac:dyDescent="0.3">
      <c r="U536141" s="25"/>
    </row>
    <row r="536163" spans="21:21" x14ac:dyDescent="0.3">
      <c r="U536163" s="25"/>
    </row>
    <row r="536185" spans="21:21" x14ac:dyDescent="0.3">
      <c r="U536185" s="25"/>
    </row>
    <row r="536207" spans="21:21" x14ac:dyDescent="0.3">
      <c r="U536207" s="25"/>
    </row>
    <row r="536229" spans="21:21" x14ac:dyDescent="0.3">
      <c r="U536229" s="25"/>
    </row>
    <row r="536251" spans="21:21" x14ac:dyDescent="0.3">
      <c r="U536251" s="25"/>
    </row>
    <row r="536273" spans="21:21" x14ac:dyDescent="0.3">
      <c r="U536273" s="25"/>
    </row>
    <row r="536295" spans="21:21" x14ac:dyDescent="0.3">
      <c r="U536295" s="25"/>
    </row>
    <row r="536317" spans="21:21" x14ac:dyDescent="0.3">
      <c r="U536317" s="25"/>
    </row>
    <row r="536339" spans="21:21" x14ac:dyDescent="0.3">
      <c r="U536339" s="25"/>
    </row>
    <row r="536361" spans="21:21" x14ac:dyDescent="0.3">
      <c r="U536361" s="25"/>
    </row>
    <row r="536383" spans="21:21" x14ac:dyDescent="0.3">
      <c r="U536383" s="25"/>
    </row>
    <row r="536405" spans="21:21" x14ac:dyDescent="0.3">
      <c r="U536405" s="25"/>
    </row>
    <row r="536427" spans="21:21" x14ac:dyDescent="0.3">
      <c r="U536427" s="25"/>
    </row>
    <row r="536449" spans="21:21" x14ac:dyDescent="0.3">
      <c r="U536449" s="25"/>
    </row>
    <row r="536471" spans="21:21" x14ac:dyDescent="0.3">
      <c r="U536471" s="25"/>
    </row>
    <row r="536493" spans="21:21" x14ac:dyDescent="0.3">
      <c r="U536493" s="25"/>
    </row>
    <row r="536515" spans="21:21" x14ac:dyDescent="0.3">
      <c r="U536515" s="25"/>
    </row>
    <row r="536537" spans="21:21" x14ac:dyDescent="0.3">
      <c r="U536537" s="25"/>
    </row>
    <row r="536559" spans="21:21" x14ac:dyDescent="0.3">
      <c r="U536559" s="25"/>
    </row>
    <row r="536581" spans="21:21" x14ac:dyDescent="0.3">
      <c r="U536581" s="25"/>
    </row>
    <row r="536603" spans="21:21" x14ac:dyDescent="0.3">
      <c r="U536603" s="25"/>
    </row>
    <row r="536625" spans="21:21" x14ac:dyDescent="0.3">
      <c r="U536625" s="25"/>
    </row>
    <row r="536647" spans="21:21" x14ac:dyDescent="0.3">
      <c r="U536647" s="25"/>
    </row>
    <row r="536669" spans="21:21" x14ac:dyDescent="0.3">
      <c r="U536669" s="25"/>
    </row>
    <row r="536691" spans="21:21" x14ac:dyDescent="0.3">
      <c r="U536691" s="25"/>
    </row>
    <row r="536713" spans="21:21" x14ac:dyDescent="0.3">
      <c r="U536713" s="25"/>
    </row>
    <row r="536735" spans="21:21" x14ac:dyDescent="0.3">
      <c r="U536735" s="25"/>
    </row>
    <row r="536757" spans="21:21" x14ac:dyDescent="0.3">
      <c r="U536757" s="25"/>
    </row>
    <row r="536779" spans="21:21" x14ac:dyDescent="0.3">
      <c r="U536779" s="25"/>
    </row>
    <row r="536801" spans="21:21" x14ac:dyDescent="0.3">
      <c r="U536801" s="25"/>
    </row>
    <row r="536823" spans="21:21" x14ac:dyDescent="0.3">
      <c r="U536823" s="25"/>
    </row>
    <row r="536845" spans="21:21" x14ac:dyDescent="0.3">
      <c r="U536845" s="25"/>
    </row>
    <row r="536867" spans="21:21" x14ac:dyDescent="0.3">
      <c r="U536867" s="25"/>
    </row>
    <row r="536889" spans="21:21" x14ac:dyDescent="0.3">
      <c r="U536889" s="25"/>
    </row>
    <row r="536911" spans="21:21" x14ac:dyDescent="0.3">
      <c r="U536911" s="25"/>
    </row>
    <row r="536933" spans="21:21" x14ac:dyDescent="0.3">
      <c r="U536933" s="25"/>
    </row>
    <row r="536955" spans="21:21" x14ac:dyDescent="0.3">
      <c r="U536955" s="25"/>
    </row>
    <row r="536977" spans="21:21" x14ac:dyDescent="0.3">
      <c r="U536977" s="25"/>
    </row>
    <row r="536999" spans="21:21" x14ac:dyDescent="0.3">
      <c r="U536999" s="25"/>
    </row>
    <row r="537021" spans="21:21" x14ac:dyDescent="0.3">
      <c r="U537021" s="25"/>
    </row>
    <row r="537043" spans="21:21" x14ac:dyDescent="0.3">
      <c r="U537043" s="25"/>
    </row>
    <row r="537065" spans="21:21" x14ac:dyDescent="0.3">
      <c r="U537065" s="25"/>
    </row>
    <row r="537087" spans="21:21" x14ac:dyDescent="0.3">
      <c r="U537087" s="25"/>
    </row>
    <row r="537109" spans="21:21" x14ac:dyDescent="0.3">
      <c r="U537109" s="25"/>
    </row>
    <row r="537131" spans="21:21" x14ac:dyDescent="0.3">
      <c r="U537131" s="25"/>
    </row>
    <row r="537153" spans="21:21" x14ac:dyDescent="0.3">
      <c r="U537153" s="25"/>
    </row>
    <row r="537175" spans="21:21" x14ac:dyDescent="0.3">
      <c r="U537175" s="25"/>
    </row>
    <row r="537197" spans="21:21" x14ac:dyDescent="0.3">
      <c r="U537197" s="25"/>
    </row>
    <row r="537219" spans="21:21" x14ac:dyDescent="0.3">
      <c r="U537219" s="25"/>
    </row>
    <row r="537241" spans="21:21" x14ac:dyDescent="0.3">
      <c r="U537241" s="25"/>
    </row>
    <row r="537263" spans="21:21" x14ac:dyDescent="0.3">
      <c r="U537263" s="25"/>
    </row>
    <row r="537285" spans="21:21" x14ac:dyDescent="0.3">
      <c r="U537285" s="25"/>
    </row>
    <row r="537307" spans="21:21" x14ac:dyDescent="0.3">
      <c r="U537307" s="25"/>
    </row>
    <row r="537329" spans="21:21" x14ac:dyDescent="0.3">
      <c r="U537329" s="25"/>
    </row>
    <row r="537351" spans="21:21" x14ac:dyDescent="0.3">
      <c r="U537351" s="25"/>
    </row>
    <row r="537373" spans="21:21" x14ac:dyDescent="0.3">
      <c r="U537373" s="25"/>
    </row>
    <row r="537395" spans="21:21" x14ac:dyDescent="0.3">
      <c r="U537395" s="25"/>
    </row>
    <row r="537417" spans="21:21" x14ac:dyDescent="0.3">
      <c r="U537417" s="25"/>
    </row>
    <row r="537439" spans="21:21" x14ac:dyDescent="0.3">
      <c r="U537439" s="25"/>
    </row>
    <row r="537461" spans="21:21" x14ac:dyDescent="0.3">
      <c r="U537461" s="25"/>
    </row>
    <row r="537483" spans="21:21" x14ac:dyDescent="0.3">
      <c r="U537483" s="25"/>
    </row>
    <row r="537505" spans="21:21" x14ac:dyDescent="0.3">
      <c r="U537505" s="25"/>
    </row>
    <row r="537527" spans="21:21" x14ac:dyDescent="0.3">
      <c r="U537527" s="25"/>
    </row>
    <row r="537549" spans="21:21" x14ac:dyDescent="0.3">
      <c r="U537549" s="25"/>
    </row>
    <row r="537571" spans="21:21" x14ac:dyDescent="0.3">
      <c r="U537571" s="25"/>
    </row>
    <row r="537593" spans="21:21" x14ac:dyDescent="0.3">
      <c r="U537593" s="25"/>
    </row>
    <row r="537615" spans="21:21" x14ac:dyDescent="0.3">
      <c r="U537615" s="25"/>
    </row>
    <row r="537637" spans="21:21" x14ac:dyDescent="0.3">
      <c r="U537637" s="25"/>
    </row>
    <row r="537659" spans="21:21" x14ac:dyDescent="0.3">
      <c r="U537659" s="25"/>
    </row>
    <row r="537681" spans="21:21" x14ac:dyDescent="0.3">
      <c r="U537681" s="25"/>
    </row>
    <row r="537703" spans="21:21" x14ac:dyDescent="0.3">
      <c r="U537703" s="25"/>
    </row>
    <row r="537725" spans="21:21" x14ac:dyDescent="0.3">
      <c r="U537725" s="25"/>
    </row>
    <row r="537747" spans="21:21" x14ac:dyDescent="0.3">
      <c r="U537747" s="25"/>
    </row>
    <row r="537769" spans="21:21" x14ac:dyDescent="0.3">
      <c r="U537769" s="25"/>
    </row>
    <row r="537791" spans="21:21" x14ac:dyDescent="0.3">
      <c r="U537791" s="25"/>
    </row>
    <row r="537813" spans="21:21" x14ac:dyDescent="0.3">
      <c r="U537813" s="25"/>
    </row>
    <row r="537835" spans="21:21" x14ac:dyDescent="0.3">
      <c r="U537835" s="25"/>
    </row>
    <row r="537857" spans="21:21" x14ac:dyDescent="0.3">
      <c r="U537857" s="25"/>
    </row>
    <row r="537879" spans="21:21" x14ac:dyDescent="0.3">
      <c r="U537879" s="25"/>
    </row>
    <row r="537901" spans="21:21" x14ac:dyDescent="0.3">
      <c r="U537901" s="25"/>
    </row>
    <row r="537923" spans="21:21" x14ac:dyDescent="0.3">
      <c r="U537923" s="25"/>
    </row>
    <row r="537945" spans="21:21" x14ac:dyDescent="0.3">
      <c r="U537945" s="25"/>
    </row>
    <row r="537967" spans="21:21" x14ac:dyDescent="0.3">
      <c r="U537967" s="25"/>
    </row>
    <row r="537989" spans="21:21" x14ac:dyDescent="0.3">
      <c r="U537989" s="25"/>
    </row>
    <row r="538011" spans="21:21" x14ac:dyDescent="0.3">
      <c r="U538011" s="25"/>
    </row>
    <row r="538033" spans="21:21" x14ac:dyDescent="0.3">
      <c r="U538033" s="25"/>
    </row>
    <row r="538055" spans="21:21" x14ac:dyDescent="0.3">
      <c r="U538055" s="25"/>
    </row>
    <row r="538077" spans="21:21" x14ac:dyDescent="0.3">
      <c r="U538077" s="25"/>
    </row>
    <row r="538099" spans="21:21" x14ac:dyDescent="0.3">
      <c r="U538099" s="25"/>
    </row>
    <row r="538121" spans="21:21" x14ac:dyDescent="0.3">
      <c r="U538121" s="25"/>
    </row>
    <row r="538143" spans="21:21" x14ac:dyDescent="0.3">
      <c r="U538143" s="25"/>
    </row>
    <row r="538165" spans="21:21" x14ac:dyDescent="0.3">
      <c r="U538165" s="25"/>
    </row>
    <row r="538187" spans="21:21" x14ac:dyDescent="0.3">
      <c r="U538187" s="25"/>
    </row>
    <row r="538209" spans="21:21" x14ac:dyDescent="0.3">
      <c r="U538209" s="25"/>
    </row>
    <row r="538231" spans="21:21" x14ac:dyDescent="0.3">
      <c r="U538231" s="25"/>
    </row>
    <row r="538253" spans="21:21" x14ac:dyDescent="0.3">
      <c r="U538253" s="25"/>
    </row>
    <row r="538275" spans="21:21" x14ac:dyDescent="0.3">
      <c r="U538275" s="25"/>
    </row>
    <row r="538297" spans="21:21" x14ac:dyDescent="0.3">
      <c r="U538297" s="25"/>
    </row>
    <row r="538319" spans="21:21" x14ac:dyDescent="0.3">
      <c r="U538319" s="25"/>
    </row>
    <row r="538341" spans="21:21" x14ac:dyDescent="0.3">
      <c r="U538341" s="25"/>
    </row>
    <row r="538363" spans="21:21" x14ac:dyDescent="0.3">
      <c r="U538363" s="25"/>
    </row>
    <row r="538385" spans="21:21" x14ac:dyDescent="0.3">
      <c r="U538385" s="25"/>
    </row>
    <row r="538407" spans="21:21" x14ac:dyDescent="0.3">
      <c r="U538407" s="25"/>
    </row>
    <row r="538429" spans="21:21" x14ac:dyDescent="0.3">
      <c r="U538429" s="25"/>
    </row>
    <row r="538451" spans="21:21" x14ac:dyDescent="0.3">
      <c r="U538451" s="25"/>
    </row>
    <row r="538473" spans="21:21" x14ac:dyDescent="0.3">
      <c r="U538473" s="25"/>
    </row>
    <row r="538495" spans="21:21" x14ac:dyDescent="0.3">
      <c r="U538495" s="25"/>
    </row>
    <row r="538517" spans="21:21" x14ac:dyDescent="0.3">
      <c r="U538517" s="25"/>
    </row>
    <row r="538539" spans="21:21" x14ac:dyDescent="0.3">
      <c r="U538539" s="25"/>
    </row>
    <row r="538561" spans="21:21" x14ac:dyDescent="0.3">
      <c r="U538561" s="25"/>
    </row>
    <row r="538583" spans="21:21" x14ac:dyDescent="0.3">
      <c r="U538583" s="25"/>
    </row>
    <row r="538605" spans="21:21" x14ac:dyDescent="0.3">
      <c r="U538605" s="25"/>
    </row>
    <row r="538627" spans="21:21" x14ac:dyDescent="0.3">
      <c r="U538627" s="25"/>
    </row>
    <row r="538649" spans="21:21" x14ac:dyDescent="0.3">
      <c r="U538649" s="25"/>
    </row>
    <row r="538671" spans="21:21" x14ac:dyDescent="0.3">
      <c r="U538671" s="25"/>
    </row>
    <row r="538693" spans="21:21" x14ac:dyDescent="0.3">
      <c r="U538693" s="25"/>
    </row>
    <row r="538715" spans="21:21" x14ac:dyDescent="0.3">
      <c r="U538715" s="25"/>
    </row>
    <row r="538737" spans="21:21" x14ac:dyDescent="0.3">
      <c r="U538737" s="25"/>
    </row>
    <row r="538759" spans="21:21" x14ac:dyDescent="0.3">
      <c r="U538759" s="25"/>
    </row>
    <row r="538781" spans="21:21" x14ac:dyDescent="0.3">
      <c r="U538781" s="25"/>
    </row>
    <row r="538803" spans="21:21" x14ac:dyDescent="0.3">
      <c r="U538803" s="25"/>
    </row>
    <row r="538825" spans="21:21" x14ac:dyDescent="0.3">
      <c r="U538825" s="25"/>
    </row>
    <row r="538847" spans="21:21" x14ac:dyDescent="0.3">
      <c r="U538847" s="25"/>
    </row>
    <row r="538869" spans="21:21" x14ac:dyDescent="0.3">
      <c r="U538869" s="25"/>
    </row>
    <row r="538891" spans="21:21" x14ac:dyDescent="0.3">
      <c r="U538891" s="25"/>
    </row>
    <row r="538913" spans="21:21" x14ac:dyDescent="0.3">
      <c r="U538913" s="25"/>
    </row>
    <row r="538935" spans="21:21" x14ac:dyDescent="0.3">
      <c r="U538935" s="25"/>
    </row>
    <row r="538957" spans="21:21" x14ac:dyDescent="0.3">
      <c r="U538957" s="25"/>
    </row>
    <row r="538979" spans="21:21" x14ac:dyDescent="0.3">
      <c r="U538979" s="25"/>
    </row>
    <row r="539001" spans="21:21" x14ac:dyDescent="0.3">
      <c r="U539001" s="25"/>
    </row>
    <row r="539023" spans="21:21" x14ac:dyDescent="0.3">
      <c r="U539023" s="25"/>
    </row>
    <row r="539045" spans="21:21" x14ac:dyDescent="0.3">
      <c r="U539045" s="25"/>
    </row>
    <row r="539067" spans="21:21" x14ac:dyDescent="0.3">
      <c r="U539067" s="25"/>
    </row>
    <row r="539089" spans="21:21" x14ac:dyDescent="0.3">
      <c r="U539089" s="25"/>
    </row>
    <row r="539111" spans="21:21" x14ac:dyDescent="0.3">
      <c r="U539111" s="25"/>
    </row>
    <row r="539133" spans="21:21" x14ac:dyDescent="0.3">
      <c r="U539133" s="25"/>
    </row>
    <row r="539155" spans="21:21" x14ac:dyDescent="0.3">
      <c r="U539155" s="25"/>
    </row>
    <row r="539177" spans="21:21" x14ac:dyDescent="0.3">
      <c r="U539177" s="25"/>
    </row>
    <row r="539199" spans="21:21" x14ac:dyDescent="0.3">
      <c r="U539199" s="25"/>
    </row>
    <row r="539221" spans="21:21" x14ac:dyDescent="0.3">
      <c r="U539221" s="25"/>
    </row>
    <row r="539243" spans="21:21" x14ac:dyDescent="0.3">
      <c r="U539243" s="25"/>
    </row>
    <row r="539265" spans="21:21" x14ac:dyDescent="0.3">
      <c r="U539265" s="25"/>
    </row>
    <row r="539287" spans="21:21" x14ac:dyDescent="0.3">
      <c r="U539287" s="25"/>
    </row>
    <row r="539309" spans="21:21" x14ac:dyDescent="0.3">
      <c r="U539309" s="25"/>
    </row>
    <row r="539331" spans="21:21" x14ac:dyDescent="0.3">
      <c r="U539331" s="25"/>
    </row>
    <row r="539353" spans="21:21" x14ac:dyDescent="0.3">
      <c r="U539353" s="25"/>
    </row>
    <row r="539375" spans="21:21" x14ac:dyDescent="0.3">
      <c r="U539375" s="25"/>
    </row>
    <row r="539397" spans="21:21" x14ac:dyDescent="0.3">
      <c r="U539397" s="25"/>
    </row>
    <row r="539419" spans="21:21" x14ac:dyDescent="0.3">
      <c r="U539419" s="25"/>
    </row>
    <row r="539441" spans="21:21" x14ac:dyDescent="0.3">
      <c r="U539441" s="25"/>
    </row>
    <row r="539463" spans="21:21" x14ac:dyDescent="0.3">
      <c r="U539463" s="25"/>
    </row>
    <row r="539485" spans="21:21" x14ac:dyDescent="0.3">
      <c r="U539485" s="25"/>
    </row>
    <row r="539507" spans="21:21" x14ac:dyDescent="0.3">
      <c r="U539507" s="25"/>
    </row>
    <row r="539529" spans="21:21" x14ac:dyDescent="0.3">
      <c r="U539529" s="25"/>
    </row>
    <row r="539551" spans="21:21" x14ac:dyDescent="0.3">
      <c r="U539551" s="25"/>
    </row>
    <row r="539573" spans="21:21" x14ac:dyDescent="0.3">
      <c r="U539573" s="25"/>
    </row>
    <row r="539595" spans="21:21" x14ac:dyDescent="0.3">
      <c r="U539595" s="25"/>
    </row>
    <row r="539617" spans="21:21" x14ac:dyDescent="0.3">
      <c r="U539617" s="25"/>
    </row>
    <row r="539639" spans="21:21" x14ac:dyDescent="0.3">
      <c r="U539639" s="25"/>
    </row>
    <row r="539661" spans="21:21" x14ac:dyDescent="0.3">
      <c r="U539661" s="25"/>
    </row>
    <row r="539683" spans="21:21" x14ac:dyDescent="0.3">
      <c r="U539683" s="25"/>
    </row>
    <row r="539705" spans="21:21" x14ac:dyDescent="0.3">
      <c r="U539705" s="25"/>
    </row>
    <row r="539727" spans="21:21" x14ac:dyDescent="0.3">
      <c r="U539727" s="25"/>
    </row>
    <row r="539749" spans="21:21" x14ac:dyDescent="0.3">
      <c r="U539749" s="25"/>
    </row>
    <row r="539771" spans="21:21" x14ac:dyDescent="0.3">
      <c r="U539771" s="25"/>
    </row>
    <row r="539793" spans="21:21" x14ac:dyDescent="0.3">
      <c r="U539793" s="25"/>
    </row>
    <row r="539815" spans="21:21" x14ac:dyDescent="0.3">
      <c r="U539815" s="25"/>
    </row>
    <row r="539837" spans="21:21" x14ac:dyDescent="0.3">
      <c r="U539837" s="25"/>
    </row>
    <row r="539859" spans="21:21" x14ac:dyDescent="0.3">
      <c r="U539859" s="25"/>
    </row>
    <row r="539881" spans="21:21" x14ac:dyDescent="0.3">
      <c r="U539881" s="25"/>
    </row>
    <row r="539903" spans="21:21" x14ac:dyDescent="0.3">
      <c r="U539903" s="25"/>
    </row>
    <row r="539925" spans="21:21" x14ac:dyDescent="0.3">
      <c r="U539925" s="25"/>
    </row>
    <row r="539947" spans="21:21" x14ac:dyDescent="0.3">
      <c r="U539947" s="25"/>
    </row>
    <row r="539969" spans="21:21" x14ac:dyDescent="0.3">
      <c r="U539969" s="25"/>
    </row>
    <row r="539991" spans="21:21" x14ac:dyDescent="0.3">
      <c r="U539991" s="25"/>
    </row>
    <row r="540013" spans="21:21" x14ac:dyDescent="0.3">
      <c r="U540013" s="25"/>
    </row>
    <row r="540035" spans="21:21" x14ac:dyDescent="0.3">
      <c r="U540035" s="25"/>
    </row>
    <row r="540057" spans="21:21" x14ac:dyDescent="0.3">
      <c r="U540057" s="25"/>
    </row>
    <row r="540079" spans="21:21" x14ac:dyDescent="0.3">
      <c r="U540079" s="25"/>
    </row>
    <row r="540101" spans="21:21" x14ac:dyDescent="0.3">
      <c r="U540101" s="25"/>
    </row>
    <row r="540123" spans="21:21" x14ac:dyDescent="0.3">
      <c r="U540123" s="25"/>
    </row>
    <row r="540145" spans="21:21" x14ac:dyDescent="0.3">
      <c r="U540145" s="25"/>
    </row>
    <row r="540167" spans="21:21" x14ac:dyDescent="0.3">
      <c r="U540167" s="25"/>
    </row>
    <row r="540189" spans="21:21" x14ac:dyDescent="0.3">
      <c r="U540189" s="25"/>
    </row>
    <row r="540211" spans="21:21" x14ac:dyDescent="0.3">
      <c r="U540211" s="25"/>
    </row>
    <row r="540233" spans="21:21" x14ac:dyDescent="0.3">
      <c r="U540233" s="25"/>
    </row>
    <row r="540255" spans="21:21" x14ac:dyDescent="0.3">
      <c r="U540255" s="25"/>
    </row>
    <row r="540277" spans="21:21" x14ac:dyDescent="0.3">
      <c r="U540277" s="25"/>
    </row>
    <row r="540299" spans="21:21" x14ac:dyDescent="0.3">
      <c r="U540299" s="25"/>
    </row>
    <row r="540321" spans="21:21" x14ac:dyDescent="0.3">
      <c r="U540321" s="25"/>
    </row>
    <row r="540343" spans="21:21" x14ac:dyDescent="0.3">
      <c r="U540343" s="25"/>
    </row>
    <row r="540365" spans="21:21" x14ac:dyDescent="0.3">
      <c r="U540365" s="25"/>
    </row>
    <row r="540387" spans="21:21" x14ac:dyDescent="0.3">
      <c r="U540387" s="25"/>
    </row>
    <row r="540409" spans="21:21" x14ac:dyDescent="0.3">
      <c r="U540409" s="25"/>
    </row>
    <row r="540431" spans="21:21" x14ac:dyDescent="0.3">
      <c r="U540431" s="25"/>
    </row>
    <row r="540453" spans="21:21" x14ac:dyDescent="0.3">
      <c r="U540453" s="25"/>
    </row>
    <row r="540475" spans="21:21" x14ac:dyDescent="0.3">
      <c r="U540475" s="25"/>
    </row>
    <row r="540497" spans="21:21" x14ac:dyDescent="0.3">
      <c r="U540497" s="25"/>
    </row>
    <row r="540519" spans="21:21" x14ac:dyDescent="0.3">
      <c r="U540519" s="25"/>
    </row>
    <row r="540541" spans="21:21" x14ac:dyDescent="0.3">
      <c r="U540541" s="25"/>
    </row>
    <row r="540563" spans="21:21" x14ac:dyDescent="0.3">
      <c r="U540563" s="25"/>
    </row>
    <row r="540585" spans="21:21" x14ac:dyDescent="0.3">
      <c r="U540585" s="25"/>
    </row>
    <row r="540607" spans="21:21" x14ac:dyDescent="0.3">
      <c r="U540607" s="25"/>
    </row>
    <row r="540629" spans="21:21" x14ac:dyDescent="0.3">
      <c r="U540629" s="25"/>
    </row>
    <row r="540651" spans="21:21" x14ac:dyDescent="0.3">
      <c r="U540651" s="25"/>
    </row>
    <row r="540673" spans="21:21" x14ac:dyDescent="0.3">
      <c r="U540673" s="25"/>
    </row>
    <row r="540695" spans="21:21" x14ac:dyDescent="0.3">
      <c r="U540695" s="25"/>
    </row>
    <row r="540717" spans="21:21" x14ac:dyDescent="0.3">
      <c r="U540717" s="25"/>
    </row>
    <row r="540739" spans="21:21" x14ac:dyDescent="0.3">
      <c r="U540739" s="25"/>
    </row>
    <row r="540761" spans="21:21" x14ac:dyDescent="0.3">
      <c r="U540761" s="25"/>
    </row>
    <row r="540783" spans="21:21" x14ac:dyDescent="0.3">
      <c r="U540783" s="25"/>
    </row>
    <row r="540805" spans="21:21" x14ac:dyDescent="0.3">
      <c r="U540805" s="25"/>
    </row>
    <row r="540827" spans="21:21" x14ac:dyDescent="0.3">
      <c r="U540827" s="25"/>
    </row>
    <row r="540849" spans="21:21" x14ac:dyDescent="0.3">
      <c r="U540849" s="25"/>
    </row>
    <row r="540871" spans="21:21" x14ac:dyDescent="0.3">
      <c r="U540871" s="25"/>
    </row>
    <row r="540893" spans="21:21" x14ac:dyDescent="0.3">
      <c r="U540893" s="25"/>
    </row>
    <row r="540915" spans="21:21" x14ac:dyDescent="0.3">
      <c r="U540915" s="25"/>
    </row>
    <row r="540937" spans="21:21" x14ac:dyDescent="0.3">
      <c r="U540937" s="25"/>
    </row>
    <row r="540959" spans="21:21" x14ac:dyDescent="0.3">
      <c r="U540959" s="25"/>
    </row>
    <row r="540981" spans="21:21" x14ac:dyDescent="0.3">
      <c r="U540981" s="25"/>
    </row>
    <row r="541003" spans="21:21" x14ac:dyDescent="0.3">
      <c r="U541003" s="25"/>
    </row>
    <row r="541025" spans="21:21" x14ac:dyDescent="0.3">
      <c r="U541025" s="25"/>
    </row>
    <row r="541047" spans="21:21" x14ac:dyDescent="0.3">
      <c r="U541047" s="25"/>
    </row>
    <row r="541069" spans="21:21" x14ac:dyDescent="0.3">
      <c r="U541069" s="25"/>
    </row>
    <row r="541091" spans="21:21" x14ac:dyDescent="0.3">
      <c r="U541091" s="25"/>
    </row>
    <row r="541113" spans="21:21" x14ac:dyDescent="0.3">
      <c r="U541113" s="25"/>
    </row>
    <row r="541135" spans="21:21" x14ac:dyDescent="0.3">
      <c r="U541135" s="25"/>
    </row>
    <row r="541157" spans="21:21" x14ac:dyDescent="0.3">
      <c r="U541157" s="25"/>
    </row>
    <row r="541179" spans="21:21" x14ac:dyDescent="0.3">
      <c r="U541179" s="25"/>
    </row>
    <row r="541201" spans="21:21" x14ac:dyDescent="0.3">
      <c r="U541201" s="25"/>
    </row>
    <row r="541223" spans="21:21" x14ac:dyDescent="0.3">
      <c r="U541223" s="25"/>
    </row>
    <row r="541245" spans="21:21" x14ac:dyDescent="0.3">
      <c r="U541245" s="25"/>
    </row>
    <row r="541267" spans="21:21" x14ac:dyDescent="0.3">
      <c r="U541267" s="25"/>
    </row>
    <row r="541289" spans="21:21" x14ac:dyDescent="0.3">
      <c r="U541289" s="25"/>
    </row>
    <row r="541311" spans="21:21" x14ac:dyDescent="0.3">
      <c r="U541311" s="25"/>
    </row>
    <row r="541333" spans="21:21" x14ac:dyDescent="0.3">
      <c r="U541333" s="25"/>
    </row>
    <row r="541355" spans="21:21" x14ac:dyDescent="0.3">
      <c r="U541355" s="25"/>
    </row>
    <row r="541377" spans="21:21" x14ac:dyDescent="0.3">
      <c r="U541377" s="25"/>
    </row>
    <row r="541399" spans="21:21" x14ac:dyDescent="0.3">
      <c r="U541399" s="25"/>
    </row>
    <row r="541421" spans="21:21" x14ac:dyDescent="0.3">
      <c r="U541421" s="25"/>
    </row>
    <row r="541443" spans="21:21" x14ac:dyDescent="0.3">
      <c r="U541443" s="25"/>
    </row>
    <row r="541465" spans="21:21" x14ac:dyDescent="0.3">
      <c r="U541465" s="25"/>
    </row>
    <row r="541487" spans="21:21" x14ac:dyDescent="0.3">
      <c r="U541487" s="25"/>
    </row>
    <row r="541509" spans="21:21" x14ac:dyDescent="0.3">
      <c r="U541509" s="25"/>
    </row>
    <row r="541531" spans="21:21" x14ac:dyDescent="0.3">
      <c r="U541531" s="25"/>
    </row>
    <row r="541553" spans="21:21" x14ac:dyDescent="0.3">
      <c r="U541553" s="25"/>
    </row>
    <row r="541575" spans="21:21" x14ac:dyDescent="0.3">
      <c r="U541575" s="25"/>
    </row>
    <row r="541597" spans="21:21" x14ac:dyDescent="0.3">
      <c r="U541597" s="25"/>
    </row>
    <row r="541619" spans="21:21" x14ac:dyDescent="0.3">
      <c r="U541619" s="25"/>
    </row>
    <row r="541641" spans="21:21" x14ac:dyDescent="0.3">
      <c r="U541641" s="25"/>
    </row>
    <row r="541663" spans="21:21" x14ac:dyDescent="0.3">
      <c r="U541663" s="25"/>
    </row>
    <row r="541685" spans="21:21" x14ac:dyDescent="0.3">
      <c r="U541685" s="25"/>
    </row>
    <row r="541707" spans="21:21" x14ac:dyDescent="0.3">
      <c r="U541707" s="25"/>
    </row>
    <row r="541729" spans="21:21" x14ac:dyDescent="0.3">
      <c r="U541729" s="25"/>
    </row>
    <row r="541751" spans="21:21" x14ac:dyDescent="0.3">
      <c r="U541751" s="25"/>
    </row>
    <row r="541773" spans="21:21" x14ac:dyDescent="0.3">
      <c r="U541773" s="25"/>
    </row>
    <row r="541795" spans="21:21" x14ac:dyDescent="0.3">
      <c r="U541795" s="25"/>
    </row>
    <row r="541817" spans="21:21" x14ac:dyDescent="0.3">
      <c r="U541817" s="25"/>
    </row>
    <row r="541839" spans="21:21" x14ac:dyDescent="0.3">
      <c r="U541839" s="25"/>
    </row>
    <row r="541861" spans="21:21" x14ac:dyDescent="0.3">
      <c r="U541861" s="25"/>
    </row>
    <row r="541883" spans="21:21" x14ac:dyDescent="0.3">
      <c r="U541883" s="25"/>
    </row>
    <row r="541905" spans="21:21" x14ac:dyDescent="0.3">
      <c r="U541905" s="25"/>
    </row>
    <row r="541927" spans="21:21" x14ac:dyDescent="0.3">
      <c r="U541927" s="25"/>
    </row>
    <row r="541949" spans="21:21" x14ac:dyDescent="0.3">
      <c r="U541949" s="25"/>
    </row>
    <row r="541971" spans="21:21" x14ac:dyDescent="0.3">
      <c r="U541971" s="25"/>
    </row>
    <row r="541993" spans="21:21" x14ac:dyDescent="0.3">
      <c r="U541993" s="25"/>
    </row>
    <row r="542015" spans="21:21" x14ac:dyDescent="0.3">
      <c r="U542015" s="25"/>
    </row>
    <row r="542037" spans="21:21" x14ac:dyDescent="0.3">
      <c r="U542037" s="25"/>
    </row>
    <row r="542059" spans="21:21" x14ac:dyDescent="0.3">
      <c r="U542059" s="25"/>
    </row>
    <row r="542081" spans="21:21" x14ac:dyDescent="0.3">
      <c r="U542081" s="25"/>
    </row>
    <row r="542103" spans="21:21" x14ac:dyDescent="0.3">
      <c r="U542103" s="25"/>
    </row>
    <row r="542125" spans="21:21" x14ac:dyDescent="0.3">
      <c r="U542125" s="25"/>
    </row>
    <row r="542147" spans="21:21" x14ac:dyDescent="0.3">
      <c r="U542147" s="25"/>
    </row>
    <row r="542169" spans="21:21" x14ac:dyDescent="0.3">
      <c r="U542169" s="25"/>
    </row>
    <row r="542191" spans="21:21" x14ac:dyDescent="0.3">
      <c r="U542191" s="25"/>
    </row>
    <row r="542213" spans="21:21" x14ac:dyDescent="0.3">
      <c r="U542213" s="25"/>
    </row>
    <row r="542235" spans="21:21" x14ac:dyDescent="0.3">
      <c r="U542235" s="25"/>
    </row>
    <row r="542257" spans="21:21" x14ac:dyDescent="0.3">
      <c r="U542257" s="25"/>
    </row>
    <row r="542279" spans="21:21" x14ac:dyDescent="0.3">
      <c r="U542279" s="25"/>
    </row>
    <row r="542301" spans="21:21" x14ac:dyDescent="0.3">
      <c r="U542301" s="25"/>
    </row>
    <row r="542323" spans="21:21" x14ac:dyDescent="0.3">
      <c r="U542323" s="25"/>
    </row>
    <row r="542345" spans="21:21" x14ac:dyDescent="0.3">
      <c r="U542345" s="25"/>
    </row>
    <row r="542367" spans="21:21" x14ac:dyDescent="0.3">
      <c r="U542367" s="25"/>
    </row>
    <row r="542389" spans="21:21" x14ac:dyDescent="0.3">
      <c r="U542389" s="25"/>
    </row>
    <row r="542411" spans="21:21" x14ac:dyDescent="0.3">
      <c r="U542411" s="25"/>
    </row>
    <row r="542433" spans="21:21" x14ac:dyDescent="0.3">
      <c r="U542433" s="25"/>
    </row>
    <row r="542455" spans="21:21" x14ac:dyDescent="0.3">
      <c r="U542455" s="25"/>
    </row>
    <row r="542477" spans="21:21" x14ac:dyDescent="0.3">
      <c r="U542477" s="25"/>
    </row>
    <row r="542499" spans="21:21" x14ac:dyDescent="0.3">
      <c r="U542499" s="25"/>
    </row>
    <row r="542521" spans="21:21" x14ac:dyDescent="0.3">
      <c r="U542521" s="25"/>
    </row>
    <row r="542543" spans="21:21" x14ac:dyDescent="0.3">
      <c r="U542543" s="25"/>
    </row>
    <row r="542565" spans="21:21" x14ac:dyDescent="0.3">
      <c r="U542565" s="25"/>
    </row>
    <row r="542587" spans="21:21" x14ac:dyDescent="0.3">
      <c r="U542587" s="25"/>
    </row>
    <row r="542609" spans="21:21" x14ac:dyDescent="0.3">
      <c r="U542609" s="25"/>
    </row>
    <row r="542631" spans="21:21" x14ac:dyDescent="0.3">
      <c r="U542631" s="25"/>
    </row>
    <row r="542653" spans="21:21" x14ac:dyDescent="0.3">
      <c r="U542653" s="25"/>
    </row>
    <row r="542675" spans="21:21" x14ac:dyDescent="0.3">
      <c r="U542675" s="25"/>
    </row>
    <row r="542697" spans="21:21" x14ac:dyDescent="0.3">
      <c r="U542697" s="25"/>
    </row>
    <row r="542719" spans="21:21" x14ac:dyDescent="0.3">
      <c r="U542719" s="25"/>
    </row>
    <row r="542741" spans="21:21" x14ac:dyDescent="0.3">
      <c r="U542741" s="25"/>
    </row>
    <row r="542763" spans="21:21" x14ac:dyDescent="0.3">
      <c r="U542763" s="25"/>
    </row>
    <row r="542785" spans="21:21" x14ac:dyDescent="0.3">
      <c r="U542785" s="25"/>
    </row>
    <row r="542807" spans="21:21" x14ac:dyDescent="0.3">
      <c r="U542807" s="25"/>
    </row>
    <row r="542829" spans="21:21" x14ac:dyDescent="0.3">
      <c r="U542829" s="25"/>
    </row>
    <row r="542851" spans="21:21" x14ac:dyDescent="0.3">
      <c r="U542851" s="25"/>
    </row>
    <row r="542873" spans="21:21" x14ac:dyDescent="0.3">
      <c r="U542873" s="25"/>
    </row>
    <row r="542895" spans="21:21" x14ac:dyDescent="0.3">
      <c r="U542895" s="25"/>
    </row>
    <row r="542917" spans="21:21" x14ac:dyDescent="0.3">
      <c r="U542917" s="25"/>
    </row>
    <row r="542939" spans="21:21" x14ac:dyDescent="0.3">
      <c r="U542939" s="25"/>
    </row>
    <row r="542961" spans="21:21" x14ac:dyDescent="0.3">
      <c r="U542961" s="25"/>
    </row>
    <row r="542983" spans="21:21" x14ac:dyDescent="0.3">
      <c r="U542983" s="25"/>
    </row>
    <row r="543005" spans="21:21" x14ac:dyDescent="0.3">
      <c r="U543005" s="25"/>
    </row>
    <row r="543027" spans="21:21" x14ac:dyDescent="0.3">
      <c r="U543027" s="25"/>
    </row>
    <row r="543049" spans="21:21" x14ac:dyDescent="0.3">
      <c r="U543049" s="25"/>
    </row>
    <row r="543071" spans="21:21" x14ac:dyDescent="0.3">
      <c r="U543071" s="25"/>
    </row>
    <row r="543093" spans="21:21" x14ac:dyDescent="0.3">
      <c r="U543093" s="25"/>
    </row>
    <row r="543115" spans="21:21" x14ac:dyDescent="0.3">
      <c r="U543115" s="25"/>
    </row>
    <row r="543137" spans="21:21" x14ac:dyDescent="0.3">
      <c r="U543137" s="25"/>
    </row>
    <row r="543159" spans="21:21" x14ac:dyDescent="0.3">
      <c r="U543159" s="25"/>
    </row>
    <row r="543181" spans="21:21" x14ac:dyDescent="0.3">
      <c r="U543181" s="25"/>
    </row>
    <row r="543203" spans="21:21" x14ac:dyDescent="0.3">
      <c r="U543203" s="25"/>
    </row>
    <row r="543225" spans="21:21" x14ac:dyDescent="0.3">
      <c r="U543225" s="25"/>
    </row>
    <row r="543247" spans="21:21" x14ac:dyDescent="0.3">
      <c r="U543247" s="25"/>
    </row>
    <row r="543269" spans="21:21" x14ac:dyDescent="0.3">
      <c r="U543269" s="25"/>
    </row>
    <row r="543291" spans="21:21" x14ac:dyDescent="0.3">
      <c r="U543291" s="25"/>
    </row>
    <row r="543313" spans="21:21" x14ac:dyDescent="0.3">
      <c r="U543313" s="25"/>
    </row>
    <row r="543335" spans="21:21" x14ac:dyDescent="0.3">
      <c r="U543335" s="25"/>
    </row>
    <row r="543357" spans="21:21" x14ac:dyDescent="0.3">
      <c r="U543357" s="25"/>
    </row>
    <row r="543379" spans="21:21" x14ac:dyDescent="0.3">
      <c r="U543379" s="25"/>
    </row>
    <row r="543401" spans="21:21" x14ac:dyDescent="0.3">
      <c r="U543401" s="25"/>
    </row>
    <row r="543423" spans="21:21" x14ac:dyDescent="0.3">
      <c r="U543423" s="25"/>
    </row>
    <row r="543445" spans="21:21" x14ac:dyDescent="0.3">
      <c r="U543445" s="25"/>
    </row>
    <row r="543467" spans="21:21" x14ac:dyDescent="0.3">
      <c r="U543467" s="25"/>
    </row>
    <row r="543489" spans="21:21" x14ac:dyDescent="0.3">
      <c r="U543489" s="25"/>
    </row>
    <row r="543511" spans="21:21" x14ac:dyDescent="0.3">
      <c r="U543511" s="25"/>
    </row>
    <row r="543533" spans="21:21" x14ac:dyDescent="0.3">
      <c r="U543533" s="25"/>
    </row>
    <row r="543555" spans="21:21" x14ac:dyDescent="0.3">
      <c r="U543555" s="25"/>
    </row>
    <row r="543577" spans="21:21" x14ac:dyDescent="0.3">
      <c r="U543577" s="25"/>
    </row>
    <row r="543599" spans="21:21" x14ac:dyDescent="0.3">
      <c r="U543599" s="25"/>
    </row>
    <row r="543621" spans="21:21" x14ac:dyDescent="0.3">
      <c r="U543621" s="25"/>
    </row>
    <row r="543643" spans="21:21" x14ac:dyDescent="0.3">
      <c r="U543643" s="25"/>
    </row>
    <row r="543665" spans="21:21" x14ac:dyDescent="0.3">
      <c r="U543665" s="25"/>
    </row>
    <row r="543687" spans="21:21" x14ac:dyDescent="0.3">
      <c r="U543687" s="25"/>
    </row>
    <row r="543709" spans="21:21" x14ac:dyDescent="0.3">
      <c r="U543709" s="25"/>
    </row>
    <row r="543731" spans="21:21" x14ac:dyDescent="0.3">
      <c r="U543731" s="25"/>
    </row>
    <row r="543753" spans="21:21" x14ac:dyDescent="0.3">
      <c r="U543753" s="25"/>
    </row>
    <row r="543775" spans="21:21" x14ac:dyDescent="0.3">
      <c r="U543775" s="25"/>
    </row>
    <row r="543797" spans="21:21" x14ac:dyDescent="0.3">
      <c r="U543797" s="25"/>
    </row>
    <row r="543819" spans="21:21" x14ac:dyDescent="0.3">
      <c r="U543819" s="25"/>
    </row>
    <row r="543841" spans="21:21" x14ac:dyDescent="0.3">
      <c r="U543841" s="25"/>
    </row>
    <row r="543863" spans="21:21" x14ac:dyDescent="0.3">
      <c r="U543863" s="25"/>
    </row>
    <row r="543885" spans="21:21" x14ac:dyDescent="0.3">
      <c r="U543885" s="25"/>
    </row>
    <row r="543907" spans="21:21" x14ac:dyDescent="0.3">
      <c r="U543907" s="25"/>
    </row>
    <row r="543929" spans="21:21" x14ac:dyDescent="0.3">
      <c r="U543929" s="25"/>
    </row>
    <row r="543951" spans="21:21" x14ac:dyDescent="0.3">
      <c r="U543951" s="25"/>
    </row>
    <row r="543973" spans="21:21" x14ac:dyDescent="0.3">
      <c r="U543973" s="25"/>
    </row>
    <row r="543995" spans="21:21" x14ac:dyDescent="0.3">
      <c r="U543995" s="25"/>
    </row>
    <row r="544017" spans="21:21" x14ac:dyDescent="0.3">
      <c r="U544017" s="25"/>
    </row>
    <row r="544039" spans="21:21" x14ac:dyDescent="0.3">
      <c r="U544039" s="25"/>
    </row>
    <row r="544061" spans="21:21" x14ac:dyDescent="0.3">
      <c r="U544061" s="25"/>
    </row>
    <row r="544083" spans="21:21" x14ac:dyDescent="0.3">
      <c r="U544083" s="25"/>
    </row>
    <row r="544105" spans="21:21" x14ac:dyDescent="0.3">
      <c r="U544105" s="25"/>
    </row>
    <row r="544127" spans="21:21" x14ac:dyDescent="0.3">
      <c r="U544127" s="25"/>
    </row>
    <row r="544149" spans="21:21" x14ac:dyDescent="0.3">
      <c r="U544149" s="25"/>
    </row>
    <row r="544171" spans="21:21" x14ac:dyDescent="0.3">
      <c r="U544171" s="25"/>
    </row>
    <row r="544193" spans="21:21" x14ac:dyDescent="0.3">
      <c r="U544193" s="25"/>
    </row>
    <row r="544215" spans="21:21" x14ac:dyDescent="0.3">
      <c r="U544215" s="25"/>
    </row>
    <row r="544237" spans="21:21" x14ac:dyDescent="0.3">
      <c r="U544237" s="25"/>
    </row>
    <row r="544259" spans="21:21" x14ac:dyDescent="0.3">
      <c r="U544259" s="25"/>
    </row>
    <row r="544281" spans="21:21" x14ac:dyDescent="0.3">
      <c r="U544281" s="25"/>
    </row>
    <row r="544303" spans="21:21" x14ac:dyDescent="0.3">
      <c r="U544303" s="25"/>
    </row>
    <row r="544325" spans="21:21" x14ac:dyDescent="0.3">
      <c r="U544325" s="25"/>
    </row>
    <row r="544347" spans="21:21" x14ac:dyDescent="0.3">
      <c r="U544347" s="25"/>
    </row>
    <row r="544369" spans="21:21" x14ac:dyDescent="0.3">
      <c r="U544369" s="25"/>
    </row>
    <row r="544391" spans="21:21" x14ac:dyDescent="0.3">
      <c r="U544391" s="25"/>
    </row>
    <row r="544413" spans="21:21" x14ac:dyDescent="0.3">
      <c r="U544413" s="25"/>
    </row>
    <row r="544435" spans="21:21" x14ac:dyDescent="0.3">
      <c r="U544435" s="25"/>
    </row>
    <row r="544457" spans="21:21" x14ac:dyDescent="0.3">
      <c r="U544457" s="25"/>
    </row>
    <row r="544479" spans="21:21" x14ac:dyDescent="0.3">
      <c r="U544479" s="25"/>
    </row>
    <row r="544501" spans="21:21" x14ac:dyDescent="0.3">
      <c r="U544501" s="25"/>
    </row>
    <row r="544523" spans="21:21" x14ac:dyDescent="0.3">
      <c r="U544523" s="25"/>
    </row>
    <row r="544545" spans="21:21" x14ac:dyDescent="0.3">
      <c r="U544545" s="25"/>
    </row>
    <row r="544567" spans="21:21" x14ac:dyDescent="0.3">
      <c r="U544567" s="25"/>
    </row>
    <row r="544589" spans="21:21" x14ac:dyDescent="0.3">
      <c r="U544589" s="25"/>
    </row>
    <row r="544611" spans="21:21" x14ac:dyDescent="0.3">
      <c r="U544611" s="25"/>
    </row>
    <row r="544633" spans="21:21" x14ac:dyDescent="0.3">
      <c r="U544633" s="25"/>
    </row>
    <row r="544655" spans="21:21" x14ac:dyDescent="0.3">
      <c r="U544655" s="25"/>
    </row>
    <row r="544677" spans="21:21" x14ac:dyDescent="0.3">
      <c r="U544677" s="25"/>
    </row>
    <row r="544699" spans="21:21" x14ac:dyDescent="0.3">
      <c r="U544699" s="25"/>
    </row>
    <row r="544721" spans="21:21" x14ac:dyDescent="0.3">
      <c r="U544721" s="25"/>
    </row>
    <row r="544743" spans="21:21" x14ac:dyDescent="0.3">
      <c r="U544743" s="25"/>
    </row>
    <row r="544765" spans="21:21" x14ac:dyDescent="0.3">
      <c r="U544765" s="25"/>
    </row>
    <row r="544787" spans="21:21" x14ac:dyDescent="0.3">
      <c r="U544787" s="25"/>
    </row>
    <row r="544809" spans="21:21" x14ac:dyDescent="0.3">
      <c r="U544809" s="25"/>
    </row>
    <row r="544831" spans="21:21" x14ac:dyDescent="0.3">
      <c r="U544831" s="25"/>
    </row>
    <row r="544853" spans="21:21" x14ac:dyDescent="0.3">
      <c r="U544853" s="25"/>
    </row>
    <row r="544875" spans="21:21" x14ac:dyDescent="0.3">
      <c r="U544875" s="25"/>
    </row>
    <row r="544897" spans="21:21" x14ac:dyDescent="0.3">
      <c r="U544897" s="25"/>
    </row>
    <row r="544919" spans="21:21" x14ac:dyDescent="0.3">
      <c r="U544919" s="25"/>
    </row>
    <row r="544941" spans="21:21" x14ac:dyDescent="0.3">
      <c r="U544941" s="25"/>
    </row>
    <row r="544963" spans="21:21" x14ac:dyDescent="0.3">
      <c r="U544963" s="25"/>
    </row>
    <row r="544985" spans="21:21" x14ac:dyDescent="0.3">
      <c r="U544985" s="25"/>
    </row>
    <row r="545007" spans="21:21" x14ac:dyDescent="0.3">
      <c r="U545007" s="25"/>
    </row>
    <row r="545029" spans="21:21" x14ac:dyDescent="0.3">
      <c r="U545029" s="25"/>
    </row>
    <row r="545051" spans="21:21" x14ac:dyDescent="0.3">
      <c r="U545051" s="25"/>
    </row>
    <row r="545073" spans="21:21" x14ac:dyDescent="0.3">
      <c r="U545073" s="25"/>
    </row>
    <row r="545095" spans="21:21" x14ac:dyDescent="0.3">
      <c r="U545095" s="25"/>
    </row>
    <row r="545117" spans="21:21" x14ac:dyDescent="0.3">
      <c r="U545117" s="25"/>
    </row>
    <row r="545139" spans="21:21" x14ac:dyDescent="0.3">
      <c r="U545139" s="25"/>
    </row>
    <row r="545161" spans="21:21" x14ac:dyDescent="0.3">
      <c r="U545161" s="25"/>
    </row>
    <row r="545183" spans="21:21" x14ac:dyDescent="0.3">
      <c r="U545183" s="25"/>
    </row>
    <row r="545205" spans="21:21" x14ac:dyDescent="0.3">
      <c r="U545205" s="25"/>
    </row>
    <row r="545227" spans="21:21" x14ac:dyDescent="0.3">
      <c r="U545227" s="25"/>
    </row>
    <row r="545249" spans="21:21" x14ac:dyDescent="0.3">
      <c r="U545249" s="25"/>
    </row>
    <row r="545271" spans="21:21" x14ac:dyDescent="0.3">
      <c r="U545271" s="25"/>
    </row>
    <row r="545293" spans="21:21" x14ac:dyDescent="0.3">
      <c r="U545293" s="25"/>
    </row>
    <row r="545315" spans="21:21" x14ac:dyDescent="0.3">
      <c r="U545315" s="25"/>
    </row>
    <row r="545337" spans="21:21" x14ac:dyDescent="0.3">
      <c r="U545337" s="25"/>
    </row>
    <row r="545359" spans="21:21" x14ac:dyDescent="0.3">
      <c r="U545359" s="25"/>
    </row>
    <row r="545381" spans="21:21" x14ac:dyDescent="0.3">
      <c r="U545381" s="25"/>
    </row>
    <row r="545403" spans="21:21" x14ac:dyDescent="0.3">
      <c r="U545403" s="25"/>
    </row>
    <row r="545425" spans="21:21" x14ac:dyDescent="0.3">
      <c r="U545425" s="25"/>
    </row>
    <row r="545447" spans="21:21" x14ac:dyDescent="0.3">
      <c r="U545447" s="25"/>
    </row>
    <row r="545469" spans="21:21" x14ac:dyDescent="0.3">
      <c r="U545469" s="25"/>
    </row>
    <row r="545491" spans="21:21" x14ac:dyDescent="0.3">
      <c r="U545491" s="25"/>
    </row>
    <row r="545513" spans="21:21" x14ac:dyDescent="0.3">
      <c r="U545513" s="25"/>
    </row>
    <row r="545535" spans="21:21" x14ac:dyDescent="0.3">
      <c r="U545535" s="25"/>
    </row>
    <row r="545557" spans="21:21" x14ac:dyDescent="0.3">
      <c r="U545557" s="25"/>
    </row>
    <row r="545579" spans="21:21" x14ac:dyDescent="0.3">
      <c r="U545579" s="25"/>
    </row>
    <row r="545601" spans="21:21" x14ac:dyDescent="0.3">
      <c r="U545601" s="25"/>
    </row>
    <row r="545623" spans="21:21" x14ac:dyDescent="0.3">
      <c r="U545623" s="25"/>
    </row>
    <row r="545645" spans="21:21" x14ac:dyDescent="0.3">
      <c r="U545645" s="25"/>
    </row>
    <row r="545667" spans="21:21" x14ac:dyDescent="0.3">
      <c r="U545667" s="25"/>
    </row>
    <row r="545689" spans="21:21" x14ac:dyDescent="0.3">
      <c r="U545689" s="25"/>
    </row>
    <row r="545711" spans="21:21" x14ac:dyDescent="0.3">
      <c r="U545711" s="25"/>
    </row>
    <row r="545733" spans="21:21" x14ac:dyDescent="0.3">
      <c r="U545733" s="25"/>
    </row>
    <row r="545755" spans="21:21" x14ac:dyDescent="0.3">
      <c r="U545755" s="25"/>
    </row>
    <row r="545777" spans="21:21" x14ac:dyDescent="0.3">
      <c r="U545777" s="25"/>
    </row>
    <row r="545799" spans="21:21" x14ac:dyDescent="0.3">
      <c r="U545799" s="25"/>
    </row>
    <row r="545821" spans="21:21" x14ac:dyDescent="0.3">
      <c r="U545821" s="25"/>
    </row>
    <row r="545843" spans="21:21" x14ac:dyDescent="0.3">
      <c r="U545843" s="25"/>
    </row>
    <row r="545865" spans="21:21" x14ac:dyDescent="0.3">
      <c r="U545865" s="25"/>
    </row>
    <row r="545887" spans="21:21" x14ac:dyDescent="0.3">
      <c r="U545887" s="25"/>
    </row>
    <row r="545909" spans="21:21" x14ac:dyDescent="0.3">
      <c r="U545909" s="25"/>
    </row>
    <row r="545931" spans="21:21" x14ac:dyDescent="0.3">
      <c r="U545931" s="25"/>
    </row>
    <row r="545953" spans="21:21" x14ac:dyDescent="0.3">
      <c r="U545953" s="25"/>
    </row>
    <row r="545975" spans="21:21" x14ac:dyDescent="0.3">
      <c r="U545975" s="25"/>
    </row>
    <row r="545997" spans="21:21" x14ac:dyDescent="0.3">
      <c r="U545997" s="25"/>
    </row>
    <row r="546019" spans="21:21" x14ac:dyDescent="0.3">
      <c r="U546019" s="25"/>
    </row>
    <row r="546041" spans="21:21" x14ac:dyDescent="0.3">
      <c r="U546041" s="25"/>
    </row>
    <row r="546063" spans="21:21" x14ac:dyDescent="0.3">
      <c r="U546063" s="25"/>
    </row>
    <row r="546085" spans="21:21" x14ac:dyDescent="0.3">
      <c r="U546085" s="25"/>
    </row>
    <row r="546107" spans="21:21" x14ac:dyDescent="0.3">
      <c r="U546107" s="25"/>
    </row>
    <row r="546129" spans="21:21" x14ac:dyDescent="0.3">
      <c r="U546129" s="25"/>
    </row>
    <row r="546151" spans="21:21" x14ac:dyDescent="0.3">
      <c r="U546151" s="25"/>
    </row>
    <row r="546173" spans="21:21" x14ac:dyDescent="0.3">
      <c r="U546173" s="25"/>
    </row>
    <row r="546195" spans="21:21" x14ac:dyDescent="0.3">
      <c r="U546195" s="25"/>
    </row>
    <row r="546217" spans="21:21" x14ac:dyDescent="0.3">
      <c r="U546217" s="25"/>
    </row>
    <row r="546239" spans="21:21" x14ac:dyDescent="0.3">
      <c r="U546239" s="25"/>
    </row>
    <row r="546261" spans="21:21" x14ac:dyDescent="0.3">
      <c r="U546261" s="25"/>
    </row>
    <row r="546283" spans="21:21" x14ac:dyDescent="0.3">
      <c r="U546283" s="25"/>
    </row>
    <row r="546305" spans="21:21" x14ac:dyDescent="0.3">
      <c r="U546305" s="25"/>
    </row>
    <row r="546327" spans="21:21" x14ac:dyDescent="0.3">
      <c r="U546327" s="25"/>
    </row>
    <row r="546349" spans="21:21" x14ac:dyDescent="0.3">
      <c r="U546349" s="25"/>
    </row>
    <row r="546371" spans="21:21" x14ac:dyDescent="0.3">
      <c r="U546371" s="25"/>
    </row>
    <row r="546393" spans="21:21" x14ac:dyDescent="0.3">
      <c r="U546393" s="25"/>
    </row>
    <row r="546415" spans="21:21" x14ac:dyDescent="0.3">
      <c r="U546415" s="25"/>
    </row>
    <row r="546437" spans="21:21" x14ac:dyDescent="0.3">
      <c r="U546437" s="25"/>
    </row>
    <row r="546459" spans="21:21" x14ac:dyDescent="0.3">
      <c r="U546459" s="25"/>
    </row>
    <row r="546481" spans="21:21" x14ac:dyDescent="0.3">
      <c r="U546481" s="25"/>
    </row>
    <row r="546503" spans="21:21" x14ac:dyDescent="0.3">
      <c r="U546503" s="25"/>
    </row>
    <row r="546525" spans="21:21" x14ac:dyDescent="0.3">
      <c r="U546525" s="25"/>
    </row>
    <row r="546547" spans="21:21" x14ac:dyDescent="0.3">
      <c r="U546547" s="25"/>
    </row>
    <row r="546569" spans="21:21" x14ac:dyDescent="0.3">
      <c r="U546569" s="25"/>
    </row>
    <row r="546591" spans="21:21" x14ac:dyDescent="0.3">
      <c r="U546591" s="25"/>
    </row>
    <row r="546613" spans="21:21" x14ac:dyDescent="0.3">
      <c r="U546613" s="25"/>
    </row>
    <row r="546635" spans="21:21" x14ac:dyDescent="0.3">
      <c r="U546635" s="25"/>
    </row>
    <row r="546657" spans="21:21" x14ac:dyDescent="0.3">
      <c r="U546657" s="25"/>
    </row>
    <row r="546679" spans="21:21" x14ac:dyDescent="0.3">
      <c r="U546679" s="25"/>
    </row>
    <row r="546701" spans="21:21" x14ac:dyDescent="0.3">
      <c r="U546701" s="25"/>
    </row>
    <row r="546723" spans="21:21" x14ac:dyDescent="0.3">
      <c r="U546723" s="25"/>
    </row>
    <row r="546745" spans="21:21" x14ac:dyDescent="0.3">
      <c r="U546745" s="25"/>
    </row>
    <row r="546767" spans="21:21" x14ac:dyDescent="0.3">
      <c r="U546767" s="25"/>
    </row>
    <row r="546789" spans="21:21" x14ac:dyDescent="0.3">
      <c r="U546789" s="25"/>
    </row>
    <row r="546811" spans="21:21" x14ac:dyDescent="0.3">
      <c r="U546811" s="25"/>
    </row>
    <row r="546833" spans="21:21" x14ac:dyDescent="0.3">
      <c r="U546833" s="25"/>
    </row>
    <row r="546855" spans="21:21" x14ac:dyDescent="0.3">
      <c r="U546855" s="25"/>
    </row>
    <row r="546877" spans="21:21" x14ac:dyDescent="0.3">
      <c r="U546877" s="25"/>
    </row>
    <row r="546899" spans="21:21" x14ac:dyDescent="0.3">
      <c r="U546899" s="25"/>
    </row>
    <row r="546921" spans="21:21" x14ac:dyDescent="0.3">
      <c r="U546921" s="25"/>
    </row>
    <row r="546943" spans="21:21" x14ac:dyDescent="0.3">
      <c r="U546943" s="25"/>
    </row>
    <row r="546965" spans="21:21" x14ac:dyDescent="0.3">
      <c r="U546965" s="25"/>
    </row>
    <row r="546987" spans="21:21" x14ac:dyDescent="0.3">
      <c r="U546987" s="25"/>
    </row>
    <row r="547009" spans="21:21" x14ac:dyDescent="0.3">
      <c r="U547009" s="25"/>
    </row>
    <row r="547031" spans="21:21" x14ac:dyDescent="0.3">
      <c r="U547031" s="25"/>
    </row>
    <row r="547053" spans="21:21" x14ac:dyDescent="0.3">
      <c r="U547053" s="25"/>
    </row>
    <row r="547075" spans="21:21" x14ac:dyDescent="0.3">
      <c r="U547075" s="25"/>
    </row>
    <row r="547097" spans="21:21" x14ac:dyDescent="0.3">
      <c r="U547097" s="25"/>
    </row>
    <row r="547119" spans="21:21" x14ac:dyDescent="0.3">
      <c r="U547119" s="25"/>
    </row>
    <row r="547141" spans="21:21" x14ac:dyDescent="0.3">
      <c r="U547141" s="25"/>
    </row>
    <row r="547163" spans="21:21" x14ac:dyDescent="0.3">
      <c r="U547163" s="25"/>
    </row>
    <row r="547185" spans="21:21" x14ac:dyDescent="0.3">
      <c r="U547185" s="25"/>
    </row>
    <row r="547207" spans="21:21" x14ac:dyDescent="0.3">
      <c r="U547207" s="25"/>
    </row>
    <row r="547229" spans="21:21" x14ac:dyDescent="0.3">
      <c r="U547229" s="25"/>
    </row>
    <row r="547251" spans="21:21" x14ac:dyDescent="0.3">
      <c r="U547251" s="25"/>
    </row>
    <row r="547273" spans="21:21" x14ac:dyDescent="0.3">
      <c r="U547273" s="25"/>
    </row>
    <row r="547295" spans="21:21" x14ac:dyDescent="0.3">
      <c r="U547295" s="25"/>
    </row>
    <row r="547317" spans="21:21" x14ac:dyDescent="0.3">
      <c r="U547317" s="25"/>
    </row>
    <row r="547339" spans="21:21" x14ac:dyDescent="0.3">
      <c r="U547339" s="25"/>
    </row>
    <row r="547361" spans="21:21" x14ac:dyDescent="0.3">
      <c r="U547361" s="25"/>
    </row>
    <row r="547383" spans="21:21" x14ac:dyDescent="0.3">
      <c r="U547383" s="25"/>
    </row>
    <row r="547405" spans="21:21" x14ac:dyDescent="0.3">
      <c r="U547405" s="25"/>
    </row>
    <row r="547427" spans="21:21" x14ac:dyDescent="0.3">
      <c r="U547427" s="25"/>
    </row>
    <row r="547449" spans="21:21" x14ac:dyDescent="0.3">
      <c r="U547449" s="25"/>
    </row>
    <row r="547471" spans="21:21" x14ac:dyDescent="0.3">
      <c r="U547471" s="25"/>
    </row>
    <row r="547493" spans="21:21" x14ac:dyDescent="0.3">
      <c r="U547493" s="25"/>
    </row>
    <row r="547515" spans="21:21" x14ac:dyDescent="0.3">
      <c r="U547515" s="25"/>
    </row>
    <row r="547537" spans="21:21" x14ac:dyDescent="0.3">
      <c r="U547537" s="25"/>
    </row>
    <row r="547559" spans="21:21" x14ac:dyDescent="0.3">
      <c r="U547559" s="25"/>
    </row>
    <row r="547581" spans="21:21" x14ac:dyDescent="0.3">
      <c r="U547581" s="25"/>
    </row>
    <row r="547603" spans="21:21" x14ac:dyDescent="0.3">
      <c r="U547603" s="25"/>
    </row>
    <row r="547625" spans="21:21" x14ac:dyDescent="0.3">
      <c r="U547625" s="25"/>
    </row>
    <row r="547647" spans="21:21" x14ac:dyDescent="0.3">
      <c r="U547647" s="25"/>
    </row>
    <row r="547669" spans="21:21" x14ac:dyDescent="0.3">
      <c r="U547669" s="25"/>
    </row>
    <row r="547691" spans="21:21" x14ac:dyDescent="0.3">
      <c r="U547691" s="25"/>
    </row>
    <row r="547713" spans="21:21" x14ac:dyDescent="0.3">
      <c r="U547713" s="25"/>
    </row>
    <row r="547735" spans="21:21" x14ac:dyDescent="0.3">
      <c r="U547735" s="25"/>
    </row>
    <row r="547757" spans="21:21" x14ac:dyDescent="0.3">
      <c r="U547757" s="25"/>
    </row>
    <row r="547779" spans="21:21" x14ac:dyDescent="0.3">
      <c r="U547779" s="25"/>
    </row>
    <row r="547801" spans="21:21" x14ac:dyDescent="0.3">
      <c r="U547801" s="25"/>
    </row>
    <row r="547823" spans="21:21" x14ac:dyDescent="0.3">
      <c r="U547823" s="25"/>
    </row>
    <row r="547845" spans="21:21" x14ac:dyDescent="0.3">
      <c r="U547845" s="25"/>
    </row>
    <row r="547867" spans="21:21" x14ac:dyDescent="0.3">
      <c r="U547867" s="25"/>
    </row>
    <row r="547889" spans="21:21" x14ac:dyDescent="0.3">
      <c r="U547889" s="25"/>
    </row>
    <row r="547911" spans="21:21" x14ac:dyDescent="0.3">
      <c r="U547911" s="25"/>
    </row>
    <row r="547933" spans="21:21" x14ac:dyDescent="0.3">
      <c r="U547933" s="25"/>
    </row>
    <row r="547955" spans="21:21" x14ac:dyDescent="0.3">
      <c r="U547955" s="25"/>
    </row>
    <row r="547977" spans="21:21" x14ac:dyDescent="0.3">
      <c r="U547977" s="25"/>
    </row>
    <row r="547999" spans="21:21" x14ac:dyDescent="0.3">
      <c r="U547999" s="25"/>
    </row>
    <row r="548021" spans="21:21" x14ac:dyDescent="0.3">
      <c r="U548021" s="25"/>
    </row>
    <row r="548043" spans="21:21" x14ac:dyDescent="0.3">
      <c r="U548043" s="25"/>
    </row>
    <row r="548065" spans="21:21" x14ac:dyDescent="0.3">
      <c r="U548065" s="25"/>
    </row>
    <row r="548087" spans="21:21" x14ac:dyDescent="0.3">
      <c r="U548087" s="25"/>
    </row>
    <row r="548109" spans="21:21" x14ac:dyDescent="0.3">
      <c r="U548109" s="25"/>
    </row>
    <row r="548131" spans="21:21" x14ac:dyDescent="0.3">
      <c r="U548131" s="25"/>
    </row>
    <row r="548153" spans="21:21" x14ac:dyDescent="0.3">
      <c r="U548153" s="25"/>
    </row>
    <row r="548175" spans="21:21" x14ac:dyDescent="0.3">
      <c r="U548175" s="25"/>
    </row>
    <row r="548197" spans="21:21" x14ac:dyDescent="0.3">
      <c r="U548197" s="25"/>
    </row>
    <row r="548219" spans="21:21" x14ac:dyDescent="0.3">
      <c r="U548219" s="25"/>
    </row>
    <row r="548241" spans="21:21" x14ac:dyDescent="0.3">
      <c r="U548241" s="25"/>
    </row>
    <row r="548263" spans="21:21" x14ac:dyDescent="0.3">
      <c r="U548263" s="25"/>
    </row>
    <row r="548285" spans="21:21" x14ac:dyDescent="0.3">
      <c r="U548285" s="25"/>
    </row>
    <row r="548307" spans="21:21" x14ac:dyDescent="0.3">
      <c r="U548307" s="25"/>
    </row>
    <row r="548329" spans="21:21" x14ac:dyDescent="0.3">
      <c r="U548329" s="25"/>
    </row>
    <row r="548351" spans="21:21" x14ac:dyDescent="0.3">
      <c r="U548351" s="25"/>
    </row>
    <row r="548373" spans="21:21" x14ac:dyDescent="0.3">
      <c r="U548373" s="25"/>
    </row>
    <row r="548395" spans="21:21" x14ac:dyDescent="0.3">
      <c r="U548395" s="25"/>
    </row>
    <row r="548417" spans="21:21" x14ac:dyDescent="0.3">
      <c r="U548417" s="25"/>
    </row>
    <row r="548439" spans="21:21" x14ac:dyDescent="0.3">
      <c r="U548439" s="25"/>
    </row>
    <row r="548461" spans="21:21" x14ac:dyDescent="0.3">
      <c r="U548461" s="25"/>
    </row>
    <row r="548483" spans="21:21" x14ac:dyDescent="0.3">
      <c r="U548483" s="25"/>
    </row>
    <row r="548505" spans="21:21" x14ac:dyDescent="0.3">
      <c r="U548505" s="25"/>
    </row>
    <row r="548527" spans="21:21" x14ac:dyDescent="0.3">
      <c r="U548527" s="25"/>
    </row>
    <row r="548549" spans="21:21" x14ac:dyDescent="0.3">
      <c r="U548549" s="25"/>
    </row>
    <row r="548571" spans="21:21" x14ac:dyDescent="0.3">
      <c r="U548571" s="25"/>
    </row>
    <row r="548593" spans="21:21" x14ac:dyDescent="0.3">
      <c r="U548593" s="25"/>
    </row>
    <row r="548615" spans="21:21" x14ac:dyDescent="0.3">
      <c r="U548615" s="25"/>
    </row>
    <row r="548637" spans="21:21" x14ac:dyDescent="0.3">
      <c r="U548637" s="25"/>
    </row>
    <row r="548659" spans="21:21" x14ac:dyDescent="0.3">
      <c r="U548659" s="25"/>
    </row>
    <row r="548681" spans="21:21" x14ac:dyDescent="0.3">
      <c r="U548681" s="25"/>
    </row>
    <row r="548703" spans="21:21" x14ac:dyDescent="0.3">
      <c r="U548703" s="25"/>
    </row>
    <row r="548725" spans="21:21" x14ac:dyDescent="0.3">
      <c r="U548725" s="25"/>
    </row>
    <row r="548747" spans="21:21" x14ac:dyDescent="0.3">
      <c r="U548747" s="25"/>
    </row>
    <row r="548769" spans="21:21" x14ac:dyDescent="0.3">
      <c r="U548769" s="25"/>
    </row>
    <row r="548791" spans="21:21" x14ac:dyDescent="0.3">
      <c r="U548791" s="25"/>
    </row>
    <row r="548813" spans="21:21" x14ac:dyDescent="0.3">
      <c r="U548813" s="25"/>
    </row>
    <row r="548835" spans="21:21" x14ac:dyDescent="0.3">
      <c r="U548835" s="25"/>
    </row>
    <row r="548857" spans="21:21" x14ac:dyDescent="0.3">
      <c r="U548857" s="25"/>
    </row>
    <row r="548879" spans="21:21" x14ac:dyDescent="0.3">
      <c r="U548879" s="25"/>
    </row>
    <row r="548901" spans="21:21" x14ac:dyDescent="0.3">
      <c r="U548901" s="25"/>
    </row>
    <row r="548923" spans="21:21" x14ac:dyDescent="0.3">
      <c r="U548923" s="25"/>
    </row>
    <row r="548945" spans="21:21" x14ac:dyDescent="0.3">
      <c r="U548945" s="25"/>
    </row>
    <row r="548967" spans="21:21" x14ac:dyDescent="0.3">
      <c r="U548967" s="25"/>
    </row>
    <row r="548989" spans="21:21" x14ac:dyDescent="0.3">
      <c r="U548989" s="25"/>
    </row>
    <row r="549011" spans="21:21" x14ac:dyDescent="0.3">
      <c r="U549011" s="25"/>
    </row>
    <row r="549033" spans="21:21" x14ac:dyDescent="0.3">
      <c r="U549033" s="25"/>
    </row>
    <row r="549055" spans="21:21" x14ac:dyDescent="0.3">
      <c r="U549055" s="25"/>
    </row>
    <row r="549077" spans="21:21" x14ac:dyDescent="0.3">
      <c r="U549077" s="25"/>
    </row>
    <row r="549099" spans="21:21" x14ac:dyDescent="0.3">
      <c r="U549099" s="25"/>
    </row>
    <row r="549121" spans="21:21" x14ac:dyDescent="0.3">
      <c r="U549121" s="25"/>
    </row>
    <row r="549143" spans="21:21" x14ac:dyDescent="0.3">
      <c r="U549143" s="25"/>
    </row>
    <row r="549165" spans="21:21" x14ac:dyDescent="0.3">
      <c r="U549165" s="25"/>
    </row>
    <row r="549187" spans="21:21" x14ac:dyDescent="0.3">
      <c r="U549187" s="25"/>
    </row>
    <row r="549209" spans="21:21" x14ac:dyDescent="0.3">
      <c r="U549209" s="25"/>
    </row>
    <row r="549231" spans="21:21" x14ac:dyDescent="0.3">
      <c r="U549231" s="25"/>
    </row>
    <row r="549253" spans="21:21" x14ac:dyDescent="0.3">
      <c r="U549253" s="25"/>
    </row>
    <row r="549275" spans="21:21" x14ac:dyDescent="0.3">
      <c r="U549275" s="25"/>
    </row>
    <row r="549297" spans="21:21" x14ac:dyDescent="0.3">
      <c r="U549297" s="25"/>
    </row>
    <row r="549319" spans="21:21" x14ac:dyDescent="0.3">
      <c r="U549319" s="25"/>
    </row>
    <row r="549341" spans="21:21" x14ac:dyDescent="0.3">
      <c r="U549341" s="25"/>
    </row>
    <row r="549363" spans="21:21" x14ac:dyDescent="0.3">
      <c r="U549363" s="25"/>
    </row>
    <row r="549385" spans="21:21" x14ac:dyDescent="0.3">
      <c r="U549385" s="25"/>
    </row>
    <row r="549407" spans="21:21" x14ac:dyDescent="0.3">
      <c r="U549407" s="25"/>
    </row>
    <row r="549429" spans="21:21" x14ac:dyDescent="0.3">
      <c r="U549429" s="25"/>
    </row>
    <row r="549451" spans="21:21" x14ac:dyDescent="0.3">
      <c r="U549451" s="25"/>
    </row>
    <row r="549473" spans="21:21" x14ac:dyDescent="0.3">
      <c r="U549473" s="25"/>
    </row>
    <row r="549495" spans="21:21" x14ac:dyDescent="0.3">
      <c r="U549495" s="25"/>
    </row>
    <row r="549517" spans="21:21" x14ac:dyDescent="0.3">
      <c r="U549517" s="25"/>
    </row>
    <row r="549539" spans="21:21" x14ac:dyDescent="0.3">
      <c r="U549539" s="25"/>
    </row>
    <row r="549561" spans="21:21" x14ac:dyDescent="0.3">
      <c r="U549561" s="25"/>
    </row>
    <row r="549583" spans="21:21" x14ac:dyDescent="0.3">
      <c r="U549583" s="25"/>
    </row>
    <row r="549605" spans="21:21" x14ac:dyDescent="0.3">
      <c r="U549605" s="25"/>
    </row>
    <row r="549627" spans="21:21" x14ac:dyDescent="0.3">
      <c r="U549627" s="25"/>
    </row>
    <row r="549649" spans="21:21" x14ac:dyDescent="0.3">
      <c r="U549649" s="25"/>
    </row>
    <row r="549671" spans="21:21" x14ac:dyDescent="0.3">
      <c r="U549671" s="25"/>
    </row>
    <row r="549693" spans="21:21" x14ac:dyDescent="0.3">
      <c r="U549693" s="25"/>
    </row>
    <row r="549715" spans="21:21" x14ac:dyDescent="0.3">
      <c r="U549715" s="25"/>
    </row>
    <row r="549737" spans="21:21" x14ac:dyDescent="0.3">
      <c r="U549737" s="25"/>
    </row>
    <row r="549759" spans="21:21" x14ac:dyDescent="0.3">
      <c r="U549759" s="25"/>
    </row>
    <row r="549781" spans="21:21" x14ac:dyDescent="0.3">
      <c r="U549781" s="25"/>
    </row>
    <row r="549803" spans="21:21" x14ac:dyDescent="0.3">
      <c r="U549803" s="25"/>
    </row>
    <row r="549825" spans="21:21" x14ac:dyDescent="0.3">
      <c r="U549825" s="25"/>
    </row>
    <row r="549847" spans="21:21" x14ac:dyDescent="0.3">
      <c r="U549847" s="25"/>
    </row>
    <row r="549869" spans="21:21" x14ac:dyDescent="0.3">
      <c r="U549869" s="25"/>
    </row>
    <row r="549891" spans="21:21" x14ac:dyDescent="0.3">
      <c r="U549891" s="25"/>
    </row>
    <row r="549913" spans="21:21" x14ac:dyDescent="0.3">
      <c r="U549913" s="25"/>
    </row>
    <row r="549935" spans="21:21" x14ac:dyDescent="0.3">
      <c r="U549935" s="25"/>
    </row>
    <row r="549957" spans="21:21" x14ac:dyDescent="0.3">
      <c r="U549957" s="25"/>
    </row>
    <row r="549979" spans="21:21" x14ac:dyDescent="0.3">
      <c r="U549979" s="25"/>
    </row>
    <row r="550001" spans="21:21" x14ac:dyDescent="0.3">
      <c r="U550001" s="25"/>
    </row>
    <row r="550023" spans="21:21" x14ac:dyDescent="0.3">
      <c r="U550023" s="25"/>
    </row>
    <row r="550045" spans="21:21" x14ac:dyDescent="0.3">
      <c r="U550045" s="25"/>
    </row>
    <row r="550067" spans="21:21" x14ac:dyDescent="0.3">
      <c r="U550067" s="25"/>
    </row>
    <row r="550089" spans="21:21" x14ac:dyDescent="0.3">
      <c r="U550089" s="25"/>
    </row>
    <row r="550111" spans="21:21" x14ac:dyDescent="0.3">
      <c r="U550111" s="25"/>
    </row>
    <row r="550133" spans="21:21" x14ac:dyDescent="0.3">
      <c r="U550133" s="25"/>
    </row>
    <row r="550155" spans="21:21" x14ac:dyDescent="0.3">
      <c r="U550155" s="25"/>
    </row>
    <row r="550177" spans="21:21" x14ac:dyDescent="0.3">
      <c r="U550177" s="25"/>
    </row>
    <row r="550199" spans="21:21" x14ac:dyDescent="0.3">
      <c r="U550199" s="25"/>
    </row>
    <row r="550221" spans="21:21" x14ac:dyDescent="0.3">
      <c r="U550221" s="25"/>
    </row>
    <row r="550243" spans="21:21" x14ac:dyDescent="0.3">
      <c r="U550243" s="25"/>
    </row>
    <row r="550265" spans="21:21" x14ac:dyDescent="0.3">
      <c r="U550265" s="25"/>
    </row>
    <row r="550287" spans="21:21" x14ac:dyDescent="0.3">
      <c r="U550287" s="25"/>
    </row>
    <row r="550309" spans="21:21" x14ac:dyDescent="0.3">
      <c r="U550309" s="25"/>
    </row>
    <row r="550331" spans="21:21" x14ac:dyDescent="0.3">
      <c r="U550331" s="25"/>
    </row>
    <row r="550353" spans="21:21" x14ac:dyDescent="0.3">
      <c r="U550353" s="25"/>
    </row>
    <row r="550375" spans="21:21" x14ac:dyDescent="0.3">
      <c r="U550375" s="25"/>
    </row>
    <row r="550397" spans="21:21" x14ac:dyDescent="0.3">
      <c r="U550397" s="25"/>
    </row>
    <row r="550419" spans="21:21" x14ac:dyDescent="0.3">
      <c r="U550419" s="25"/>
    </row>
    <row r="550441" spans="21:21" x14ac:dyDescent="0.3">
      <c r="U550441" s="25"/>
    </row>
    <row r="550463" spans="21:21" x14ac:dyDescent="0.3">
      <c r="U550463" s="25"/>
    </row>
    <row r="550485" spans="21:21" x14ac:dyDescent="0.3">
      <c r="U550485" s="25"/>
    </row>
    <row r="550507" spans="21:21" x14ac:dyDescent="0.3">
      <c r="U550507" s="25"/>
    </row>
    <row r="550529" spans="21:21" x14ac:dyDescent="0.3">
      <c r="U550529" s="25"/>
    </row>
    <row r="550551" spans="21:21" x14ac:dyDescent="0.3">
      <c r="U550551" s="25"/>
    </row>
    <row r="550573" spans="21:21" x14ac:dyDescent="0.3">
      <c r="U550573" s="25"/>
    </row>
    <row r="550595" spans="21:21" x14ac:dyDescent="0.3">
      <c r="U550595" s="25"/>
    </row>
    <row r="550617" spans="21:21" x14ac:dyDescent="0.3">
      <c r="U550617" s="25"/>
    </row>
    <row r="550639" spans="21:21" x14ac:dyDescent="0.3">
      <c r="U550639" s="25"/>
    </row>
    <row r="550661" spans="21:21" x14ac:dyDescent="0.3">
      <c r="U550661" s="25"/>
    </row>
    <row r="550683" spans="21:21" x14ac:dyDescent="0.3">
      <c r="U550683" s="25"/>
    </row>
    <row r="550705" spans="21:21" x14ac:dyDescent="0.3">
      <c r="U550705" s="25"/>
    </row>
    <row r="550727" spans="21:21" x14ac:dyDescent="0.3">
      <c r="U550727" s="25"/>
    </row>
    <row r="550749" spans="21:21" x14ac:dyDescent="0.3">
      <c r="U550749" s="25"/>
    </row>
    <row r="550771" spans="21:21" x14ac:dyDescent="0.3">
      <c r="U550771" s="25"/>
    </row>
    <row r="550793" spans="21:21" x14ac:dyDescent="0.3">
      <c r="U550793" s="25"/>
    </row>
    <row r="550815" spans="21:21" x14ac:dyDescent="0.3">
      <c r="U550815" s="25"/>
    </row>
    <row r="550837" spans="21:21" x14ac:dyDescent="0.3">
      <c r="U550837" s="25"/>
    </row>
    <row r="550859" spans="21:21" x14ac:dyDescent="0.3">
      <c r="U550859" s="25"/>
    </row>
    <row r="550881" spans="21:21" x14ac:dyDescent="0.3">
      <c r="U550881" s="25"/>
    </row>
    <row r="550903" spans="21:21" x14ac:dyDescent="0.3">
      <c r="U550903" s="25"/>
    </row>
    <row r="550925" spans="21:21" x14ac:dyDescent="0.3">
      <c r="U550925" s="25"/>
    </row>
    <row r="550947" spans="21:21" x14ac:dyDescent="0.3">
      <c r="U550947" s="25"/>
    </row>
    <row r="550969" spans="21:21" x14ac:dyDescent="0.3">
      <c r="U550969" s="25"/>
    </row>
    <row r="550991" spans="21:21" x14ac:dyDescent="0.3">
      <c r="U550991" s="25"/>
    </row>
    <row r="551013" spans="21:21" x14ac:dyDescent="0.3">
      <c r="U551013" s="25"/>
    </row>
    <row r="551035" spans="21:21" x14ac:dyDescent="0.3">
      <c r="U551035" s="25"/>
    </row>
    <row r="551057" spans="21:21" x14ac:dyDescent="0.3">
      <c r="U551057" s="25"/>
    </row>
    <row r="551079" spans="21:21" x14ac:dyDescent="0.3">
      <c r="U551079" s="25"/>
    </row>
    <row r="551101" spans="21:21" x14ac:dyDescent="0.3">
      <c r="U551101" s="25"/>
    </row>
    <row r="551123" spans="21:21" x14ac:dyDescent="0.3">
      <c r="U551123" s="25"/>
    </row>
    <row r="551145" spans="21:21" x14ac:dyDescent="0.3">
      <c r="U551145" s="25"/>
    </row>
    <row r="551167" spans="21:21" x14ac:dyDescent="0.3">
      <c r="U551167" s="25"/>
    </row>
    <row r="551189" spans="21:21" x14ac:dyDescent="0.3">
      <c r="U551189" s="25"/>
    </row>
    <row r="551211" spans="21:21" x14ac:dyDescent="0.3">
      <c r="U551211" s="25"/>
    </row>
    <row r="551233" spans="21:21" x14ac:dyDescent="0.3">
      <c r="U551233" s="25"/>
    </row>
    <row r="551255" spans="21:21" x14ac:dyDescent="0.3">
      <c r="U551255" s="25"/>
    </row>
    <row r="551277" spans="21:21" x14ac:dyDescent="0.3">
      <c r="U551277" s="25"/>
    </row>
    <row r="551299" spans="21:21" x14ac:dyDescent="0.3">
      <c r="U551299" s="25"/>
    </row>
    <row r="551321" spans="21:21" x14ac:dyDescent="0.3">
      <c r="U551321" s="25"/>
    </row>
    <row r="551343" spans="21:21" x14ac:dyDescent="0.3">
      <c r="U551343" s="25"/>
    </row>
    <row r="551365" spans="21:21" x14ac:dyDescent="0.3">
      <c r="U551365" s="25"/>
    </row>
    <row r="551387" spans="21:21" x14ac:dyDescent="0.3">
      <c r="U551387" s="25"/>
    </row>
    <row r="551409" spans="21:21" x14ac:dyDescent="0.3">
      <c r="U551409" s="25"/>
    </row>
    <row r="551431" spans="21:21" x14ac:dyDescent="0.3">
      <c r="U551431" s="25"/>
    </row>
    <row r="551453" spans="21:21" x14ac:dyDescent="0.3">
      <c r="U551453" s="25"/>
    </row>
    <row r="551475" spans="21:21" x14ac:dyDescent="0.3">
      <c r="U551475" s="25"/>
    </row>
    <row r="551497" spans="21:21" x14ac:dyDescent="0.3">
      <c r="U551497" s="25"/>
    </row>
    <row r="551519" spans="21:21" x14ac:dyDescent="0.3">
      <c r="U551519" s="25"/>
    </row>
    <row r="551541" spans="21:21" x14ac:dyDescent="0.3">
      <c r="U551541" s="25"/>
    </row>
    <row r="551563" spans="21:21" x14ac:dyDescent="0.3">
      <c r="U551563" s="25"/>
    </row>
    <row r="551585" spans="21:21" x14ac:dyDescent="0.3">
      <c r="U551585" s="25"/>
    </row>
    <row r="551607" spans="21:21" x14ac:dyDescent="0.3">
      <c r="U551607" s="25"/>
    </row>
    <row r="551629" spans="21:21" x14ac:dyDescent="0.3">
      <c r="U551629" s="25"/>
    </row>
    <row r="551651" spans="21:21" x14ac:dyDescent="0.3">
      <c r="U551651" s="25"/>
    </row>
    <row r="551673" spans="21:21" x14ac:dyDescent="0.3">
      <c r="U551673" s="25"/>
    </row>
    <row r="551695" spans="21:21" x14ac:dyDescent="0.3">
      <c r="U551695" s="25"/>
    </row>
    <row r="551717" spans="21:21" x14ac:dyDescent="0.3">
      <c r="U551717" s="25"/>
    </row>
    <row r="551739" spans="21:21" x14ac:dyDescent="0.3">
      <c r="U551739" s="25"/>
    </row>
    <row r="551761" spans="21:21" x14ac:dyDescent="0.3">
      <c r="U551761" s="25"/>
    </row>
    <row r="551783" spans="21:21" x14ac:dyDescent="0.3">
      <c r="U551783" s="25"/>
    </row>
    <row r="551805" spans="21:21" x14ac:dyDescent="0.3">
      <c r="U551805" s="25"/>
    </row>
    <row r="551827" spans="21:21" x14ac:dyDescent="0.3">
      <c r="U551827" s="25"/>
    </row>
    <row r="551849" spans="21:21" x14ac:dyDescent="0.3">
      <c r="U551849" s="25"/>
    </row>
    <row r="551871" spans="21:21" x14ac:dyDescent="0.3">
      <c r="U551871" s="25"/>
    </row>
    <row r="551893" spans="21:21" x14ac:dyDescent="0.3">
      <c r="U551893" s="25"/>
    </row>
    <row r="551915" spans="21:21" x14ac:dyDescent="0.3">
      <c r="U551915" s="25"/>
    </row>
    <row r="551937" spans="21:21" x14ac:dyDescent="0.3">
      <c r="U551937" s="25"/>
    </row>
    <row r="551959" spans="21:21" x14ac:dyDescent="0.3">
      <c r="U551959" s="25"/>
    </row>
    <row r="551981" spans="21:21" x14ac:dyDescent="0.3">
      <c r="U551981" s="25"/>
    </row>
    <row r="552003" spans="21:21" x14ac:dyDescent="0.3">
      <c r="U552003" s="25"/>
    </row>
    <row r="552025" spans="21:21" x14ac:dyDescent="0.3">
      <c r="U552025" s="25"/>
    </row>
    <row r="552047" spans="21:21" x14ac:dyDescent="0.3">
      <c r="U552047" s="25"/>
    </row>
    <row r="552069" spans="21:21" x14ac:dyDescent="0.3">
      <c r="U552069" s="25"/>
    </row>
    <row r="552091" spans="21:21" x14ac:dyDescent="0.3">
      <c r="U552091" s="25"/>
    </row>
    <row r="552113" spans="21:21" x14ac:dyDescent="0.3">
      <c r="U552113" s="25"/>
    </row>
    <row r="552135" spans="21:21" x14ac:dyDescent="0.3">
      <c r="U552135" s="25"/>
    </row>
    <row r="552157" spans="21:21" x14ac:dyDescent="0.3">
      <c r="U552157" s="25"/>
    </row>
    <row r="552179" spans="21:21" x14ac:dyDescent="0.3">
      <c r="U552179" s="25"/>
    </row>
    <row r="552201" spans="21:21" x14ac:dyDescent="0.3">
      <c r="U552201" s="25"/>
    </row>
    <row r="552223" spans="21:21" x14ac:dyDescent="0.3">
      <c r="U552223" s="25"/>
    </row>
    <row r="552245" spans="21:21" x14ac:dyDescent="0.3">
      <c r="U552245" s="25"/>
    </row>
    <row r="552267" spans="21:21" x14ac:dyDescent="0.3">
      <c r="U552267" s="25"/>
    </row>
    <row r="552289" spans="21:21" x14ac:dyDescent="0.3">
      <c r="U552289" s="25"/>
    </row>
    <row r="552311" spans="21:21" x14ac:dyDescent="0.3">
      <c r="U552311" s="25"/>
    </row>
    <row r="552333" spans="21:21" x14ac:dyDescent="0.3">
      <c r="U552333" s="25"/>
    </row>
    <row r="552355" spans="21:21" x14ac:dyDescent="0.3">
      <c r="U552355" s="25"/>
    </row>
    <row r="552377" spans="21:21" x14ac:dyDescent="0.3">
      <c r="U552377" s="25"/>
    </row>
    <row r="552399" spans="21:21" x14ac:dyDescent="0.3">
      <c r="U552399" s="25"/>
    </row>
    <row r="552421" spans="21:21" x14ac:dyDescent="0.3">
      <c r="U552421" s="25"/>
    </row>
    <row r="552443" spans="21:21" x14ac:dyDescent="0.3">
      <c r="U552443" s="25"/>
    </row>
    <row r="552465" spans="21:21" x14ac:dyDescent="0.3">
      <c r="U552465" s="25"/>
    </row>
    <row r="552487" spans="21:21" x14ac:dyDescent="0.3">
      <c r="U552487" s="25"/>
    </row>
    <row r="552509" spans="21:21" x14ac:dyDescent="0.3">
      <c r="U552509" s="25"/>
    </row>
    <row r="552531" spans="21:21" x14ac:dyDescent="0.3">
      <c r="U552531" s="25"/>
    </row>
    <row r="552553" spans="21:21" x14ac:dyDescent="0.3">
      <c r="U552553" s="25"/>
    </row>
    <row r="552575" spans="21:21" x14ac:dyDescent="0.3">
      <c r="U552575" s="25"/>
    </row>
    <row r="552597" spans="21:21" x14ac:dyDescent="0.3">
      <c r="U552597" s="25"/>
    </row>
    <row r="552619" spans="21:21" x14ac:dyDescent="0.3">
      <c r="U552619" s="25"/>
    </row>
    <row r="552641" spans="21:21" x14ac:dyDescent="0.3">
      <c r="U552641" s="25"/>
    </row>
    <row r="552663" spans="21:21" x14ac:dyDescent="0.3">
      <c r="U552663" s="25"/>
    </row>
    <row r="552685" spans="21:21" x14ac:dyDescent="0.3">
      <c r="U552685" s="25"/>
    </row>
    <row r="552707" spans="21:21" x14ac:dyDescent="0.3">
      <c r="U552707" s="25"/>
    </row>
    <row r="552729" spans="21:21" x14ac:dyDescent="0.3">
      <c r="U552729" s="25"/>
    </row>
    <row r="552751" spans="21:21" x14ac:dyDescent="0.3">
      <c r="U552751" s="25"/>
    </row>
    <row r="552773" spans="21:21" x14ac:dyDescent="0.3">
      <c r="U552773" s="25"/>
    </row>
    <row r="552795" spans="21:21" x14ac:dyDescent="0.3">
      <c r="U552795" s="25"/>
    </row>
    <row r="552817" spans="21:21" x14ac:dyDescent="0.3">
      <c r="U552817" s="25"/>
    </row>
    <row r="552839" spans="21:21" x14ac:dyDescent="0.3">
      <c r="U552839" s="25"/>
    </row>
    <row r="552861" spans="21:21" x14ac:dyDescent="0.3">
      <c r="U552861" s="25"/>
    </row>
    <row r="552883" spans="21:21" x14ac:dyDescent="0.3">
      <c r="U552883" s="25"/>
    </row>
    <row r="552905" spans="21:21" x14ac:dyDescent="0.3">
      <c r="U552905" s="25"/>
    </row>
    <row r="552927" spans="21:21" x14ac:dyDescent="0.3">
      <c r="U552927" s="25"/>
    </row>
    <row r="552949" spans="21:21" x14ac:dyDescent="0.3">
      <c r="U552949" s="25"/>
    </row>
    <row r="552971" spans="21:21" x14ac:dyDescent="0.3">
      <c r="U552971" s="25"/>
    </row>
    <row r="552993" spans="21:21" x14ac:dyDescent="0.3">
      <c r="U552993" s="25"/>
    </row>
    <row r="553015" spans="21:21" x14ac:dyDescent="0.3">
      <c r="U553015" s="25"/>
    </row>
    <row r="553037" spans="21:21" x14ac:dyDescent="0.3">
      <c r="U553037" s="25"/>
    </row>
    <row r="553059" spans="21:21" x14ac:dyDescent="0.3">
      <c r="U553059" s="25"/>
    </row>
    <row r="553081" spans="21:21" x14ac:dyDescent="0.3">
      <c r="U553081" s="25"/>
    </row>
    <row r="553103" spans="21:21" x14ac:dyDescent="0.3">
      <c r="U553103" s="25"/>
    </row>
    <row r="553125" spans="21:21" x14ac:dyDescent="0.3">
      <c r="U553125" s="25"/>
    </row>
    <row r="553147" spans="21:21" x14ac:dyDescent="0.3">
      <c r="U553147" s="25"/>
    </row>
    <row r="553169" spans="21:21" x14ac:dyDescent="0.3">
      <c r="U553169" s="25"/>
    </row>
    <row r="553191" spans="21:21" x14ac:dyDescent="0.3">
      <c r="U553191" s="25"/>
    </row>
    <row r="553213" spans="21:21" x14ac:dyDescent="0.3">
      <c r="U553213" s="25"/>
    </row>
    <row r="553235" spans="21:21" x14ac:dyDescent="0.3">
      <c r="U553235" s="25"/>
    </row>
    <row r="553257" spans="21:21" x14ac:dyDescent="0.3">
      <c r="U553257" s="25"/>
    </row>
    <row r="553279" spans="21:21" x14ac:dyDescent="0.3">
      <c r="U553279" s="25"/>
    </row>
    <row r="553301" spans="21:21" x14ac:dyDescent="0.3">
      <c r="U553301" s="25"/>
    </row>
    <row r="553323" spans="21:21" x14ac:dyDescent="0.3">
      <c r="U553323" s="25"/>
    </row>
    <row r="553345" spans="21:21" x14ac:dyDescent="0.3">
      <c r="U553345" s="25"/>
    </row>
    <row r="553367" spans="21:21" x14ac:dyDescent="0.3">
      <c r="U553367" s="25"/>
    </row>
    <row r="553389" spans="21:21" x14ac:dyDescent="0.3">
      <c r="U553389" s="25"/>
    </row>
    <row r="553411" spans="21:21" x14ac:dyDescent="0.3">
      <c r="U553411" s="25"/>
    </row>
    <row r="553433" spans="21:21" x14ac:dyDescent="0.3">
      <c r="U553433" s="25"/>
    </row>
    <row r="553455" spans="21:21" x14ac:dyDescent="0.3">
      <c r="U553455" s="25"/>
    </row>
    <row r="553477" spans="21:21" x14ac:dyDescent="0.3">
      <c r="U553477" s="25"/>
    </row>
    <row r="553499" spans="21:21" x14ac:dyDescent="0.3">
      <c r="U553499" s="25"/>
    </row>
    <row r="553521" spans="21:21" x14ac:dyDescent="0.3">
      <c r="U553521" s="25"/>
    </row>
    <row r="553543" spans="21:21" x14ac:dyDescent="0.3">
      <c r="U553543" s="25"/>
    </row>
    <row r="553565" spans="21:21" x14ac:dyDescent="0.3">
      <c r="U553565" s="25"/>
    </row>
    <row r="553587" spans="21:21" x14ac:dyDescent="0.3">
      <c r="U553587" s="25"/>
    </row>
    <row r="553609" spans="21:21" x14ac:dyDescent="0.3">
      <c r="U553609" s="25"/>
    </row>
    <row r="553631" spans="21:21" x14ac:dyDescent="0.3">
      <c r="U553631" s="25"/>
    </row>
    <row r="553653" spans="21:21" x14ac:dyDescent="0.3">
      <c r="U553653" s="25"/>
    </row>
    <row r="553675" spans="21:21" x14ac:dyDescent="0.3">
      <c r="U553675" s="25"/>
    </row>
    <row r="553697" spans="21:21" x14ac:dyDescent="0.3">
      <c r="U553697" s="25"/>
    </row>
    <row r="553719" spans="21:21" x14ac:dyDescent="0.3">
      <c r="U553719" s="25"/>
    </row>
    <row r="553741" spans="21:21" x14ac:dyDescent="0.3">
      <c r="U553741" s="25"/>
    </row>
    <row r="553763" spans="21:21" x14ac:dyDescent="0.3">
      <c r="U553763" s="25"/>
    </row>
    <row r="553785" spans="21:21" x14ac:dyDescent="0.3">
      <c r="U553785" s="25"/>
    </row>
    <row r="553807" spans="21:21" x14ac:dyDescent="0.3">
      <c r="U553807" s="25"/>
    </row>
    <row r="553829" spans="21:21" x14ac:dyDescent="0.3">
      <c r="U553829" s="25"/>
    </row>
    <row r="553851" spans="21:21" x14ac:dyDescent="0.3">
      <c r="U553851" s="25"/>
    </row>
    <row r="553873" spans="21:21" x14ac:dyDescent="0.3">
      <c r="U553873" s="25"/>
    </row>
    <row r="553895" spans="21:21" x14ac:dyDescent="0.3">
      <c r="U553895" s="25"/>
    </row>
    <row r="553917" spans="21:21" x14ac:dyDescent="0.3">
      <c r="U553917" s="25"/>
    </row>
    <row r="553939" spans="21:21" x14ac:dyDescent="0.3">
      <c r="U553939" s="25"/>
    </row>
    <row r="553961" spans="21:21" x14ac:dyDescent="0.3">
      <c r="U553961" s="25"/>
    </row>
    <row r="553983" spans="21:21" x14ac:dyDescent="0.3">
      <c r="U553983" s="25"/>
    </row>
    <row r="554005" spans="21:21" x14ac:dyDescent="0.3">
      <c r="U554005" s="25"/>
    </row>
    <row r="554027" spans="21:21" x14ac:dyDescent="0.3">
      <c r="U554027" s="25"/>
    </row>
    <row r="554049" spans="21:21" x14ac:dyDescent="0.3">
      <c r="U554049" s="25"/>
    </row>
    <row r="554071" spans="21:21" x14ac:dyDescent="0.3">
      <c r="U554071" s="25"/>
    </row>
    <row r="554093" spans="21:21" x14ac:dyDescent="0.3">
      <c r="U554093" s="25"/>
    </row>
    <row r="554115" spans="21:21" x14ac:dyDescent="0.3">
      <c r="U554115" s="25"/>
    </row>
    <row r="554137" spans="21:21" x14ac:dyDescent="0.3">
      <c r="U554137" s="25"/>
    </row>
    <row r="554159" spans="21:21" x14ac:dyDescent="0.3">
      <c r="U554159" s="25"/>
    </row>
    <row r="554181" spans="21:21" x14ac:dyDescent="0.3">
      <c r="U554181" s="25"/>
    </row>
    <row r="554203" spans="21:21" x14ac:dyDescent="0.3">
      <c r="U554203" s="25"/>
    </row>
    <row r="554225" spans="21:21" x14ac:dyDescent="0.3">
      <c r="U554225" s="25"/>
    </row>
    <row r="554247" spans="21:21" x14ac:dyDescent="0.3">
      <c r="U554247" s="25"/>
    </row>
    <row r="554269" spans="21:21" x14ac:dyDescent="0.3">
      <c r="U554269" s="25"/>
    </row>
    <row r="554291" spans="21:21" x14ac:dyDescent="0.3">
      <c r="U554291" s="25"/>
    </row>
    <row r="554313" spans="21:21" x14ac:dyDescent="0.3">
      <c r="U554313" s="25"/>
    </row>
    <row r="554335" spans="21:21" x14ac:dyDescent="0.3">
      <c r="U554335" s="25"/>
    </row>
    <row r="554357" spans="21:21" x14ac:dyDescent="0.3">
      <c r="U554357" s="25"/>
    </row>
    <row r="554379" spans="21:21" x14ac:dyDescent="0.3">
      <c r="U554379" s="25"/>
    </row>
    <row r="554401" spans="21:21" x14ac:dyDescent="0.3">
      <c r="U554401" s="25"/>
    </row>
    <row r="554423" spans="21:21" x14ac:dyDescent="0.3">
      <c r="U554423" s="25"/>
    </row>
    <row r="554445" spans="21:21" x14ac:dyDescent="0.3">
      <c r="U554445" s="25"/>
    </row>
    <row r="554467" spans="21:21" x14ac:dyDescent="0.3">
      <c r="U554467" s="25"/>
    </row>
    <row r="554489" spans="21:21" x14ac:dyDescent="0.3">
      <c r="U554489" s="25"/>
    </row>
    <row r="554511" spans="21:21" x14ac:dyDescent="0.3">
      <c r="U554511" s="25"/>
    </row>
    <row r="554533" spans="21:21" x14ac:dyDescent="0.3">
      <c r="U554533" s="25"/>
    </row>
    <row r="554555" spans="21:21" x14ac:dyDescent="0.3">
      <c r="U554555" s="25"/>
    </row>
    <row r="554577" spans="21:21" x14ac:dyDescent="0.3">
      <c r="U554577" s="25"/>
    </row>
    <row r="554599" spans="21:21" x14ac:dyDescent="0.3">
      <c r="U554599" s="25"/>
    </row>
    <row r="554621" spans="21:21" x14ac:dyDescent="0.3">
      <c r="U554621" s="25"/>
    </row>
    <row r="554643" spans="21:21" x14ac:dyDescent="0.3">
      <c r="U554643" s="25"/>
    </row>
    <row r="554665" spans="21:21" x14ac:dyDescent="0.3">
      <c r="U554665" s="25"/>
    </row>
    <row r="554687" spans="21:21" x14ac:dyDescent="0.3">
      <c r="U554687" s="25"/>
    </row>
    <row r="554709" spans="21:21" x14ac:dyDescent="0.3">
      <c r="U554709" s="25"/>
    </row>
    <row r="554731" spans="21:21" x14ac:dyDescent="0.3">
      <c r="U554731" s="25"/>
    </row>
    <row r="554753" spans="21:21" x14ac:dyDescent="0.3">
      <c r="U554753" s="25"/>
    </row>
    <row r="554775" spans="21:21" x14ac:dyDescent="0.3">
      <c r="U554775" s="25"/>
    </row>
    <row r="554797" spans="21:21" x14ac:dyDescent="0.3">
      <c r="U554797" s="25"/>
    </row>
    <row r="554819" spans="21:21" x14ac:dyDescent="0.3">
      <c r="U554819" s="25"/>
    </row>
    <row r="554841" spans="21:21" x14ac:dyDescent="0.3">
      <c r="U554841" s="25"/>
    </row>
    <row r="554863" spans="21:21" x14ac:dyDescent="0.3">
      <c r="U554863" s="25"/>
    </row>
    <row r="554885" spans="21:21" x14ac:dyDescent="0.3">
      <c r="U554885" s="25"/>
    </row>
    <row r="554907" spans="21:21" x14ac:dyDescent="0.3">
      <c r="U554907" s="25"/>
    </row>
    <row r="554929" spans="21:21" x14ac:dyDescent="0.3">
      <c r="U554929" s="25"/>
    </row>
    <row r="554951" spans="21:21" x14ac:dyDescent="0.3">
      <c r="U554951" s="25"/>
    </row>
    <row r="554973" spans="21:21" x14ac:dyDescent="0.3">
      <c r="U554973" s="25"/>
    </row>
    <row r="554995" spans="21:21" x14ac:dyDescent="0.3">
      <c r="U554995" s="25"/>
    </row>
    <row r="555017" spans="21:21" x14ac:dyDescent="0.3">
      <c r="U555017" s="25"/>
    </row>
    <row r="555039" spans="21:21" x14ac:dyDescent="0.3">
      <c r="U555039" s="25"/>
    </row>
    <row r="555061" spans="21:21" x14ac:dyDescent="0.3">
      <c r="U555061" s="25"/>
    </row>
    <row r="555083" spans="21:21" x14ac:dyDescent="0.3">
      <c r="U555083" s="25"/>
    </row>
    <row r="555105" spans="21:21" x14ac:dyDescent="0.3">
      <c r="U555105" s="25"/>
    </row>
    <row r="555127" spans="21:21" x14ac:dyDescent="0.3">
      <c r="U555127" s="25"/>
    </row>
    <row r="555149" spans="21:21" x14ac:dyDescent="0.3">
      <c r="U555149" s="25"/>
    </row>
    <row r="555171" spans="21:21" x14ac:dyDescent="0.3">
      <c r="U555171" s="25"/>
    </row>
    <row r="555193" spans="21:21" x14ac:dyDescent="0.3">
      <c r="U555193" s="25"/>
    </row>
    <row r="555215" spans="21:21" x14ac:dyDescent="0.3">
      <c r="U555215" s="25"/>
    </row>
    <row r="555237" spans="21:21" x14ac:dyDescent="0.3">
      <c r="U555237" s="25"/>
    </row>
    <row r="555259" spans="21:21" x14ac:dyDescent="0.3">
      <c r="U555259" s="25"/>
    </row>
    <row r="555281" spans="21:21" x14ac:dyDescent="0.3">
      <c r="U555281" s="25"/>
    </row>
    <row r="555303" spans="21:21" x14ac:dyDescent="0.3">
      <c r="U555303" s="25"/>
    </row>
    <row r="555325" spans="21:21" x14ac:dyDescent="0.3">
      <c r="U555325" s="25"/>
    </row>
    <row r="555347" spans="21:21" x14ac:dyDescent="0.3">
      <c r="U555347" s="25"/>
    </row>
    <row r="555369" spans="21:21" x14ac:dyDescent="0.3">
      <c r="U555369" s="25"/>
    </row>
    <row r="555391" spans="21:21" x14ac:dyDescent="0.3">
      <c r="U555391" s="25"/>
    </row>
    <row r="555413" spans="21:21" x14ac:dyDescent="0.3">
      <c r="U555413" s="25"/>
    </row>
    <row r="555435" spans="21:21" x14ac:dyDescent="0.3">
      <c r="U555435" s="25"/>
    </row>
    <row r="555457" spans="21:21" x14ac:dyDescent="0.3">
      <c r="U555457" s="25"/>
    </row>
    <row r="555479" spans="21:21" x14ac:dyDescent="0.3">
      <c r="U555479" s="25"/>
    </row>
    <row r="555501" spans="21:21" x14ac:dyDescent="0.3">
      <c r="U555501" s="25"/>
    </row>
    <row r="555523" spans="21:21" x14ac:dyDescent="0.3">
      <c r="U555523" s="25"/>
    </row>
    <row r="555545" spans="21:21" x14ac:dyDescent="0.3">
      <c r="U555545" s="25"/>
    </row>
    <row r="555567" spans="21:21" x14ac:dyDescent="0.3">
      <c r="U555567" s="25"/>
    </row>
    <row r="555589" spans="21:21" x14ac:dyDescent="0.3">
      <c r="U555589" s="25"/>
    </row>
    <row r="555611" spans="21:21" x14ac:dyDescent="0.3">
      <c r="U555611" s="25"/>
    </row>
    <row r="555633" spans="21:21" x14ac:dyDescent="0.3">
      <c r="U555633" s="25"/>
    </row>
    <row r="555655" spans="21:21" x14ac:dyDescent="0.3">
      <c r="U555655" s="25"/>
    </row>
    <row r="555677" spans="21:21" x14ac:dyDescent="0.3">
      <c r="U555677" s="25"/>
    </row>
    <row r="555699" spans="21:21" x14ac:dyDescent="0.3">
      <c r="U555699" s="25"/>
    </row>
    <row r="555721" spans="21:21" x14ac:dyDescent="0.3">
      <c r="U555721" s="25"/>
    </row>
    <row r="555743" spans="21:21" x14ac:dyDescent="0.3">
      <c r="U555743" s="25"/>
    </row>
    <row r="555765" spans="21:21" x14ac:dyDescent="0.3">
      <c r="U555765" s="25"/>
    </row>
    <row r="555787" spans="21:21" x14ac:dyDescent="0.3">
      <c r="U555787" s="25"/>
    </row>
    <row r="555809" spans="21:21" x14ac:dyDescent="0.3">
      <c r="U555809" s="25"/>
    </row>
    <row r="555831" spans="21:21" x14ac:dyDescent="0.3">
      <c r="U555831" s="25"/>
    </row>
    <row r="555853" spans="21:21" x14ac:dyDescent="0.3">
      <c r="U555853" s="25"/>
    </row>
    <row r="555875" spans="21:21" x14ac:dyDescent="0.3">
      <c r="U555875" s="25"/>
    </row>
    <row r="555897" spans="21:21" x14ac:dyDescent="0.3">
      <c r="U555897" s="25"/>
    </row>
    <row r="555919" spans="21:21" x14ac:dyDescent="0.3">
      <c r="U555919" s="25"/>
    </row>
    <row r="555941" spans="21:21" x14ac:dyDescent="0.3">
      <c r="U555941" s="25"/>
    </row>
    <row r="555963" spans="21:21" x14ac:dyDescent="0.3">
      <c r="U555963" s="25"/>
    </row>
    <row r="555985" spans="21:21" x14ac:dyDescent="0.3">
      <c r="U555985" s="25"/>
    </row>
    <row r="556007" spans="21:21" x14ac:dyDescent="0.3">
      <c r="U556007" s="25"/>
    </row>
    <row r="556029" spans="21:21" x14ac:dyDescent="0.3">
      <c r="U556029" s="25"/>
    </row>
    <row r="556051" spans="21:21" x14ac:dyDescent="0.3">
      <c r="U556051" s="25"/>
    </row>
    <row r="556073" spans="21:21" x14ac:dyDescent="0.3">
      <c r="U556073" s="25"/>
    </row>
    <row r="556095" spans="21:21" x14ac:dyDescent="0.3">
      <c r="U556095" s="25"/>
    </row>
    <row r="556117" spans="21:21" x14ac:dyDescent="0.3">
      <c r="U556117" s="25"/>
    </row>
    <row r="556139" spans="21:21" x14ac:dyDescent="0.3">
      <c r="U556139" s="25"/>
    </row>
    <row r="556161" spans="21:21" x14ac:dyDescent="0.3">
      <c r="U556161" s="25"/>
    </row>
    <row r="556183" spans="21:21" x14ac:dyDescent="0.3">
      <c r="U556183" s="25"/>
    </row>
    <row r="556205" spans="21:21" x14ac:dyDescent="0.3">
      <c r="U556205" s="25"/>
    </row>
    <row r="556227" spans="21:21" x14ac:dyDescent="0.3">
      <c r="U556227" s="25"/>
    </row>
    <row r="556249" spans="21:21" x14ac:dyDescent="0.3">
      <c r="U556249" s="25"/>
    </row>
    <row r="556271" spans="21:21" x14ac:dyDescent="0.3">
      <c r="U556271" s="25"/>
    </row>
    <row r="556293" spans="21:21" x14ac:dyDescent="0.3">
      <c r="U556293" s="25"/>
    </row>
    <row r="556315" spans="21:21" x14ac:dyDescent="0.3">
      <c r="U556315" s="25"/>
    </row>
    <row r="556337" spans="21:21" x14ac:dyDescent="0.3">
      <c r="U556337" s="25"/>
    </row>
    <row r="556359" spans="21:21" x14ac:dyDescent="0.3">
      <c r="U556359" s="25"/>
    </row>
    <row r="556381" spans="21:21" x14ac:dyDescent="0.3">
      <c r="U556381" s="25"/>
    </row>
    <row r="556403" spans="21:21" x14ac:dyDescent="0.3">
      <c r="U556403" s="25"/>
    </row>
    <row r="556425" spans="21:21" x14ac:dyDescent="0.3">
      <c r="U556425" s="25"/>
    </row>
    <row r="556447" spans="21:21" x14ac:dyDescent="0.3">
      <c r="U556447" s="25"/>
    </row>
    <row r="556469" spans="21:21" x14ac:dyDescent="0.3">
      <c r="U556469" s="25"/>
    </row>
    <row r="556491" spans="21:21" x14ac:dyDescent="0.3">
      <c r="U556491" s="25"/>
    </row>
    <row r="556513" spans="21:21" x14ac:dyDescent="0.3">
      <c r="U556513" s="25"/>
    </row>
    <row r="556535" spans="21:21" x14ac:dyDescent="0.3">
      <c r="U556535" s="25"/>
    </row>
    <row r="556557" spans="21:21" x14ac:dyDescent="0.3">
      <c r="U556557" s="25"/>
    </row>
    <row r="556579" spans="21:21" x14ac:dyDescent="0.3">
      <c r="U556579" s="25"/>
    </row>
    <row r="556601" spans="21:21" x14ac:dyDescent="0.3">
      <c r="U556601" s="25"/>
    </row>
    <row r="556623" spans="21:21" x14ac:dyDescent="0.3">
      <c r="U556623" s="25"/>
    </row>
    <row r="556645" spans="21:21" x14ac:dyDescent="0.3">
      <c r="U556645" s="25"/>
    </row>
    <row r="556667" spans="21:21" x14ac:dyDescent="0.3">
      <c r="U556667" s="25"/>
    </row>
    <row r="556689" spans="21:21" x14ac:dyDescent="0.3">
      <c r="U556689" s="25"/>
    </row>
    <row r="556711" spans="21:21" x14ac:dyDescent="0.3">
      <c r="U556711" s="25"/>
    </row>
    <row r="556733" spans="21:21" x14ac:dyDescent="0.3">
      <c r="U556733" s="25"/>
    </row>
    <row r="556755" spans="21:21" x14ac:dyDescent="0.3">
      <c r="U556755" s="25"/>
    </row>
    <row r="556777" spans="21:21" x14ac:dyDescent="0.3">
      <c r="U556777" s="25"/>
    </row>
    <row r="556799" spans="21:21" x14ac:dyDescent="0.3">
      <c r="U556799" s="25"/>
    </row>
    <row r="556821" spans="21:21" x14ac:dyDescent="0.3">
      <c r="U556821" s="25"/>
    </row>
    <row r="556843" spans="21:21" x14ac:dyDescent="0.3">
      <c r="U556843" s="25"/>
    </row>
    <row r="556865" spans="21:21" x14ac:dyDescent="0.3">
      <c r="U556865" s="25"/>
    </row>
    <row r="556887" spans="21:21" x14ac:dyDescent="0.3">
      <c r="U556887" s="25"/>
    </row>
    <row r="556909" spans="21:21" x14ac:dyDescent="0.3">
      <c r="U556909" s="25"/>
    </row>
    <row r="556931" spans="21:21" x14ac:dyDescent="0.3">
      <c r="U556931" s="25"/>
    </row>
    <row r="556953" spans="21:21" x14ac:dyDescent="0.3">
      <c r="U556953" s="25"/>
    </row>
    <row r="556975" spans="21:21" x14ac:dyDescent="0.3">
      <c r="U556975" s="25"/>
    </row>
    <row r="556997" spans="21:21" x14ac:dyDescent="0.3">
      <c r="U556997" s="25"/>
    </row>
    <row r="557019" spans="21:21" x14ac:dyDescent="0.3">
      <c r="U557019" s="25"/>
    </row>
    <row r="557041" spans="21:21" x14ac:dyDescent="0.3">
      <c r="U557041" s="25"/>
    </row>
    <row r="557063" spans="21:21" x14ac:dyDescent="0.3">
      <c r="U557063" s="25"/>
    </row>
    <row r="557085" spans="21:21" x14ac:dyDescent="0.3">
      <c r="U557085" s="25"/>
    </row>
    <row r="557107" spans="21:21" x14ac:dyDescent="0.3">
      <c r="U557107" s="25"/>
    </row>
    <row r="557129" spans="21:21" x14ac:dyDescent="0.3">
      <c r="U557129" s="25"/>
    </row>
    <row r="557151" spans="21:21" x14ac:dyDescent="0.3">
      <c r="U557151" s="25"/>
    </row>
    <row r="557173" spans="21:21" x14ac:dyDescent="0.3">
      <c r="U557173" s="25"/>
    </row>
    <row r="557195" spans="21:21" x14ac:dyDescent="0.3">
      <c r="U557195" s="25"/>
    </row>
    <row r="557217" spans="21:21" x14ac:dyDescent="0.3">
      <c r="U557217" s="25"/>
    </row>
    <row r="557239" spans="21:21" x14ac:dyDescent="0.3">
      <c r="U557239" s="25"/>
    </row>
    <row r="557261" spans="21:21" x14ac:dyDescent="0.3">
      <c r="U557261" s="25"/>
    </row>
    <row r="557283" spans="21:21" x14ac:dyDescent="0.3">
      <c r="U557283" s="25"/>
    </row>
    <row r="557305" spans="21:21" x14ac:dyDescent="0.3">
      <c r="U557305" s="25"/>
    </row>
    <row r="557327" spans="21:21" x14ac:dyDescent="0.3">
      <c r="U557327" s="25"/>
    </row>
    <row r="557349" spans="21:21" x14ac:dyDescent="0.3">
      <c r="U557349" s="25"/>
    </row>
    <row r="557371" spans="21:21" x14ac:dyDescent="0.3">
      <c r="U557371" s="25"/>
    </row>
    <row r="557393" spans="21:21" x14ac:dyDescent="0.3">
      <c r="U557393" s="25"/>
    </row>
    <row r="557415" spans="21:21" x14ac:dyDescent="0.3">
      <c r="U557415" s="25"/>
    </row>
    <row r="557437" spans="21:21" x14ac:dyDescent="0.3">
      <c r="U557437" s="25"/>
    </row>
    <row r="557459" spans="21:21" x14ac:dyDescent="0.3">
      <c r="U557459" s="25"/>
    </row>
    <row r="557481" spans="21:21" x14ac:dyDescent="0.3">
      <c r="U557481" s="25"/>
    </row>
    <row r="557503" spans="21:21" x14ac:dyDescent="0.3">
      <c r="U557503" s="25"/>
    </row>
    <row r="557525" spans="21:21" x14ac:dyDescent="0.3">
      <c r="U557525" s="25"/>
    </row>
    <row r="557547" spans="21:21" x14ac:dyDescent="0.3">
      <c r="U557547" s="25"/>
    </row>
    <row r="557569" spans="21:21" x14ac:dyDescent="0.3">
      <c r="U557569" s="25"/>
    </row>
    <row r="557591" spans="21:21" x14ac:dyDescent="0.3">
      <c r="U557591" s="25"/>
    </row>
    <row r="557613" spans="21:21" x14ac:dyDescent="0.3">
      <c r="U557613" s="25"/>
    </row>
    <row r="557635" spans="21:21" x14ac:dyDescent="0.3">
      <c r="U557635" s="25"/>
    </row>
    <row r="557657" spans="21:21" x14ac:dyDescent="0.3">
      <c r="U557657" s="25"/>
    </row>
    <row r="557679" spans="21:21" x14ac:dyDescent="0.3">
      <c r="U557679" s="25"/>
    </row>
    <row r="557701" spans="21:21" x14ac:dyDescent="0.3">
      <c r="U557701" s="25"/>
    </row>
    <row r="557723" spans="21:21" x14ac:dyDescent="0.3">
      <c r="U557723" s="25"/>
    </row>
    <row r="557745" spans="21:21" x14ac:dyDescent="0.3">
      <c r="U557745" s="25"/>
    </row>
    <row r="557767" spans="21:21" x14ac:dyDescent="0.3">
      <c r="U557767" s="25"/>
    </row>
    <row r="557789" spans="21:21" x14ac:dyDescent="0.3">
      <c r="U557789" s="25"/>
    </row>
    <row r="557811" spans="21:21" x14ac:dyDescent="0.3">
      <c r="U557811" s="25"/>
    </row>
    <row r="557833" spans="21:21" x14ac:dyDescent="0.3">
      <c r="U557833" s="25"/>
    </row>
    <row r="557855" spans="21:21" x14ac:dyDescent="0.3">
      <c r="U557855" s="25"/>
    </row>
    <row r="557877" spans="21:21" x14ac:dyDescent="0.3">
      <c r="U557877" s="25"/>
    </row>
    <row r="557899" spans="21:21" x14ac:dyDescent="0.3">
      <c r="U557899" s="25"/>
    </row>
    <row r="557921" spans="21:21" x14ac:dyDescent="0.3">
      <c r="U557921" s="25"/>
    </row>
    <row r="557943" spans="21:21" x14ac:dyDescent="0.3">
      <c r="U557943" s="25"/>
    </row>
    <row r="557965" spans="21:21" x14ac:dyDescent="0.3">
      <c r="U557965" s="25"/>
    </row>
    <row r="557987" spans="21:21" x14ac:dyDescent="0.3">
      <c r="U557987" s="25"/>
    </row>
    <row r="558009" spans="21:21" x14ac:dyDescent="0.3">
      <c r="U558009" s="25"/>
    </row>
    <row r="558031" spans="21:21" x14ac:dyDescent="0.3">
      <c r="U558031" s="25"/>
    </row>
    <row r="558053" spans="21:21" x14ac:dyDescent="0.3">
      <c r="U558053" s="25"/>
    </row>
    <row r="558075" spans="21:21" x14ac:dyDescent="0.3">
      <c r="U558075" s="25"/>
    </row>
    <row r="558097" spans="21:21" x14ac:dyDescent="0.3">
      <c r="U558097" s="25"/>
    </row>
    <row r="558119" spans="21:21" x14ac:dyDescent="0.3">
      <c r="U558119" s="25"/>
    </row>
    <row r="558141" spans="21:21" x14ac:dyDescent="0.3">
      <c r="U558141" s="25"/>
    </row>
    <row r="558163" spans="21:21" x14ac:dyDescent="0.3">
      <c r="U558163" s="25"/>
    </row>
    <row r="558185" spans="21:21" x14ac:dyDescent="0.3">
      <c r="U558185" s="25"/>
    </row>
    <row r="558207" spans="21:21" x14ac:dyDescent="0.3">
      <c r="U558207" s="25"/>
    </row>
    <row r="558229" spans="21:21" x14ac:dyDescent="0.3">
      <c r="U558229" s="25"/>
    </row>
    <row r="558251" spans="21:21" x14ac:dyDescent="0.3">
      <c r="U558251" s="25"/>
    </row>
    <row r="558273" spans="21:21" x14ac:dyDescent="0.3">
      <c r="U558273" s="25"/>
    </row>
    <row r="558295" spans="21:21" x14ac:dyDescent="0.3">
      <c r="U558295" s="25"/>
    </row>
    <row r="558317" spans="21:21" x14ac:dyDescent="0.3">
      <c r="U558317" s="25"/>
    </row>
    <row r="558339" spans="21:21" x14ac:dyDescent="0.3">
      <c r="U558339" s="25"/>
    </row>
    <row r="558361" spans="21:21" x14ac:dyDescent="0.3">
      <c r="U558361" s="25"/>
    </row>
    <row r="558383" spans="21:21" x14ac:dyDescent="0.3">
      <c r="U558383" s="25"/>
    </row>
    <row r="558405" spans="21:21" x14ac:dyDescent="0.3">
      <c r="U558405" s="25"/>
    </row>
    <row r="558427" spans="21:21" x14ac:dyDescent="0.3">
      <c r="U558427" s="25"/>
    </row>
    <row r="558449" spans="21:21" x14ac:dyDescent="0.3">
      <c r="U558449" s="25"/>
    </row>
    <row r="558471" spans="21:21" x14ac:dyDescent="0.3">
      <c r="U558471" s="25"/>
    </row>
    <row r="558493" spans="21:21" x14ac:dyDescent="0.3">
      <c r="U558493" s="25"/>
    </row>
    <row r="558515" spans="21:21" x14ac:dyDescent="0.3">
      <c r="U558515" s="25"/>
    </row>
    <row r="558537" spans="21:21" x14ac:dyDescent="0.3">
      <c r="U558537" s="25"/>
    </row>
    <row r="558559" spans="21:21" x14ac:dyDescent="0.3">
      <c r="U558559" s="25"/>
    </row>
    <row r="558581" spans="21:21" x14ac:dyDescent="0.3">
      <c r="U558581" s="25"/>
    </row>
    <row r="558603" spans="21:21" x14ac:dyDescent="0.3">
      <c r="U558603" s="25"/>
    </row>
    <row r="558625" spans="21:21" x14ac:dyDescent="0.3">
      <c r="U558625" s="25"/>
    </row>
    <row r="558647" spans="21:21" x14ac:dyDescent="0.3">
      <c r="U558647" s="25"/>
    </row>
    <row r="558669" spans="21:21" x14ac:dyDescent="0.3">
      <c r="U558669" s="25"/>
    </row>
    <row r="558691" spans="21:21" x14ac:dyDescent="0.3">
      <c r="U558691" s="25"/>
    </row>
    <row r="558713" spans="21:21" x14ac:dyDescent="0.3">
      <c r="U558713" s="25"/>
    </row>
    <row r="558735" spans="21:21" x14ac:dyDescent="0.3">
      <c r="U558735" s="25"/>
    </row>
    <row r="558757" spans="21:21" x14ac:dyDescent="0.3">
      <c r="U558757" s="25"/>
    </row>
    <row r="558779" spans="21:21" x14ac:dyDescent="0.3">
      <c r="U558779" s="25"/>
    </row>
    <row r="558801" spans="21:21" x14ac:dyDescent="0.3">
      <c r="U558801" s="25"/>
    </row>
    <row r="558823" spans="21:21" x14ac:dyDescent="0.3">
      <c r="U558823" s="25"/>
    </row>
    <row r="558845" spans="21:21" x14ac:dyDescent="0.3">
      <c r="U558845" s="25"/>
    </row>
    <row r="558867" spans="21:21" x14ac:dyDescent="0.3">
      <c r="U558867" s="25"/>
    </row>
    <row r="558889" spans="21:21" x14ac:dyDescent="0.3">
      <c r="U558889" s="25"/>
    </row>
    <row r="558911" spans="21:21" x14ac:dyDescent="0.3">
      <c r="U558911" s="25"/>
    </row>
    <row r="558933" spans="21:21" x14ac:dyDescent="0.3">
      <c r="U558933" s="25"/>
    </row>
    <row r="558955" spans="21:21" x14ac:dyDescent="0.3">
      <c r="U558955" s="25"/>
    </row>
    <row r="558977" spans="21:21" x14ac:dyDescent="0.3">
      <c r="U558977" s="25"/>
    </row>
    <row r="558999" spans="21:21" x14ac:dyDescent="0.3">
      <c r="U558999" s="25"/>
    </row>
    <row r="559021" spans="21:21" x14ac:dyDescent="0.3">
      <c r="U559021" s="25"/>
    </row>
    <row r="559043" spans="21:21" x14ac:dyDescent="0.3">
      <c r="U559043" s="25"/>
    </row>
    <row r="559065" spans="21:21" x14ac:dyDescent="0.3">
      <c r="U559065" s="25"/>
    </row>
    <row r="559087" spans="21:21" x14ac:dyDescent="0.3">
      <c r="U559087" s="25"/>
    </row>
    <row r="559109" spans="21:21" x14ac:dyDescent="0.3">
      <c r="U559109" s="25"/>
    </row>
    <row r="559131" spans="21:21" x14ac:dyDescent="0.3">
      <c r="U559131" s="25"/>
    </row>
    <row r="559153" spans="21:21" x14ac:dyDescent="0.3">
      <c r="U559153" s="25"/>
    </row>
    <row r="559175" spans="21:21" x14ac:dyDescent="0.3">
      <c r="U559175" s="25"/>
    </row>
    <row r="559197" spans="21:21" x14ac:dyDescent="0.3">
      <c r="U559197" s="25"/>
    </row>
    <row r="559219" spans="21:21" x14ac:dyDescent="0.3">
      <c r="U559219" s="25"/>
    </row>
    <row r="559241" spans="21:21" x14ac:dyDescent="0.3">
      <c r="U559241" s="25"/>
    </row>
    <row r="559263" spans="21:21" x14ac:dyDescent="0.3">
      <c r="U559263" s="25"/>
    </row>
    <row r="559285" spans="21:21" x14ac:dyDescent="0.3">
      <c r="U559285" s="25"/>
    </row>
    <row r="559307" spans="21:21" x14ac:dyDescent="0.3">
      <c r="U559307" s="25"/>
    </row>
    <row r="559329" spans="21:21" x14ac:dyDescent="0.3">
      <c r="U559329" s="25"/>
    </row>
    <row r="559351" spans="21:21" x14ac:dyDescent="0.3">
      <c r="U559351" s="25"/>
    </row>
    <row r="559373" spans="21:21" x14ac:dyDescent="0.3">
      <c r="U559373" s="25"/>
    </row>
    <row r="559395" spans="21:21" x14ac:dyDescent="0.3">
      <c r="U559395" s="25"/>
    </row>
    <row r="559417" spans="21:21" x14ac:dyDescent="0.3">
      <c r="U559417" s="25"/>
    </row>
    <row r="559439" spans="21:21" x14ac:dyDescent="0.3">
      <c r="U559439" s="25"/>
    </row>
    <row r="559461" spans="21:21" x14ac:dyDescent="0.3">
      <c r="U559461" s="25"/>
    </row>
    <row r="559483" spans="21:21" x14ac:dyDescent="0.3">
      <c r="U559483" s="25"/>
    </row>
    <row r="559505" spans="21:21" x14ac:dyDescent="0.3">
      <c r="U559505" s="25"/>
    </row>
    <row r="559527" spans="21:21" x14ac:dyDescent="0.3">
      <c r="U559527" s="25"/>
    </row>
    <row r="559549" spans="21:21" x14ac:dyDescent="0.3">
      <c r="U559549" s="25"/>
    </row>
    <row r="559571" spans="21:21" x14ac:dyDescent="0.3">
      <c r="U559571" s="25"/>
    </row>
    <row r="559593" spans="21:21" x14ac:dyDescent="0.3">
      <c r="U559593" s="25"/>
    </row>
    <row r="559615" spans="21:21" x14ac:dyDescent="0.3">
      <c r="U559615" s="25"/>
    </row>
    <row r="559637" spans="21:21" x14ac:dyDescent="0.3">
      <c r="U559637" s="25"/>
    </row>
    <row r="559659" spans="21:21" x14ac:dyDescent="0.3">
      <c r="U559659" s="25"/>
    </row>
    <row r="559681" spans="21:21" x14ac:dyDescent="0.3">
      <c r="U559681" s="25"/>
    </row>
    <row r="559703" spans="21:21" x14ac:dyDescent="0.3">
      <c r="U559703" s="25"/>
    </row>
    <row r="559725" spans="21:21" x14ac:dyDescent="0.3">
      <c r="U559725" s="25"/>
    </row>
    <row r="559747" spans="21:21" x14ac:dyDescent="0.3">
      <c r="U559747" s="25"/>
    </row>
    <row r="559769" spans="21:21" x14ac:dyDescent="0.3">
      <c r="U559769" s="25"/>
    </row>
    <row r="559791" spans="21:21" x14ac:dyDescent="0.3">
      <c r="U559791" s="25"/>
    </row>
    <row r="559813" spans="21:21" x14ac:dyDescent="0.3">
      <c r="U559813" s="25"/>
    </row>
    <row r="559835" spans="21:21" x14ac:dyDescent="0.3">
      <c r="U559835" s="25"/>
    </row>
    <row r="559857" spans="21:21" x14ac:dyDescent="0.3">
      <c r="U559857" s="25"/>
    </row>
    <row r="559879" spans="21:21" x14ac:dyDescent="0.3">
      <c r="U559879" s="25"/>
    </row>
    <row r="559901" spans="21:21" x14ac:dyDescent="0.3">
      <c r="U559901" s="25"/>
    </row>
    <row r="559923" spans="21:21" x14ac:dyDescent="0.3">
      <c r="U559923" s="25"/>
    </row>
    <row r="559945" spans="21:21" x14ac:dyDescent="0.3">
      <c r="U559945" s="25"/>
    </row>
    <row r="559967" spans="21:21" x14ac:dyDescent="0.3">
      <c r="U559967" s="25"/>
    </row>
    <row r="559989" spans="21:21" x14ac:dyDescent="0.3">
      <c r="U559989" s="25"/>
    </row>
    <row r="560011" spans="21:21" x14ac:dyDescent="0.3">
      <c r="U560011" s="25"/>
    </row>
    <row r="560033" spans="21:21" x14ac:dyDescent="0.3">
      <c r="U560033" s="25"/>
    </row>
    <row r="560055" spans="21:21" x14ac:dyDescent="0.3">
      <c r="U560055" s="25"/>
    </row>
    <row r="560077" spans="21:21" x14ac:dyDescent="0.3">
      <c r="U560077" s="25"/>
    </row>
    <row r="560099" spans="21:21" x14ac:dyDescent="0.3">
      <c r="U560099" s="25"/>
    </row>
    <row r="560121" spans="21:21" x14ac:dyDescent="0.3">
      <c r="U560121" s="25"/>
    </row>
    <row r="560143" spans="21:21" x14ac:dyDescent="0.3">
      <c r="U560143" s="25"/>
    </row>
    <row r="560165" spans="21:21" x14ac:dyDescent="0.3">
      <c r="U560165" s="25"/>
    </row>
    <row r="560187" spans="21:21" x14ac:dyDescent="0.3">
      <c r="U560187" s="25"/>
    </row>
    <row r="560209" spans="21:21" x14ac:dyDescent="0.3">
      <c r="U560209" s="25"/>
    </row>
    <row r="560231" spans="21:21" x14ac:dyDescent="0.3">
      <c r="U560231" s="25"/>
    </row>
    <row r="560253" spans="21:21" x14ac:dyDescent="0.3">
      <c r="U560253" s="25"/>
    </row>
    <row r="560275" spans="21:21" x14ac:dyDescent="0.3">
      <c r="U560275" s="25"/>
    </row>
    <row r="560297" spans="21:21" x14ac:dyDescent="0.3">
      <c r="U560297" s="25"/>
    </row>
    <row r="560319" spans="21:21" x14ac:dyDescent="0.3">
      <c r="U560319" s="25"/>
    </row>
    <row r="560341" spans="21:21" x14ac:dyDescent="0.3">
      <c r="U560341" s="25"/>
    </row>
    <row r="560363" spans="21:21" x14ac:dyDescent="0.3">
      <c r="U560363" s="25"/>
    </row>
    <row r="560385" spans="21:21" x14ac:dyDescent="0.3">
      <c r="U560385" s="25"/>
    </row>
    <row r="560407" spans="21:21" x14ac:dyDescent="0.3">
      <c r="U560407" s="25"/>
    </row>
    <row r="560429" spans="21:21" x14ac:dyDescent="0.3">
      <c r="U560429" s="25"/>
    </row>
    <row r="560451" spans="21:21" x14ac:dyDescent="0.3">
      <c r="U560451" s="25"/>
    </row>
    <row r="560473" spans="21:21" x14ac:dyDescent="0.3">
      <c r="U560473" s="25"/>
    </row>
    <row r="560495" spans="21:21" x14ac:dyDescent="0.3">
      <c r="U560495" s="25"/>
    </row>
    <row r="560517" spans="21:21" x14ac:dyDescent="0.3">
      <c r="U560517" s="25"/>
    </row>
    <row r="560539" spans="21:21" x14ac:dyDescent="0.3">
      <c r="U560539" s="25"/>
    </row>
    <row r="560561" spans="21:21" x14ac:dyDescent="0.3">
      <c r="U560561" s="25"/>
    </row>
    <row r="560583" spans="21:21" x14ac:dyDescent="0.3">
      <c r="U560583" s="25"/>
    </row>
    <row r="560605" spans="21:21" x14ac:dyDescent="0.3">
      <c r="U560605" s="25"/>
    </row>
    <row r="560627" spans="21:21" x14ac:dyDescent="0.3">
      <c r="U560627" s="25"/>
    </row>
    <row r="560649" spans="21:21" x14ac:dyDescent="0.3">
      <c r="U560649" s="25"/>
    </row>
    <row r="560671" spans="21:21" x14ac:dyDescent="0.3">
      <c r="U560671" s="25"/>
    </row>
    <row r="560693" spans="21:21" x14ac:dyDescent="0.3">
      <c r="U560693" s="25"/>
    </row>
    <row r="560715" spans="21:21" x14ac:dyDescent="0.3">
      <c r="U560715" s="25"/>
    </row>
    <row r="560737" spans="21:21" x14ac:dyDescent="0.3">
      <c r="U560737" s="25"/>
    </row>
    <row r="560759" spans="21:21" x14ac:dyDescent="0.3">
      <c r="U560759" s="25"/>
    </row>
    <row r="560781" spans="21:21" x14ac:dyDescent="0.3">
      <c r="U560781" s="25"/>
    </row>
    <row r="560803" spans="21:21" x14ac:dyDescent="0.3">
      <c r="U560803" s="25"/>
    </row>
    <row r="560825" spans="21:21" x14ac:dyDescent="0.3">
      <c r="U560825" s="25"/>
    </row>
    <row r="560847" spans="21:21" x14ac:dyDescent="0.3">
      <c r="U560847" s="25"/>
    </row>
    <row r="560869" spans="21:21" x14ac:dyDescent="0.3">
      <c r="U560869" s="25"/>
    </row>
    <row r="560891" spans="21:21" x14ac:dyDescent="0.3">
      <c r="U560891" s="25"/>
    </row>
    <row r="560913" spans="21:21" x14ac:dyDescent="0.3">
      <c r="U560913" s="25"/>
    </row>
    <row r="560935" spans="21:21" x14ac:dyDescent="0.3">
      <c r="U560935" s="25"/>
    </row>
    <row r="560957" spans="21:21" x14ac:dyDescent="0.3">
      <c r="U560957" s="25"/>
    </row>
    <row r="560979" spans="21:21" x14ac:dyDescent="0.3">
      <c r="U560979" s="25"/>
    </row>
    <row r="561001" spans="21:21" x14ac:dyDescent="0.3">
      <c r="U561001" s="25"/>
    </row>
    <row r="561023" spans="21:21" x14ac:dyDescent="0.3">
      <c r="U561023" s="25"/>
    </row>
    <row r="561045" spans="21:21" x14ac:dyDescent="0.3">
      <c r="U561045" s="25"/>
    </row>
    <row r="561067" spans="21:21" x14ac:dyDescent="0.3">
      <c r="U561067" s="25"/>
    </row>
    <row r="561089" spans="21:21" x14ac:dyDescent="0.3">
      <c r="U561089" s="25"/>
    </row>
    <row r="561111" spans="21:21" x14ac:dyDescent="0.3">
      <c r="U561111" s="25"/>
    </row>
    <row r="561133" spans="21:21" x14ac:dyDescent="0.3">
      <c r="U561133" s="25"/>
    </row>
    <row r="561155" spans="21:21" x14ac:dyDescent="0.3">
      <c r="U561155" s="25"/>
    </row>
    <row r="561177" spans="21:21" x14ac:dyDescent="0.3">
      <c r="U561177" s="25"/>
    </row>
    <row r="561199" spans="21:21" x14ac:dyDescent="0.3">
      <c r="U561199" s="25"/>
    </row>
    <row r="561221" spans="21:21" x14ac:dyDescent="0.3">
      <c r="U561221" s="25"/>
    </row>
    <row r="561243" spans="21:21" x14ac:dyDescent="0.3">
      <c r="U561243" s="25"/>
    </row>
    <row r="561265" spans="21:21" x14ac:dyDescent="0.3">
      <c r="U561265" s="25"/>
    </row>
    <row r="561287" spans="21:21" x14ac:dyDescent="0.3">
      <c r="U561287" s="25"/>
    </row>
    <row r="561309" spans="21:21" x14ac:dyDescent="0.3">
      <c r="U561309" s="25"/>
    </row>
    <row r="561331" spans="21:21" x14ac:dyDescent="0.3">
      <c r="U561331" s="25"/>
    </row>
    <row r="561353" spans="21:21" x14ac:dyDescent="0.3">
      <c r="U561353" s="25"/>
    </row>
    <row r="561375" spans="21:21" x14ac:dyDescent="0.3">
      <c r="U561375" s="25"/>
    </row>
    <row r="561397" spans="21:21" x14ac:dyDescent="0.3">
      <c r="U561397" s="25"/>
    </row>
    <row r="561419" spans="21:21" x14ac:dyDescent="0.3">
      <c r="U561419" s="25"/>
    </row>
    <row r="561441" spans="21:21" x14ac:dyDescent="0.3">
      <c r="U561441" s="25"/>
    </row>
    <row r="561463" spans="21:21" x14ac:dyDescent="0.3">
      <c r="U561463" s="25"/>
    </row>
    <row r="561485" spans="21:21" x14ac:dyDescent="0.3">
      <c r="U561485" s="25"/>
    </row>
    <row r="561507" spans="21:21" x14ac:dyDescent="0.3">
      <c r="U561507" s="25"/>
    </row>
    <row r="561529" spans="21:21" x14ac:dyDescent="0.3">
      <c r="U561529" s="25"/>
    </row>
    <row r="561551" spans="21:21" x14ac:dyDescent="0.3">
      <c r="U561551" s="25"/>
    </row>
    <row r="561573" spans="21:21" x14ac:dyDescent="0.3">
      <c r="U561573" s="25"/>
    </row>
    <row r="561595" spans="21:21" x14ac:dyDescent="0.3">
      <c r="U561595" s="25"/>
    </row>
    <row r="561617" spans="21:21" x14ac:dyDescent="0.3">
      <c r="U561617" s="25"/>
    </row>
    <row r="561639" spans="21:21" x14ac:dyDescent="0.3">
      <c r="U561639" s="25"/>
    </row>
    <row r="561661" spans="21:21" x14ac:dyDescent="0.3">
      <c r="U561661" s="25"/>
    </row>
    <row r="561683" spans="21:21" x14ac:dyDescent="0.3">
      <c r="U561683" s="25"/>
    </row>
    <row r="561705" spans="21:21" x14ac:dyDescent="0.3">
      <c r="U561705" s="25"/>
    </row>
    <row r="561727" spans="21:21" x14ac:dyDescent="0.3">
      <c r="U561727" s="25"/>
    </row>
    <row r="561749" spans="21:21" x14ac:dyDescent="0.3">
      <c r="U561749" s="25"/>
    </row>
    <row r="561771" spans="21:21" x14ac:dyDescent="0.3">
      <c r="U561771" s="25"/>
    </row>
    <row r="561793" spans="21:21" x14ac:dyDescent="0.3">
      <c r="U561793" s="25"/>
    </row>
    <row r="561815" spans="21:21" x14ac:dyDescent="0.3">
      <c r="U561815" s="25"/>
    </row>
    <row r="561837" spans="21:21" x14ac:dyDescent="0.3">
      <c r="U561837" s="25"/>
    </row>
    <row r="561859" spans="21:21" x14ac:dyDescent="0.3">
      <c r="U561859" s="25"/>
    </row>
    <row r="561881" spans="21:21" x14ac:dyDescent="0.3">
      <c r="U561881" s="25"/>
    </row>
    <row r="561903" spans="21:21" x14ac:dyDescent="0.3">
      <c r="U561903" s="25"/>
    </row>
    <row r="561925" spans="21:21" x14ac:dyDescent="0.3">
      <c r="U561925" s="25"/>
    </row>
    <row r="561947" spans="21:21" x14ac:dyDescent="0.3">
      <c r="U561947" s="25"/>
    </row>
    <row r="561969" spans="21:21" x14ac:dyDescent="0.3">
      <c r="U561969" s="25"/>
    </row>
    <row r="561991" spans="21:21" x14ac:dyDescent="0.3">
      <c r="U561991" s="25"/>
    </row>
    <row r="562013" spans="21:21" x14ac:dyDescent="0.3">
      <c r="U562013" s="25"/>
    </row>
    <row r="562035" spans="21:21" x14ac:dyDescent="0.3">
      <c r="U562035" s="25"/>
    </row>
    <row r="562057" spans="21:21" x14ac:dyDescent="0.3">
      <c r="U562057" s="25"/>
    </row>
    <row r="562079" spans="21:21" x14ac:dyDescent="0.3">
      <c r="U562079" s="25"/>
    </row>
    <row r="562101" spans="21:21" x14ac:dyDescent="0.3">
      <c r="U562101" s="25"/>
    </row>
    <row r="562123" spans="21:21" x14ac:dyDescent="0.3">
      <c r="U562123" s="25"/>
    </row>
    <row r="562145" spans="21:21" x14ac:dyDescent="0.3">
      <c r="U562145" s="25"/>
    </row>
    <row r="562167" spans="21:21" x14ac:dyDescent="0.3">
      <c r="U562167" s="25"/>
    </row>
    <row r="562189" spans="21:21" x14ac:dyDescent="0.3">
      <c r="U562189" s="25"/>
    </row>
    <row r="562211" spans="21:21" x14ac:dyDescent="0.3">
      <c r="U562211" s="25"/>
    </row>
    <row r="562233" spans="21:21" x14ac:dyDescent="0.3">
      <c r="U562233" s="25"/>
    </row>
    <row r="562255" spans="21:21" x14ac:dyDescent="0.3">
      <c r="U562255" s="25"/>
    </row>
    <row r="562277" spans="21:21" x14ac:dyDescent="0.3">
      <c r="U562277" s="25"/>
    </row>
    <row r="562299" spans="21:21" x14ac:dyDescent="0.3">
      <c r="U562299" s="25"/>
    </row>
    <row r="562321" spans="21:21" x14ac:dyDescent="0.3">
      <c r="U562321" s="25"/>
    </row>
    <row r="562343" spans="21:21" x14ac:dyDescent="0.3">
      <c r="U562343" s="25"/>
    </row>
    <row r="562365" spans="21:21" x14ac:dyDescent="0.3">
      <c r="U562365" s="25"/>
    </row>
    <row r="562387" spans="21:21" x14ac:dyDescent="0.3">
      <c r="U562387" s="25"/>
    </row>
    <row r="562409" spans="21:21" x14ac:dyDescent="0.3">
      <c r="U562409" s="25"/>
    </row>
    <row r="562431" spans="21:21" x14ac:dyDescent="0.3">
      <c r="U562431" s="25"/>
    </row>
    <row r="562453" spans="21:21" x14ac:dyDescent="0.3">
      <c r="U562453" s="25"/>
    </row>
    <row r="562475" spans="21:21" x14ac:dyDescent="0.3">
      <c r="U562475" s="25"/>
    </row>
    <row r="562497" spans="21:21" x14ac:dyDescent="0.3">
      <c r="U562497" s="25"/>
    </row>
    <row r="562519" spans="21:21" x14ac:dyDescent="0.3">
      <c r="U562519" s="25"/>
    </row>
    <row r="562541" spans="21:21" x14ac:dyDescent="0.3">
      <c r="U562541" s="25"/>
    </row>
    <row r="562563" spans="21:21" x14ac:dyDescent="0.3">
      <c r="U562563" s="25"/>
    </row>
    <row r="562585" spans="21:21" x14ac:dyDescent="0.3">
      <c r="U562585" s="25"/>
    </row>
    <row r="562607" spans="21:21" x14ac:dyDescent="0.3">
      <c r="U562607" s="25"/>
    </row>
    <row r="562629" spans="21:21" x14ac:dyDescent="0.3">
      <c r="U562629" s="25"/>
    </row>
    <row r="562651" spans="21:21" x14ac:dyDescent="0.3">
      <c r="U562651" s="25"/>
    </row>
    <row r="562673" spans="21:21" x14ac:dyDescent="0.3">
      <c r="U562673" s="25"/>
    </row>
    <row r="562695" spans="21:21" x14ac:dyDescent="0.3">
      <c r="U562695" s="25"/>
    </row>
    <row r="562717" spans="21:21" x14ac:dyDescent="0.3">
      <c r="U562717" s="25"/>
    </row>
    <row r="562739" spans="21:21" x14ac:dyDescent="0.3">
      <c r="U562739" s="25"/>
    </row>
    <row r="562761" spans="21:21" x14ac:dyDescent="0.3">
      <c r="U562761" s="25"/>
    </row>
    <row r="562783" spans="21:21" x14ac:dyDescent="0.3">
      <c r="U562783" s="25"/>
    </row>
    <row r="562805" spans="21:21" x14ac:dyDescent="0.3">
      <c r="U562805" s="25"/>
    </row>
    <row r="562827" spans="21:21" x14ac:dyDescent="0.3">
      <c r="U562827" s="25"/>
    </row>
    <row r="562849" spans="21:21" x14ac:dyDescent="0.3">
      <c r="U562849" s="25"/>
    </row>
    <row r="562871" spans="21:21" x14ac:dyDescent="0.3">
      <c r="U562871" s="25"/>
    </row>
    <row r="562893" spans="21:21" x14ac:dyDescent="0.3">
      <c r="U562893" s="25"/>
    </row>
    <row r="562915" spans="21:21" x14ac:dyDescent="0.3">
      <c r="U562915" s="25"/>
    </row>
    <row r="562937" spans="21:21" x14ac:dyDescent="0.3">
      <c r="U562937" s="25"/>
    </row>
    <row r="562959" spans="21:21" x14ac:dyDescent="0.3">
      <c r="U562959" s="25"/>
    </row>
    <row r="562981" spans="21:21" x14ac:dyDescent="0.3">
      <c r="U562981" s="25"/>
    </row>
    <row r="563003" spans="21:21" x14ac:dyDescent="0.3">
      <c r="U563003" s="25"/>
    </row>
    <row r="563025" spans="21:21" x14ac:dyDescent="0.3">
      <c r="U563025" s="25"/>
    </row>
    <row r="563047" spans="21:21" x14ac:dyDescent="0.3">
      <c r="U563047" s="25"/>
    </row>
    <row r="563069" spans="21:21" x14ac:dyDescent="0.3">
      <c r="U563069" s="25"/>
    </row>
    <row r="563091" spans="21:21" x14ac:dyDescent="0.3">
      <c r="U563091" s="25"/>
    </row>
    <row r="563113" spans="21:21" x14ac:dyDescent="0.3">
      <c r="U563113" s="25"/>
    </row>
    <row r="563135" spans="21:21" x14ac:dyDescent="0.3">
      <c r="U563135" s="25"/>
    </row>
    <row r="563157" spans="21:21" x14ac:dyDescent="0.3">
      <c r="U563157" s="25"/>
    </row>
    <row r="563179" spans="21:21" x14ac:dyDescent="0.3">
      <c r="U563179" s="25"/>
    </row>
    <row r="563201" spans="21:21" x14ac:dyDescent="0.3">
      <c r="U563201" s="25"/>
    </row>
    <row r="563223" spans="21:21" x14ac:dyDescent="0.3">
      <c r="U563223" s="25"/>
    </row>
    <row r="563245" spans="21:21" x14ac:dyDescent="0.3">
      <c r="U563245" s="25"/>
    </row>
    <row r="563267" spans="21:21" x14ac:dyDescent="0.3">
      <c r="U563267" s="25"/>
    </row>
    <row r="563289" spans="21:21" x14ac:dyDescent="0.3">
      <c r="U563289" s="25"/>
    </row>
    <row r="563311" spans="21:21" x14ac:dyDescent="0.3">
      <c r="U563311" s="25"/>
    </row>
    <row r="563333" spans="21:21" x14ac:dyDescent="0.3">
      <c r="U563333" s="25"/>
    </row>
    <row r="563355" spans="21:21" x14ac:dyDescent="0.3">
      <c r="U563355" s="25"/>
    </row>
    <row r="563377" spans="21:21" x14ac:dyDescent="0.3">
      <c r="U563377" s="25"/>
    </row>
    <row r="563399" spans="21:21" x14ac:dyDescent="0.3">
      <c r="U563399" s="25"/>
    </row>
    <row r="563421" spans="21:21" x14ac:dyDescent="0.3">
      <c r="U563421" s="25"/>
    </row>
    <row r="563443" spans="21:21" x14ac:dyDescent="0.3">
      <c r="U563443" s="25"/>
    </row>
    <row r="563465" spans="21:21" x14ac:dyDescent="0.3">
      <c r="U563465" s="25"/>
    </row>
    <row r="563487" spans="21:21" x14ac:dyDescent="0.3">
      <c r="U563487" s="25"/>
    </row>
    <row r="563509" spans="21:21" x14ac:dyDescent="0.3">
      <c r="U563509" s="25"/>
    </row>
    <row r="563531" spans="21:21" x14ac:dyDescent="0.3">
      <c r="U563531" s="25"/>
    </row>
    <row r="563553" spans="21:21" x14ac:dyDescent="0.3">
      <c r="U563553" s="25"/>
    </row>
    <row r="563575" spans="21:21" x14ac:dyDescent="0.3">
      <c r="U563575" s="25"/>
    </row>
    <row r="563597" spans="21:21" x14ac:dyDescent="0.3">
      <c r="U563597" s="25"/>
    </row>
    <row r="563619" spans="21:21" x14ac:dyDescent="0.3">
      <c r="U563619" s="25"/>
    </row>
    <row r="563641" spans="21:21" x14ac:dyDescent="0.3">
      <c r="U563641" s="25"/>
    </row>
    <row r="563663" spans="21:21" x14ac:dyDescent="0.3">
      <c r="U563663" s="25"/>
    </row>
    <row r="563685" spans="21:21" x14ac:dyDescent="0.3">
      <c r="U563685" s="25"/>
    </row>
    <row r="563707" spans="21:21" x14ac:dyDescent="0.3">
      <c r="U563707" s="25"/>
    </row>
    <row r="563729" spans="21:21" x14ac:dyDescent="0.3">
      <c r="U563729" s="25"/>
    </row>
    <row r="563751" spans="21:21" x14ac:dyDescent="0.3">
      <c r="U563751" s="25"/>
    </row>
    <row r="563773" spans="21:21" x14ac:dyDescent="0.3">
      <c r="U563773" s="25"/>
    </row>
    <row r="563795" spans="21:21" x14ac:dyDescent="0.3">
      <c r="U563795" s="25"/>
    </row>
    <row r="563817" spans="21:21" x14ac:dyDescent="0.3">
      <c r="U563817" s="25"/>
    </row>
    <row r="563839" spans="21:21" x14ac:dyDescent="0.3">
      <c r="U563839" s="25"/>
    </row>
    <row r="563861" spans="21:21" x14ac:dyDescent="0.3">
      <c r="U563861" s="25"/>
    </row>
    <row r="563883" spans="21:21" x14ac:dyDescent="0.3">
      <c r="U563883" s="25"/>
    </row>
    <row r="563905" spans="21:21" x14ac:dyDescent="0.3">
      <c r="U563905" s="25"/>
    </row>
    <row r="563927" spans="21:21" x14ac:dyDescent="0.3">
      <c r="U563927" s="25"/>
    </row>
    <row r="563949" spans="21:21" x14ac:dyDescent="0.3">
      <c r="U563949" s="25"/>
    </row>
    <row r="563971" spans="21:21" x14ac:dyDescent="0.3">
      <c r="U563971" s="25"/>
    </row>
    <row r="563993" spans="21:21" x14ac:dyDescent="0.3">
      <c r="U563993" s="25"/>
    </row>
    <row r="564015" spans="21:21" x14ac:dyDescent="0.3">
      <c r="U564015" s="25"/>
    </row>
    <row r="564037" spans="21:21" x14ac:dyDescent="0.3">
      <c r="U564037" s="25"/>
    </row>
    <row r="564059" spans="21:21" x14ac:dyDescent="0.3">
      <c r="U564059" s="25"/>
    </row>
    <row r="564081" spans="21:21" x14ac:dyDescent="0.3">
      <c r="U564081" s="25"/>
    </row>
    <row r="564103" spans="21:21" x14ac:dyDescent="0.3">
      <c r="U564103" s="25"/>
    </row>
    <row r="564125" spans="21:21" x14ac:dyDescent="0.3">
      <c r="U564125" s="25"/>
    </row>
    <row r="564147" spans="21:21" x14ac:dyDescent="0.3">
      <c r="U564147" s="25"/>
    </row>
    <row r="564169" spans="21:21" x14ac:dyDescent="0.3">
      <c r="U564169" s="25"/>
    </row>
    <row r="564191" spans="21:21" x14ac:dyDescent="0.3">
      <c r="U564191" s="25"/>
    </row>
    <row r="564213" spans="21:21" x14ac:dyDescent="0.3">
      <c r="U564213" s="25"/>
    </row>
    <row r="564235" spans="21:21" x14ac:dyDescent="0.3">
      <c r="U564235" s="25"/>
    </row>
    <row r="564257" spans="21:21" x14ac:dyDescent="0.3">
      <c r="U564257" s="25"/>
    </row>
    <row r="564279" spans="21:21" x14ac:dyDescent="0.3">
      <c r="U564279" s="25"/>
    </row>
    <row r="564301" spans="21:21" x14ac:dyDescent="0.3">
      <c r="U564301" s="25"/>
    </row>
    <row r="564323" spans="21:21" x14ac:dyDescent="0.3">
      <c r="U564323" s="25"/>
    </row>
    <row r="564345" spans="21:21" x14ac:dyDescent="0.3">
      <c r="U564345" s="25"/>
    </row>
    <row r="564367" spans="21:21" x14ac:dyDescent="0.3">
      <c r="U564367" s="25"/>
    </row>
    <row r="564389" spans="21:21" x14ac:dyDescent="0.3">
      <c r="U564389" s="25"/>
    </row>
    <row r="564411" spans="21:21" x14ac:dyDescent="0.3">
      <c r="U564411" s="25"/>
    </row>
    <row r="564433" spans="21:21" x14ac:dyDescent="0.3">
      <c r="U564433" s="25"/>
    </row>
    <row r="564455" spans="21:21" x14ac:dyDescent="0.3">
      <c r="U564455" s="25"/>
    </row>
    <row r="564477" spans="21:21" x14ac:dyDescent="0.3">
      <c r="U564477" s="25"/>
    </row>
    <row r="564499" spans="21:21" x14ac:dyDescent="0.3">
      <c r="U564499" s="25"/>
    </row>
    <row r="564521" spans="21:21" x14ac:dyDescent="0.3">
      <c r="U564521" s="25"/>
    </row>
    <row r="564543" spans="21:21" x14ac:dyDescent="0.3">
      <c r="U564543" s="25"/>
    </row>
    <row r="564565" spans="21:21" x14ac:dyDescent="0.3">
      <c r="U564565" s="25"/>
    </row>
    <row r="564587" spans="21:21" x14ac:dyDescent="0.3">
      <c r="U564587" s="25"/>
    </row>
    <row r="564609" spans="21:21" x14ac:dyDescent="0.3">
      <c r="U564609" s="25"/>
    </row>
    <row r="564631" spans="21:21" x14ac:dyDescent="0.3">
      <c r="U564631" s="25"/>
    </row>
    <row r="564653" spans="21:21" x14ac:dyDescent="0.3">
      <c r="U564653" s="25"/>
    </row>
    <row r="564675" spans="21:21" x14ac:dyDescent="0.3">
      <c r="U564675" s="25"/>
    </row>
    <row r="564697" spans="21:21" x14ac:dyDescent="0.3">
      <c r="U564697" s="25"/>
    </row>
    <row r="564719" spans="21:21" x14ac:dyDescent="0.3">
      <c r="U564719" s="25"/>
    </row>
    <row r="564741" spans="21:21" x14ac:dyDescent="0.3">
      <c r="U564741" s="25"/>
    </row>
    <row r="564763" spans="21:21" x14ac:dyDescent="0.3">
      <c r="U564763" s="25"/>
    </row>
    <row r="564785" spans="21:21" x14ac:dyDescent="0.3">
      <c r="U564785" s="25"/>
    </row>
    <row r="564807" spans="21:21" x14ac:dyDescent="0.3">
      <c r="U564807" s="25"/>
    </row>
    <row r="564829" spans="21:21" x14ac:dyDescent="0.3">
      <c r="U564829" s="25"/>
    </row>
    <row r="564851" spans="21:21" x14ac:dyDescent="0.3">
      <c r="U564851" s="25"/>
    </row>
    <row r="564873" spans="21:21" x14ac:dyDescent="0.3">
      <c r="U564873" s="25"/>
    </row>
    <row r="564895" spans="21:21" x14ac:dyDescent="0.3">
      <c r="U564895" s="25"/>
    </row>
    <row r="564917" spans="21:21" x14ac:dyDescent="0.3">
      <c r="U564917" s="25"/>
    </row>
    <row r="564939" spans="21:21" x14ac:dyDescent="0.3">
      <c r="U564939" s="25"/>
    </row>
    <row r="564961" spans="21:21" x14ac:dyDescent="0.3">
      <c r="U564961" s="25"/>
    </row>
    <row r="564983" spans="21:21" x14ac:dyDescent="0.3">
      <c r="U564983" s="25"/>
    </row>
    <row r="565005" spans="21:21" x14ac:dyDescent="0.3">
      <c r="U565005" s="25"/>
    </row>
    <row r="565027" spans="21:21" x14ac:dyDescent="0.3">
      <c r="U565027" s="25"/>
    </row>
    <row r="565049" spans="21:21" x14ac:dyDescent="0.3">
      <c r="U565049" s="25"/>
    </row>
    <row r="565071" spans="21:21" x14ac:dyDescent="0.3">
      <c r="U565071" s="25"/>
    </row>
    <row r="565093" spans="21:21" x14ac:dyDescent="0.3">
      <c r="U565093" s="25"/>
    </row>
    <row r="565115" spans="21:21" x14ac:dyDescent="0.3">
      <c r="U565115" s="25"/>
    </row>
    <row r="565137" spans="21:21" x14ac:dyDescent="0.3">
      <c r="U565137" s="25"/>
    </row>
    <row r="565159" spans="21:21" x14ac:dyDescent="0.3">
      <c r="U565159" s="25"/>
    </row>
    <row r="565181" spans="21:21" x14ac:dyDescent="0.3">
      <c r="U565181" s="25"/>
    </row>
    <row r="565203" spans="21:21" x14ac:dyDescent="0.3">
      <c r="U565203" s="25"/>
    </row>
    <row r="565225" spans="21:21" x14ac:dyDescent="0.3">
      <c r="U565225" s="25"/>
    </row>
    <row r="565247" spans="21:21" x14ac:dyDescent="0.3">
      <c r="U565247" s="25"/>
    </row>
    <row r="565269" spans="21:21" x14ac:dyDescent="0.3">
      <c r="U565269" s="25"/>
    </row>
    <row r="565291" spans="21:21" x14ac:dyDescent="0.3">
      <c r="U565291" s="25"/>
    </row>
    <row r="565313" spans="21:21" x14ac:dyDescent="0.3">
      <c r="U565313" s="25"/>
    </row>
    <row r="565335" spans="21:21" x14ac:dyDescent="0.3">
      <c r="U565335" s="25"/>
    </row>
    <row r="565357" spans="21:21" x14ac:dyDescent="0.3">
      <c r="U565357" s="25"/>
    </row>
    <row r="565379" spans="21:21" x14ac:dyDescent="0.3">
      <c r="U565379" s="25"/>
    </row>
    <row r="565401" spans="21:21" x14ac:dyDescent="0.3">
      <c r="U565401" s="25"/>
    </row>
    <row r="565423" spans="21:21" x14ac:dyDescent="0.3">
      <c r="U565423" s="25"/>
    </row>
    <row r="565445" spans="21:21" x14ac:dyDescent="0.3">
      <c r="U565445" s="25"/>
    </row>
    <row r="565467" spans="21:21" x14ac:dyDescent="0.3">
      <c r="U565467" s="25"/>
    </row>
    <row r="565489" spans="21:21" x14ac:dyDescent="0.3">
      <c r="U565489" s="25"/>
    </row>
    <row r="565511" spans="21:21" x14ac:dyDescent="0.3">
      <c r="U565511" s="25"/>
    </row>
    <row r="565533" spans="21:21" x14ac:dyDescent="0.3">
      <c r="U565533" s="25"/>
    </row>
    <row r="565555" spans="21:21" x14ac:dyDescent="0.3">
      <c r="U565555" s="25"/>
    </row>
    <row r="565577" spans="21:21" x14ac:dyDescent="0.3">
      <c r="U565577" s="25"/>
    </row>
    <row r="565599" spans="21:21" x14ac:dyDescent="0.3">
      <c r="U565599" s="25"/>
    </row>
    <row r="565621" spans="21:21" x14ac:dyDescent="0.3">
      <c r="U565621" s="25"/>
    </row>
    <row r="565643" spans="21:21" x14ac:dyDescent="0.3">
      <c r="U565643" s="25"/>
    </row>
    <row r="565665" spans="21:21" x14ac:dyDescent="0.3">
      <c r="U565665" s="25"/>
    </row>
    <row r="565687" spans="21:21" x14ac:dyDescent="0.3">
      <c r="U565687" s="25"/>
    </row>
    <row r="565709" spans="21:21" x14ac:dyDescent="0.3">
      <c r="U565709" s="25"/>
    </row>
    <row r="565731" spans="21:21" x14ac:dyDescent="0.3">
      <c r="U565731" s="25"/>
    </row>
    <row r="565753" spans="21:21" x14ac:dyDescent="0.3">
      <c r="U565753" s="25"/>
    </row>
    <row r="565775" spans="21:21" x14ac:dyDescent="0.3">
      <c r="U565775" s="25"/>
    </row>
    <row r="565797" spans="21:21" x14ac:dyDescent="0.3">
      <c r="U565797" s="25"/>
    </row>
    <row r="565819" spans="21:21" x14ac:dyDescent="0.3">
      <c r="U565819" s="25"/>
    </row>
    <row r="565841" spans="21:21" x14ac:dyDescent="0.3">
      <c r="U565841" s="25"/>
    </row>
    <row r="565863" spans="21:21" x14ac:dyDescent="0.3">
      <c r="U565863" s="25"/>
    </row>
    <row r="565885" spans="21:21" x14ac:dyDescent="0.3">
      <c r="U565885" s="25"/>
    </row>
    <row r="565907" spans="21:21" x14ac:dyDescent="0.3">
      <c r="U565907" s="25"/>
    </row>
    <row r="565929" spans="21:21" x14ac:dyDescent="0.3">
      <c r="U565929" s="25"/>
    </row>
    <row r="565951" spans="21:21" x14ac:dyDescent="0.3">
      <c r="U565951" s="25"/>
    </row>
    <row r="565973" spans="21:21" x14ac:dyDescent="0.3">
      <c r="U565973" s="25"/>
    </row>
    <row r="565995" spans="21:21" x14ac:dyDescent="0.3">
      <c r="U565995" s="25"/>
    </row>
    <row r="566017" spans="21:21" x14ac:dyDescent="0.3">
      <c r="U566017" s="25"/>
    </row>
    <row r="566039" spans="21:21" x14ac:dyDescent="0.3">
      <c r="U566039" s="25"/>
    </row>
    <row r="566061" spans="21:21" x14ac:dyDescent="0.3">
      <c r="U566061" s="25"/>
    </row>
    <row r="566083" spans="21:21" x14ac:dyDescent="0.3">
      <c r="U566083" s="25"/>
    </row>
    <row r="566105" spans="21:21" x14ac:dyDescent="0.3">
      <c r="U566105" s="25"/>
    </row>
    <row r="566127" spans="21:21" x14ac:dyDescent="0.3">
      <c r="U566127" s="25"/>
    </row>
    <row r="566149" spans="21:21" x14ac:dyDescent="0.3">
      <c r="U566149" s="25"/>
    </row>
    <row r="566171" spans="21:21" x14ac:dyDescent="0.3">
      <c r="U566171" s="25"/>
    </row>
    <row r="566193" spans="21:21" x14ac:dyDescent="0.3">
      <c r="U566193" s="25"/>
    </row>
    <row r="566215" spans="21:21" x14ac:dyDescent="0.3">
      <c r="U566215" s="25"/>
    </row>
    <row r="566237" spans="21:21" x14ac:dyDescent="0.3">
      <c r="U566237" s="25"/>
    </row>
    <row r="566259" spans="21:21" x14ac:dyDescent="0.3">
      <c r="U566259" s="25"/>
    </row>
    <row r="566281" spans="21:21" x14ac:dyDescent="0.3">
      <c r="U566281" s="25"/>
    </row>
    <row r="566303" spans="21:21" x14ac:dyDescent="0.3">
      <c r="U566303" s="25"/>
    </row>
    <row r="566325" spans="21:21" x14ac:dyDescent="0.3">
      <c r="U566325" s="25"/>
    </row>
    <row r="566347" spans="21:21" x14ac:dyDescent="0.3">
      <c r="U566347" s="25"/>
    </row>
    <row r="566369" spans="21:21" x14ac:dyDescent="0.3">
      <c r="U566369" s="25"/>
    </row>
    <row r="566391" spans="21:21" x14ac:dyDescent="0.3">
      <c r="U566391" s="25"/>
    </row>
    <row r="566413" spans="21:21" x14ac:dyDescent="0.3">
      <c r="U566413" s="25"/>
    </row>
    <row r="566435" spans="21:21" x14ac:dyDescent="0.3">
      <c r="U566435" s="25"/>
    </row>
    <row r="566457" spans="21:21" x14ac:dyDescent="0.3">
      <c r="U566457" s="25"/>
    </row>
    <row r="566479" spans="21:21" x14ac:dyDescent="0.3">
      <c r="U566479" s="25"/>
    </row>
    <row r="566501" spans="21:21" x14ac:dyDescent="0.3">
      <c r="U566501" s="25"/>
    </row>
    <row r="566523" spans="21:21" x14ac:dyDescent="0.3">
      <c r="U566523" s="25"/>
    </row>
    <row r="566545" spans="21:21" x14ac:dyDescent="0.3">
      <c r="U566545" s="25"/>
    </row>
    <row r="566567" spans="21:21" x14ac:dyDescent="0.3">
      <c r="U566567" s="25"/>
    </row>
    <row r="566589" spans="21:21" x14ac:dyDescent="0.3">
      <c r="U566589" s="25"/>
    </row>
    <row r="566611" spans="21:21" x14ac:dyDescent="0.3">
      <c r="U566611" s="25"/>
    </row>
    <row r="566633" spans="21:21" x14ac:dyDescent="0.3">
      <c r="U566633" s="25"/>
    </row>
    <row r="566655" spans="21:21" x14ac:dyDescent="0.3">
      <c r="U566655" s="25"/>
    </row>
    <row r="566677" spans="21:21" x14ac:dyDescent="0.3">
      <c r="U566677" s="25"/>
    </row>
    <row r="566699" spans="21:21" x14ac:dyDescent="0.3">
      <c r="U566699" s="25"/>
    </row>
    <row r="566721" spans="21:21" x14ac:dyDescent="0.3">
      <c r="U566721" s="25"/>
    </row>
    <row r="566743" spans="21:21" x14ac:dyDescent="0.3">
      <c r="U566743" s="25"/>
    </row>
    <row r="566765" spans="21:21" x14ac:dyDescent="0.3">
      <c r="U566765" s="25"/>
    </row>
    <row r="566787" spans="21:21" x14ac:dyDescent="0.3">
      <c r="U566787" s="25"/>
    </row>
    <row r="566809" spans="21:21" x14ac:dyDescent="0.3">
      <c r="U566809" s="25"/>
    </row>
    <row r="566831" spans="21:21" x14ac:dyDescent="0.3">
      <c r="U566831" s="25"/>
    </row>
    <row r="566853" spans="21:21" x14ac:dyDescent="0.3">
      <c r="U566853" s="25"/>
    </row>
    <row r="566875" spans="21:21" x14ac:dyDescent="0.3">
      <c r="U566875" s="25"/>
    </row>
    <row r="566897" spans="21:21" x14ac:dyDescent="0.3">
      <c r="U566897" s="25"/>
    </row>
    <row r="566919" spans="21:21" x14ac:dyDescent="0.3">
      <c r="U566919" s="25"/>
    </row>
    <row r="566941" spans="21:21" x14ac:dyDescent="0.3">
      <c r="U566941" s="25"/>
    </row>
    <row r="566963" spans="21:21" x14ac:dyDescent="0.3">
      <c r="U566963" s="25"/>
    </row>
    <row r="566985" spans="21:21" x14ac:dyDescent="0.3">
      <c r="U566985" s="25"/>
    </row>
    <row r="567007" spans="21:21" x14ac:dyDescent="0.3">
      <c r="U567007" s="25"/>
    </row>
    <row r="567029" spans="21:21" x14ac:dyDescent="0.3">
      <c r="U567029" s="25"/>
    </row>
    <row r="567051" spans="21:21" x14ac:dyDescent="0.3">
      <c r="U567051" s="25"/>
    </row>
    <row r="567073" spans="21:21" x14ac:dyDescent="0.3">
      <c r="U567073" s="25"/>
    </row>
    <row r="567095" spans="21:21" x14ac:dyDescent="0.3">
      <c r="U567095" s="25"/>
    </row>
    <row r="567117" spans="21:21" x14ac:dyDescent="0.3">
      <c r="U567117" s="25"/>
    </row>
    <row r="567139" spans="21:21" x14ac:dyDescent="0.3">
      <c r="U567139" s="25"/>
    </row>
    <row r="567161" spans="21:21" x14ac:dyDescent="0.3">
      <c r="U567161" s="25"/>
    </row>
    <row r="567183" spans="21:21" x14ac:dyDescent="0.3">
      <c r="U567183" s="25"/>
    </row>
    <row r="567205" spans="21:21" x14ac:dyDescent="0.3">
      <c r="U567205" s="25"/>
    </row>
    <row r="567227" spans="21:21" x14ac:dyDescent="0.3">
      <c r="U567227" s="25"/>
    </row>
    <row r="567249" spans="21:21" x14ac:dyDescent="0.3">
      <c r="U567249" s="25"/>
    </row>
    <row r="567271" spans="21:21" x14ac:dyDescent="0.3">
      <c r="U567271" s="25"/>
    </row>
    <row r="567293" spans="21:21" x14ac:dyDescent="0.3">
      <c r="U567293" s="25"/>
    </row>
    <row r="567315" spans="21:21" x14ac:dyDescent="0.3">
      <c r="U567315" s="25"/>
    </row>
    <row r="567337" spans="21:21" x14ac:dyDescent="0.3">
      <c r="U567337" s="25"/>
    </row>
    <row r="567359" spans="21:21" x14ac:dyDescent="0.3">
      <c r="U567359" s="25"/>
    </row>
    <row r="567381" spans="21:21" x14ac:dyDescent="0.3">
      <c r="U567381" s="25"/>
    </row>
    <row r="567403" spans="21:21" x14ac:dyDescent="0.3">
      <c r="U567403" s="25"/>
    </row>
    <row r="567425" spans="21:21" x14ac:dyDescent="0.3">
      <c r="U567425" s="25"/>
    </row>
    <row r="567447" spans="21:21" x14ac:dyDescent="0.3">
      <c r="U567447" s="25"/>
    </row>
    <row r="567469" spans="21:21" x14ac:dyDescent="0.3">
      <c r="U567469" s="25"/>
    </row>
    <row r="567491" spans="21:21" x14ac:dyDescent="0.3">
      <c r="U567491" s="25"/>
    </row>
    <row r="567513" spans="21:21" x14ac:dyDescent="0.3">
      <c r="U567513" s="25"/>
    </row>
    <row r="567535" spans="21:21" x14ac:dyDescent="0.3">
      <c r="U567535" s="25"/>
    </row>
    <row r="567557" spans="21:21" x14ac:dyDescent="0.3">
      <c r="U567557" s="25"/>
    </row>
    <row r="567579" spans="21:21" x14ac:dyDescent="0.3">
      <c r="U567579" s="25"/>
    </row>
    <row r="567601" spans="21:21" x14ac:dyDescent="0.3">
      <c r="U567601" s="25"/>
    </row>
    <row r="567623" spans="21:21" x14ac:dyDescent="0.3">
      <c r="U567623" s="25"/>
    </row>
    <row r="567645" spans="21:21" x14ac:dyDescent="0.3">
      <c r="U567645" s="25"/>
    </row>
    <row r="567667" spans="21:21" x14ac:dyDescent="0.3">
      <c r="U567667" s="25"/>
    </row>
    <row r="567689" spans="21:21" x14ac:dyDescent="0.3">
      <c r="U567689" s="25"/>
    </row>
    <row r="567711" spans="21:21" x14ac:dyDescent="0.3">
      <c r="U567711" s="25"/>
    </row>
    <row r="567733" spans="21:21" x14ac:dyDescent="0.3">
      <c r="U567733" s="25"/>
    </row>
    <row r="567755" spans="21:21" x14ac:dyDescent="0.3">
      <c r="U567755" s="25"/>
    </row>
    <row r="567777" spans="21:21" x14ac:dyDescent="0.3">
      <c r="U567777" s="25"/>
    </row>
    <row r="567799" spans="21:21" x14ac:dyDescent="0.3">
      <c r="U567799" s="25"/>
    </row>
    <row r="567821" spans="21:21" x14ac:dyDescent="0.3">
      <c r="U567821" s="25"/>
    </row>
    <row r="567843" spans="21:21" x14ac:dyDescent="0.3">
      <c r="U567843" s="25"/>
    </row>
    <row r="567865" spans="21:21" x14ac:dyDescent="0.3">
      <c r="U567865" s="25"/>
    </row>
    <row r="567887" spans="21:21" x14ac:dyDescent="0.3">
      <c r="U567887" s="25"/>
    </row>
    <row r="567909" spans="21:21" x14ac:dyDescent="0.3">
      <c r="U567909" s="25"/>
    </row>
    <row r="567931" spans="21:21" x14ac:dyDescent="0.3">
      <c r="U567931" s="25"/>
    </row>
    <row r="567953" spans="21:21" x14ac:dyDescent="0.3">
      <c r="U567953" s="25"/>
    </row>
    <row r="567975" spans="21:21" x14ac:dyDescent="0.3">
      <c r="U567975" s="25"/>
    </row>
    <row r="567997" spans="21:21" x14ac:dyDescent="0.3">
      <c r="U567997" s="25"/>
    </row>
    <row r="568019" spans="21:21" x14ac:dyDescent="0.3">
      <c r="U568019" s="25"/>
    </row>
    <row r="568041" spans="21:21" x14ac:dyDescent="0.3">
      <c r="U568041" s="25"/>
    </row>
    <row r="568063" spans="21:21" x14ac:dyDescent="0.3">
      <c r="U568063" s="25"/>
    </row>
    <row r="568085" spans="21:21" x14ac:dyDescent="0.3">
      <c r="U568085" s="25"/>
    </row>
    <row r="568107" spans="21:21" x14ac:dyDescent="0.3">
      <c r="U568107" s="25"/>
    </row>
    <row r="568129" spans="21:21" x14ac:dyDescent="0.3">
      <c r="U568129" s="25"/>
    </row>
    <row r="568151" spans="21:21" x14ac:dyDescent="0.3">
      <c r="U568151" s="25"/>
    </row>
    <row r="568173" spans="21:21" x14ac:dyDescent="0.3">
      <c r="U568173" s="25"/>
    </row>
    <row r="568195" spans="21:21" x14ac:dyDescent="0.3">
      <c r="U568195" s="25"/>
    </row>
    <row r="568217" spans="21:21" x14ac:dyDescent="0.3">
      <c r="U568217" s="25"/>
    </row>
    <row r="568239" spans="21:21" x14ac:dyDescent="0.3">
      <c r="U568239" s="25"/>
    </row>
    <row r="568261" spans="21:21" x14ac:dyDescent="0.3">
      <c r="U568261" s="25"/>
    </row>
    <row r="568283" spans="21:21" x14ac:dyDescent="0.3">
      <c r="U568283" s="25"/>
    </row>
    <row r="568305" spans="21:21" x14ac:dyDescent="0.3">
      <c r="U568305" s="25"/>
    </row>
    <row r="568327" spans="21:21" x14ac:dyDescent="0.3">
      <c r="U568327" s="25"/>
    </row>
    <row r="568349" spans="21:21" x14ac:dyDescent="0.3">
      <c r="U568349" s="25"/>
    </row>
    <row r="568371" spans="21:21" x14ac:dyDescent="0.3">
      <c r="U568371" s="25"/>
    </row>
    <row r="568393" spans="21:21" x14ac:dyDescent="0.3">
      <c r="U568393" s="25"/>
    </row>
    <row r="568415" spans="21:21" x14ac:dyDescent="0.3">
      <c r="U568415" s="25"/>
    </row>
    <row r="568437" spans="21:21" x14ac:dyDescent="0.3">
      <c r="U568437" s="25"/>
    </row>
    <row r="568459" spans="21:21" x14ac:dyDescent="0.3">
      <c r="U568459" s="25"/>
    </row>
    <row r="568481" spans="21:21" x14ac:dyDescent="0.3">
      <c r="U568481" s="25"/>
    </row>
    <row r="568503" spans="21:21" x14ac:dyDescent="0.3">
      <c r="U568503" s="25"/>
    </row>
    <row r="568525" spans="21:21" x14ac:dyDescent="0.3">
      <c r="U568525" s="25"/>
    </row>
    <row r="568547" spans="21:21" x14ac:dyDescent="0.3">
      <c r="U568547" s="25"/>
    </row>
    <row r="568569" spans="21:21" x14ac:dyDescent="0.3">
      <c r="U568569" s="25"/>
    </row>
    <row r="568591" spans="21:21" x14ac:dyDescent="0.3">
      <c r="U568591" s="25"/>
    </row>
    <row r="568613" spans="21:21" x14ac:dyDescent="0.3">
      <c r="U568613" s="25"/>
    </row>
    <row r="568635" spans="21:21" x14ac:dyDescent="0.3">
      <c r="U568635" s="25"/>
    </row>
    <row r="568657" spans="21:21" x14ac:dyDescent="0.3">
      <c r="U568657" s="25"/>
    </row>
    <row r="568679" spans="21:21" x14ac:dyDescent="0.3">
      <c r="U568679" s="25"/>
    </row>
    <row r="568701" spans="21:21" x14ac:dyDescent="0.3">
      <c r="U568701" s="25"/>
    </row>
    <row r="568723" spans="21:21" x14ac:dyDescent="0.3">
      <c r="U568723" s="25"/>
    </row>
    <row r="568745" spans="21:21" x14ac:dyDescent="0.3">
      <c r="U568745" s="25"/>
    </row>
    <row r="568767" spans="21:21" x14ac:dyDescent="0.3">
      <c r="U568767" s="25"/>
    </row>
    <row r="568789" spans="21:21" x14ac:dyDescent="0.3">
      <c r="U568789" s="25"/>
    </row>
    <row r="568811" spans="21:21" x14ac:dyDescent="0.3">
      <c r="U568811" s="25"/>
    </row>
    <row r="568833" spans="21:21" x14ac:dyDescent="0.3">
      <c r="U568833" s="25"/>
    </row>
    <row r="568855" spans="21:21" x14ac:dyDescent="0.3">
      <c r="U568855" s="25"/>
    </row>
    <row r="568877" spans="21:21" x14ac:dyDescent="0.3">
      <c r="U568877" s="25"/>
    </row>
    <row r="568899" spans="21:21" x14ac:dyDescent="0.3">
      <c r="U568899" s="25"/>
    </row>
    <row r="568921" spans="21:21" x14ac:dyDescent="0.3">
      <c r="U568921" s="25"/>
    </row>
    <row r="568943" spans="21:21" x14ac:dyDescent="0.3">
      <c r="U568943" s="25"/>
    </row>
    <row r="568965" spans="21:21" x14ac:dyDescent="0.3">
      <c r="U568965" s="25"/>
    </row>
    <row r="568987" spans="21:21" x14ac:dyDescent="0.3">
      <c r="U568987" s="25"/>
    </row>
    <row r="569009" spans="21:21" x14ac:dyDescent="0.3">
      <c r="U569009" s="25"/>
    </row>
    <row r="569031" spans="21:21" x14ac:dyDescent="0.3">
      <c r="U569031" s="25"/>
    </row>
    <row r="569053" spans="21:21" x14ac:dyDescent="0.3">
      <c r="U569053" s="25"/>
    </row>
    <row r="569075" spans="21:21" x14ac:dyDescent="0.3">
      <c r="U569075" s="25"/>
    </row>
    <row r="569097" spans="21:21" x14ac:dyDescent="0.3">
      <c r="U569097" s="25"/>
    </row>
    <row r="569119" spans="21:21" x14ac:dyDescent="0.3">
      <c r="U569119" s="25"/>
    </row>
    <row r="569141" spans="21:21" x14ac:dyDescent="0.3">
      <c r="U569141" s="25"/>
    </row>
    <row r="569163" spans="21:21" x14ac:dyDescent="0.3">
      <c r="U569163" s="25"/>
    </row>
    <row r="569185" spans="21:21" x14ac:dyDescent="0.3">
      <c r="U569185" s="25"/>
    </row>
    <row r="569207" spans="21:21" x14ac:dyDescent="0.3">
      <c r="U569207" s="25"/>
    </row>
    <row r="569229" spans="21:21" x14ac:dyDescent="0.3">
      <c r="U569229" s="25"/>
    </row>
    <row r="569251" spans="21:21" x14ac:dyDescent="0.3">
      <c r="U569251" s="25"/>
    </row>
    <row r="569273" spans="21:21" x14ac:dyDescent="0.3">
      <c r="U569273" s="25"/>
    </row>
    <row r="569295" spans="21:21" x14ac:dyDescent="0.3">
      <c r="U569295" s="25"/>
    </row>
    <row r="569317" spans="21:21" x14ac:dyDescent="0.3">
      <c r="U569317" s="25"/>
    </row>
    <row r="569339" spans="21:21" x14ac:dyDescent="0.3">
      <c r="U569339" s="25"/>
    </row>
    <row r="569361" spans="21:21" x14ac:dyDescent="0.3">
      <c r="U569361" s="25"/>
    </row>
    <row r="569383" spans="21:21" x14ac:dyDescent="0.3">
      <c r="U569383" s="25"/>
    </row>
    <row r="569405" spans="21:21" x14ac:dyDescent="0.3">
      <c r="U569405" s="25"/>
    </row>
    <row r="569427" spans="21:21" x14ac:dyDescent="0.3">
      <c r="U569427" s="25"/>
    </row>
    <row r="569449" spans="21:21" x14ac:dyDescent="0.3">
      <c r="U569449" s="25"/>
    </row>
    <row r="569471" spans="21:21" x14ac:dyDescent="0.3">
      <c r="U569471" s="25"/>
    </row>
    <row r="569493" spans="21:21" x14ac:dyDescent="0.3">
      <c r="U569493" s="25"/>
    </row>
    <row r="569515" spans="21:21" x14ac:dyDescent="0.3">
      <c r="U569515" s="25"/>
    </row>
    <row r="569537" spans="21:21" x14ac:dyDescent="0.3">
      <c r="U569537" s="25"/>
    </row>
    <row r="569559" spans="21:21" x14ac:dyDescent="0.3">
      <c r="U569559" s="25"/>
    </row>
    <row r="569581" spans="21:21" x14ac:dyDescent="0.3">
      <c r="U569581" s="25"/>
    </row>
    <row r="569603" spans="21:21" x14ac:dyDescent="0.3">
      <c r="U569603" s="25"/>
    </row>
    <row r="569625" spans="21:21" x14ac:dyDescent="0.3">
      <c r="U569625" s="25"/>
    </row>
    <row r="569647" spans="21:21" x14ac:dyDescent="0.3">
      <c r="U569647" s="25"/>
    </row>
    <row r="569669" spans="21:21" x14ac:dyDescent="0.3">
      <c r="U569669" s="25"/>
    </row>
    <row r="569691" spans="21:21" x14ac:dyDescent="0.3">
      <c r="U569691" s="25"/>
    </row>
    <row r="569713" spans="21:21" x14ac:dyDescent="0.3">
      <c r="U569713" s="25"/>
    </row>
    <row r="569735" spans="21:21" x14ac:dyDescent="0.3">
      <c r="U569735" s="25"/>
    </row>
    <row r="569757" spans="21:21" x14ac:dyDescent="0.3">
      <c r="U569757" s="25"/>
    </row>
    <row r="569779" spans="21:21" x14ac:dyDescent="0.3">
      <c r="U569779" s="25"/>
    </row>
    <row r="569801" spans="21:21" x14ac:dyDescent="0.3">
      <c r="U569801" s="25"/>
    </row>
    <row r="569823" spans="21:21" x14ac:dyDescent="0.3">
      <c r="U569823" s="25"/>
    </row>
    <row r="569845" spans="21:21" x14ac:dyDescent="0.3">
      <c r="U569845" s="25"/>
    </row>
    <row r="569867" spans="21:21" x14ac:dyDescent="0.3">
      <c r="U569867" s="25"/>
    </row>
    <row r="569889" spans="21:21" x14ac:dyDescent="0.3">
      <c r="U569889" s="25"/>
    </row>
    <row r="569911" spans="21:21" x14ac:dyDescent="0.3">
      <c r="U569911" s="25"/>
    </row>
    <row r="569933" spans="21:21" x14ac:dyDescent="0.3">
      <c r="U569933" s="25"/>
    </row>
    <row r="569955" spans="21:21" x14ac:dyDescent="0.3">
      <c r="U569955" s="25"/>
    </row>
    <row r="569977" spans="21:21" x14ac:dyDescent="0.3">
      <c r="U569977" s="25"/>
    </row>
    <row r="569999" spans="21:21" x14ac:dyDescent="0.3">
      <c r="U569999" s="25"/>
    </row>
    <row r="570021" spans="21:21" x14ac:dyDescent="0.3">
      <c r="U570021" s="25"/>
    </row>
    <row r="570043" spans="21:21" x14ac:dyDescent="0.3">
      <c r="U570043" s="25"/>
    </row>
    <row r="570065" spans="21:21" x14ac:dyDescent="0.3">
      <c r="U570065" s="25"/>
    </row>
    <row r="570087" spans="21:21" x14ac:dyDescent="0.3">
      <c r="U570087" s="25"/>
    </row>
    <row r="570109" spans="21:21" x14ac:dyDescent="0.3">
      <c r="U570109" s="25"/>
    </row>
    <row r="570131" spans="21:21" x14ac:dyDescent="0.3">
      <c r="U570131" s="25"/>
    </row>
    <row r="570153" spans="21:21" x14ac:dyDescent="0.3">
      <c r="U570153" s="25"/>
    </row>
    <row r="570175" spans="21:21" x14ac:dyDescent="0.3">
      <c r="U570175" s="25"/>
    </row>
    <row r="570197" spans="21:21" x14ac:dyDescent="0.3">
      <c r="U570197" s="25"/>
    </row>
    <row r="570219" spans="21:21" x14ac:dyDescent="0.3">
      <c r="U570219" s="25"/>
    </row>
    <row r="570241" spans="21:21" x14ac:dyDescent="0.3">
      <c r="U570241" s="25"/>
    </row>
    <row r="570263" spans="21:21" x14ac:dyDescent="0.3">
      <c r="U570263" s="25"/>
    </row>
    <row r="570285" spans="21:21" x14ac:dyDescent="0.3">
      <c r="U570285" s="25"/>
    </row>
    <row r="570307" spans="21:21" x14ac:dyDescent="0.3">
      <c r="U570307" s="25"/>
    </row>
    <row r="570329" spans="21:21" x14ac:dyDescent="0.3">
      <c r="U570329" s="25"/>
    </row>
    <row r="570351" spans="21:21" x14ac:dyDescent="0.3">
      <c r="U570351" s="25"/>
    </row>
    <row r="570373" spans="21:21" x14ac:dyDescent="0.3">
      <c r="U570373" s="25"/>
    </row>
    <row r="570395" spans="21:21" x14ac:dyDescent="0.3">
      <c r="U570395" s="25"/>
    </row>
    <row r="570417" spans="21:21" x14ac:dyDescent="0.3">
      <c r="U570417" s="25"/>
    </row>
    <row r="570439" spans="21:21" x14ac:dyDescent="0.3">
      <c r="U570439" s="25"/>
    </row>
    <row r="570461" spans="21:21" x14ac:dyDescent="0.3">
      <c r="U570461" s="25"/>
    </row>
    <row r="570483" spans="21:21" x14ac:dyDescent="0.3">
      <c r="U570483" s="25"/>
    </row>
    <row r="570505" spans="21:21" x14ac:dyDescent="0.3">
      <c r="U570505" s="25"/>
    </row>
    <row r="570527" spans="21:21" x14ac:dyDescent="0.3">
      <c r="U570527" s="25"/>
    </row>
    <row r="570549" spans="21:21" x14ac:dyDescent="0.3">
      <c r="U570549" s="25"/>
    </row>
    <row r="570571" spans="21:21" x14ac:dyDescent="0.3">
      <c r="U570571" s="25"/>
    </row>
    <row r="570593" spans="21:21" x14ac:dyDescent="0.3">
      <c r="U570593" s="25"/>
    </row>
    <row r="570615" spans="21:21" x14ac:dyDescent="0.3">
      <c r="U570615" s="25"/>
    </row>
    <row r="570637" spans="21:21" x14ac:dyDescent="0.3">
      <c r="U570637" s="25"/>
    </row>
    <row r="570659" spans="21:21" x14ac:dyDescent="0.3">
      <c r="U570659" s="25"/>
    </row>
    <row r="570681" spans="21:21" x14ac:dyDescent="0.3">
      <c r="U570681" s="25"/>
    </row>
    <row r="570703" spans="21:21" x14ac:dyDescent="0.3">
      <c r="U570703" s="25"/>
    </row>
    <row r="570725" spans="21:21" x14ac:dyDescent="0.3">
      <c r="U570725" s="25"/>
    </row>
    <row r="570747" spans="21:21" x14ac:dyDescent="0.3">
      <c r="U570747" s="25"/>
    </row>
    <row r="570769" spans="21:21" x14ac:dyDescent="0.3">
      <c r="U570769" s="25"/>
    </row>
    <row r="570791" spans="21:21" x14ac:dyDescent="0.3">
      <c r="U570791" s="25"/>
    </row>
    <row r="570813" spans="21:21" x14ac:dyDescent="0.3">
      <c r="U570813" s="25"/>
    </row>
    <row r="570835" spans="21:21" x14ac:dyDescent="0.3">
      <c r="U570835" s="25"/>
    </row>
    <row r="570857" spans="21:21" x14ac:dyDescent="0.3">
      <c r="U570857" s="25"/>
    </row>
    <row r="570879" spans="21:21" x14ac:dyDescent="0.3">
      <c r="U570879" s="25"/>
    </row>
    <row r="570901" spans="21:21" x14ac:dyDescent="0.3">
      <c r="U570901" s="25"/>
    </row>
    <row r="570923" spans="21:21" x14ac:dyDescent="0.3">
      <c r="U570923" s="25"/>
    </row>
    <row r="570945" spans="21:21" x14ac:dyDescent="0.3">
      <c r="U570945" s="25"/>
    </row>
    <row r="570967" spans="21:21" x14ac:dyDescent="0.3">
      <c r="U570967" s="25"/>
    </row>
    <row r="570989" spans="21:21" x14ac:dyDescent="0.3">
      <c r="U570989" s="25"/>
    </row>
    <row r="571011" spans="21:21" x14ac:dyDescent="0.3">
      <c r="U571011" s="25"/>
    </row>
    <row r="571033" spans="21:21" x14ac:dyDescent="0.3">
      <c r="U571033" s="25"/>
    </row>
    <row r="571055" spans="21:21" x14ac:dyDescent="0.3">
      <c r="U571055" s="25"/>
    </row>
    <row r="571077" spans="21:21" x14ac:dyDescent="0.3">
      <c r="U571077" s="25"/>
    </row>
    <row r="571099" spans="21:21" x14ac:dyDescent="0.3">
      <c r="U571099" s="25"/>
    </row>
    <row r="571121" spans="21:21" x14ac:dyDescent="0.3">
      <c r="U571121" s="25"/>
    </row>
    <row r="571143" spans="21:21" x14ac:dyDescent="0.3">
      <c r="U571143" s="25"/>
    </row>
    <row r="571165" spans="21:21" x14ac:dyDescent="0.3">
      <c r="U571165" s="25"/>
    </row>
    <row r="571187" spans="21:21" x14ac:dyDescent="0.3">
      <c r="U571187" s="25"/>
    </row>
    <row r="571209" spans="21:21" x14ac:dyDescent="0.3">
      <c r="U571209" s="25"/>
    </row>
    <row r="571231" spans="21:21" x14ac:dyDescent="0.3">
      <c r="U571231" s="25"/>
    </row>
    <row r="571253" spans="21:21" x14ac:dyDescent="0.3">
      <c r="U571253" s="25"/>
    </row>
    <row r="571275" spans="21:21" x14ac:dyDescent="0.3">
      <c r="U571275" s="25"/>
    </row>
    <row r="571297" spans="21:21" x14ac:dyDescent="0.3">
      <c r="U571297" s="25"/>
    </row>
    <row r="571319" spans="21:21" x14ac:dyDescent="0.3">
      <c r="U571319" s="25"/>
    </row>
    <row r="571341" spans="21:21" x14ac:dyDescent="0.3">
      <c r="U571341" s="25"/>
    </row>
    <row r="571363" spans="21:21" x14ac:dyDescent="0.3">
      <c r="U571363" s="25"/>
    </row>
    <row r="571385" spans="21:21" x14ac:dyDescent="0.3">
      <c r="U571385" s="25"/>
    </row>
    <row r="571407" spans="21:21" x14ac:dyDescent="0.3">
      <c r="U571407" s="25"/>
    </row>
    <row r="571429" spans="21:21" x14ac:dyDescent="0.3">
      <c r="U571429" s="25"/>
    </row>
    <row r="571451" spans="21:21" x14ac:dyDescent="0.3">
      <c r="U571451" s="25"/>
    </row>
    <row r="571473" spans="21:21" x14ac:dyDescent="0.3">
      <c r="U571473" s="25"/>
    </row>
    <row r="571495" spans="21:21" x14ac:dyDescent="0.3">
      <c r="U571495" s="25"/>
    </row>
    <row r="571517" spans="21:21" x14ac:dyDescent="0.3">
      <c r="U571517" s="25"/>
    </row>
    <row r="571539" spans="21:21" x14ac:dyDescent="0.3">
      <c r="U571539" s="25"/>
    </row>
    <row r="571561" spans="21:21" x14ac:dyDescent="0.3">
      <c r="U571561" s="25"/>
    </row>
    <row r="571583" spans="21:21" x14ac:dyDescent="0.3">
      <c r="U571583" s="25"/>
    </row>
    <row r="571605" spans="21:21" x14ac:dyDescent="0.3">
      <c r="U571605" s="25"/>
    </row>
    <row r="571627" spans="21:21" x14ac:dyDescent="0.3">
      <c r="U571627" s="25"/>
    </row>
    <row r="571649" spans="21:21" x14ac:dyDescent="0.3">
      <c r="U571649" s="25"/>
    </row>
    <row r="571671" spans="21:21" x14ac:dyDescent="0.3">
      <c r="U571671" s="25"/>
    </row>
    <row r="571693" spans="21:21" x14ac:dyDescent="0.3">
      <c r="U571693" s="25"/>
    </row>
    <row r="571715" spans="21:21" x14ac:dyDescent="0.3">
      <c r="U571715" s="25"/>
    </row>
    <row r="571737" spans="21:21" x14ac:dyDescent="0.3">
      <c r="U571737" s="25"/>
    </row>
    <row r="571759" spans="21:21" x14ac:dyDescent="0.3">
      <c r="U571759" s="25"/>
    </row>
    <row r="571781" spans="21:21" x14ac:dyDescent="0.3">
      <c r="U571781" s="25"/>
    </row>
    <row r="571803" spans="21:21" x14ac:dyDescent="0.3">
      <c r="U571803" s="25"/>
    </row>
    <row r="571825" spans="21:21" x14ac:dyDescent="0.3">
      <c r="U571825" s="25"/>
    </row>
    <row r="571847" spans="21:21" x14ac:dyDescent="0.3">
      <c r="U571847" s="25"/>
    </row>
    <row r="571869" spans="21:21" x14ac:dyDescent="0.3">
      <c r="U571869" s="25"/>
    </row>
    <row r="571891" spans="21:21" x14ac:dyDescent="0.3">
      <c r="U571891" s="25"/>
    </row>
    <row r="571913" spans="21:21" x14ac:dyDescent="0.3">
      <c r="U571913" s="25"/>
    </row>
    <row r="571935" spans="21:21" x14ac:dyDescent="0.3">
      <c r="U571935" s="25"/>
    </row>
    <row r="571957" spans="21:21" x14ac:dyDescent="0.3">
      <c r="U571957" s="25"/>
    </row>
    <row r="571979" spans="21:21" x14ac:dyDescent="0.3">
      <c r="U571979" s="25"/>
    </row>
    <row r="572001" spans="21:21" x14ac:dyDescent="0.3">
      <c r="U572001" s="25"/>
    </row>
    <row r="572023" spans="21:21" x14ac:dyDescent="0.3">
      <c r="U572023" s="25"/>
    </row>
    <row r="572045" spans="21:21" x14ac:dyDescent="0.3">
      <c r="U572045" s="25"/>
    </row>
    <row r="572067" spans="21:21" x14ac:dyDescent="0.3">
      <c r="U572067" s="25"/>
    </row>
    <row r="572089" spans="21:21" x14ac:dyDescent="0.3">
      <c r="U572089" s="25"/>
    </row>
    <row r="572111" spans="21:21" x14ac:dyDescent="0.3">
      <c r="U572111" s="25"/>
    </row>
    <row r="572133" spans="21:21" x14ac:dyDescent="0.3">
      <c r="U572133" s="25"/>
    </row>
    <row r="572155" spans="21:21" x14ac:dyDescent="0.3">
      <c r="U572155" s="25"/>
    </row>
    <row r="572177" spans="21:21" x14ac:dyDescent="0.3">
      <c r="U572177" s="25"/>
    </row>
    <row r="572199" spans="21:21" x14ac:dyDescent="0.3">
      <c r="U572199" s="25"/>
    </row>
    <row r="572221" spans="21:21" x14ac:dyDescent="0.3">
      <c r="U572221" s="25"/>
    </row>
    <row r="572243" spans="21:21" x14ac:dyDescent="0.3">
      <c r="U572243" s="25"/>
    </row>
    <row r="572265" spans="21:21" x14ac:dyDescent="0.3">
      <c r="U572265" s="25"/>
    </row>
    <row r="572287" spans="21:21" x14ac:dyDescent="0.3">
      <c r="U572287" s="25"/>
    </row>
    <row r="572309" spans="21:21" x14ac:dyDescent="0.3">
      <c r="U572309" s="25"/>
    </row>
    <row r="572331" spans="21:21" x14ac:dyDescent="0.3">
      <c r="U572331" s="25"/>
    </row>
    <row r="572353" spans="21:21" x14ac:dyDescent="0.3">
      <c r="U572353" s="25"/>
    </row>
    <row r="572375" spans="21:21" x14ac:dyDescent="0.3">
      <c r="U572375" s="25"/>
    </row>
    <row r="572397" spans="21:21" x14ac:dyDescent="0.3">
      <c r="U572397" s="25"/>
    </row>
    <row r="572419" spans="21:21" x14ac:dyDescent="0.3">
      <c r="U572419" s="25"/>
    </row>
    <row r="572441" spans="21:21" x14ac:dyDescent="0.3">
      <c r="U572441" s="25"/>
    </row>
    <row r="572463" spans="21:21" x14ac:dyDescent="0.3">
      <c r="U572463" s="25"/>
    </row>
    <row r="572485" spans="21:21" x14ac:dyDescent="0.3">
      <c r="U572485" s="25"/>
    </row>
    <row r="572507" spans="21:21" x14ac:dyDescent="0.3">
      <c r="U572507" s="25"/>
    </row>
    <row r="572529" spans="21:21" x14ac:dyDescent="0.3">
      <c r="U572529" s="25"/>
    </row>
    <row r="572551" spans="21:21" x14ac:dyDescent="0.3">
      <c r="U572551" s="25"/>
    </row>
    <row r="572573" spans="21:21" x14ac:dyDescent="0.3">
      <c r="U572573" s="25"/>
    </row>
    <row r="572595" spans="21:21" x14ac:dyDescent="0.3">
      <c r="U572595" s="25"/>
    </row>
    <row r="572617" spans="21:21" x14ac:dyDescent="0.3">
      <c r="U572617" s="25"/>
    </row>
    <row r="572639" spans="21:21" x14ac:dyDescent="0.3">
      <c r="U572639" s="25"/>
    </row>
    <row r="572661" spans="21:21" x14ac:dyDescent="0.3">
      <c r="U572661" s="25"/>
    </row>
    <row r="572683" spans="21:21" x14ac:dyDescent="0.3">
      <c r="U572683" s="25"/>
    </row>
    <row r="572705" spans="21:21" x14ac:dyDescent="0.3">
      <c r="U572705" s="25"/>
    </row>
    <row r="572727" spans="21:21" x14ac:dyDescent="0.3">
      <c r="U572727" s="25"/>
    </row>
    <row r="572749" spans="21:21" x14ac:dyDescent="0.3">
      <c r="U572749" s="25"/>
    </row>
    <row r="572771" spans="21:21" x14ac:dyDescent="0.3">
      <c r="U572771" s="25"/>
    </row>
    <row r="572793" spans="21:21" x14ac:dyDescent="0.3">
      <c r="U572793" s="25"/>
    </row>
    <row r="572815" spans="21:21" x14ac:dyDescent="0.3">
      <c r="U572815" s="25"/>
    </row>
    <row r="572837" spans="21:21" x14ac:dyDescent="0.3">
      <c r="U572837" s="25"/>
    </row>
    <row r="572859" spans="21:21" x14ac:dyDescent="0.3">
      <c r="U572859" s="25"/>
    </row>
    <row r="572881" spans="21:21" x14ac:dyDescent="0.3">
      <c r="U572881" s="25"/>
    </row>
    <row r="572903" spans="21:21" x14ac:dyDescent="0.3">
      <c r="U572903" s="25"/>
    </row>
    <row r="572925" spans="21:21" x14ac:dyDescent="0.3">
      <c r="U572925" s="25"/>
    </row>
    <row r="572947" spans="21:21" x14ac:dyDescent="0.3">
      <c r="U572947" s="25"/>
    </row>
    <row r="572969" spans="21:21" x14ac:dyDescent="0.3">
      <c r="U572969" s="25"/>
    </row>
    <row r="572991" spans="21:21" x14ac:dyDescent="0.3">
      <c r="U572991" s="25"/>
    </row>
    <row r="573013" spans="21:21" x14ac:dyDescent="0.3">
      <c r="U573013" s="25"/>
    </row>
    <row r="573035" spans="21:21" x14ac:dyDescent="0.3">
      <c r="U573035" s="25"/>
    </row>
    <row r="573057" spans="21:21" x14ac:dyDescent="0.3">
      <c r="U573057" s="25"/>
    </row>
    <row r="573079" spans="21:21" x14ac:dyDescent="0.3">
      <c r="U573079" s="25"/>
    </row>
    <row r="573101" spans="21:21" x14ac:dyDescent="0.3">
      <c r="U573101" s="25"/>
    </row>
    <row r="573123" spans="21:21" x14ac:dyDescent="0.3">
      <c r="U573123" s="25"/>
    </row>
    <row r="573145" spans="21:21" x14ac:dyDescent="0.3">
      <c r="U573145" s="25"/>
    </row>
    <row r="573167" spans="21:21" x14ac:dyDescent="0.3">
      <c r="U573167" s="25"/>
    </row>
    <row r="573189" spans="21:21" x14ac:dyDescent="0.3">
      <c r="U573189" s="25"/>
    </row>
    <row r="573211" spans="21:21" x14ac:dyDescent="0.3">
      <c r="U573211" s="25"/>
    </row>
    <row r="573233" spans="21:21" x14ac:dyDescent="0.3">
      <c r="U573233" s="25"/>
    </row>
    <row r="573255" spans="21:21" x14ac:dyDescent="0.3">
      <c r="U573255" s="25"/>
    </row>
    <row r="573277" spans="21:21" x14ac:dyDescent="0.3">
      <c r="U573277" s="25"/>
    </row>
    <row r="573299" spans="21:21" x14ac:dyDescent="0.3">
      <c r="U573299" s="25"/>
    </row>
    <row r="573321" spans="21:21" x14ac:dyDescent="0.3">
      <c r="U573321" s="25"/>
    </row>
    <row r="573343" spans="21:21" x14ac:dyDescent="0.3">
      <c r="U573343" s="25"/>
    </row>
    <row r="573365" spans="21:21" x14ac:dyDescent="0.3">
      <c r="U573365" s="25"/>
    </row>
    <row r="573387" spans="21:21" x14ac:dyDescent="0.3">
      <c r="U573387" s="25"/>
    </row>
    <row r="573409" spans="21:21" x14ac:dyDescent="0.3">
      <c r="U573409" s="25"/>
    </row>
    <row r="573431" spans="21:21" x14ac:dyDescent="0.3">
      <c r="U573431" s="25"/>
    </row>
    <row r="573453" spans="21:21" x14ac:dyDescent="0.3">
      <c r="U573453" s="25"/>
    </row>
    <row r="573475" spans="21:21" x14ac:dyDescent="0.3">
      <c r="U573475" s="25"/>
    </row>
    <row r="573497" spans="21:21" x14ac:dyDescent="0.3">
      <c r="U573497" s="25"/>
    </row>
    <row r="573519" spans="21:21" x14ac:dyDescent="0.3">
      <c r="U573519" s="25"/>
    </row>
    <row r="573541" spans="21:21" x14ac:dyDescent="0.3">
      <c r="U573541" s="25"/>
    </row>
    <row r="573563" spans="21:21" x14ac:dyDescent="0.3">
      <c r="U573563" s="25"/>
    </row>
    <row r="573585" spans="21:21" x14ac:dyDescent="0.3">
      <c r="U573585" s="25"/>
    </row>
    <row r="573607" spans="21:21" x14ac:dyDescent="0.3">
      <c r="U573607" s="25"/>
    </row>
    <row r="573629" spans="21:21" x14ac:dyDescent="0.3">
      <c r="U573629" s="25"/>
    </row>
    <row r="573651" spans="21:21" x14ac:dyDescent="0.3">
      <c r="U573651" s="25"/>
    </row>
    <row r="573673" spans="21:21" x14ac:dyDescent="0.3">
      <c r="U573673" s="25"/>
    </row>
    <row r="573695" spans="21:21" x14ac:dyDescent="0.3">
      <c r="U573695" s="25"/>
    </row>
    <row r="573717" spans="21:21" x14ac:dyDescent="0.3">
      <c r="U573717" s="25"/>
    </row>
    <row r="573739" spans="21:21" x14ac:dyDescent="0.3">
      <c r="U573739" s="25"/>
    </row>
    <row r="573761" spans="21:21" x14ac:dyDescent="0.3">
      <c r="U573761" s="25"/>
    </row>
    <row r="573783" spans="21:21" x14ac:dyDescent="0.3">
      <c r="U573783" s="25"/>
    </row>
    <row r="573805" spans="21:21" x14ac:dyDescent="0.3">
      <c r="U573805" s="25"/>
    </row>
    <row r="573827" spans="21:21" x14ac:dyDescent="0.3">
      <c r="U573827" s="25"/>
    </row>
    <row r="573849" spans="21:21" x14ac:dyDescent="0.3">
      <c r="U573849" s="25"/>
    </row>
    <row r="573871" spans="21:21" x14ac:dyDescent="0.3">
      <c r="U573871" s="25"/>
    </row>
    <row r="573893" spans="21:21" x14ac:dyDescent="0.3">
      <c r="U573893" s="25"/>
    </row>
    <row r="573915" spans="21:21" x14ac:dyDescent="0.3">
      <c r="U573915" s="25"/>
    </row>
    <row r="573937" spans="21:21" x14ac:dyDescent="0.3">
      <c r="U573937" s="25"/>
    </row>
    <row r="573959" spans="21:21" x14ac:dyDescent="0.3">
      <c r="U573959" s="25"/>
    </row>
    <row r="573981" spans="21:21" x14ac:dyDescent="0.3">
      <c r="U573981" s="25"/>
    </row>
    <row r="574003" spans="21:21" x14ac:dyDescent="0.3">
      <c r="U574003" s="25"/>
    </row>
    <row r="574025" spans="21:21" x14ac:dyDescent="0.3">
      <c r="U574025" s="25"/>
    </row>
    <row r="574047" spans="21:21" x14ac:dyDescent="0.3">
      <c r="U574047" s="25"/>
    </row>
    <row r="574069" spans="21:21" x14ac:dyDescent="0.3">
      <c r="U574069" s="25"/>
    </row>
    <row r="574091" spans="21:21" x14ac:dyDescent="0.3">
      <c r="U574091" s="25"/>
    </row>
    <row r="574113" spans="21:21" x14ac:dyDescent="0.3">
      <c r="U574113" s="25"/>
    </row>
    <row r="574135" spans="21:21" x14ac:dyDescent="0.3">
      <c r="U574135" s="25"/>
    </row>
    <row r="574157" spans="21:21" x14ac:dyDescent="0.3">
      <c r="U574157" s="25"/>
    </row>
    <row r="574179" spans="21:21" x14ac:dyDescent="0.3">
      <c r="U574179" s="25"/>
    </row>
    <row r="574201" spans="21:21" x14ac:dyDescent="0.3">
      <c r="U574201" s="25"/>
    </row>
    <row r="574223" spans="21:21" x14ac:dyDescent="0.3">
      <c r="U574223" s="25"/>
    </row>
    <row r="574245" spans="21:21" x14ac:dyDescent="0.3">
      <c r="U574245" s="25"/>
    </row>
    <row r="574267" spans="21:21" x14ac:dyDescent="0.3">
      <c r="U574267" s="25"/>
    </row>
    <row r="574289" spans="21:21" x14ac:dyDescent="0.3">
      <c r="U574289" s="25"/>
    </row>
    <row r="574311" spans="21:21" x14ac:dyDescent="0.3">
      <c r="U574311" s="25"/>
    </row>
    <row r="574333" spans="21:21" x14ac:dyDescent="0.3">
      <c r="U574333" s="25"/>
    </row>
    <row r="574355" spans="21:21" x14ac:dyDescent="0.3">
      <c r="U574355" s="25"/>
    </row>
    <row r="574377" spans="21:21" x14ac:dyDescent="0.3">
      <c r="U574377" s="25"/>
    </row>
    <row r="574399" spans="21:21" x14ac:dyDescent="0.3">
      <c r="U574399" s="25"/>
    </row>
    <row r="574421" spans="21:21" x14ac:dyDescent="0.3">
      <c r="U574421" s="25"/>
    </row>
    <row r="574443" spans="21:21" x14ac:dyDescent="0.3">
      <c r="U574443" s="25"/>
    </row>
    <row r="574465" spans="21:21" x14ac:dyDescent="0.3">
      <c r="U574465" s="25"/>
    </row>
    <row r="574487" spans="21:21" x14ac:dyDescent="0.3">
      <c r="U574487" s="25"/>
    </row>
    <row r="574509" spans="21:21" x14ac:dyDescent="0.3">
      <c r="U574509" s="25"/>
    </row>
    <row r="574531" spans="21:21" x14ac:dyDescent="0.3">
      <c r="U574531" s="25"/>
    </row>
    <row r="574553" spans="21:21" x14ac:dyDescent="0.3">
      <c r="U574553" s="25"/>
    </row>
    <row r="574575" spans="21:21" x14ac:dyDescent="0.3">
      <c r="U574575" s="25"/>
    </row>
    <row r="574597" spans="21:21" x14ac:dyDescent="0.3">
      <c r="U574597" s="25"/>
    </row>
    <row r="574619" spans="21:21" x14ac:dyDescent="0.3">
      <c r="U574619" s="25"/>
    </row>
    <row r="574641" spans="21:21" x14ac:dyDescent="0.3">
      <c r="U574641" s="25"/>
    </row>
    <row r="574663" spans="21:21" x14ac:dyDescent="0.3">
      <c r="U574663" s="25"/>
    </row>
    <row r="574685" spans="21:21" x14ac:dyDescent="0.3">
      <c r="U574685" s="25"/>
    </row>
    <row r="574707" spans="21:21" x14ac:dyDescent="0.3">
      <c r="U574707" s="25"/>
    </row>
    <row r="574729" spans="21:21" x14ac:dyDescent="0.3">
      <c r="U574729" s="25"/>
    </row>
    <row r="574751" spans="21:21" x14ac:dyDescent="0.3">
      <c r="U574751" s="25"/>
    </row>
    <row r="574773" spans="21:21" x14ac:dyDescent="0.3">
      <c r="U574773" s="25"/>
    </row>
    <row r="574795" spans="21:21" x14ac:dyDescent="0.3">
      <c r="U574795" s="25"/>
    </row>
    <row r="574817" spans="21:21" x14ac:dyDescent="0.3">
      <c r="U574817" s="25"/>
    </row>
    <row r="574839" spans="21:21" x14ac:dyDescent="0.3">
      <c r="U574839" s="25"/>
    </row>
    <row r="574861" spans="21:21" x14ac:dyDescent="0.3">
      <c r="U574861" s="25"/>
    </row>
    <row r="574883" spans="21:21" x14ac:dyDescent="0.3">
      <c r="U574883" s="25"/>
    </row>
    <row r="574905" spans="21:21" x14ac:dyDescent="0.3">
      <c r="U574905" s="25"/>
    </row>
    <row r="574927" spans="21:21" x14ac:dyDescent="0.3">
      <c r="U574927" s="25"/>
    </row>
    <row r="574949" spans="21:21" x14ac:dyDescent="0.3">
      <c r="U574949" s="25"/>
    </row>
    <row r="574971" spans="21:21" x14ac:dyDescent="0.3">
      <c r="U574971" s="25"/>
    </row>
    <row r="574993" spans="21:21" x14ac:dyDescent="0.3">
      <c r="U574993" s="25"/>
    </row>
    <row r="575015" spans="21:21" x14ac:dyDescent="0.3">
      <c r="U575015" s="25"/>
    </row>
    <row r="575037" spans="21:21" x14ac:dyDescent="0.3">
      <c r="U575037" s="25"/>
    </row>
    <row r="575059" spans="21:21" x14ac:dyDescent="0.3">
      <c r="U575059" s="25"/>
    </row>
    <row r="575081" spans="21:21" x14ac:dyDescent="0.3">
      <c r="U575081" s="25"/>
    </row>
    <row r="575103" spans="21:21" x14ac:dyDescent="0.3">
      <c r="U575103" s="25"/>
    </row>
    <row r="575125" spans="21:21" x14ac:dyDescent="0.3">
      <c r="U575125" s="25"/>
    </row>
    <row r="575147" spans="21:21" x14ac:dyDescent="0.3">
      <c r="U575147" s="25"/>
    </row>
    <row r="575169" spans="21:21" x14ac:dyDescent="0.3">
      <c r="U575169" s="25"/>
    </row>
    <row r="575191" spans="21:21" x14ac:dyDescent="0.3">
      <c r="U575191" s="25"/>
    </row>
    <row r="575213" spans="21:21" x14ac:dyDescent="0.3">
      <c r="U575213" s="25"/>
    </row>
    <row r="575235" spans="21:21" x14ac:dyDescent="0.3">
      <c r="U575235" s="25"/>
    </row>
    <row r="575257" spans="21:21" x14ac:dyDescent="0.3">
      <c r="U575257" s="25"/>
    </row>
    <row r="575279" spans="21:21" x14ac:dyDescent="0.3">
      <c r="U575279" s="25"/>
    </row>
    <row r="575301" spans="21:21" x14ac:dyDescent="0.3">
      <c r="U575301" s="25"/>
    </row>
    <row r="575323" spans="21:21" x14ac:dyDescent="0.3">
      <c r="U575323" s="25"/>
    </row>
    <row r="575345" spans="21:21" x14ac:dyDescent="0.3">
      <c r="U575345" s="25"/>
    </row>
    <row r="575367" spans="21:21" x14ac:dyDescent="0.3">
      <c r="U575367" s="25"/>
    </row>
    <row r="575389" spans="21:21" x14ac:dyDescent="0.3">
      <c r="U575389" s="25"/>
    </row>
    <row r="575411" spans="21:21" x14ac:dyDescent="0.3">
      <c r="U575411" s="25"/>
    </row>
    <row r="575433" spans="21:21" x14ac:dyDescent="0.3">
      <c r="U575433" s="25"/>
    </row>
    <row r="575455" spans="21:21" x14ac:dyDescent="0.3">
      <c r="U575455" s="25"/>
    </row>
    <row r="575477" spans="21:21" x14ac:dyDescent="0.3">
      <c r="U575477" s="25"/>
    </row>
    <row r="575499" spans="21:21" x14ac:dyDescent="0.3">
      <c r="U575499" s="25"/>
    </row>
    <row r="575521" spans="21:21" x14ac:dyDescent="0.3">
      <c r="U575521" s="25"/>
    </row>
    <row r="575543" spans="21:21" x14ac:dyDescent="0.3">
      <c r="U575543" s="25"/>
    </row>
    <row r="575565" spans="21:21" x14ac:dyDescent="0.3">
      <c r="U575565" s="25"/>
    </row>
    <row r="575587" spans="21:21" x14ac:dyDescent="0.3">
      <c r="U575587" s="25"/>
    </row>
    <row r="575609" spans="21:21" x14ac:dyDescent="0.3">
      <c r="U575609" s="25"/>
    </row>
    <row r="575631" spans="21:21" x14ac:dyDescent="0.3">
      <c r="U575631" s="25"/>
    </row>
    <row r="575653" spans="21:21" x14ac:dyDescent="0.3">
      <c r="U575653" s="25"/>
    </row>
    <row r="575675" spans="21:21" x14ac:dyDescent="0.3">
      <c r="U575675" s="25"/>
    </row>
    <row r="575697" spans="21:21" x14ac:dyDescent="0.3">
      <c r="U575697" s="25"/>
    </row>
    <row r="575719" spans="21:21" x14ac:dyDescent="0.3">
      <c r="U575719" s="25"/>
    </row>
    <row r="575741" spans="21:21" x14ac:dyDescent="0.3">
      <c r="U575741" s="25"/>
    </row>
    <row r="575763" spans="21:21" x14ac:dyDescent="0.3">
      <c r="U575763" s="25"/>
    </row>
    <row r="575785" spans="21:21" x14ac:dyDescent="0.3">
      <c r="U575785" s="25"/>
    </row>
    <row r="575807" spans="21:21" x14ac:dyDescent="0.3">
      <c r="U575807" s="25"/>
    </row>
    <row r="575829" spans="21:21" x14ac:dyDescent="0.3">
      <c r="U575829" s="25"/>
    </row>
    <row r="575851" spans="21:21" x14ac:dyDescent="0.3">
      <c r="U575851" s="25"/>
    </row>
    <row r="575873" spans="21:21" x14ac:dyDescent="0.3">
      <c r="U575873" s="25"/>
    </row>
    <row r="575895" spans="21:21" x14ac:dyDescent="0.3">
      <c r="U575895" s="25"/>
    </row>
    <row r="575917" spans="21:21" x14ac:dyDescent="0.3">
      <c r="U575917" s="25"/>
    </row>
    <row r="575939" spans="21:21" x14ac:dyDescent="0.3">
      <c r="U575939" s="25"/>
    </row>
    <row r="575961" spans="21:21" x14ac:dyDescent="0.3">
      <c r="U575961" s="25"/>
    </row>
    <row r="575983" spans="21:21" x14ac:dyDescent="0.3">
      <c r="U575983" s="25"/>
    </row>
    <row r="576005" spans="21:21" x14ac:dyDescent="0.3">
      <c r="U576005" s="25"/>
    </row>
    <row r="576027" spans="21:21" x14ac:dyDescent="0.3">
      <c r="U576027" s="25"/>
    </row>
    <row r="576049" spans="21:21" x14ac:dyDescent="0.3">
      <c r="U576049" s="25"/>
    </row>
    <row r="576071" spans="21:21" x14ac:dyDescent="0.3">
      <c r="U576071" s="25"/>
    </row>
    <row r="576093" spans="21:21" x14ac:dyDescent="0.3">
      <c r="U576093" s="25"/>
    </row>
    <row r="576115" spans="21:21" x14ac:dyDescent="0.3">
      <c r="U576115" s="25"/>
    </row>
    <row r="576137" spans="21:21" x14ac:dyDescent="0.3">
      <c r="U576137" s="25"/>
    </row>
    <row r="576159" spans="21:21" x14ac:dyDescent="0.3">
      <c r="U576159" s="25"/>
    </row>
    <row r="576181" spans="21:21" x14ac:dyDescent="0.3">
      <c r="U576181" s="25"/>
    </row>
    <row r="576203" spans="21:21" x14ac:dyDescent="0.3">
      <c r="U576203" s="25"/>
    </row>
    <row r="576225" spans="21:21" x14ac:dyDescent="0.3">
      <c r="U576225" s="25"/>
    </row>
    <row r="576247" spans="21:21" x14ac:dyDescent="0.3">
      <c r="U576247" s="25"/>
    </row>
    <row r="576269" spans="21:21" x14ac:dyDescent="0.3">
      <c r="U576269" s="25"/>
    </row>
    <row r="576291" spans="21:21" x14ac:dyDescent="0.3">
      <c r="U576291" s="25"/>
    </row>
    <row r="576313" spans="21:21" x14ac:dyDescent="0.3">
      <c r="U576313" s="25"/>
    </row>
    <row r="576335" spans="21:21" x14ac:dyDescent="0.3">
      <c r="U576335" s="25"/>
    </row>
    <row r="576357" spans="21:21" x14ac:dyDescent="0.3">
      <c r="U576357" s="25"/>
    </row>
    <row r="576379" spans="21:21" x14ac:dyDescent="0.3">
      <c r="U576379" s="25"/>
    </row>
    <row r="576401" spans="21:21" x14ac:dyDescent="0.3">
      <c r="U576401" s="25"/>
    </row>
    <row r="576423" spans="21:21" x14ac:dyDescent="0.3">
      <c r="U576423" s="25"/>
    </row>
    <row r="576445" spans="21:21" x14ac:dyDescent="0.3">
      <c r="U576445" s="25"/>
    </row>
    <row r="576467" spans="21:21" x14ac:dyDescent="0.3">
      <c r="U576467" s="25"/>
    </row>
    <row r="576489" spans="21:21" x14ac:dyDescent="0.3">
      <c r="U576489" s="25"/>
    </row>
    <row r="576511" spans="21:21" x14ac:dyDescent="0.3">
      <c r="U576511" s="25"/>
    </row>
    <row r="576533" spans="21:21" x14ac:dyDescent="0.3">
      <c r="U576533" s="25"/>
    </row>
    <row r="576555" spans="21:21" x14ac:dyDescent="0.3">
      <c r="U576555" s="25"/>
    </row>
    <row r="576577" spans="21:21" x14ac:dyDescent="0.3">
      <c r="U576577" s="25"/>
    </row>
    <row r="576599" spans="21:21" x14ac:dyDescent="0.3">
      <c r="U576599" s="25"/>
    </row>
    <row r="576621" spans="21:21" x14ac:dyDescent="0.3">
      <c r="U576621" s="25"/>
    </row>
    <row r="576643" spans="21:21" x14ac:dyDescent="0.3">
      <c r="U576643" s="25"/>
    </row>
    <row r="576665" spans="21:21" x14ac:dyDescent="0.3">
      <c r="U576665" s="25"/>
    </row>
    <row r="576687" spans="21:21" x14ac:dyDescent="0.3">
      <c r="U576687" s="25"/>
    </row>
    <row r="576709" spans="21:21" x14ac:dyDescent="0.3">
      <c r="U576709" s="25"/>
    </row>
    <row r="576731" spans="21:21" x14ac:dyDescent="0.3">
      <c r="U576731" s="25"/>
    </row>
    <row r="576753" spans="21:21" x14ac:dyDescent="0.3">
      <c r="U576753" s="25"/>
    </row>
    <row r="576775" spans="21:21" x14ac:dyDescent="0.3">
      <c r="U576775" s="25"/>
    </row>
    <row r="576797" spans="21:21" x14ac:dyDescent="0.3">
      <c r="U576797" s="25"/>
    </row>
    <row r="576819" spans="21:21" x14ac:dyDescent="0.3">
      <c r="U576819" s="25"/>
    </row>
    <row r="576841" spans="21:21" x14ac:dyDescent="0.3">
      <c r="U576841" s="25"/>
    </row>
    <row r="576863" spans="21:21" x14ac:dyDescent="0.3">
      <c r="U576863" s="25"/>
    </row>
    <row r="576885" spans="21:21" x14ac:dyDescent="0.3">
      <c r="U576885" s="25"/>
    </row>
    <row r="576907" spans="21:21" x14ac:dyDescent="0.3">
      <c r="U576907" s="25"/>
    </row>
    <row r="576929" spans="21:21" x14ac:dyDescent="0.3">
      <c r="U576929" s="25"/>
    </row>
    <row r="576951" spans="21:21" x14ac:dyDescent="0.3">
      <c r="U576951" s="25"/>
    </row>
    <row r="576973" spans="21:21" x14ac:dyDescent="0.3">
      <c r="U576973" s="25"/>
    </row>
    <row r="576995" spans="21:21" x14ac:dyDescent="0.3">
      <c r="U576995" s="25"/>
    </row>
    <row r="577017" spans="21:21" x14ac:dyDescent="0.3">
      <c r="U577017" s="25"/>
    </row>
    <row r="577039" spans="21:21" x14ac:dyDescent="0.3">
      <c r="U577039" s="25"/>
    </row>
    <row r="577061" spans="21:21" x14ac:dyDescent="0.3">
      <c r="U577061" s="25"/>
    </row>
    <row r="577083" spans="21:21" x14ac:dyDescent="0.3">
      <c r="U577083" s="25"/>
    </row>
    <row r="577105" spans="21:21" x14ac:dyDescent="0.3">
      <c r="U577105" s="25"/>
    </row>
    <row r="577127" spans="21:21" x14ac:dyDescent="0.3">
      <c r="U577127" s="25"/>
    </row>
    <row r="577149" spans="21:21" x14ac:dyDescent="0.3">
      <c r="U577149" s="25"/>
    </row>
    <row r="577171" spans="21:21" x14ac:dyDescent="0.3">
      <c r="U577171" s="25"/>
    </row>
    <row r="577193" spans="21:21" x14ac:dyDescent="0.3">
      <c r="U577193" s="25"/>
    </row>
    <row r="577215" spans="21:21" x14ac:dyDescent="0.3">
      <c r="U577215" s="25"/>
    </row>
    <row r="577237" spans="21:21" x14ac:dyDescent="0.3">
      <c r="U577237" s="25"/>
    </row>
    <row r="577259" spans="21:21" x14ac:dyDescent="0.3">
      <c r="U577259" s="25"/>
    </row>
    <row r="577281" spans="21:21" x14ac:dyDescent="0.3">
      <c r="U577281" s="25"/>
    </row>
    <row r="577303" spans="21:21" x14ac:dyDescent="0.3">
      <c r="U577303" s="25"/>
    </row>
    <row r="577325" spans="21:21" x14ac:dyDescent="0.3">
      <c r="U577325" s="25"/>
    </row>
    <row r="577347" spans="21:21" x14ac:dyDescent="0.3">
      <c r="U577347" s="25"/>
    </row>
    <row r="577369" spans="21:21" x14ac:dyDescent="0.3">
      <c r="U577369" s="25"/>
    </row>
    <row r="577391" spans="21:21" x14ac:dyDescent="0.3">
      <c r="U577391" s="25"/>
    </row>
    <row r="577413" spans="21:21" x14ac:dyDescent="0.3">
      <c r="U577413" s="25"/>
    </row>
    <row r="577435" spans="21:21" x14ac:dyDescent="0.3">
      <c r="U577435" s="25"/>
    </row>
    <row r="577457" spans="21:21" x14ac:dyDescent="0.3">
      <c r="U577457" s="25"/>
    </row>
    <row r="577479" spans="21:21" x14ac:dyDescent="0.3">
      <c r="U577479" s="25"/>
    </row>
    <row r="577501" spans="21:21" x14ac:dyDescent="0.3">
      <c r="U577501" s="25"/>
    </row>
    <row r="577523" spans="21:21" x14ac:dyDescent="0.3">
      <c r="U577523" s="25"/>
    </row>
    <row r="577545" spans="21:21" x14ac:dyDescent="0.3">
      <c r="U577545" s="25"/>
    </row>
    <row r="577567" spans="21:21" x14ac:dyDescent="0.3">
      <c r="U577567" s="25"/>
    </row>
    <row r="577589" spans="21:21" x14ac:dyDescent="0.3">
      <c r="U577589" s="25"/>
    </row>
    <row r="577611" spans="21:21" x14ac:dyDescent="0.3">
      <c r="U577611" s="25"/>
    </row>
    <row r="577633" spans="21:21" x14ac:dyDescent="0.3">
      <c r="U577633" s="25"/>
    </row>
    <row r="577655" spans="21:21" x14ac:dyDescent="0.3">
      <c r="U577655" s="25"/>
    </row>
    <row r="577677" spans="21:21" x14ac:dyDescent="0.3">
      <c r="U577677" s="25"/>
    </row>
    <row r="577699" spans="21:21" x14ac:dyDescent="0.3">
      <c r="U577699" s="25"/>
    </row>
    <row r="577721" spans="21:21" x14ac:dyDescent="0.3">
      <c r="U577721" s="25"/>
    </row>
    <row r="577743" spans="21:21" x14ac:dyDescent="0.3">
      <c r="U577743" s="25"/>
    </row>
    <row r="577765" spans="21:21" x14ac:dyDescent="0.3">
      <c r="U577765" s="25"/>
    </row>
    <row r="577787" spans="21:21" x14ac:dyDescent="0.3">
      <c r="U577787" s="25"/>
    </row>
    <row r="577809" spans="21:21" x14ac:dyDescent="0.3">
      <c r="U577809" s="25"/>
    </row>
    <row r="577831" spans="21:21" x14ac:dyDescent="0.3">
      <c r="U577831" s="25"/>
    </row>
    <row r="577853" spans="21:21" x14ac:dyDescent="0.3">
      <c r="U577853" s="25"/>
    </row>
    <row r="577875" spans="21:21" x14ac:dyDescent="0.3">
      <c r="U577875" s="25"/>
    </row>
    <row r="577897" spans="21:21" x14ac:dyDescent="0.3">
      <c r="U577897" s="25"/>
    </row>
    <row r="577919" spans="21:21" x14ac:dyDescent="0.3">
      <c r="U577919" s="25"/>
    </row>
    <row r="577941" spans="21:21" x14ac:dyDescent="0.3">
      <c r="U577941" s="25"/>
    </row>
    <row r="577963" spans="21:21" x14ac:dyDescent="0.3">
      <c r="U577963" s="25"/>
    </row>
    <row r="577985" spans="21:21" x14ac:dyDescent="0.3">
      <c r="U577985" s="25"/>
    </row>
    <row r="578007" spans="21:21" x14ac:dyDescent="0.3">
      <c r="U578007" s="25"/>
    </row>
    <row r="578029" spans="21:21" x14ac:dyDescent="0.3">
      <c r="U578029" s="25"/>
    </row>
    <row r="578051" spans="21:21" x14ac:dyDescent="0.3">
      <c r="U578051" s="25"/>
    </row>
    <row r="578073" spans="21:21" x14ac:dyDescent="0.3">
      <c r="U578073" s="25"/>
    </row>
    <row r="578095" spans="21:21" x14ac:dyDescent="0.3">
      <c r="U578095" s="25"/>
    </row>
    <row r="578117" spans="21:21" x14ac:dyDescent="0.3">
      <c r="U578117" s="25"/>
    </row>
    <row r="578139" spans="21:21" x14ac:dyDescent="0.3">
      <c r="U578139" s="25"/>
    </row>
    <row r="578161" spans="21:21" x14ac:dyDescent="0.3">
      <c r="U578161" s="25"/>
    </row>
    <row r="578183" spans="21:21" x14ac:dyDescent="0.3">
      <c r="U578183" s="25"/>
    </row>
    <row r="578205" spans="21:21" x14ac:dyDescent="0.3">
      <c r="U578205" s="25"/>
    </row>
    <row r="578227" spans="21:21" x14ac:dyDescent="0.3">
      <c r="U578227" s="25"/>
    </row>
    <row r="578249" spans="21:21" x14ac:dyDescent="0.3">
      <c r="U578249" s="25"/>
    </row>
    <row r="578271" spans="21:21" x14ac:dyDescent="0.3">
      <c r="U578271" s="25"/>
    </row>
    <row r="578293" spans="21:21" x14ac:dyDescent="0.3">
      <c r="U578293" s="25"/>
    </row>
    <row r="578315" spans="21:21" x14ac:dyDescent="0.3">
      <c r="U578315" s="25"/>
    </row>
    <row r="578337" spans="21:21" x14ac:dyDescent="0.3">
      <c r="U578337" s="25"/>
    </row>
    <row r="578359" spans="21:21" x14ac:dyDescent="0.3">
      <c r="U578359" s="25"/>
    </row>
    <row r="578381" spans="21:21" x14ac:dyDescent="0.3">
      <c r="U578381" s="25"/>
    </row>
    <row r="578403" spans="21:21" x14ac:dyDescent="0.3">
      <c r="U578403" s="25"/>
    </row>
    <row r="578425" spans="21:21" x14ac:dyDescent="0.3">
      <c r="U578425" s="25"/>
    </row>
    <row r="578447" spans="21:21" x14ac:dyDescent="0.3">
      <c r="U578447" s="25"/>
    </row>
    <row r="578469" spans="21:21" x14ac:dyDescent="0.3">
      <c r="U578469" s="25"/>
    </row>
    <row r="578491" spans="21:21" x14ac:dyDescent="0.3">
      <c r="U578491" s="25"/>
    </row>
    <row r="578513" spans="21:21" x14ac:dyDescent="0.3">
      <c r="U578513" s="25"/>
    </row>
    <row r="578535" spans="21:21" x14ac:dyDescent="0.3">
      <c r="U578535" s="25"/>
    </row>
    <row r="578557" spans="21:21" x14ac:dyDescent="0.3">
      <c r="U578557" s="25"/>
    </row>
    <row r="578579" spans="21:21" x14ac:dyDescent="0.3">
      <c r="U578579" s="25"/>
    </row>
    <row r="578601" spans="21:21" x14ac:dyDescent="0.3">
      <c r="U578601" s="25"/>
    </row>
    <row r="578623" spans="21:21" x14ac:dyDescent="0.3">
      <c r="U578623" s="25"/>
    </row>
    <row r="578645" spans="21:21" x14ac:dyDescent="0.3">
      <c r="U578645" s="25"/>
    </row>
    <row r="578667" spans="21:21" x14ac:dyDescent="0.3">
      <c r="U578667" s="25"/>
    </row>
    <row r="578689" spans="21:21" x14ac:dyDescent="0.3">
      <c r="U578689" s="25"/>
    </row>
    <row r="578711" spans="21:21" x14ac:dyDescent="0.3">
      <c r="U578711" s="25"/>
    </row>
    <row r="578733" spans="21:21" x14ac:dyDescent="0.3">
      <c r="U578733" s="25"/>
    </row>
    <row r="578755" spans="21:21" x14ac:dyDescent="0.3">
      <c r="U578755" s="25"/>
    </row>
    <row r="578777" spans="21:21" x14ac:dyDescent="0.3">
      <c r="U578777" s="25"/>
    </row>
    <row r="578799" spans="21:21" x14ac:dyDescent="0.3">
      <c r="U578799" s="25"/>
    </row>
    <row r="578821" spans="21:21" x14ac:dyDescent="0.3">
      <c r="U578821" s="25"/>
    </row>
    <row r="578843" spans="21:21" x14ac:dyDescent="0.3">
      <c r="U578843" s="25"/>
    </row>
    <row r="578865" spans="21:21" x14ac:dyDescent="0.3">
      <c r="U578865" s="25"/>
    </row>
    <row r="578887" spans="21:21" x14ac:dyDescent="0.3">
      <c r="U578887" s="25"/>
    </row>
    <row r="578909" spans="21:21" x14ac:dyDescent="0.3">
      <c r="U578909" s="25"/>
    </row>
    <row r="578931" spans="21:21" x14ac:dyDescent="0.3">
      <c r="U578931" s="25"/>
    </row>
    <row r="578953" spans="21:21" x14ac:dyDescent="0.3">
      <c r="U578953" s="25"/>
    </row>
    <row r="578975" spans="21:21" x14ac:dyDescent="0.3">
      <c r="U578975" s="25"/>
    </row>
    <row r="578997" spans="21:21" x14ac:dyDescent="0.3">
      <c r="U578997" s="25"/>
    </row>
    <row r="579019" spans="21:21" x14ac:dyDescent="0.3">
      <c r="U579019" s="25"/>
    </row>
    <row r="579041" spans="21:21" x14ac:dyDescent="0.3">
      <c r="U579041" s="25"/>
    </row>
    <row r="579063" spans="21:21" x14ac:dyDescent="0.3">
      <c r="U579063" s="25"/>
    </row>
    <row r="579085" spans="21:21" x14ac:dyDescent="0.3">
      <c r="U579085" s="25"/>
    </row>
    <row r="579107" spans="21:21" x14ac:dyDescent="0.3">
      <c r="U579107" s="25"/>
    </row>
    <row r="579129" spans="21:21" x14ac:dyDescent="0.3">
      <c r="U579129" s="25"/>
    </row>
    <row r="579151" spans="21:21" x14ac:dyDescent="0.3">
      <c r="U579151" s="25"/>
    </row>
    <row r="579173" spans="21:21" x14ac:dyDescent="0.3">
      <c r="U579173" s="25"/>
    </row>
    <row r="579195" spans="21:21" x14ac:dyDescent="0.3">
      <c r="U579195" s="25"/>
    </row>
    <row r="579217" spans="21:21" x14ac:dyDescent="0.3">
      <c r="U579217" s="25"/>
    </row>
    <row r="579239" spans="21:21" x14ac:dyDescent="0.3">
      <c r="U579239" s="25"/>
    </row>
    <row r="579261" spans="21:21" x14ac:dyDescent="0.3">
      <c r="U579261" s="25"/>
    </row>
    <row r="579283" spans="21:21" x14ac:dyDescent="0.3">
      <c r="U579283" s="25"/>
    </row>
    <row r="579305" spans="21:21" x14ac:dyDescent="0.3">
      <c r="U579305" s="25"/>
    </row>
    <row r="579327" spans="21:21" x14ac:dyDescent="0.3">
      <c r="U579327" s="25"/>
    </row>
    <row r="579349" spans="21:21" x14ac:dyDescent="0.3">
      <c r="U579349" s="25"/>
    </row>
    <row r="579371" spans="21:21" x14ac:dyDescent="0.3">
      <c r="U579371" s="25"/>
    </row>
    <row r="579393" spans="21:21" x14ac:dyDescent="0.3">
      <c r="U579393" s="25"/>
    </row>
    <row r="579415" spans="21:21" x14ac:dyDescent="0.3">
      <c r="U579415" s="25"/>
    </row>
    <row r="579437" spans="21:21" x14ac:dyDescent="0.3">
      <c r="U579437" s="25"/>
    </row>
    <row r="579459" spans="21:21" x14ac:dyDescent="0.3">
      <c r="U579459" s="25"/>
    </row>
    <row r="579481" spans="21:21" x14ac:dyDescent="0.3">
      <c r="U579481" s="25"/>
    </row>
    <row r="579503" spans="21:21" x14ac:dyDescent="0.3">
      <c r="U579503" s="25"/>
    </row>
    <row r="579525" spans="21:21" x14ac:dyDescent="0.3">
      <c r="U579525" s="25"/>
    </row>
    <row r="579547" spans="21:21" x14ac:dyDescent="0.3">
      <c r="U579547" s="25"/>
    </row>
    <row r="579569" spans="21:21" x14ac:dyDescent="0.3">
      <c r="U579569" s="25"/>
    </row>
    <row r="579591" spans="21:21" x14ac:dyDescent="0.3">
      <c r="U579591" s="25"/>
    </row>
    <row r="579613" spans="21:21" x14ac:dyDescent="0.3">
      <c r="U579613" s="25"/>
    </row>
    <row r="579635" spans="21:21" x14ac:dyDescent="0.3">
      <c r="U579635" s="25"/>
    </row>
    <row r="579657" spans="21:21" x14ac:dyDescent="0.3">
      <c r="U579657" s="25"/>
    </row>
    <row r="579679" spans="21:21" x14ac:dyDescent="0.3">
      <c r="U579679" s="25"/>
    </row>
    <row r="579701" spans="21:21" x14ac:dyDescent="0.3">
      <c r="U579701" s="25"/>
    </row>
    <row r="579723" spans="21:21" x14ac:dyDescent="0.3">
      <c r="U579723" s="25"/>
    </row>
    <row r="579745" spans="21:21" x14ac:dyDescent="0.3">
      <c r="U579745" s="25"/>
    </row>
    <row r="579767" spans="21:21" x14ac:dyDescent="0.3">
      <c r="U579767" s="25"/>
    </row>
    <row r="579789" spans="21:21" x14ac:dyDescent="0.3">
      <c r="U579789" s="25"/>
    </row>
    <row r="579811" spans="21:21" x14ac:dyDescent="0.3">
      <c r="U579811" s="25"/>
    </row>
    <row r="579833" spans="21:21" x14ac:dyDescent="0.3">
      <c r="U579833" s="25"/>
    </row>
    <row r="579855" spans="21:21" x14ac:dyDescent="0.3">
      <c r="U579855" s="25"/>
    </row>
    <row r="579877" spans="21:21" x14ac:dyDescent="0.3">
      <c r="U579877" s="25"/>
    </row>
    <row r="579899" spans="21:21" x14ac:dyDescent="0.3">
      <c r="U579899" s="25"/>
    </row>
    <row r="579921" spans="21:21" x14ac:dyDescent="0.3">
      <c r="U579921" s="25"/>
    </row>
    <row r="579943" spans="21:21" x14ac:dyDescent="0.3">
      <c r="U579943" s="25"/>
    </row>
    <row r="579965" spans="21:21" x14ac:dyDescent="0.3">
      <c r="U579965" s="25"/>
    </row>
    <row r="579987" spans="21:21" x14ac:dyDescent="0.3">
      <c r="U579987" s="25"/>
    </row>
    <row r="580009" spans="21:21" x14ac:dyDescent="0.3">
      <c r="U580009" s="25"/>
    </row>
    <row r="580031" spans="21:21" x14ac:dyDescent="0.3">
      <c r="U580031" s="25"/>
    </row>
    <row r="580053" spans="21:21" x14ac:dyDescent="0.3">
      <c r="U580053" s="25"/>
    </row>
    <row r="580075" spans="21:21" x14ac:dyDescent="0.3">
      <c r="U580075" s="25"/>
    </row>
    <row r="580097" spans="21:21" x14ac:dyDescent="0.3">
      <c r="U580097" s="25"/>
    </row>
    <row r="580119" spans="21:21" x14ac:dyDescent="0.3">
      <c r="U580119" s="25"/>
    </row>
    <row r="580141" spans="21:21" x14ac:dyDescent="0.3">
      <c r="U580141" s="25"/>
    </row>
    <row r="580163" spans="21:21" x14ac:dyDescent="0.3">
      <c r="U580163" s="25"/>
    </row>
    <row r="580185" spans="21:21" x14ac:dyDescent="0.3">
      <c r="U580185" s="25"/>
    </row>
    <row r="580207" spans="21:21" x14ac:dyDescent="0.3">
      <c r="U580207" s="25"/>
    </row>
    <row r="580229" spans="21:21" x14ac:dyDescent="0.3">
      <c r="U580229" s="25"/>
    </row>
    <row r="580251" spans="21:21" x14ac:dyDescent="0.3">
      <c r="U580251" s="25"/>
    </row>
    <row r="580273" spans="21:21" x14ac:dyDescent="0.3">
      <c r="U580273" s="25"/>
    </row>
    <row r="580295" spans="21:21" x14ac:dyDescent="0.3">
      <c r="U580295" s="25"/>
    </row>
    <row r="580317" spans="21:21" x14ac:dyDescent="0.3">
      <c r="U580317" s="25"/>
    </row>
    <row r="580339" spans="21:21" x14ac:dyDescent="0.3">
      <c r="U580339" s="25"/>
    </row>
    <row r="580361" spans="21:21" x14ac:dyDescent="0.3">
      <c r="U580361" s="25"/>
    </row>
    <row r="580383" spans="21:21" x14ac:dyDescent="0.3">
      <c r="U580383" s="25"/>
    </row>
    <row r="580405" spans="21:21" x14ac:dyDescent="0.3">
      <c r="U580405" s="25"/>
    </row>
    <row r="580427" spans="21:21" x14ac:dyDescent="0.3">
      <c r="U580427" s="25"/>
    </row>
    <row r="580449" spans="21:21" x14ac:dyDescent="0.3">
      <c r="U580449" s="25"/>
    </row>
    <row r="580471" spans="21:21" x14ac:dyDescent="0.3">
      <c r="U580471" s="25"/>
    </row>
    <row r="580493" spans="21:21" x14ac:dyDescent="0.3">
      <c r="U580493" s="25"/>
    </row>
    <row r="580515" spans="21:21" x14ac:dyDescent="0.3">
      <c r="U580515" s="25"/>
    </row>
    <row r="580537" spans="21:21" x14ac:dyDescent="0.3">
      <c r="U580537" s="25"/>
    </row>
    <row r="580559" spans="21:21" x14ac:dyDescent="0.3">
      <c r="U580559" s="25"/>
    </row>
    <row r="580581" spans="21:21" x14ac:dyDescent="0.3">
      <c r="U580581" s="25"/>
    </row>
    <row r="580603" spans="21:21" x14ac:dyDescent="0.3">
      <c r="U580603" s="25"/>
    </row>
    <row r="580625" spans="21:21" x14ac:dyDescent="0.3">
      <c r="U580625" s="25"/>
    </row>
    <row r="580647" spans="21:21" x14ac:dyDescent="0.3">
      <c r="U580647" s="25"/>
    </row>
    <row r="580669" spans="21:21" x14ac:dyDescent="0.3">
      <c r="U580669" s="25"/>
    </row>
    <row r="580691" spans="21:21" x14ac:dyDescent="0.3">
      <c r="U580691" s="25"/>
    </row>
    <row r="580713" spans="21:21" x14ac:dyDescent="0.3">
      <c r="U580713" s="25"/>
    </row>
    <row r="580735" spans="21:21" x14ac:dyDescent="0.3">
      <c r="U580735" s="25"/>
    </row>
    <row r="580757" spans="21:21" x14ac:dyDescent="0.3">
      <c r="U580757" s="25"/>
    </row>
    <row r="580779" spans="21:21" x14ac:dyDescent="0.3">
      <c r="U580779" s="25"/>
    </row>
    <row r="580801" spans="21:21" x14ac:dyDescent="0.3">
      <c r="U580801" s="25"/>
    </row>
    <row r="580823" spans="21:21" x14ac:dyDescent="0.3">
      <c r="U580823" s="25"/>
    </row>
    <row r="580845" spans="21:21" x14ac:dyDescent="0.3">
      <c r="U580845" s="25"/>
    </row>
    <row r="580867" spans="21:21" x14ac:dyDescent="0.3">
      <c r="U580867" s="25"/>
    </row>
    <row r="580889" spans="21:21" x14ac:dyDescent="0.3">
      <c r="U580889" s="25"/>
    </row>
    <row r="580911" spans="21:21" x14ac:dyDescent="0.3">
      <c r="U580911" s="25"/>
    </row>
    <row r="580933" spans="21:21" x14ac:dyDescent="0.3">
      <c r="U580933" s="25"/>
    </row>
    <row r="580955" spans="21:21" x14ac:dyDescent="0.3">
      <c r="U580955" s="25"/>
    </row>
    <row r="580977" spans="21:21" x14ac:dyDescent="0.3">
      <c r="U580977" s="25"/>
    </row>
    <row r="580999" spans="21:21" x14ac:dyDescent="0.3">
      <c r="U580999" s="25"/>
    </row>
    <row r="581021" spans="21:21" x14ac:dyDescent="0.3">
      <c r="U581021" s="25"/>
    </row>
    <row r="581043" spans="21:21" x14ac:dyDescent="0.3">
      <c r="U581043" s="25"/>
    </row>
    <row r="581065" spans="21:21" x14ac:dyDescent="0.3">
      <c r="U581065" s="25"/>
    </row>
    <row r="581087" spans="21:21" x14ac:dyDescent="0.3">
      <c r="U581087" s="25"/>
    </row>
    <row r="581109" spans="21:21" x14ac:dyDescent="0.3">
      <c r="U581109" s="25"/>
    </row>
    <row r="581131" spans="21:21" x14ac:dyDescent="0.3">
      <c r="U581131" s="25"/>
    </row>
    <row r="581153" spans="21:21" x14ac:dyDescent="0.3">
      <c r="U581153" s="25"/>
    </row>
    <row r="581175" spans="21:21" x14ac:dyDescent="0.3">
      <c r="U581175" s="25"/>
    </row>
    <row r="581197" spans="21:21" x14ac:dyDescent="0.3">
      <c r="U581197" s="25"/>
    </row>
    <row r="581219" spans="21:21" x14ac:dyDescent="0.3">
      <c r="U581219" s="25"/>
    </row>
    <row r="581241" spans="21:21" x14ac:dyDescent="0.3">
      <c r="U581241" s="25"/>
    </row>
    <row r="581263" spans="21:21" x14ac:dyDescent="0.3">
      <c r="U581263" s="25"/>
    </row>
    <row r="581285" spans="21:21" x14ac:dyDescent="0.3">
      <c r="U581285" s="25"/>
    </row>
    <row r="581307" spans="21:21" x14ac:dyDescent="0.3">
      <c r="U581307" s="25"/>
    </row>
    <row r="581329" spans="21:21" x14ac:dyDescent="0.3">
      <c r="U581329" s="25"/>
    </row>
    <row r="581351" spans="21:21" x14ac:dyDescent="0.3">
      <c r="U581351" s="25"/>
    </row>
    <row r="581373" spans="21:21" x14ac:dyDescent="0.3">
      <c r="U581373" s="25"/>
    </row>
    <row r="581395" spans="21:21" x14ac:dyDescent="0.3">
      <c r="U581395" s="25"/>
    </row>
    <row r="581417" spans="21:21" x14ac:dyDescent="0.3">
      <c r="U581417" s="25"/>
    </row>
    <row r="581439" spans="21:21" x14ac:dyDescent="0.3">
      <c r="U581439" s="25"/>
    </row>
    <row r="581461" spans="21:21" x14ac:dyDescent="0.3">
      <c r="U581461" s="25"/>
    </row>
    <row r="581483" spans="21:21" x14ac:dyDescent="0.3">
      <c r="U581483" s="25"/>
    </row>
    <row r="581505" spans="21:21" x14ac:dyDescent="0.3">
      <c r="U581505" s="25"/>
    </row>
    <row r="581527" spans="21:21" x14ac:dyDescent="0.3">
      <c r="U581527" s="25"/>
    </row>
    <row r="581549" spans="21:21" x14ac:dyDescent="0.3">
      <c r="U581549" s="25"/>
    </row>
    <row r="581571" spans="21:21" x14ac:dyDescent="0.3">
      <c r="U581571" s="25"/>
    </row>
    <row r="581593" spans="21:21" x14ac:dyDescent="0.3">
      <c r="U581593" s="25"/>
    </row>
    <row r="581615" spans="21:21" x14ac:dyDescent="0.3">
      <c r="U581615" s="25"/>
    </row>
    <row r="581637" spans="21:21" x14ac:dyDescent="0.3">
      <c r="U581637" s="25"/>
    </row>
    <row r="581659" spans="21:21" x14ac:dyDescent="0.3">
      <c r="U581659" s="25"/>
    </row>
    <row r="581681" spans="21:21" x14ac:dyDescent="0.3">
      <c r="U581681" s="25"/>
    </row>
    <row r="581703" spans="21:21" x14ac:dyDescent="0.3">
      <c r="U581703" s="25"/>
    </row>
    <row r="581725" spans="21:21" x14ac:dyDescent="0.3">
      <c r="U581725" s="25"/>
    </row>
    <row r="581747" spans="21:21" x14ac:dyDescent="0.3">
      <c r="U581747" s="25"/>
    </row>
    <row r="581769" spans="21:21" x14ac:dyDescent="0.3">
      <c r="U581769" s="25"/>
    </row>
    <row r="581791" spans="21:21" x14ac:dyDescent="0.3">
      <c r="U581791" s="25"/>
    </row>
    <row r="581813" spans="21:21" x14ac:dyDescent="0.3">
      <c r="U581813" s="25"/>
    </row>
    <row r="581835" spans="21:21" x14ac:dyDescent="0.3">
      <c r="U581835" s="25"/>
    </row>
    <row r="581857" spans="21:21" x14ac:dyDescent="0.3">
      <c r="U581857" s="25"/>
    </row>
    <row r="581879" spans="21:21" x14ac:dyDescent="0.3">
      <c r="U581879" s="25"/>
    </row>
    <row r="581901" spans="21:21" x14ac:dyDescent="0.3">
      <c r="U581901" s="25"/>
    </row>
    <row r="581923" spans="21:21" x14ac:dyDescent="0.3">
      <c r="U581923" s="25"/>
    </row>
    <row r="581945" spans="21:21" x14ac:dyDescent="0.3">
      <c r="U581945" s="25"/>
    </row>
    <row r="581967" spans="21:21" x14ac:dyDescent="0.3">
      <c r="U581967" s="25"/>
    </row>
    <row r="581989" spans="21:21" x14ac:dyDescent="0.3">
      <c r="U581989" s="25"/>
    </row>
    <row r="582011" spans="21:21" x14ac:dyDescent="0.3">
      <c r="U582011" s="25"/>
    </row>
    <row r="582033" spans="21:21" x14ac:dyDescent="0.3">
      <c r="U582033" s="25"/>
    </row>
    <row r="582055" spans="21:21" x14ac:dyDescent="0.3">
      <c r="U582055" s="25"/>
    </row>
    <row r="582077" spans="21:21" x14ac:dyDescent="0.3">
      <c r="U582077" s="25"/>
    </row>
    <row r="582099" spans="21:21" x14ac:dyDescent="0.3">
      <c r="U582099" s="25"/>
    </row>
    <row r="582121" spans="21:21" x14ac:dyDescent="0.3">
      <c r="U582121" s="25"/>
    </row>
    <row r="582143" spans="21:21" x14ac:dyDescent="0.3">
      <c r="U582143" s="25"/>
    </row>
    <row r="582165" spans="21:21" x14ac:dyDescent="0.3">
      <c r="U582165" s="25"/>
    </row>
    <row r="582187" spans="21:21" x14ac:dyDescent="0.3">
      <c r="U582187" s="25"/>
    </row>
    <row r="582209" spans="21:21" x14ac:dyDescent="0.3">
      <c r="U582209" s="25"/>
    </row>
    <row r="582231" spans="21:21" x14ac:dyDescent="0.3">
      <c r="U582231" s="25"/>
    </row>
    <row r="582253" spans="21:21" x14ac:dyDescent="0.3">
      <c r="U582253" s="25"/>
    </row>
    <row r="582275" spans="21:21" x14ac:dyDescent="0.3">
      <c r="U582275" s="25"/>
    </row>
    <row r="582297" spans="21:21" x14ac:dyDescent="0.3">
      <c r="U582297" s="25"/>
    </row>
    <row r="582319" spans="21:21" x14ac:dyDescent="0.3">
      <c r="U582319" s="25"/>
    </row>
    <row r="582341" spans="21:21" x14ac:dyDescent="0.3">
      <c r="U582341" s="25"/>
    </row>
    <row r="582363" spans="21:21" x14ac:dyDescent="0.3">
      <c r="U582363" s="25"/>
    </row>
    <row r="582385" spans="21:21" x14ac:dyDescent="0.3">
      <c r="U582385" s="25"/>
    </row>
    <row r="582407" spans="21:21" x14ac:dyDescent="0.3">
      <c r="U582407" s="25"/>
    </row>
    <row r="582429" spans="21:21" x14ac:dyDescent="0.3">
      <c r="U582429" s="25"/>
    </row>
    <row r="582451" spans="21:21" x14ac:dyDescent="0.3">
      <c r="U582451" s="25"/>
    </row>
    <row r="582473" spans="21:21" x14ac:dyDescent="0.3">
      <c r="U582473" s="25"/>
    </row>
    <row r="582495" spans="21:21" x14ac:dyDescent="0.3">
      <c r="U582495" s="25"/>
    </row>
    <row r="582517" spans="21:21" x14ac:dyDescent="0.3">
      <c r="U582517" s="25"/>
    </row>
    <row r="582539" spans="21:21" x14ac:dyDescent="0.3">
      <c r="U582539" s="25"/>
    </row>
    <row r="582561" spans="21:21" x14ac:dyDescent="0.3">
      <c r="U582561" s="25"/>
    </row>
    <row r="582583" spans="21:21" x14ac:dyDescent="0.3">
      <c r="U582583" s="25"/>
    </row>
    <row r="582605" spans="21:21" x14ac:dyDescent="0.3">
      <c r="U582605" s="25"/>
    </row>
    <row r="582627" spans="21:21" x14ac:dyDescent="0.3">
      <c r="U582627" s="25"/>
    </row>
    <row r="582649" spans="21:21" x14ac:dyDescent="0.3">
      <c r="U582649" s="25"/>
    </row>
    <row r="582671" spans="21:21" x14ac:dyDescent="0.3">
      <c r="U582671" s="25"/>
    </row>
    <row r="582693" spans="21:21" x14ac:dyDescent="0.3">
      <c r="U582693" s="25"/>
    </row>
    <row r="582715" spans="21:21" x14ac:dyDescent="0.3">
      <c r="U582715" s="25"/>
    </row>
    <row r="582737" spans="21:21" x14ac:dyDescent="0.3">
      <c r="U582737" s="25"/>
    </row>
    <row r="582759" spans="21:21" x14ac:dyDescent="0.3">
      <c r="U582759" s="25"/>
    </row>
    <row r="582781" spans="21:21" x14ac:dyDescent="0.3">
      <c r="U582781" s="25"/>
    </row>
    <row r="582803" spans="21:21" x14ac:dyDescent="0.3">
      <c r="U582803" s="25"/>
    </row>
    <row r="582825" spans="21:21" x14ac:dyDescent="0.3">
      <c r="U582825" s="25"/>
    </row>
    <row r="582847" spans="21:21" x14ac:dyDescent="0.3">
      <c r="U582847" s="25"/>
    </row>
    <row r="582869" spans="21:21" x14ac:dyDescent="0.3">
      <c r="U582869" s="25"/>
    </row>
    <row r="582891" spans="21:21" x14ac:dyDescent="0.3">
      <c r="U582891" s="25"/>
    </row>
    <row r="582913" spans="21:21" x14ac:dyDescent="0.3">
      <c r="U582913" s="25"/>
    </row>
    <row r="582935" spans="21:21" x14ac:dyDescent="0.3">
      <c r="U582935" s="25"/>
    </row>
    <row r="582957" spans="21:21" x14ac:dyDescent="0.3">
      <c r="U582957" s="25"/>
    </row>
    <row r="582979" spans="21:21" x14ac:dyDescent="0.3">
      <c r="U582979" s="25"/>
    </row>
    <row r="583001" spans="21:21" x14ac:dyDescent="0.3">
      <c r="U583001" s="25"/>
    </row>
    <row r="583023" spans="21:21" x14ac:dyDescent="0.3">
      <c r="U583023" s="25"/>
    </row>
    <row r="583045" spans="21:21" x14ac:dyDescent="0.3">
      <c r="U583045" s="25"/>
    </row>
    <row r="583067" spans="21:21" x14ac:dyDescent="0.3">
      <c r="U583067" s="25"/>
    </row>
    <row r="583089" spans="21:21" x14ac:dyDescent="0.3">
      <c r="U583089" s="25"/>
    </row>
    <row r="583111" spans="21:21" x14ac:dyDescent="0.3">
      <c r="U583111" s="25"/>
    </row>
    <row r="583133" spans="21:21" x14ac:dyDescent="0.3">
      <c r="U583133" s="25"/>
    </row>
    <row r="583155" spans="21:21" x14ac:dyDescent="0.3">
      <c r="U583155" s="25"/>
    </row>
    <row r="583177" spans="21:21" x14ac:dyDescent="0.3">
      <c r="U583177" s="25"/>
    </row>
    <row r="583199" spans="21:21" x14ac:dyDescent="0.3">
      <c r="U583199" s="25"/>
    </row>
    <row r="583221" spans="21:21" x14ac:dyDescent="0.3">
      <c r="U583221" s="25"/>
    </row>
    <row r="583243" spans="21:21" x14ac:dyDescent="0.3">
      <c r="U583243" s="25"/>
    </row>
    <row r="583265" spans="21:21" x14ac:dyDescent="0.3">
      <c r="U583265" s="25"/>
    </row>
    <row r="583287" spans="21:21" x14ac:dyDescent="0.3">
      <c r="U583287" s="25"/>
    </row>
    <row r="583309" spans="21:21" x14ac:dyDescent="0.3">
      <c r="U583309" s="25"/>
    </row>
    <row r="583331" spans="21:21" x14ac:dyDescent="0.3">
      <c r="U583331" s="25"/>
    </row>
    <row r="583353" spans="21:21" x14ac:dyDescent="0.3">
      <c r="U583353" s="25"/>
    </row>
    <row r="583375" spans="21:21" x14ac:dyDescent="0.3">
      <c r="U583375" s="25"/>
    </row>
    <row r="583397" spans="21:21" x14ac:dyDescent="0.3">
      <c r="U583397" s="25"/>
    </row>
    <row r="583419" spans="21:21" x14ac:dyDescent="0.3">
      <c r="U583419" s="25"/>
    </row>
    <row r="583441" spans="21:21" x14ac:dyDescent="0.3">
      <c r="U583441" s="25"/>
    </row>
    <row r="583463" spans="21:21" x14ac:dyDescent="0.3">
      <c r="U583463" s="25"/>
    </row>
    <row r="583485" spans="21:21" x14ac:dyDescent="0.3">
      <c r="U583485" s="25"/>
    </row>
    <row r="583507" spans="21:21" x14ac:dyDescent="0.3">
      <c r="U583507" s="25"/>
    </row>
    <row r="583529" spans="21:21" x14ac:dyDescent="0.3">
      <c r="U583529" s="25"/>
    </row>
    <row r="583551" spans="21:21" x14ac:dyDescent="0.3">
      <c r="U583551" s="25"/>
    </row>
    <row r="583573" spans="21:21" x14ac:dyDescent="0.3">
      <c r="U583573" s="25"/>
    </row>
    <row r="583595" spans="21:21" x14ac:dyDescent="0.3">
      <c r="U583595" s="25"/>
    </row>
    <row r="583617" spans="21:21" x14ac:dyDescent="0.3">
      <c r="U583617" s="25"/>
    </row>
    <row r="583639" spans="21:21" x14ac:dyDescent="0.3">
      <c r="U583639" s="25"/>
    </row>
    <row r="583661" spans="21:21" x14ac:dyDescent="0.3">
      <c r="U583661" s="25"/>
    </row>
    <row r="583683" spans="21:21" x14ac:dyDescent="0.3">
      <c r="U583683" s="25"/>
    </row>
    <row r="583705" spans="21:21" x14ac:dyDescent="0.3">
      <c r="U583705" s="25"/>
    </row>
    <row r="583727" spans="21:21" x14ac:dyDescent="0.3">
      <c r="U583727" s="25"/>
    </row>
    <row r="583749" spans="21:21" x14ac:dyDescent="0.3">
      <c r="U583749" s="25"/>
    </row>
    <row r="583771" spans="21:21" x14ac:dyDescent="0.3">
      <c r="U583771" s="25"/>
    </row>
    <row r="583793" spans="21:21" x14ac:dyDescent="0.3">
      <c r="U583793" s="25"/>
    </row>
    <row r="583815" spans="21:21" x14ac:dyDescent="0.3">
      <c r="U583815" s="25"/>
    </row>
    <row r="583837" spans="21:21" x14ac:dyDescent="0.3">
      <c r="U583837" s="25"/>
    </row>
    <row r="583859" spans="21:21" x14ac:dyDescent="0.3">
      <c r="U583859" s="25"/>
    </row>
    <row r="583881" spans="21:21" x14ac:dyDescent="0.3">
      <c r="U583881" s="25"/>
    </row>
    <row r="583903" spans="21:21" x14ac:dyDescent="0.3">
      <c r="U583903" s="25"/>
    </row>
    <row r="583925" spans="21:21" x14ac:dyDescent="0.3">
      <c r="U583925" s="25"/>
    </row>
    <row r="583947" spans="21:21" x14ac:dyDescent="0.3">
      <c r="U583947" s="25"/>
    </row>
    <row r="583969" spans="21:21" x14ac:dyDescent="0.3">
      <c r="U583969" s="25"/>
    </row>
    <row r="583991" spans="21:21" x14ac:dyDescent="0.3">
      <c r="U583991" s="25"/>
    </row>
    <row r="584013" spans="21:21" x14ac:dyDescent="0.3">
      <c r="U584013" s="25"/>
    </row>
    <row r="584035" spans="21:21" x14ac:dyDescent="0.3">
      <c r="U584035" s="25"/>
    </row>
    <row r="584057" spans="21:21" x14ac:dyDescent="0.3">
      <c r="U584057" s="25"/>
    </row>
    <row r="584079" spans="21:21" x14ac:dyDescent="0.3">
      <c r="U584079" s="25"/>
    </row>
    <row r="584101" spans="21:21" x14ac:dyDescent="0.3">
      <c r="U584101" s="25"/>
    </row>
    <row r="584123" spans="21:21" x14ac:dyDescent="0.3">
      <c r="U584123" s="25"/>
    </row>
    <row r="584145" spans="21:21" x14ac:dyDescent="0.3">
      <c r="U584145" s="25"/>
    </row>
    <row r="584167" spans="21:21" x14ac:dyDescent="0.3">
      <c r="U584167" s="25"/>
    </row>
    <row r="584189" spans="21:21" x14ac:dyDescent="0.3">
      <c r="U584189" s="25"/>
    </row>
    <row r="584211" spans="21:21" x14ac:dyDescent="0.3">
      <c r="U584211" s="25"/>
    </row>
    <row r="584233" spans="21:21" x14ac:dyDescent="0.3">
      <c r="U584233" s="25"/>
    </row>
    <row r="584255" spans="21:21" x14ac:dyDescent="0.3">
      <c r="U584255" s="25"/>
    </row>
    <row r="584277" spans="21:21" x14ac:dyDescent="0.3">
      <c r="U584277" s="25"/>
    </row>
    <row r="584299" spans="21:21" x14ac:dyDescent="0.3">
      <c r="U584299" s="25"/>
    </row>
    <row r="584321" spans="21:21" x14ac:dyDescent="0.3">
      <c r="U584321" s="25"/>
    </row>
    <row r="584343" spans="21:21" x14ac:dyDescent="0.3">
      <c r="U584343" s="25"/>
    </row>
    <row r="584365" spans="21:21" x14ac:dyDescent="0.3">
      <c r="U584365" s="25"/>
    </row>
    <row r="584387" spans="21:21" x14ac:dyDescent="0.3">
      <c r="U584387" s="25"/>
    </row>
    <row r="584409" spans="21:21" x14ac:dyDescent="0.3">
      <c r="U584409" s="25"/>
    </row>
    <row r="584431" spans="21:21" x14ac:dyDescent="0.3">
      <c r="U584431" s="25"/>
    </row>
    <row r="584453" spans="21:21" x14ac:dyDescent="0.3">
      <c r="U584453" s="25"/>
    </row>
    <row r="584475" spans="21:21" x14ac:dyDescent="0.3">
      <c r="U584475" s="25"/>
    </row>
    <row r="584497" spans="21:21" x14ac:dyDescent="0.3">
      <c r="U584497" s="25"/>
    </row>
    <row r="584519" spans="21:21" x14ac:dyDescent="0.3">
      <c r="U584519" s="25"/>
    </row>
    <row r="584541" spans="21:21" x14ac:dyDescent="0.3">
      <c r="U584541" s="25"/>
    </row>
    <row r="584563" spans="21:21" x14ac:dyDescent="0.3">
      <c r="U584563" s="25"/>
    </row>
    <row r="584585" spans="21:21" x14ac:dyDescent="0.3">
      <c r="U584585" s="25"/>
    </row>
    <row r="584607" spans="21:21" x14ac:dyDescent="0.3">
      <c r="U584607" s="25"/>
    </row>
    <row r="584629" spans="21:21" x14ac:dyDescent="0.3">
      <c r="U584629" s="25"/>
    </row>
    <row r="584651" spans="21:21" x14ac:dyDescent="0.3">
      <c r="U584651" s="25"/>
    </row>
    <row r="584673" spans="21:21" x14ac:dyDescent="0.3">
      <c r="U584673" s="25"/>
    </row>
    <row r="584695" spans="21:21" x14ac:dyDescent="0.3">
      <c r="U584695" s="25"/>
    </row>
    <row r="584717" spans="21:21" x14ac:dyDescent="0.3">
      <c r="U584717" s="25"/>
    </row>
    <row r="584739" spans="21:21" x14ac:dyDescent="0.3">
      <c r="U584739" s="25"/>
    </row>
    <row r="584761" spans="21:21" x14ac:dyDescent="0.3">
      <c r="U584761" s="25"/>
    </row>
    <row r="584783" spans="21:21" x14ac:dyDescent="0.3">
      <c r="U584783" s="25"/>
    </row>
    <row r="584805" spans="21:21" x14ac:dyDescent="0.3">
      <c r="U584805" s="25"/>
    </row>
    <row r="584827" spans="21:21" x14ac:dyDescent="0.3">
      <c r="U584827" s="25"/>
    </row>
    <row r="584849" spans="21:21" x14ac:dyDescent="0.3">
      <c r="U584849" s="25"/>
    </row>
    <row r="584871" spans="21:21" x14ac:dyDescent="0.3">
      <c r="U584871" s="25"/>
    </row>
    <row r="584893" spans="21:21" x14ac:dyDescent="0.3">
      <c r="U584893" s="25"/>
    </row>
    <row r="584915" spans="21:21" x14ac:dyDescent="0.3">
      <c r="U584915" s="25"/>
    </row>
    <row r="584937" spans="21:21" x14ac:dyDescent="0.3">
      <c r="U584937" s="25"/>
    </row>
    <row r="584959" spans="21:21" x14ac:dyDescent="0.3">
      <c r="U584959" s="25"/>
    </row>
    <row r="584981" spans="21:21" x14ac:dyDescent="0.3">
      <c r="U584981" s="25"/>
    </row>
    <row r="585003" spans="21:21" x14ac:dyDescent="0.3">
      <c r="U585003" s="25"/>
    </row>
    <row r="585025" spans="21:21" x14ac:dyDescent="0.3">
      <c r="U585025" s="25"/>
    </row>
    <row r="585047" spans="21:21" x14ac:dyDescent="0.3">
      <c r="U585047" s="25"/>
    </row>
    <row r="585069" spans="21:21" x14ac:dyDescent="0.3">
      <c r="U585069" s="25"/>
    </row>
    <row r="585091" spans="21:21" x14ac:dyDescent="0.3">
      <c r="U585091" s="25"/>
    </row>
    <row r="585113" spans="21:21" x14ac:dyDescent="0.3">
      <c r="U585113" s="25"/>
    </row>
    <row r="585135" spans="21:21" x14ac:dyDescent="0.3">
      <c r="U585135" s="25"/>
    </row>
    <row r="585157" spans="21:21" x14ac:dyDescent="0.3">
      <c r="U585157" s="25"/>
    </row>
    <row r="585179" spans="21:21" x14ac:dyDescent="0.3">
      <c r="U585179" s="25"/>
    </row>
    <row r="585201" spans="21:21" x14ac:dyDescent="0.3">
      <c r="U585201" s="25"/>
    </row>
    <row r="585223" spans="21:21" x14ac:dyDescent="0.3">
      <c r="U585223" s="25"/>
    </row>
    <row r="585245" spans="21:21" x14ac:dyDescent="0.3">
      <c r="U585245" s="25"/>
    </row>
    <row r="585267" spans="21:21" x14ac:dyDescent="0.3">
      <c r="U585267" s="25"/>
    </row>
    <row r="585289" spans="21:21" x14ac:dyDescent="0.3">
      <c r="U585289" s="25"/>
    </row>
    <row r="585311" spans="21:21" x14ac:dyDescent="0.3">
      <c r="U585311" s="25"/>
    </row>
    <row r="585333" spans="21:21" x14ac:dyDescent="0.3">
      <c r="U585333" s="25"/>
    </row>
    <row r="585355" spans="21:21" x14ac:dyDescent="0.3">
      <c r="U585355" s="25"/>
    </row>
    <row r="585377" spans="21:21" x14ac:dyDescent="0.3">
      <c r="U585377" s="25"/>
    </row>
    <row r="585399" spans="21:21" x14ac:dyDescent="0.3">
      <c r="U585399" s="25"/>
    </row>
    <row r="585421" spans="21:21" x14ac:dyDescent="0.3">
      <c r="U585421" s="25"/>
    </row>
    <row r="585443" spans="21:21" x14ac:dyDescent="0.3">
      <c r="U585443" s="25"/>
    </row>
    <row r="585465" spans="21:21" x14ac:dyDescent="0.3">
      <c r="U585465" s="25"/>
    </row>
    <row r="585487" spans="21:21" x14ac:dyDescent="0.3">
      <c r="U585487" s="25"/>
    </row>
    <row r="585509" spans="21:21" x14ac:dyDescent="0.3">
      <c r="U585509" s="25"/>
    </row>
    <row r="585531" spans="21:21" x14ac:dyDescent="0.3">
      <c r="U585531" s="25"/>
    </row>
    <row r="585553" spans="21:21" x14ac:dyDescent="0.3">
      <c r="U585553" s="25"/>
    </row>
    <row r="585575" spans="21:21" x14ac:dyDescent="0.3">
      <c r="U585575" s="25"/>
    </row>
    <row r="585597" spans="21:21" x14ac:dyDescent="0.3">
      <c r="U585597" s="25"/>
    </row>
    <row r="585619" spans="21:21" x14ac:dyDescent="0.3">
      <c r="U585619" s="25"/>
    </row>
    <row r="585641" spans="21:21" x14ac:dyDescent="0.3">
      <c r="U585641" s="25"/>
    </row>
    <row r="585663" spans="21:21" x14ac:dyDescent="0.3">
      <c r="U585663" s="25"/>
    </row>
    <row r="585685" spans="21:21" x14ac:dyDescent="0.3">
      <c r="U585685" s="25"/>
    </row>
    <row r="585707" spans="21:21" x14ac:dyDescent="0.3">
      <c r="U585707" s="25"/>
    </row>
    <row r="585729" spans="21:21" x14ac:dyDescent="0.3">
      <c r="U585729" s="25"/>
    </row>
    <row r="585751" spans="21:21" x14ac:dyDescent="0.3">
      <c r="U585751" s="25"/>
    </row>
    <row r="585773" spans="21:21" x14ac:dyDescent="0.3">
      <c r="U585773" s="25"/>
    </row>
    <row r="585795" spans="21:21" x14ac:dyDescent="0.3">
      <c r="U585795" s="25"/>
    </row>
    <row r="585817" spans="21:21" x14ac:dyDescent="0.3">
      <c r="U585817" s="25"/>
    </row>
    <row r="585839" spans="21:21" x14ac:dyDescent="0.3">
      <c r="U585839" s="25"/>
    </row>
    <row r="585861" spans="21:21" x14ac:dyDescent="0.3">
      <c r="U585861" s="25"/>
    </row>
    <row r="585883" spans="21:21" x14ac:dyDescent="0.3">
      <c r="U585883" s="25"/>
    </row>
    <row r="585905" spans="21:21" x14ac:dyDescent="0.3">
      <c r="U585905" s="25"/>
    </row>
    <row r="585927" spans="21:21" x14ac:dyDescent="0.3">
      <c r="U585927" s="25"/>
    </row>
    <row r="585949" spans="21:21" x14ac:dyDescent="0.3">
      <c r="U585949" s="25"/>
    </row>
    <row r="585971" spans="21:21" x14ac:dyDescent="0.3">
      <c r="U585971" s="25"/>
    </row>
    <row r="585993" spans="21:21" x14ac:dyDescent="0.3">
      <c r="U585993" s="25"/>
    </row>
    <row r="586015" spans="21:21" x14ac:dyDescent="0.3">
      <c r="U586015" s="25"/>
    </row>
    <row r="586037" spans="21:21" x14ac:dyDescent="0.3">
      <c r="U586037" s="25"/>
    </row>
    <row r="586059" spans="21:21" x14ac:dyDescent="0.3">
      <c r="U586059" s="25"/>
    </row>
    <row r="586081" spans="21:21" x14ac:dyDescent="0.3">
      <c r="U586081" s="25"/>
    </row>
    <row r="586103" spans="21:21" x14ac:dyDescent="0.3">
      <c r="U586103" s="25"/>
    </row>
    <row r="586125" spans="21:21" x14ac:dyDescent="0.3">
      <c r="U586125" s="25"/>
    </row>
    <row r="586147" spans="21:21" x14ac:dyDescent="0.3">
      <c r="U586147" s="25"/>
    </row>
    <row r="586169" spans="21:21" x14ac:dyDescent="0.3">
      <c r="U586169" s="25"/>
    </row>
    <row r="586191" spans="21:21" x14ac:dyDescent="0.3">
      <c r="U586191" s="25"/>
    </row>
    <row r="586213" spans="21:21" x14ac:dyDescent="0.3">
      <c r="U586213" s="25"/>
    </row>
    <row r="586235" spans="21:21" x14ac:dyDescent="0.3">
      <c r="U586235" s="25"/>
    </row>
    <row r="586257" spans="21:21" x14ac:dyDescent="0.3">
      <c r="U586257" s="25"/>
    </row>
    <row r="586279" spans="21:21" x14ac:dyDescent="0.3">
      <c r="U586279" s="25"/>
    </row>
    <row r="586301" spans="21:21" x14ac:dyDescent="0.3">
      <c r="U586301" s="25"/>
    </row>
    <row r="586323" spans="21:21" x14ac:dyDescent="0.3">
      <c r="U586323" s="25"/>
    </row>
    <row r="586345" spans="21:21" x14ac:dyDescent="0.3">
      <c r="U586345" s="25"/>
    </row>
    <row r="586367" spans="21:21" x14ac:dyDescent="0.3">
      <c r="U586367" s="25"/>
    </row>
    <row r="586389" spans="21:21" x14ac:dyDescent="0.3">
      <c r="U586389" s="25"/>
    </row>
    <row r="586411" spans="21:21" x14ac:dyDescent="0.3">
      <c r="U586411" s="25"/>
    </row>
    <row r="586433" spans="21:21" x14ac:dyDescent="0.3">
      <c r="U586433" s="25"/>
    </row>
    <row r="586455" spans="21:21" x14ac:dyDescent="0.3">
      <c r="U586455" s="25"/>
    </row>
    <row r="586477" spans="21:21" x14ac:dyDescent="0.3">
      <c r="U586477" s="25"/>
    </row>
    <row r="586499" spans="21:21" x14ac:dyDescent="0.3">
      <c r="U586499" s="25"/>
    </row>
    <row r="586521" spans="21:21" x14ac:dyDescent="0.3">
      <c r="U586521" s="25"/>
    </row>
    <row r="586543" spans="21:21" x14ac:dyDescent="0.3">
      <c r="U586543" s="25"/>
    </row>
    <row r="586565" spans="21:21" x14ac:dyDescent="0.3">
      <c r="U586565" s="25"/>
    </row>
    <row r="586587" spans="21:21" x14ac:dyDescent="0.3">
      <c r="U586587" s="25"/>
    </row>
    <row r="586609" spans="21:21" x14ac:dyDescent="0.3">
      <c r="U586609" s="25"/>
    </row>
    <row r="586631" spans="21:21" x14ac:dyDescent="0.3">
      <c r="U586631" s="25"/>
    </row>
    <row r="586653" spans="21:21" x14ac:dyDescent="0.3">
      <c r="U586653" s="25"/>
    </row>
    <row r="586675" spans="21:21" x14ac:dyDescent="0.3">
      <c r="U586675" s="25"/>
    </row>
    <row r="586697" spans="21:21" x14ac:dyDescent="0.3">
      <c r="U586697" s="25"/>
    </row>
    <row r="586719" spans="21:21" x14ac:dyDescent="0.3">
      <c r="U586719" s="25"/>
    </row>
    <row r="586741" spans="21:21" x14ac:dyDescent="0.3">
      <c r="U586741" s="25"/>
    </row>
    <row r="586763" spans="21:21" x14ac:dyDescent="0.3">
      <c r="U586763" s="25"/>
    </row>
    <row r="586785" spans="21:21" x14ac:dyDescent="0.3">
      <c r="U586785" s="25"/>
    </row>
    <row r="586807" spans="21:21" x14ac:dyDescent="0.3">
      <c r="U586807" s="25"/>
    </row>
    <row r="586829" spans="21:21" x14ac:dyDescent="0.3">
      <c r="U586829" s="25"/>
    </row>
    <row r="586851" spans="21:21" x14ac:dyDescent="0.3">
      <c r="U586851" s="25"/>
    </row>
    <row r="586873" spans="21:21" x14ac:dyDescent="0.3">
      <c r="U586873" s="25"/>
    </row>
    <row r="586895" spans="21:21" x14ac:dyDescent="0.3">
      <c r="U586895" s="25"/>
    </row>
    <row r="586917" spans="21:21" x14ac:dyDescent="0.3">
      <c r="U586917" s="25"/>
    </row>
    <row r="586939" spans="21:21" x14ac:dyDescent="0.3">
      <c r="U586939" s="25"/>
    </row>
    <row r="586961" spans="21:21" x14ac:dyDescent="0.3">
      <c r="U586961" s="25"/>
    </row>
    <row r="586983" spans="21:21" x14ac:dyDescent="0.3">
      <c r="U586983" s="25"/>
    </row>
    <row r="587005" spans="21:21" x14ac:dyDescent="0.3">
      <c r="U587005" s="25"/>
    </row>
    <row r="587027" spans="21:21" x14ac:dyDescent="0.3">
      <c r="U587027" s="25"/>
    </row>
    <row r="587049" spans="21:21" x14ac:dyDescent="0.3">
      <c r="U587049" s="25"/>
    </row>
    <row r="587071" spans="21:21" x14ac:dyDescent="0.3">
      <c r="U587071" s="25"/>
    </row>
    <row r="587093" spans="21:21" x14ac:dyDescent="0.3">
      <c r="U587093" s="25"/>
    </row>
    <row r="587115" spans="21:21" x14ac:dyDescent="0.3">
      <c r="U587115" s="25"/>
    </row>
    <row r="587137" spans="21:21" x14ac:dyDescent="0.3">
      <c r="U587137" s="25"/>
    </row>
    <row r="587159" spans="21:21" x14ac:dyDescent="0.3">
      <c r="U587159" s="25"/>
    </row>
    <row r="587181" spans="21:21" x14ac:dyDescent="0.3">
      <c r="U587181" s="25"/>
    </row>
    <row r="587203" spans="21:21" x14ac:dyDescent="0.3">
      <c r="U587203" s="25"/>
    </row>
    <row r="587225" spans="21:21" x14ac:dyDescent="0.3">
      <c r="U587225" s="25"/>
    </row>
    <row r="587247" spans="21:21" x14ac:dyDescent="0.3">
      <c r="U587247" s="25"/>
    </row>
    <row r="587269" spans="21:21" x14ac:dyDescent="0.3">
      <c r="U587269" s="25"/>
    </row>
    <row r="587291" spans="21:21" x14ac:dyDescent="0.3">
      <c r="U587291" s="25"/>
    </row>
    <row r="587313" spans="21:21" x14ac:dyDescent="0.3">
      <c r="U587313" s="25"/>
    </row>
    <row r="587335" spans="21:21" x14ac:dyDescent="0.3">
      <c r="U587335" s="25"/>
    </row>
    <row r="587357" spans="21:21" x14ac:dyDescent="0.3">
      <c r="U587357" s="25"/>
    </row>
    <row r="587379" spans="21:21" x14ac:dyDescent="0.3">
      <c r="U587379" s="25"/>
    </row>
    <row r="587401" spans="21:21" x14ac:dyDescent="0.3">
      <c r="U587401" s="25"/>
    </row>
    <row r="587423" spans="21:21" x14ac:dyDescent="0.3">
      <c r="U587423" s="25"/>
    </row>
    <row r="587445" spans="21:21" x14ac:dyDescent="0.3">
      <c r="U587445" s="25"/>
    </row>
    <row r="587467" spans="21:21" x14ac:dyDescent="0.3">
      <c r="U587467" s="25"/>
    </row>
    <row r="587489" spans="21:21" x14ac:dyDescent="0.3">
      <c r="U587489" s="25"/>
    </row>
    <row r="587511" spans="21:21" x14ac:dyDescent="0.3">
      <c r="U587511" s="25"/>
    </row>
    <row r="587533" spans="21:21" x14ac:dyDescent="0.3">
      <c r="U587533" s="25"/>
    </row>
    <row r="587555" spans="21:21" x14ac:dyDescent="0.3">
      <c r="U587555" s="25"/>
    </row>
    <row r="587577" spans="21:21" x14ac:dyDescent="0.3">
      <c r="U587577" s="25"/>
    </row>
    <row r="587599" spans="21:21" x14ac:dyDescent="0.3">
      <c r="U587599" s="25"/>
    </row>
    <row r="587621" spans="21:21" x14ac:dyDescent="0.3">
      <c r="U587621" s="25"/>
    </row>
    <row r="587643" spans="21:21" x14ac:dyDescent="0.3">
      <c r="U587643" s="25"/>
    </row>
    <row r="587665" spans="21:21" x14ac:dyDescent="0.3">
      <c r="U587665" s="25"/>
    </row>
    <row r="587687" spans="21:21" x14ac:dyDescent="0.3">
      <c r="U587687" s="25"/>
    </row>
    <row r="587709" spans="21:21" x14ac:dyDescent="0.3">
      <c r="U587709" s="25"/>
    </row>
    <row r="587731" spans="21:21" x14ac:dyDescent="0.3">
      <c r="U587731" s="25"/>
    </row>
    <row r="587753" spans="21:21" x14ac:dyDescent="0.3">
      <c r="U587753" s="25"/>
    </row>
    <row r="587775" spans="21:21" x14ac:dyDescent="0.3">
      <c r="U587775" s="25"/>
    </row>
    <row r="587797" spans="21:21" x14ac:dyDescent="0.3">
      <c r="U587797" s="25"/>
    </row>
    <row r="587819" spans="21:21" x14ac:dyDescent="0.3">
      <c r="U587819" s="25"/>
    </row>
    <row r="587841" spans="21:21" x14ac:dyDescent="0.3">
      <c r="U587841" s="25"/>
    </row>
    <row r="587863" spans="21:21" x14ac:dyDescent="0.3">
      <c r="U587863" s="25"/>
    </row>
    <row r="587885" spans="21:21" x14ac:dyDescent="0.3">
      <c r="U587885" s="25"/>
    </row>
    <row r="587907" spans="21:21" x14ac:dyDescent="0.3">
      <c r="U587907" s="25"/>
    </row>
    <row r="587929" spans="21:21" x14ac:dyDescent="0.3">
      <c r="U587929" s="25"/>
    </row>
    <row r="587951" spans="21:21" x14ac:dyDescent="0.3">
      <c r="U587951" s="25"/>
    </row>
    <row r="587973" spans="21:21" x14ac:dyDescent="0.3">
      <c r="U587973" s="25"/>
    </row>
    <row r="587995" spans="21:21" x14ac:dyDescent="0.3">
      <c r="U587995" s="25"/>
    </row>
    <row r="588017" spans="21:21" x14ac:dyDescent="0.3">
      <c r="U588017" s="25"/>
    </row>
    <row r="588039" spans="21:21" x14ac:dyDescent="0.3">
      <c r="U588039" s="25"/>
    </row>
    <row r="588061" spans="21:21" x14ac:dyDescent="0.3">
      <c r="U588061" s="25"/>
    </row>
    <row r="588083" spans="21:21" x14ac:dyDescent="0.3">
      <c r="U588083" s="25"/>
    </row>
    <row r="588105" spans="21:21" x14ac:dyDescent="0.3">
      <c r="U588105" s="25"/>
    </row>
    <row r="588127" spans="21:21" x14ac:dyDescent="0.3">
      <c r="U588127" s="25"/>
    </row>
    <row r="588149" spans="21:21" x14ac:dyDescent="0.3">
      <c r="U588149" s="25"/>
    </row>
    <row r="588171" spans="21:21" x14ac:dyDescent="0.3">
      <c r="U588171" s="25"/>
    </row>
    <row r="588193" spans="21:21" x14ac:dyDescent="0.3">
      <c r="U588193" s="25"/>
    </row>
    <row r="588215" spans="21:21" x14ac:dyDescent="0.3">
      <c r="U588215" s="25"/>
    </row>
    <row r="588237" spans="21:21" x14ac:dyDescent="0.3">
      <c r="U588237" s="25"/>
    </row>
    <row r="588259" spans="21:21" x14ac:dyDescent="0.3">
      <c r="U588259" s="25"/>
    </row>
    <row r="588281" spans="21:21" x14ac:dyDescent="0.3">
      <c r="U588281" s="25"/>
    </row>
    <row r="588303" spans="21:21" x14ac:dyDescent="0.3">
      <c r="U588303" s="25"/>
    </row>
    <row r="588325" spans="21:21" x14ac:dyDescent="0.3">
      <c r="U588325" s="25"/>
    </row>
    <row r="588347" spans="21:21" x14ac:dyDescent="0.3">
      <c r="U588347" s="25"/>
    </row>
    <row r="588369" spans="21:21" x14ac:dyDescent="0.3">
      <c r="U588369" s="25"/>
    </row>
    <row r="588391" spans="21:21" x14ac:dyDescent="0.3">
      <c r="U588391" s="25"/>
    </row>
    <row r="588413" spans="21:21" x14ac:dyDescent="0.3">
      <c r="U588413" s="25"/>
    </row>
    <row r="588435" spans="21:21" x14ac:dyDescent="0.3">
      <c r="U588435" s="25"/>
    </row>
    <row r="588457" spans="21:21" x14ac:dyDescent="0.3">
      <c r="U588457" s="25"/>
    </row>
    <row r="588479" spans="21:21" x14ac:dyDescent="0.3">
      <c r="U588479" s="25"/>
    </row>
    <row r="588501" spans="21:21" x14ac:dyDescent="0.3">
      <c r="U588501" s="25"/>
    </row>
    <row r="588523" spans="21:21" x14ac:dyDescent="0.3">
      <c r="U588523" s="25"/>
    </row>
    <row r="588545" spans="21:21" x14ac:dyDescent="0.3">
      <c r="U588545" s="25"/>
    </row>
    <row r="588567" spans="21:21" x14ac:dyDescent="0.3">
      <c r="U588567" s="25"/>
    </row>
    <row r="588589" spans="21:21" x14ac:dyDescent="0.3">
      <c r="U588589" s="25"/>
    </row>
    <row r="588611" spans="21:21" x14ac:dyDescent="0.3">
      <c r="U588611" s="25"/>
    </row>
    <row r="588633" spans="21:21" x14ac:dyDescent="0.3">
      <c r="U588633" s="25"/>
    </row>
    <row r="588655" spans="21:21" x14ac:dyDescent="0.3">
      <c r="U588655" s="25"/>
    </row>
    <row r="588677" spans="21:21" x14ac:dyDescent="0.3">
      <c r="U588677" s="25"/>
    </row>
    <row r="588699" spans="21:21" x14ac:dyDescent="0.3">
      <c r="U588699" s="25"/>
    </row>
    <row r="588721" spans="21:21" x14ac:dyDescent="0.3">
      <c r="U588721" s="25"/>
    </row>
    <row r="588743" spans="21:21" x14ac:dyDescent="0.3">
      <c r="U588743" s="25"/>
    </row>
    <row r="588765" spans="21:21" x14ac:dyDescent="0.3">
      <c r="U588765" s="25"/>
    </row>
    <row r="588787" spans="21:21" x14ac:dyDescent="0.3">
      <c r="U588787" s="25"/>
    </row>
    <row r="588809" spans="21:21" x14ac:dyDescent="0.3">
      <c r="U588809" s="25"/>
    </row>
    <row r="588831" spans="21:21" x14ac:dyDescent="0.3">
      <c r="U588831" s="25"/>
    </row>
    <row r="588853" spans="21:21" x14ac:dyDescent="0.3">
      <c r="U588853" s="25"/>
    </row>
    <row r="588875" spans="21:21" x14ac:dyDescent="0.3">
      <c r="U588875" s="25"/>
    </row>
    <row r="588897" spans="21:21" x14ac:dyDescent="0.3">
      <c r="U588897" s="25"/>
    </row>
    <row r="588919" spans="21:21" x14ac:dyDescent="0.3">
      <c r="U588919" s="25"/>
    </row>
    <row r="588941" spans="21:21" x14ac:dyDescent="0.3">
      <c r="U588941" s="25"/>
    </row>
    <row r="588963" spans="21:21" x14ac:dyDescent="0.3">
      <c r="U588963" s="25"/>
    </row>
    <row r="588985" spans="21:21" x14ac:dyDescent="0.3">
      <c r="U588985" s="25"/>
    </row>
    <row r="589007" spans="21:21" x14ac:dyDescent="0.3">
      <c r="U589007" s="25"/>
    </row>
    <row r="589029" spans="21:21" x14ac:dyDescent="0.3">
      <c r="U589029" s="25"/>
    </row>
    <row r="589051" spans="21:21" x14ac:dyDescent="0.3">
      <c r="U589051" s="25"/>
    </row>
    <row r="589073" spans="21:21" x14ac:dyDescent="0.3">
      <c r="U589073" s="25"/>
    </row>
    <row r="589095" spans="21:21" x14ac:dyDescent="0.3">
      <c r="U589095" s="25"/>
    </row>
    <row r="589117" spans="21:21" x14ac:dyDescent="0.3">
      <c r="U589117" s="25"/>
    </row>
    <row r="589139" spans="21:21" x14ac:dyDescent="0.3">
      <c r="U589139" s="25"/>
    </row>
    <row r="589161" spans="21:21" x14ac:dyDescent="0.3">
      <c r="U589161" s="25"/>
    </row>
    <row r="589183" spans="21:21" x14ac:dyDescent="0.3">
      <c r="U589183" s="25"/>
    </row>
    <row r="589205" spans="21:21" x14ac:dyDescent="0.3">
      <c r="U589205" s="25"/>
    </row>
    <row r="589227" spans="21:21" x14ac:dyDescent="0.3">
      <c r="U589227" s="25"/>
    </row>
    <row r="589249" spans="21:21" x14ac:dyDescent="0.3">
      <c r="U589249" s="25"/>
    </row>
    <row r="589271" spans="21:21" x14ac:dyDescent="0.3">
      <c r="U589271" s="25"/>
    </row>
    <row r="589293" spans="21:21" x14ac:dyDescent="0.3">
      <c r="U589293" s="25"/>
    </row>
    <row r="589315" spans="21:21" x14ac:dyDescent="0.3">
      <c r="U589315" s="25"/>
    </row>
    <row r="589337" spans="21:21" x14ac:dyDescent="0.3">
      <c r="U589337" s="25"/>
    </row>
    <row r="589359" spans="21:21" x14ac:dyDescent="0.3">
      <c r="U589359" s="25"/>
    </row>
    <row r="589381" spans="21:21" x14ac:dyDescent="0.3">
      <c r="U589381" s="25"/>
    </row>
    <row r="589403" spans="21:21" x14ac:dyDescent="0.3">
      <c r="U589403" s="25"/>
    </row>
    <row r="589425" spans="21:21" x14ac:dyDescent="0.3">
      <c r="U589425" s="25"/>
    </row>
    <row r="589447" spans="21:21" x14ac:dyDescent="0.3">
      <c r="U589447" s="25"/>
    </row>
    <row r="589469" spans="21:21" x14ac:dyDescent="0.3">
      <c r="U589469" s="25"/>
    </row>
    <row r="589491" spans="21:21" x14ac:dyDescent="0.3">
      <c r="U589491" s="25"/>
    </row>
    <row r="589513" spans="21:21" x14ac:dyDescent="0.3">
      <c r="U589513" s="25"/>
    </row>
    <row r="589535" spans="21:21" x14ac:dyDescent="0.3">
      <c r="U589535" s="25"/>
    </row>
    <row r="589557" spans="21:21" x14ac:dyDescent="0.3">
      <c r="U589557" s="25"/>
    </row>
    <row r="589579" spans="21:21" x14ac:dyDescent="0.3">
      <c r="U589579" s="25"/>
    </row>
    <row r="589601" spans="21:21" x14ac:dyDescent="0.3">
      <c r="U589601" s="25"/>
    </row>
    <row r="589623" spans="21:21" x14ac:dyDescent="0.3">
      <c r="U589623" s="25"/>
    </row>
    <row r="589645" spans="21:21" x14ac:dyDescent="0.3">
      <c r="U589645" s="25"/>
    </row>
    <row r="589667" spans="21:21" x14ac:dyDescent="0.3">
      <c r="U589667" s="25"/>
    </row>
    <row r="589689" spans="21:21" x14ac:dyDescent="0.3">
      <c r="U589689" s="25"/>
    </row>
    <row r="589711" spans="21:21" x14ac:dyDescent="0.3">
      <c r="U589711" s="25"/>
    </row>
    <row r="589733" spans="21:21" x14ac:dyDescent="0.3">
      <c r="U589733" s="25"/>
    </row>
    <row r="589755" spans="21:21" x14ac:dyDescent="0.3">
      <c r="U589755" s="25"/>
    </row>
    <row r="589777" spans="21:21" x14ac:dyDescent="0.3">
      <c r="U589777" s="25"/>
    </row>
    <row r="589799" spans="21:21" x14ac:dyDescent="0.3">
      <c r="U589799" s="25"/>
    </row>
    <row r="589821" spans="21:21" x14ac:dyDescent="0.3">
      <c r="U589821" s="25"/>
    </row>
    <row r="589843" spans="21:21" x14ac:dyDescent="0.3">
      <c r="U589843" s="25"/>
    </row>
    <row r="589865" spans="21:21" x14ac:dyDescent="0.3">
      <c r="U589865" s="25"/>
    </row>
    <row r="589887" spans="21:21" x14ac:dyDescent="0.3">
      <c r="U589887" s="25"/>
    </row>
    <row r="589909" spans="21:21" x14ac:dyDescent="0.3">
      <c r="U589909" s="25"/>
    </row>
    <row r="589931" spans="21:21" x14ac:dyDescent="0.3">
      <c r="U589931" s="25"/>
    </row>
    <row r="589953" spans="21:21" x14ac:dyDescent="0.3">
      <c r="U589953" s="25"/>
    </row>
    <row r="589975" spans="21:21" x14ac:dyDescent="0.3">
      <c r="U589975" s="25"/>
    </row>
    <row r="589997" spans="21:21" x14ac:dyDescent="0.3">
      <c r="U589997" s="25"/>
    </row>
    <row r="590019" spans="21:21" x14ac:dyDescent="0.3">
      <c r="U590019" s="25"/>
    </row>
    <row r="590041" spans="21:21" x14ac:dyDescent="0.3">
      <c r="U590041" s="25"/>
    </row>
    <row r="590063" spans="21:21" x14ac:dyDescent="0.3">
      <c r="U590063" s="25"/>
    </row>
    <row r="590085" spans="21:21" x14ac:dyDescent="0.3">
      <c r="U590085" s="25"/>
    </row>
    <row r="590107" spans="21:21" x14ac:dyDescent="0.3">
      <c r="U590107" s="25"/>
    </row>
    <row r="590129" spans="21:21" x14ac:dyDescent="0.3">
      <c r="U590129" s="25"/>
    </row>
    <row r="590151" spans="21:21" x14ac:dyDescent="0.3">
      <c r="U590151" s="25"/>
    </row>
    <row r="590173" spans="21:21" x14ac:dyDescent="0.3">
      <c r="U590173" s="25"/>
    </row>
    <row r="590195" spans="21:21" x14ac:dyDescent="0.3">
      <c r="U590195" s="25"/>
    </row>
    <row r="590217" spans="21:21" x14ac:dyDescent="0.3">
      <c r="U590217" s="25"/>
    </row>
    <row r="590239" spans="21:21" x14ac:dyDescent="0.3">
      <c r="U590239" s="25"/>
    </row>
    <row r="590261" spans="21:21" x14ac:dyDescent="0.3">
      <c r="U590261" s="25"/>
    </row>
    <row r="590283" spans="21:21" x14ac:dyDescent="0.3">
      <c r="U590283" s="25"/>
    </row>
    <row r="590305" spans="21:21" x14ac:dyDescent="0.3">
      <c r="U590305" s="25"/>
    </row>
    <row r="590327" spans="21:21" x14ac:dyDescent="0.3">
      <c r="U590327" s="25"/>
    </row>
    <row r="590349" spans="21:21" x14ac:dyDescent="0.3">
      <c r="U590349" s="25"/>
    </row>
    <row r="590371" spans="21:21" x14ac:dyDescent="0.3">
      <c r="U590371" s="25"/>
    </row>
    <row r="590393" spans="21:21" x14ac:dyDescent="0.3">
      <c r="U590393" s="25"/>
    </row>
    <row r="590415" spans="21:21" x14ac:dyDescent="0.3">
      <c r="U590415" s="25"/>
    </row>
    <row r="590437" spans="21:21" x14ac:dyDescent="0.3">
      <c r="U590437" s="25"/>
    </row>
    <row r="590459" spans="21:21" x14ac:dyDescent="0.3">
      <c r="U590459" s="25"/>
    </row>
    <row r="590481" spans="21:21" x14ac:dyDescent="0.3">
      <c r="U590481" s="25"/>
    </row>
    <row r="590503" spans="21:21" x14ac:dyDescent="0.3">
      <c r="U590503" s="25"/>
    </row>
    <row r="590525" spans="21:21" x14ac:dyDescent="0.3">
      <c r="U590525" s="25"/>
    </row>
    <row r="590547" spans="21:21" x14ac:dyDescent="0.3">
      <c r="U590547" s="25"/>
    </row>
    <row r="590569" spans="21:21" x14ac:dyDescent="0.3">
      <c r="U590569" s="25"/>
    </row>
    <row r="590591" spans="21:21" x14ac:dyDescent="0.3">
      <c r="U590591" s="25"/>
    </row>
    <row r="590613" spans="21:21" x14ac:dyDescent="0.3">
      <c r="U590613" s="25"/>
    </row>
    <row r="590635" spans="21:21" x14ac:dyDescent="0.3">
      <c r="U590635" s="25"/>
    </row>
    <row r="590657" spans="21:21" x14ac:dyDescent="0.3">
      <c r="U590657" s="25"/>
    </row>
    <row r="590679" spans="21:21" x14ac:dyDescent="0.3">
      <c r="U590679" s="25"/>
    </row>
    <row r="590701" spans="21:21" x14ac:dyDescent="0.3">
      <c r="U590701" s="25"/>
    </row>
    <row r="590723" spans="21:21" x14ac:dyDescent="0.3">
      <c r="U590723" s="25"/>
    </row>
    <row r="590745" spans="21:21" x14ac:dyDescent="0.3">
      <c r="U590745" s="25"/>
    </row>
    <row r="590767" spans="21:21" x14ac:dyDescent="0.3">
      <c r="U590767" s="25"/>
    </row>
    <row r="590789" spans="21:21" x14ac:dyDescent="0.3">
      <c r="U590789" s="25"/>
    </row>
    <row r="590811" spans="21:21" x14ac:dyDescent="0.3">
      <c r="U590811" s="25"/>
    </row>
    <row r="590833" spans="21:21" x14ac:dyDescent="0.3">
      <c r="U590833" s="25"/>
    </row>
    <row r="590855" spans="21:21" x14ac:dyDescent="0.3">
      <c r="U590855" s="25"/>
    </row>
    <row r="590877" spans="21:21" x14ac:dyDescent="0.3">
      <c r="U590877" s="25"/>
    </row>
    <row r="590899" spans="21:21" x14ac:dyDescent="0.3">
      <c r="U590899" s="25"/>
    </row>
    <row r="590921" spans="21:21" x14ac:dyDescent="0.3">
      <c r="U590921" s="25"/>
    </row>
    <row r="590943" spans="21:21" x14ac:dyDescent="0.3">
      <c r="U590943" s="25"/>
    </row>
    <row r="590965" spans="21:21" x14ac:dyDescent="0.3">
      <c r="U590965" s="25"/>
    </row>
    <row r="590987" spans="21:21" x14ac:dyDescent="0.3">
      <c r="U590987" s="25"/>
    </row>
    <row r="591009" spans="21:21" x14ac:dyDescent="0.3">
      <c r="U591009" s="25"/>
    </row>
    <row r="591031" spans="21:21" x14ac:dyDescent="0.3">
      <c r="U591031" s="25"/>
    </row>
    <row r="591053" spans="21:21" x14ac:dyDescent="0.3">
      <c r="U591053" s="25"/>
    </row>
    <row r="591075" spans="21:21" x14ac:dyDescent="0.3">
      <c r="U591075" s="25"/>
    </row>
    <row r="591097" spans="21:21" x14ac:dyDescent="0.3">
      <c r="U591097" s="25"/>
    </row>
    <row r="591119" spans="21:21" x14ac:dyDescent="0.3">
      <c r="U591119" s="25"/>
    </row>
    <row r="591141" spans="21:21" x14ac:dyDescent="0.3">
      <c r="U591141" s="25"/>
    </row>
    <row r="591163" spans="21:21" x14ac:dyDescent="0.3">
      <c r="U591163" s="25"/>
    </row>
    <row r="591185" spans="21:21" x14ac:dyDescent="0.3">
      <c r="U591185" s="25"/>
    </row>
    <row r="591207" spans="21:21" x14ac:dyDescent="0.3">
      <c r="U591207" s="25"/>
    </row>
    <row r="591229" spans="21:21" x14ac:dyDescent="0.3">
      <c r="U591229" s="25"/>
    </row>
    <row r="591251" spans="21:21" x14ac:dyDescent="0.3">
      <c r="U591251" s="25"/>
    </row>
    <row r="591273" spans="21:21" x14ac:dyDescent="0.3">
      <c r="U591273" s="25"/>
    </row>
    <row r="591295" spans="21:21" x14ac:dyDescent="0.3">
      <c r="U591295" s="25"/>
    </row>
    <row r="591317" spans="21:21" x14ac:dyDescent="0.3">
      <c r="U591317" s="25"/>
    </row>
    <row r="591339" spans="21:21" x14ac:dyDescent="0.3">
      <c r="U591339" s="25"/>
    </row>
    <row r="591361" spans="21:21" x14ac:dyDescent="0.3">
      <c r="U591361" s="25"/>
    </row>
    <row r="591383" spans="21:21" x14ac:dyDescent="0.3">
      <c r="U591383" s="25"/>
    </row>
    <row r="591405" spans="21:21" x14ac:dyDescent="0.3">
      <c r="U591405" s="25"/>
    </row>
    <row r="591427" spans="21:21" x14ac:dyDescent="0.3">
      <c r="U591427" s="25"/>
    </row>
    <row r="591449" spans="21:21" x14ac:dyDescent="0.3">
      <c r="U591449" s="25"/>
    </row>
    <row r="591471" spans="21:21" x14ac:dyDescent="0.3">
      <c r="U591471" s="25"/>
    </row>
    <row r="591493" spans="21:21" x14ac:dyDescent="0.3">
      <c r="U591493" s="25"/>
    </row>
    <row r="591515" spans="21:21" x14ac:dyDescent="0.3">
      <c r="U591515" s="25"/>
    </row>
    <row r="591537" spans="21:21" x14ac:dyDescent="0.3">
      <c r="U591537" s="25"/>
    </row>
    <row r="591559" spans="21:21" x14ac:dyDescent="0.3">
      <c r="U591559" s="25"/>
    </row>
    <row r="591581" spans="21:21" x14ac:dyDescent="0.3">
      <c r="U591581" s="25"/>
    </row>
    <row r="591603" spans="21:21" x14ac:dyDescent="0.3">
      <c r="U591603" s="25"/>
    </row>
    <row r="591625" spans="21:21" x14ac:dyDescent="0.3">
      <c r="U591625" s="25"/>
    </row>
    <row r="591647" spans="21:21" x14ac:dyDescent="0.3">
      <c r="U591647" s="25"/>
    </row>
    <row r="591669" spans="21:21" x14ac:dyDescent="0.3">
      <c r="U591669" s="25"/>
    </row>
    <row r="591691" spans="21:21" x14ac:dyDescent="0.3">
      <c r="U591691" s="25"/>
    </row>
    <row r="591713" spans="21:21" x14ac:dyDescent="0.3">
      <c r="U591713" s="25"/>
    </row>
    <row r="591735" spans="21:21" x14ac:dyDescent="0.3">
      <c r="U591735" s="25"/>
    </row>
    <row r="591757" spans="21:21" x14ac:dyDescent="0.3">
      <c r="U591757" s="25"/>
    </row>
    <row r="591779" spans="21:21" x14ac:dyDescent="0.3">
      <c r="U591779" s="25"/>
    </row>
    <row r="591801" spans="21:21" x14ac:dyDescent="0.3">
      <c r="U591801" s="25"/>
    </row>
    <row r="591823" spans="21:21" x14ac:dyDescent="0.3">
      <c r="U591823" s="25"/>
    </row>
    <row r="591845" spans="21:21" x14ac:dyDescent="0.3">
      <c r="U591845" s="25"/>
    </row>
    <row r="591867" spans="21:21" x14ac:dyDescent="0.3">
      <c r="U591867" s="25"/>
    </row>
    <row r="591889" spans="21:21" x14ac:dyDescent="0.3">
      <c r="U591889" s="25"/>
    </row>
    <row r="591911" spans="21:21" x14ac:dyDescent="0.3">
      <c r="U591911" s="25"/>
    </row>
    <row r="591933" spans="21:21" x14ac:dyDescent="0.3">
      <c r="U591933" s="25"/>
    </row>
    <row r="591955" spans="21:21" x14ac:dyDescent="0.3">
      <c r="U591955" s="25"/>
    </row>
    <row r="591977" spans="21:21" x14ac:dyDescent="0.3">
      <c r="U591977" s="25"/>
    </row>
    <row r="591999" spans="21:21" x14ac:dyDescent="0.3">
      <c r="U591999" s="25"/>
    </row>
    <row r="592021" spans="21:21" x14ac:dyDescent="0.3">
      <c r="U592021" s="25"/>
    </row>
    <row r="592043" spans="21:21" x14ac:dyDescent="0.3">
      <c r="U592043" s="25"/>
    </row>
    <row r="592065" spans="21:21" x14ac:dyDescent="0.3">
      <c r="U592065" s="25"/>
    </row>
    <row r="592087" spans="21:21" x14ac:dyDescent="0.3">
      <c r="U592087" s="25"/>
    </row>
    <row r="592109" spans="21:21" x14ac:dyDescent="0.3">
      <c r="U592109" s="25"/>
    </row>
    <row r="592131" spans="21:21" x14ac:dyDescent="0.3">
      <c r="U592131" s="25"/>
    </row>
    <row r="592153" spans="21:21" x14ac:dyDescent="0.3">
      <c r="U592153" s="25"/>
    </row>
    <row r="592175" spans="21:21" x14ac:dyDescent="0.3">
      <c r="U592175" s="25"/>
    </row>
    <row r="592197" spans="21:21" x14ac:dyDescent="0.3">
      <c r="U592197" s="25"/>
    </row>
    <row r="592219" spans="21:21" x14ac:dyDescent="0.3">
      <c r="U592219" s="25"/>
    </row>
    <row r="592241" spans="21:21" x14ac:dyDescent="0.3">
      <c r="U592241" s="25"/>
    </row>
    <row r="592263" spans="21:21" x14ac:dyDescent="0.3">
      <c r="U592263" s="25"/>
    </row>
    <row r="592285" spans="21:21" x14ac:dyDescent="0.3">
      <c r="U592285" s="25"/>
    </row>
    <row r="592307" spans="21:21" x14ac:dyDescent="0.3">
      <c r="U592307" s="25"/>
    </row>
    <row r="592329" spans="21:21" x14ac:dyDescent="0.3">
      <c r="U592329" s="25"/>
    </row>
    <row r="592351" spans="21:21" x14ac:dyDescent="0.3">
      <c r="U592351" s="25"/>
    </row>
    <row r="592373" spans="21:21" x14ac:dyDescent="0.3">
      <c r="U592373" s="25"/>
    </row>
    <row r="592395" spans="21:21" x14ac:dyDescent="0.3">
      <c r="U592395" s="25"/>
    </row>
    <row r="592417" spans="21:21" x14ac:dyDescent="0.3">
      <c r="U592417" s="25"/>
    </row>
    <row r="592439" spans="21:21" x14ac:dyDescent="0.3">
      <c r="U592439" s="25"/>
    </row>
    <row r="592461" spans="21:21" x14ac:dyDescent="0.3">
      <c r="U592461" s="25"/>
    </row>
    <row r="592483" spans="21:21" x14ac:dyDescent="0.3">
      <c r="U592483" s="25"/>
    </row>
    <row r="592505" spans="21:21" x14ac:dyDescent="0.3">
      <c r="U592505" s="25"/>
    </row>
    <row r="592527" spans="21:21" x14ac:dyDescent="0.3">
      <c r="U592527" s="25"/>
    </row>
    <row r="592549" spans="21:21" x14ac:dyDescent="0.3">
      <c r="U592549" s="25"/>
    </row>
    <row r="592571" spans="21:21" x14ac:dyDescent="0.3">
      <c r="U592571" s="25"/>
    </row>
    <row r="592593" spans="21:21" x14ac:dyDescent="0.3">
      <c r="U592593" s="25"/>
    </row>
    <row r="592615" spans="21:21" x14ac:dyDescent="0.3">
      <c r="U592615" s="25"/>
    </row>
    <row r="592637" spans="21:21" x14ac:dyDescent="0.3">
      <c r="U592637" s="25"/>
    </row>
    <row r="592659" spans="21:21" x14ac:dyDescent="0.3">
      <c r="U592659" s="25"/>
    </row>
    <row r="592681" spans="21:21" x14ac:dyDescent="0.3">
      <c r="U592681" s="25"/>
    </row>
    <row r="592703" spans="21:21" x14ac:dyDescent="0.3">
      <c r="U592703" s="25"/>
    </row>
    <row r="592725" spans="21:21" x14ac:dyDescent="0.3">
      <c r="U592725" s="25"/>
    </row>
    <row r="592747" spans="21:21" x14ac:dyDescent="0.3">
      <c r="U592747" s="25"/>
    </row>
    <row r="592769" spans="21:21" x14ac:dyDescent="0.3">
      <c r="U592769" s="25"/>
    </row>
    <row r="592791" spans="21:21" x14ac:dyDescent="0.3">
      <c r="U592791" s="25"/>
    </row>
    <row r="592813" spans="21:21" x14ac:dyDescent="0.3">
      <c r="U592813" s="25"/>
    </row>
    <row r="592835" spans="21:21" x14ac:dyDescent="0.3">
      <c r="U592835" s="25"/>
    </row>
    <row r="592857" spans="21:21" x14ac:dyDescent="0.3">
      <c r="U592857" s="25"/>
    </row>
    <row r="592879" spans="21:21" x14ac:dyDescent="0.3">
      <c r="U592879" s="25"/>
    </row>
    <row r="592901" spans="21:21" x14ac:dyDescent="0.3">
      <c r="U592901" s="25"/>
    </row>
    <row r="592923" spans="21:21" x14ac:dyDescent="0.3">
      <c r="U592923" s="25"/>
    </row>
    <row r="592945" spans="21:21" x14ac:dyDescent="0.3">
      <c r="U592945" s="25"/>
    </row>
    <row r="592967" spans="21:21" x14ac:dyDescent="0.3">
      <c r="U592967" s="25"/>
    </row>
    <row r="592989" spans="21:21" x14ac:dyDescent="0.3">
      <c r="U592989" s="25"/>
    </row>
    <row r="593011" spans="21:21" x14ac:dyDescent="0.3">
      <c r="U593011" s="25"/>
    </row>
    <row r="593033" spans="21:21" x14ac:dyDescent="0.3">
      <c r="U593033" s="25"/>
    </row>
    <row r="593055" spans="21:21" x14ac:dyDescent="0.3">
      <c r="U593055" s="25"/>
    </row>
    <row r="593077" spans="21:21" x14ac:dyDescent="0.3">
      <c r="U593077" s="25"/>
    </row>
    <row r="593099" spans="21:21" x14ac:dyDescent="0.3">
      <c r="U593099" s="25"/>
    </row>
    <row r="593121" spans="21:21" x14ac:dyDescent="0.3">
      <c r="U593121" s="25"/>
    </row>
    <row r="593143" spans="21:21" x14ac:dyDescent="0.3">
      <c r="U593143" s="25"/>
    </row>
    <row r="593165" spans="21:21" x14ac:dyDescent="0.3">
      <c r="U593165" s="25"/>
    </row>
    <row r="593187" spans="21:21" x14ac:dyDescent="0.3">
      <c r="U593187" s="25"/>
    </row>
    <row r="593209" spans="21:21" x14ac:dyDescent="0.3">
      <c r="U593209" s="25"/>
    </row>
    <row r="593231" spans="21:21" x14ac:dyDescent="0.3">
      <c r="U593231" s="25"/>
    </row>
    <row r="593253" spans="21:21" x14ac:dyDescent="0.3">
      <c r="U593253" s="25"/>
    </row>
    <row r="593275" spans="21:21" x14ac:dyDescent="0.3">
      <c r="U593275" s="25"/>
    </row>
    <row r="593297" spans="21:21" x14ac:dyDescent="0.3">
      <c r="U593297" s="25"/>
    </row>
    <row r="593319" spans="21:21" x14ac:dyDescent="0.3">
      <c r="U593319" s="25"/>
    </row>
    <row r="593341" spans="21:21" x14ac:dyDescent="0.3">
      <c r="U593341" s="25"/>
    </row>
    <row r="593363" spans="21:21" x14ac:dyDescent="0.3">
      <c r="U593363" s="25"/>
    </row>
    <row r="593385" spans="21:21" x14ac:dyDescent="0.3">
      <c r="U593385" s="25"/>
    </row>
    <row r="593407" spans="21:21" x14ac:dyDescent="0.3">
      <c r="U593407" s="25"/>
    </row>
    <row r="593429" spans="21:21" x14ac:dyDescent="0.3">
      <c r="U593429" s="25"/>
    </row>
    <row r="593451" spans="21:21" x14ac:dyDescent="0.3">
      <c r="U593451" s="25"/>
    </row>
    <row r="593473" spans="21:21" x14ac:dyDescent="0.3">
      <c r="U593473" s="25"/>
    </row>
    <row r="593495" spans="21:21" x14ac:dyDescent="0.3">
      <c r="U593495" s="25"/>
    </row>
    <row r="593517" spans="21:21" x14ac:dyDescent="0.3">
      <c r="U593517" s="25"/>
    </row>
    <row r="593539" spans="21:21" x14ac:dyDescent="0.3">
      <c r="U593539" s="25"/>
    </row>
    <row r="593561" spans="21:21" x14ac:dyDescent="0.3">
      <c r="U593561" s="25"/>
    </row>
    <row r="593583" spans="21:21" x14ac:dyDescent="0.3">
      <c r="U593583" s="25"/>
    </row>
    <row r="593605" spans="21:21" x14ac:dyDescent="0.3">
      <c r="U593605" s="25"/>
    </row>
    <row r="593627" spans="21:21" x14ac:dyDescent="0.3">
      <c r="U593627" s="25"/>
    </row>
    <row r="593649" spans="21:21" x14ac:dyDescent="0.3">
      <c r="U593649" s="25"/>
    </row>
    <row r="593671" spans="21:21" x14ac:dyDescent="0.3">
      <c r="U593671" s="25"/>
    </row>
    <row r="593693" spans="21:21" x14ac:dyDescent="0.3">
      <c r="U593693" s="25"/>
    </row>
    <row r="593715" spans="21:21" x14ac:dyDescent="0.3">
      <c r="U593715" s="25"/>
    </row>
    <row r="593737" spans="21:21" x14ac:dyDescent="0.3">
      <c r="U593737" s="25"/>
    </row>
    <row r="593759" spans="21:21" x14ac:dyDescent="0.3">
      <c r="U593759" s="25"/>
    </row>
    <row r="593781" spans="21:21" x14ac:dyDescent="0.3">
      <c r="U593781" s="25"/>
    </row>
    <row r="593803" spans="21:21" x14ac:dyDescent="0.3">
      <c r="U593803" s="25"/>
    </row>
    <row r="593825" spans="21:21" x14ac:dyDescent="0.3">
      <c r="U593825" s="25"/>
    </row>
    <row r="593847" spans="21:21" x14ac:dyDescent="0.3">
      <c r="U593847" s="25"/>
    </row>
    <row r="593869" spans="21:21" x14ac:dyDescent="0.3">
      <c r="U593869" s="25"/>
    </row>
    <row r="593891" spans="21:21" x14ac:dyDescent="0.3">
      <c r="U593891" s="25"/>
    </row>
    <row r="593913" spans="21:21" x14ac:dyDescent="0.3">
      <c r="U593913" s="25"/>
    </row>
    <row r="593935" spans="21:21" x14ac:dyDescent="0.3">
      <c r="U593935" s="25"/>
    </row>
    <row r="593957" spans="21:21" x14ac:dyDescent="0.3">
      <c r="U593957" s="25"/>
    </row>
    <row r="593979" spans="21:21" x14ac:dyDescent="0.3">
      <c r="U593979" s="25"/>
    </row>
    <row r="594001" spans="21:21" x14ac:dyDescent="0.3">
      <c r="U594001" s="25"/>
    </row>
    <row r="594023" spans="21:21" x14ac:dyDescent="0.3">
      <c r="U594023" s="25"/>
    </row>
    <row r="594045" spans="21:21" x14ac:dyDescent="0.3">
      <c r="U594045" s="25"/>
    </row>
    <row r="594067" spans="21:21" x14ac:dyDescent="0.3">
      <c r="U594067" s="25"/>
    </row>
    <row r="594089" spans="21:21" x14ac:dyDescent="0.3">
      <c r="U594089" s="25"/>
    </row>
    <row r="594111" spans="21:21" x14ac:dyDescent="0.3">
      <c r="U594111" s="25"/>
    </row>
    <row r="594133" spans="21:21" x14ac:dyDescent="0.3">
      <c r="U594133" s="25"/>
    </row>
    <row r="594155" spans="21:21" x14ac:dyDescent="0.3">
      <c r="U594155" s="25"/>
    </row>
    <row r="594177" spans="21:21" x14ac:dyDescent="0.3">
      <c r="U594177" s="25"/>
    </row>
    <row r="594199" spans="21:21" x14ac:dyDescent="0.3">
      <c r="U594199" s="25"/>
    </row>
    <row r="594221" spans="21:21" x14ac:dyDescent="0.3">
      <c r="U594221" s="25"/>
    </row>
    <row r="594243" spans="21:21" x14ac:dyDescent="0.3">
      <c r="U594243" s="25"/>
    </row>
    <row r="594265" spans="21:21" x14ac:dyDescent="0.3">
      <c r="U594265" s="25"/>
    </row>
    <row r="594287" spans="21:21" x14ac:dyDescent="0.3">
      <c r="U594287" s="25"/>
    </row>
    <row r="594309" spans="21:21" x14ac:dyDescent="0.3">
      <c r="U594309" s="25"/>
    </row>
    <row r="594331" spans="21:21" x14ac:dyDescent="0.3">
      <c r="U594331" s="25"/>
    </row>
    <row r="594353" spans="21:21" x14ac:dyDescent="0.3">
      <c r="U594353" s="25"/>
    </row>
    <row r="594375" spans="21:21" x14ac:dyDescent="0.3">
      <c r="U594375" s="25"/>
    </row>
    <row r="594397" spans="21:21" x14ac:dyDescent="0.3">
      <c r="U594397" s="25"/>
    </row>
    <row r="594419" spans="21:21" x14ac:dyDescent="0.3">
      <c r="U594419" s="25"/>
    </row>
    <row r="594441" spans="21:21" x14ac:dyDescent="0.3">
      <c r="U594441" s="25"/>
    </row>
    <row r="594463" spans="21:21" x14ac:dyDescent="0.3">
      <c r="U594463" s="25"/>
    </row>
    <row r="594485" spans="21:21" x14ac:dyDescent="0.3">
      <c r="U594485" s="25"/>
    </row>
    <row r="594507" spans="21:21" x14ac:dyDescent="0.3">
      <c r="U594507" s="25"/>
    </row>
    <row r="594529" spans="21:21" x14ac:dyDescent="0.3">
      <c r="U594529" s="25"/>
    </row>
    <row r="594551" spans="21:21" x14ac:dyDescent="0.3">
      <c r="U594551" s="25"/>
    </row>
    <row r="594573" spans="21:21" x14ac:dyDescent="0.3">
      <c r="U594573" s="25"/>
    </row>
    <row r="594595" spans="21:21" x14ac:dyDescent="0.3">
      <c r="U594595" s="25"/>
    </row>
    <row r="594617" spans="21:21" x14ac:dyDescent="0.3">
      <c r="U594617" s="25"/>
    </row>
    <row r="594639" spans="21:21" x14ac:dyDescent="0.3">
      <c r="U594639" s="25"/>
    </row>
    <row r="594661" spans="21:21" x14ac:dyDescent="0.3">
      <c r="U594661" s="25"/>
    </row>
    <row r="594683" spans="21:21" x14ac:dyDescent="0.3">
      <c r="U594683" s="25"/>
    </row>
    <row r="594705" spans="21:21" x14ac:dyDescent="0.3">
      <c r="U594705" s="25"/>
    </row>
    <row r="594727" spans="21:21" x14ac:dyDescent="0.3">
      <c r="U594727" s="25"/>
    </row>
    <row r="594749" spans="21:21" x14ac:dyDescent="0.3">
      <c r="U594749" s="25"/>
    </row>
    <row r="594771" spans="21:21" x14ac:dyDescent="0.3">
      <c r="U594771" s="25"/>
    </row>
    <row r="594793" spans="21:21" x14ac:dyDescent="0.3">
      <c r="U594793" s="25"/>
    </row>
    <row r="594815" spans="21:21" x14ac:dyDescent="0.3">
      <c r="U594815" s="25"/>
    </row>
    <row r="594837" spans="21:21" x14ac:dyDescent="0.3">
      <c r="U594837" s="25"/>
    </row>
    <row r="594859" spans="21:21" x14ac:dyDescent="0.3">
      <c r="U594859" s="25"/>
    </row>
    <row r="594881" spans="21:21" x14ac:dyDescent="0.3">
      <c r="U594881" s="25"/>
    </row>
    <row r="594903" spans="21:21" x14ac:dyDescent="0.3">
      <c r="U594903" s="25"/>
    </row>
    <row r="594925" spans="21:21" x14ac:dyDescent="0.3">
      <c r="U594925" s="25"/>
    </row>
    <row r="594947" spans="21:21" x14ac:dyDescent="0.3">
      <c r="U594947" s="25"/>
    </row>
    <row r="594969" spans="21:21" x14ac:dyDescent="0.3">
      <c r="U594969" s="25"/>
    </row>
    <row r="594991" spans="21:21" x14ac:dyDescent="0.3">
      <c r="U594991" s="25"/>
    </row>
    <row r="595013" spans="21:21" x14ac:dyDescent="0.3">
      <c r="U595013" s="25"/>
    </row>
    <row r="595035" spans="21:21" x14ac:dyDescent="0.3">
      <c r="U595035" s="25"/>
    </row>
    <row r="595057" spans="21:21" x14ac:dyDescent="0.3">
      <c r="U595057" s="25"/>
    </row>
    <row r="595079" spans="21:21" x14ac:dyDescent="0.3">
      <c r="U595079" s="25"/>
    </row>
    <row r="595101" spans="21:21" x14ac:dyDescent="0.3">
      <c r="U595101" s="25"/>
    </row>
    <row r="595123" spans="21:21" x14ac:dyDescent="0.3">
      <c r="U595123" s="25"/>
    </row>
    <row r="595145" spans="21:21" x14ac:dyDescent="0.3">
      <c r="U595145" s="25"/>
    </row>
    <row r="595167" spans="21:21" x14ac:dyDescent="0.3">
      <c r="U595167" s="25"/>
    </row>
    <row r="595189" spans="21:21" x14ac:dyDescent="0.3">
      <c r="U595189" s="25"/>
    </row>
    <row r="595211" spans="21:21" x14ac:dyDescent="0.3">
      <c r="U595211" s="25"/>
    </row>
    <row r="595233" spans="21:21" x14ac:dyDescent="0.3">
      <c r="U595233" s="25"/>
    </row>
    <row r="595255" spans="21:21" x14ac:dyDescent="0.3">
      <c r="U595255" s="25"/>
    </row>
    <row r="595277" spans="21:21" x14ac:dyDescent="0.3">
      <c r="U595277" s="25"/>
    </row>
    <row r="595299" spans="21:21" x14ac:dyDescent="0.3">
      <c r="U595299" s="25"/>
    </row>
    <row r="595321" spans="21:21" x14ac:dyDescent="0.3">
      <c r="U595321" s="25"/>
    </row>
    <row r="595343" spans="21:21" x14ac:dyDescent="0.3">
      <c r="U595343" s="25"/>
    </row>
    <row r="595365" spans="21:21" x14ac:dyDescent="0.3">
      <c r="U595365" s="25"/>
    </row>
    <row r="595387" spans="21:21" x14ac:dyDescent="0.3">
      <c r="U595387" s="25"/>
    </row>
    <row r="595409" spans="21:21" x14ac:dyDescent="0.3">
      <c r="U595409" s="25"/>
    </row>
    <row r="595431" spans="21:21" x14ac:dyDescent="0.3">
      <c r="U595431" s="25"/>
    </row>
    <row r="595453" spans="21:21" x14ac:dyDescent="0.3">
      <c r="U595453" s="25"/>
    </row>
    <row r="595475" spans="21:21" x14ac:dyDescent="0.3">
      <c r="U595475" s="25"/>
    </row>
    <row r="595497" spans="21:21" x14ac:dyDescent="0.3">
      <c r="U595497" s="25"/>
    </row>
    <row r="595519" spans="21:21" x14ac:dyDescent="0.3">
      <c r="U595519" s="25"/>
    </row>
    <row r="595541" spans="21:21" x14ac:dyDescent="0.3">
      <c r="U595541" s="25"/>
    </row>
    <row r="595563" spans="21:21" x14ac:dyDescent="0.3">
      <c r="U595563" s="25"/>
    </row>
    <row r="595585" spans="21:21" x14ac:dyDescent="0.3">
      <c r="U595585" s="25"/>
    </row>
    <row r="595607" spans="21:21" x14ac:dyDescent="0.3">
      <c r="U595607" s="25"/>
    </row>
    <row r="595629" spans="21:21" x14ac:dyDescent="0.3">
      <c r="U595629" s="25"/>
    </row>
    <row r="595651" spans="21:21" x14ac:dyDescent="0.3">
      <c r="U595651" s="25"/>
    </row>
    <row r="595673" spans="21:21" x14ac:dyDescent="0.3">
      <c r="U595673" s="25"/>
    </row>
    <row r="595695" spans="21:21" x14ac:dyDescent="0.3">
      <c r="U595695" s="25"/>
    </row>
    <row r="595717" spans="21:21" x14ac:dyDescent="0.3">
      <c r="U595717" s="25"/>
    </row>
    <row r="595739" spans="21:21" x14ac:dyDescent="0.3">
      <c r="U595739" s="25"/>
    </row>
    <row r="595761" spans="21:21" x14ac:dyDescent="0.3">
      <c r="U595761" s="25"/>
    </row>
    <row r="595783" spans="21:21" x14ac:dyDescent="0.3">
      <c r="U595783" s="25"/>
    </row>
    <row r="595805" spans="21:21" x14ac:dyDescent="0.3">
      <c r="U595805" s="25"/>
    </row>
    <row r="595827" spans="21:21" x14ac:dyDescent="0.3">
      <c r="U595827" s="25"/>
    </row>
    <row r="595849" spans="21:21" x14ac:dyDescent="0.3">
      <c r="U595849" s="25"/>
    </row>
    <row r="595871" spans="21:21" x14ac:dyDescent="0.3">
      <c r="U595871" s="25"/>
    </row>
    <row r="595893" spans="21:21" x14ac:dyDescent="0.3">
      <c r="U595893" s="25"/>
    </row>
    <row r="595915" spans="21:21" x14ac:dyDescent="0.3">
      <c r="U595915" s="25"/>
    </row>
    <row r="595937" spans="21:21" x14ac:dyDescent="0.3">
      <c r="U595937" s="25"/>
    </row>
    <row r="595959" spans="21:21" x14ac:dyDescent="0.3">
      <c r="U595959" s="25"/>
    </row>
    <row r="595981" spans="21:21" x14ac:dyDescent="0.3">
      <c r="U595981" s="25"/>
    </row>
    <row r="596003" spans="21:21" x14ac:dyDescent="0.3">
      <c r="U596003" s="25"/>
    </row>
    <row r="596025" spans="21:21" x14ac:dyDescent="0.3">
      <c r="U596025" s="25"/>
    </row>
    <row r="596047" spans="21:21" x14ac:dyDescent="0.3">
      <c r="U596047" s="25"/>
    </row>
    <row r="596069" spans="21:21" x14ac:dyDescent="0.3">
      <c r="U596069" s="25"/>
    </row>
    <row r="596091" spans="21:21" x14ac:dyDescent="0.3">
      <c r="U596091" s="25"/>
    </row>
    <row r="596113" spans="21:21" x14ac:dyDescent="0.3">
      <c r="U596113" s="25"/>
    </row>
    <row r="596135" spans="21:21" x14ac:dyDescent="0.3">
      <c r="U596135" s="25"/>
    </row>
    <row r="596157" spans="21:21" x14ac:dyDescent="0.3">
      <c r="U596157" s="25"/>
    </row>
    <row r="596179" spans="21:21" x14ac:dyDescent="0.3">
      <c r="U596179" s="25"/>
    </row>
    <row r="596201" spans="21:21" x14ac:dyDescent="0.3">
      <c r="U596201" s="25"/>
    </row>
    <row r="596223" spans="21:21" x14ac:dyDescent="0.3">
      <c r="U596223" s="25"/>
    </row>
    <row r="596245" spans="21:21" x14ac:dyDescent="0.3">
      <c r="U596245" s="25"/>
    </row>
    <row r="596267" spans="21:21" x14ac:dyDescent="0.3">
      <c r="U596267" s="25"/>
    </row>
    <row r="596289" spans="21:21" x14ac:dyDescent="0.3">
      <c r="U596289" s="25"/>
    </row>
    <row r="596311" spans="21:21" x14ac:dyDescent="0.3">
      <c r="U596311" s="25"/>
    </row>
    <row r="596333" spans="21:21" x14ac:dyDescent="0.3">
      <c r="U596333" s="25"/>
    </row>
    <row r="596355" spans="21:21" x14ac:dyDescent="0.3">
      <c r="U596355" s="25"/>
    </row>
    <row r="596377" spans="21:21" x14ac:dyDescent="0.3">
      <c r="U596377" s="25"/>
    </row>
    <row r="596399" spans="21:21" x14ac:dyDescent="0.3">
      <c r="U596399" s="25"/>
    </row>
    <row r="596421" spans="21:21" x14ac:dyDescent="0.3">
      <c r="U596421" s="25"/>
    </row>
    <row r="596443" spans="21:21" x14ac:dyDescent="0.3">
      <c r="U596443" s="25"/>
    </row>
    <row r="596465" spans="21:21" x14ac:dyDescent="0.3">
      <c r="U596465" s="25"/>
    </row>
    <row r="596487" spans="21:21" x14ac:dyDescent="0.3">
      <c r="U596487" s="25"/>
    </row>
    <row r="596509" spans="21:21" x14ac:dyDescent="0.3">
      <c r="U596509" s="25"/>
    </row>
    <row r="596531" spans="21:21" x14ac:dyDescent="0.3">
      <c r="U596531" s="25"/>
    </row>
    <row r="596553" spans="21:21" x14ac:dyDescent="0.3">
      <c r="U596553" s="25"/>
    </row>
    <row r="596575" spans="21:21" x14ac:dyDescent="0.3">
      <c r="U596575" s="25"/>
    </row>
    <row r="596597" spans="21:21" x14ac:dyDescent="0.3">
      <c r="U596597" s="25"/>
    </row>
    <row r="596619" spans="21:21" x14ac:dyDescent="0.3">
      <c r="U596619" s="25"/>
    </row>
    <row r="596641" spans="21:21" x14ac:dyDescent="0.3">
      <c r="U596641" s="25"/>
    </row>
    <row r="596663" spans="21:21" x14ac:dyDescent="0.3">
      <c r="U596663" s="25"/>
    </row>
    <row r="596685" spans="21:21" x14ac:dyDescent="0.3">
      <c r="U596685" s="25"/>
    </row>
    <row r="596707" spans="21:21" x14ac:dyDescent="0.3">
      <c r="U596707" s="25"/>
    </row>
    <row r="596729" spans="21:21" x14ac:dyDescent="0.3">
      <c r="U596729" s="25"/>
    </row>
    <row r="596751" spans="21:21" x14ac:dyDescent="0.3">
      <c r="U596751" s="25"/>
    </row>
    <row r="596773" spans="21:21" x14ac:dyDescent="0.3">
      <c r="U596773" s="25"/>
    </row>
    <row r="596795" spans="21:21" x14ac:dyDescent="0.3">
      <c r="U596795" s="25"/>
    </row>
    <row r="596817" spans="21:21" x14ac:dyDescent="0.3">
      <c r="U596817" s="25"/>
    </row>
    <row r="596839" spans="21:21" x14ac:dyDescent="0.3">
      <c r="U596839" s="25"/>
    </row>
    <row r="596861" spans="21:21" x14ac:dyDescent="0.3">
      <c r="U596861" s="25"/>
    </row>
    <row r="596883" spans="21:21" x14ac:dyDescent="0.3">
      <c r="U596883" s="25"/>
    </row>
    <row r="596905" spans="21:21" x14ac:dyDescent="0.3">
      <c r="U596905" s="25"/>
    </row>
    <row r="596927" spans="21:21" x14ac:dyDescent="0.3">
      <c r="U596927" s="25"/>
    </row>
    <row r="596949" spans="21:21" x14ac:dyDescent="0.3">
      <c r="U596949" s="25"/>
    </row>
    <row r="596971" spans="21:21" x14ac:dyDescent="0.3">
      <c r="U596971" s="25"/>
    </row>
    <row r="596993" spans="21:21" x14ac:dyDescent="0.3">
      <c r="U596993" s="25"/>
    </row>
    <row r="597015" spans="21:21" x14ac:dyDescent="0.3">
      <c r="U597015" s="25"/>
    </row>
    <row r="597037" spans="21:21" x14ac:dyDescent="0.3">
      <c r="U597037" s="25"/>
    </row>
    <row r="597059" spans="21:21" x14ac:dyDescent="0.3">
      <c r="U597059" s="25"/>
    </row>
    <row r="597081" spans="21:21" x14ac:dyDescent="0.3">
      <c r="U597081" s="25"/>
    </row>
    <row r="597103" spans="21:21" x14ac:dyDescent="0.3">
      <c r="U597103" s="25"/>
    </row>
    <row r="597125" spans="21:21" x14ac:dyDescent="0.3">
      <c r="U597125" s="25"/>
    </row>
    <row r="597147" spans="21:21" x14ac:dyDescent="0.3">
      <c r="U597147" s="25"/>
    </row>
    <row r="597169" spans="21:21" x14ac:dyDescent="0.3">
      <c r="U597169" s="25"/>
    </row>
    <row r="597191" spans="21:21" x14ac:dyDescent="0.3">
      <c r="U597191" s="25"/>
    </row>
    <row r="597213" spans="21:21" x14ac:dyDescent="0.3">
      <c r="U597213" s="25"/>
    </row>
    <row r="597235" spans="21:21" x14ac:dyDescent="0.3">
      <c r="U597235" s="25"/>
    </row>
    <row r="597257" spans="21:21" x14ac:dyDescent="0.3">
      <c r="U597257" s="25"/>
    </row>
    <row r="597279" spans="21:21" x14ac:dyDescent="0.3">
      <c r="U597279" s="25"/>
    </row>
    <row r="597301" spans="21:21" x14ac:dyDescent="0.3">
      <c r="U597301" s="25"/>
    </row>
    <row r="597323" spans="21:21" x14ac:dyDescent="0.3">
      <c r="U597323" s="25"/>
    </row>
    <row r="597345" spans="21:21" x14ac:dyDescent="0.3">
      <c r="U597345" s="25"/>
    </row>
    <row r="597367" spans="21:21" x14ac:dyDescent="0.3">
      <c r="U597367" s="25"/>
    </row>
    <row r="597389" spans="21:21" x14ac:dyDescent="0.3">
      <c r="U597389" s="25"/>
    </row>
    <row r="597411" spans="21:21" x14ac:dyDescent="0.3">
      <c r="U597411" s="25"/>
    </row>
    <row r="597433" spans="21:21" x14ac:dyDescent="0.3">
      <c r="U597433" s="25"/>
    </row>
    <row r="597455" spans="21:21" x14ac:dyDescent="0.3">
      <c r="U597455" s="25"/>
    </row>
    <row r="597477" spans="21:21" x14ac:dyDescent="0.3">
      <c r="U597477" s="25"/>
    </row>
    <row r="597499" spans="21:21" x14ac:dyDescent="0.3">
      <c r="U597499" s="25"/>
    </row>
    <row r="597521" spans="21:21" x14ac:dyDescent="0.3">
      <c r="U597521" s="25"/>
    </row>
    <row r="597543" spans="21:21" x14ac:dyDescent="0.3">
      <c r="U597543" s="25"/>
    </row>
    <row r="597565" spans="21:21" x14ac:dyDescent="0.3">
      <c r="U597565" s="25"/>
    </row>
    <row r="597587" spans="21:21" x14ac:dyDescent="0.3">
      <c r="U597587" s="25"/>
    </row>
    <row r="597609" spans="21:21" x14ac:dyDescent="0.3">
      <c r="U597609" s="25"/>
    </row>
    <row r="597631" spans="21:21" x14ac:dyDescent="0.3">
      <c r="U597631" s="25"/>
    </row>
    <row r="597653" spans="21:21" x14ac:dyDescent="0.3">
      <c r="U597653" s="25"/>
    </row>
    <row r="597675" spans="21:21" x14ac:dyDescent="0.3">
      <c r="U597675" s="25"/>
    </row>
    <row r="597697" spans="21:21" x14ac:dyDescent="0.3">
      <c r="U597697" s="25"/>
    </row>
    <row r="597719" spans="21:21" x14ac:dyDescent="0.3">
      <c r="U597719" s="25"/>
    </row>
    <row r="597741" spans="21:21" x14ac:dyDescent="0.3">
      <c r="U597741" s="25"/>
    </row>
    <row r="597763" spans="21:21" x14ac:dyDescent="0.3">
      <c r="U597763" s="25"/>
    </row>
    <row r="597785" spans="21:21" x14ac:dyDescent="0.3">
      <c r="U597785" s="25"/>
    </row>
    <row r="597807" spans="21:21" x14ac:dyDescent="0.3">
      <c r="U597807" s="25"/>
    </row>
    <row r="597829" spans="21:21" x14ac:dyDescent="0.3">
      <c r="U597829" s="25"/>
    </row>
    <row r="597851" spans="21:21" x14ac:dyDescent="0.3">
      <c r="U597851" s="25"/>
    </row>
    <row r="597873" spans="21:21" x14ac:dyDescent="0.3">
      <c r="U597873" s="25"/>
    </row>
    <row r="597895" spans="21:21" x14ac:dyDescent="0.3">
      <c r="U597895" s="25"/>
    </row>
    <row r="597917" spans="21:21" x14ac:dyDescent="0.3">
      <c r="U597917" s="25"/>
    </row>
    <row r="597939" spans="21:21" x14ac:dyDescent="0.3">
      <c r="U597939" s="25"/>
    </row>
    <row r="597961" spans="21:21" x14ac:dyDescent="0.3">
      <c r="U597961" s="25"/>
    </row>
    <row r="597983" spans="21:21" x14ac:dyDescent="0.3">
      <c r="U597983" s="25"/>
    </row>
    <row r="598005" spans="21:21" x14ac:dyDescent="0.3">
      <c r="U598005" s="25"/>
    </row>
    <row r="598027" spans="21:21" x14ac:dyDescent="0.3">
      <c r="U598027" s="25"/>
    </row>
    <row r="598049" spans="21:21" x14ac:dyDescent="0.3">
      <c r="U598049" s="25"/>
    </row>
    <row r="598071" spans="21:21" x14ac:dyDescent="0.3">
      <c r="U598071" s="25"/>
    </row>
    <row r="598093" spans="21:21" x14ac:dyDescent="0.3">
      <c r="U598093" s="25"/>
    </row>
    <row r="598115" spans="21:21" x14ac:dyDescent="0.3">
      <c r="U598115" s="25"/>
    </row>
    <row r="598137" spans="21:21" x14ac:dyDescent="0.3">
      <c r="U598137" s="25"/>
    </row>
    <row r="598159" spans="21:21" x14ac:dyDescent="0.3">
      <c r="U598159" s="25"/>
    </row>
    <row r="598181" spans="21:21" x14ac:dyDescent="0.3">
      <c r="U598181" s="25"/>
    </row>
    <row r="598203" spans="21:21" x14ac:dyDescent="0.3">
      <c r="U598203" s="25"/>
    </row>
    <row r="598225" spans="21:21" x14ac:dyDescent="0.3">
      <c r="U598225" s="25"/>
    </row>
    <row r="598247" spans="21:21" x14ac:dyDescent="0.3">
      <c r="U598247" s="25"/>
    </row>
    <row r="598269" spans="21:21" x14ac:dyDescent="0.3">
      <c r="U598269" s="25"/>
    </row>
    <row r="598291" spans="21:21" x14ac:dyDescent="0.3">
      <c r="U598291" s="25"/>
    </row>
    <row r="598313" spans="21:21" x14ac:dyDescent="0.3">
      <c r="U598313" s="25"/>
    </row>
    <row r="598335" spans="21:21" x14ac:dyDescent="0.3">
      <c r="U598335" s="25"/>
    </row>
    <row r="598357" spans="21:21" x14ac:dyDescent="0.3">
      <c r="U598357" s="25"/>
    </row>
    <row r="598379" spans="21:21" x14ac:dyDescent="0.3">
      <c r="U598379" s="25"/>
    </row>
    <row r="598401" spans="21:21" x14ac:dyDescent="0.3">
      <c r="U598401" s="25"/>
    </row>
    <row r="598423" spans="21:21" x14ac:dyDescent="0.3">
      <c r="U598423" s="25"/>
    </row>
    <row r="598445" spans="21:21" x14ac:dyDescent="0.3">
      <c r="U598445" s="25"/>
    </row>
    <row r="598467" spans="21:21" x14ac:dyDescent="0.3">
      <c r="U598467" s="25"/>
    </row>
    <row r="598489" spans="21:21" x14ac:dyDescent="0.3">
      <c r="U598489" s="25"/>
    </row>
    <row r="598511" spans="21:21" x14ac:dyDescent="0.3">
      <c r="U598511" s="25"/>
    </row>
    <row r="598533" spans="21:21" x14ac:dyDescent="0.3">
      <c r="U598533" s="25"/>
    </row>
    <row r="598555" spans="21:21" x14ac:dyDescent="0.3">
      <c r="U598555" s="25"/>
    </row>
    <row r="598577" spans="21:21" x14ac:dyDescent="0.3">
      <c r="U598577" s="25"/>
    </row>
    <row r="598599" spans="21:21" x14ac:dyDescent="0.3">
      <c r="U598599" s="25"/>
    </row>
    <row r="598621" spans="21:21" x14ac:dyDescent="0.3">
      <c r="U598621" s="25"/>
    </row>
    <row r="598643" spans="21:21" x14ac:dyDescent="0.3">
      <c r="U598643" s="25"/>
    </row>
    <row r="598665" spans="21:21" x14ac:dyDescent="0.3">
      <c r="U598665" s="25"/>
    </row>
    <row r="598687" spans="21:21" x14ac:dyDescent="0.3">
      <c r="U598687" s="25"/>
    </row>
    <row r="598709" spans="21:21" x14ac:dyDescent="0.3">
      <c r="U598709" s="25"/>
    </row>
    <row r="598731" spans="21:21" x14ac:dyDescent="0.3">
      <c r="U598731" s="25"/>
    </row>
    <row r="598753" spans="21:21" x14ac:dyDescent="0.3">
      <c r="U598753" s="25"/>
    </row>
    <row r="598775" spans="21:21" x14ac:dyDescent="0.3">
      <c r="U598775" s="25"/>
    </row>
    <row r="598797" spans="21:21" x14ac:dyDescent="0.3">
      <c r="U598797" s="25"/>
    </row>
    <row r="598819" spans="21:21" x14ac:dyDescent="0.3">
      <c r="U598819" s="25"/>
    </row>
    <row r="598841" spans="21:21" x14ac:dyDescent="0.3">
      <c r="U598841" s="25"/>
    </row>
    <row r="598863" spans="21:21" x14ac:dyDescent="0.3">
      <c r="U598863" s="25"/>
    </row>
    <row r="598885" spans="21:21" x14ac:dyDescent="0.3">
      <c r="U598885" s="25"/>
    </row>
    <row r="598907" spans="21:21" x14ac:dyDescent="0.3">
      <c r="U598907" s="25"/>
    </row>
    <row r="598929" spans="21:21" x14ac:dyDescent="0.3">
      <c r="U598929" s="25"/>
    </row>
    <row r="598951" spans="21:21" x14ac:dyDescent="0.3">
      <c r="U598951" s="25"/>
    </row>
    <row r="598973" spans="21:21" x14ac:dyDescent="0.3">
      <c r="U598973" s="25"/>
    </row>
    <row r="598995" spans="21:21" x14ac:dyDescent="0.3">
      <c r="U598995" s="25"/>
    </row>
    <row r="599017" spans="21:21" x14ac:dyDescent="0.3">
      <c r="U599017" s="25"/>
    </row>
    <row r="599039" spans="21:21" x14ac:dyDescent="0.3">
      <c r="U599039" s="25"/>
    </row>
    <row r="599061" spans="21:21" x14ac:dyDescent="0.3">
      <c r="U599061" s="25"/>
    </row>
    <row r="599083" spans="21:21" x14ac:dyDescent="0.3">
      <c r="U599083" s="25"/>
    </row>
    <row r="599105" spans="21:21" x14ac:dyDescent="0.3">
      <c r="U599105" s="25"/>
    </row>
    <row r="599127" spans="21:21" x14ac:dyDescent="0.3">
      <c r="U599127" s="25"/>
    </row>
    <row r="599149" spans="21:21" x14ac:dyDescent="0.3">
      <c r="U599149" s="25"/>
    </row>
    <row r="599171" spans="21:21" x14ac:dyDescent="0.3">
      <c r="U599171" s="25"/>
    </row>
    <row r="599193" spans="21:21" x14ac:dyDescent="0.3">
      <c r="U599193" s="25"/>
    </row>
    <row r="599215" spans="21:21" x14ac:dyDescent="0.3">
      <c r="U599215" s="25"/>
    </row>
    <row r="599237" spans="21:21" x14ac:dyDescent="0.3">
      <c r="U599237" s="25"/>
    </row>
    <row r="599259" spans="21:21" x14ac:dyDescent="0.3">
      <c r="U599259" s="25"/>
    </row>
    <row r="599281" spans="21:21" x14ac:dyDescent="0.3">
      <c r="U599281" s="25"/>
    </row>
    <row r="599303" spans="21:21" x14ac:dyDescent="0.3">
      <c r="U599303" s="25"/>
    </row>
    <row r="599325" spans="21:21" x14ac:dyDescent="0.3">
      <c r="U599325" s="25"/>
    </row>
    <row r="599347" spans="21:21" x14ac:dyDescent="0.3">
      <c r="U599347" s="25"/>
    </row>
    <row r="599369" spans="21:21" x14ac:dyDescent="0.3">
      <c r="U599369" s="25"/>
    </row>
    <row r="599391" spans="21:21" x14ac:dyDescent="0.3">
      <c r="U599391" s="25"/>
    </row>
    <row r="599413" spans="21:21" x14ac:dyDescent="0.3">
      <c r="U599413" s="25"/>
    </row>
    <row r="599435" spans="21:21" x14ac:dyDescent="0.3">
      <c r="U599435" s="25"/>
    </row>
    <row r="599457" spans="21:21" x14ac:dyDescent="0.3">
      <c r="U599457" s="25"/>
    </row>
    <row r="599479" spans="21:21" x14ac:dyDescent="0.3">
      <c r="U599479" s="25"/>
    </row>
    <row r="599501" spans="21:21" x14ac:dyDescent="0.3">
      <c r="U599501" s="25"/>
    </row>
    <row r="599523" spans="21:21" x14ac:dyDescent="0.3">
      <c r="U599523" s="25"/>
    </row>
    <row r="599545" spans="21:21" x14ac:dyDescent="0.3">
      <c r="U599545" s="25"/>
    </row>
    <row r="599567" spans="21:21" x14ac:dyDescent="0.3">
      <c r="U599567" s="25"/>
    </row>
    <row r="599589" spans="21:21" x14ac:dyDescent="0.3">
      <c r="U599589" s="25"/>
    </row>
    <row r="599611" spans="21:21" x14ac:dyDescent="0.3">
      <c r="U599611" s="25"/>
    </row>
    <row r="599633" spans="21:21" x14ac:dyDescent="0.3">
      <c r="U599633" s="25"/>
    </row>
    <row r="599655" spans="21:21" x14ac:dyDescent="0.3">
      <c r="U599655" s="25"/>
    </row>
    <row r="599677" spans="21:21" x14ac:dyDescent="0.3">
      <c r="U599677" s="25"/>
    </row>
    <row r="599699" spans="21:21" x14ac:dyDescent="0.3">
      <c r="U599699" s="25"/>
    </row>
    <row r="599721" spans="21:21" x14ac:dyDescent="0.3">
      <c r="U599721" s="25"/>
    </row>
    <row r="599743" spans="21:21" x14ac:dyDescent="0.3">
      <c r="U599743" s="25"/>
    </row>
    <row r="599765" spans="21:21" x14ac:dyDescent="0.3">
      <c r="U599765" s="25"/>
    </row>
    <row r="599787" spans="21:21" x14ac:dyDescent="0.3">
      <c r="U599787" s="25"/>
    </row>
    <row r="599809" spans="21:21" x14ac:dyDescent="0.3">
      <c r="U599809" s="25"/>
    </row>
    <row r="599831" spans="21:21" x14ac:dyDescent="0.3">
      <c r="U599831" s="25"/>
    </row>
    <row r="599853" spans="21:21" x14ac:dyDescent="0.3">
      <c r="U599853" s="25"/>
    </row>
    <row r="599875" spans="21:21" x14ac:dyDescent="0.3">
      <c r="U599875" s="25"/>
    </row>
    <row r="599897" spans="21:21" x14ac:dyDescent="0.3">
      <c r="U599897" s="25"/>
    </row>
    <row r="599919" spans="21:21" x14ac:dyDescent="0.3">
      <c r="U599919" s="25"/>
    </row>
    <row r="599941" spans="21:21" x14ac:dyDescent="0.3">
      <c r="U599941" s="25"/>
    </row>
    <row r="599963" spans="21:21" x14ac:dyDescent="0.3">
      <c r="U599963" s="25"/>
    </row>
    <row r="599985" spans="21:21" x14ac:dyDescent="0.3">
      <c r="U599985" s="25"/>
    </row>
    <row r="600007" spans="21:21" x14ac:dyDescent="0.3">
      <c r="U600007" s="25"/>
    </row>
    <row r="600029" spans="21:21" x14ac:dyDescent="0.3">
      <c r="U600029" s="25"/>
    </row>
    <row r="600051" spans="21:21" x14ac:dyDescent="0.3">
      <c r="U600051" s="25"/>
    </row>
    <row r="600073" spans="21:21" x14ac:dyDescent="0.3">
      <c r="U600073" s="25"/>
    </row>
    <row r="600095" spans="21:21" x14ac:dyDescent="0.3">
      <c r="U600095" s="25"/>
    </row>
    <row r="600117" spans="21:21" x14ac:dyDescent="0.3">
      <c r="U600117" s="25"/>
    </row>
    <row r="600139" spans="21:21" x14ac:dyDescent="0.3">
      <c r="U600139" s="25"/>
    </row>
    <row r="600161" spans="21:21" x14ac:dyDescent="0.3">
      <c r="U600161" s="25"/>
    </row>
    <row r="600183" spans="21:21" x14ac:dyDescent="0.3">
      <c r="U600183" s="25"/>
    </row>
    <row r="600205" spans="21:21" x14ac:dyDescent="0.3">
      <c r="U600205" s="25"/>
    </row>
    <row r="600227" spans="21:21" x14ac:dyDescent="0.3">
      <c r="U600227" s="25"/>
    </row>
    <row r="600249" spans="21:21" x14ac:dyDescent="0.3">
      <c r="U600249" s="25"/>
    </row>
    <row r="600271" spans="21:21" x14ac:dyDescent="0.3">
      <c r="U600271" s="25"/>
    </row>
    <row r="600293" spans="21:21" x14ac:dyDescent="0.3">
      <c r="U600293" s="25"/>
    </row>
    <row r="600315" spans="21:21" x14ac:dyDescent="0.3">
      <c r="U600315" s="25"/>
    </row>
    <row r="600337" spans="21:21" x14ac:dyDescent="0.3">
      <c r="U600337" s="25"/>
    </row>
    <row r="600359" spans="21:21" x14ac:dyDescent="0.3">
      <c r="U600359" s="25"/>
    </row>
    <row r="600381" spans="21:21" x14ac:dyDescent="0.3">
      <c r="U600381" s="25"/>
    </row>
    <row r="600403" spans="21:21" x14ac:dyDescent="0.3">
      <c r="U600403" s="25"/>
    </row>
    <row r="600425" spans="21:21" x14ac:dyDescent="0.3">
      <c r="U600425" s="25"/>
    </row>
    <row r="600447" spans="21:21" x14ac:dyDescent="0.3">
      <c r="U600447" s="25"/>
    </row>
    <row r="600469" spans="21:21" x14ac:dyDescent="0.3">
      <c r="U600469" s="25"/>
    </row>
    <row r="600491" spans="21:21" x14ac:dyDescent="0.3">
      <c r="U600491" s="25"/>
    </row>
    <row r="600513" spans="21:21" x14ac:dyDescent="0.3">
      <c r="U600513" s="25"/>
    </row>
    <row r="600535" spans="21:21" x14ac:dyDescent="0.3">
      <c r="U600535" s="25"/>
    </row>
    <row r="600557" spans="21:21" x14ac:dyDescent="0.3">
      <c r="U600557" s="25"/>
    </row>
    <row r="600579" spans="21:21" x14ac:dyDescent="0.3">
      <c r="U600579" s="25"/>
    </row>
    <row r="600601" spans="21:21" x14ac:dyDescent="0.3">
      <c r="U600601" s="25"/>
    </row>
    <row r="600623" spans="21:21" x14ac:dyDescent="0.3">
      <c r="U600623" s="25"/>
    </row>
    <row r="600645" spans="21:21" x14ac:dyDescent="0.3">
      <c r="U600645" s="25"/>
    </row>
    <row r="600667" spans="21:21" x14ac:dyDescent="0.3">
      <c r="U600667" s="25"/>
    </row>
    <row r="600689" spans="21:21" x14ac:dyDescent="0.3">
      <c r="U600689" s="25"/>
    </row>
    <row r="600711" spans="21:21" x14ac:dyDescent="0.3">
      <c r="U600711" s="25"/>
    </row>
    <row r="600733" spans="21:21" x14ac:dyDescent="0.3">
      <c r="U600733" s="25"/>
    </row>
    <row r="600755" spans="21:21" x14ac:dyDescent="0.3">
      <c r="U600755" s="25"/>
    </row>
    <row r="600777" spans="21:21" x14ac:dyDescent="0.3">
      <c r="U600777" s="25"/>
    </row>
    <row r="600799" spans="21:21" x14ac:dyDescent="0.3">
      <c r="U600799" s="25"/>
    </row>
    <row r="600821" spans="21:21" x14ac:dyDescent="0.3">
      <c r="U600821" s="25"/>
    </row>
    <row r="600843" spans="21:21" x14ac:dyDescent="0.3">
      <c r="U600843" s="25"/>
    </row>
    <row r="600865" spans="21:21" x14ac:dyDescent="0.3">
      <c r="U600865" s="25"/>
    </row>
    <row r="600887" spans="21:21" x14ac:dyDescent="0.3">
      <c r="U600887" s="25"/>
    </row>
    <row r="600909" spans="21:21" x14ac:dyDescent="0.3">
      <c r="U600909" s="25"/>
    </row>
    <row r="600931" spans="21:21" x14ac:dyDescent="0.3">
      <c r="U600931" s="25"/>
    </row>
    <row r="600953" spans="21:21" x14ac:dyDescent="0.3">
      <c r="U600953" s="25"/>
    </row>
    <row r="600975" spans="21:21" x14ac:dyDescent="0.3">
      <c r="U600975" s="25"/>
    </row>
    <row r="600997" spans="21:21" x14ac:dyDescent="0.3">
      <c r="U600997" s="25"/>
    </row>
    <row r="601019" spans="21:21" x14ac:dyDescent="0.3">
      <c r="U601019" s="25"/>
    </row>
    <row r="601041" spans="21:21" x14ac:dyDescent="0.3">
      <c r="U601041" s="25"/>
    </row>
    <row r="601063" spans="21:21" x14ac:dyDescent="0.3">
      <c r="U601063" s="25"/>
    </row>
    <row r="601085" spans="21:21" x14ac:dyDescent="0.3">
      <c r="U601085" s="25"/>
    </row>
    <row r="601107" spans="21:21" x14ac:dyDescent="0.3">
      <c r="U601107" s="25"/>
    </row>
    <row r="601129" spans="21:21" x14ac:dyDescent="0.3">
      <c r="U601129" s="25"/>
    </row>
    <row r="601151" spans="21:21" x14ac:dyDescent="0.3">
      <c r="U601151" s="25"/>
    </row>
    <row r="601173" spans="21:21" x14ac:dyDescent="0.3">
      <c r="U601173" s="25"/>
    </row>
    <row r="601195" spans="21:21" x14ac:dyDescent="0.3">
      <c r="U601195" s="25"/>
    </row>
    <row r="601217" spans="21:21" x14ac:dyDescent="0.3">
      <c r="U601217" s="25"/>
    </row>
    <row r="601239" spans="21:21" x14ac:dyDescent="0.3">
      <c r="U601239" s="25"/>
    </row>
    <row r="601261" spans="21:21" x14ac:dyDescent="0.3">
      <c r="U601261" s="25"/>
    </row>
    <row r="601283" spans="21:21" x14ac:dyDescent="0.3">
      <c r="U601283" s="25"/>
    </row>
    <row r="601305" spans="21:21" x14ac:dyDescent="0.3">
      <c r="U601305" s="25"/>
    </row>
    <row r="601327" spans="21:21" x14ac:dyDescent="0.3">
      <c r="U601327" s="25"/>
    </row>
    <row r="601349" spans="21:21" x14ac:dyDescent="0.3">
      <c r="U601349" s="25"/>
    </row>
    <row r="601371" spans="21:21" x14ac:dyDescent="0.3">
      <c r="U601371" s="25"/>
    </row>
    <row r="601393" spans="21:21" x14ac:dyDescent="0.3">
      <c r="U601393" s="25"/>
    </row>
    <row r="601415" spans="21:21" x14ac:dyDescent="0.3">
      <c r="U601415" s="25"/>
    </row>
    <row r="601437" spans="21:21" x14ac:dyDescent="0.3">
      <c r="U601437" s="25"/>
    </row>
    <row r="601459" spans="21:21" x14ac:dyDescent="0.3">
      <c r="U601459" s="25"/>
    </row>
    <row r="601481" spans="21:21" x14ac:dyDescent="0.3">
      <c r="U601481" s="25"/>
    </row>
    <row r="601503" spans="21:21" x14ac:dyDescent="0.3">
      <c r="U601503" s="25"/>
    </row>
    <row r="601525" spans="21:21" x14ac:dyDescent="0.3">
      <c r="U601525" s="25"/>
    </row>
    <row r="601547" spans="21:21" x14ac:dyDescent="0.3">
      <c r="U601547" s="25"/>
    </row>
    <row r="601569" spans="21:21" x14ac:dyDescent="0.3">
      <c r="U601569" s="25"/>
    </row>
    <row r="601591" spans="21:21" x14ac:dyDescent="0.3">
      <c r="U601591" s="25"/>
    </row>
    <row r="601613" spans="21:21" x14ac:dyDescent="0.3">
      <c r="U601613" s="25"/>
    </row>
    <row r="601635" spans="21:21" x14ac:dyDescent="0.3">
      <c r="U601635" s="25"/>
    </row>
    <row r="601657" spans="21:21" x14ac:dyDescent="0.3">
      <c r="U601657" s="25"/>
    </row>
    <row r="601679" spans="21:21" x14ac:dyDescent="0.3">
      <c r="U601679" s="25"/>
    </row>
    <row r="601701" spans="21:21" x14ac:dyDescent="0.3">
      <c r="U601701" s="25"/>
    </row>
    <row r="601723" spans="21:21" x14ac:dyDescent="0.3">
      <c r="U601723" s="25"/>
    </row>
    <row r="601745" spans="21:21" x14ac:dyDescent="0.3">
      <c r="U601745" s="25"/>
    </row>
    <row r="601767" spans="21:21" x14ac:dyDescent="0.3">
      <c r="U601767" s="25"/>
    </row>
    <row r="601789" spans="21:21" x14ac:dyDescent="0.3">
      <c r="U601789" s="25"/>
    </row>
    <row r="601811" spans="21:21" x14ac:dyDescent="0.3">
      <c r="U601811" s="25"/>
    </row>
    <row r="601833" spans="21:21" x14ac:dyDescent="0.3">
      <c r="U601833" s="25"/>
    </row>
    <row r="601855" spans="21:21" x14ac:dyDescent="0.3">
      <c r="U601855" s="25"/>
    </row>
    <row r="601877" spans="21:21" x14ac:dyDescent="0.3">
      <c r="U601877" s="25"/>
    </row>
    <row r="601899" spans="21:21" x14ac:dyDescent="0.3">
      <c r="U601899" s="25"/>
    </row>
    <row r="601921" spans="21:21" x14ac:dyDescent="0.3">
      <c r="U601921" s="25"/>
    </row>
    <row r="601943" spans="21:21" x14ac:dyDescent="0.3">
      <c r="U601943" s="25"/>
    </row>
    <row r="601965" spans="21:21" x14ac:dyDescent="0.3">
      <c r="U601965" s="25"/>
    </row>
    <row r="601987" spans="21:21" x14ac:dyDescent="0.3">
      <c r="U601987" s="25"/>
    </row>
    <row r="602009" spans="21:21" x14ac:dyDescent="0.3">
      <c r="U602009" s="25"/>
    </row>
    <row r="602031" spans="21:21" x14ac:dyDescent="0.3">
      <c r="U602031" s="25"/>
    </row>
    <row r="602053" spans="21:21" x14ac:dyDescent="0.3">
      <c r="U602053" s="25"/>
    </row>
    <row r="602075" spans="21:21" x14ac:dyDescent="0.3">
      <c r="U602075" s="25"/>
    </row>
    <row r="602097" spans="21:21" x14ac:dyDescent="0.3">
      <c r="U602097" s="25"/>
    </row>
    <row r="602119" spans="21:21" x14ac:dyDescent="0.3">
      <c r="U602119" s="25"/>
    </row>
    <row r="602141" spans="21:21" x14ac:dyDescent="0.3">
      <c r="U602141" s="25"/>
    </row>
    <row r="602163" spans="21:21" x14ac:dyDescent="0.3">
      <c r="U602163" s="25"/>
    </row>
    <row r="602185" spans="21:21" x14ac:dyDescent="0.3">
      <c r="U602185" s="25"/>
    </row>
    <row r="602207" spans="21:21" x14ac:dyDescent="0.3">
      <c r="U602207" s="25"/>
    </row>
    <row r="602229" spans="21:21" x14ac:dyDescent="0.3">
      <c r="U602229" s="25"/>
    </row>
    <row r="602251" spans="21:21" x14ac:dyDescent="0.3">
      <c r="U602251" s="25"/>
    </row>
    <row r="602273" spans="21:21" x14ac:dyDescent="0.3">
      <c r="U602273" s="25"/>
    </row>
    <row r="602295" spans="21:21" x14ac:dyDescent="0.3">
      <c r="U602295" s="25"/>
    </row>
    <row r="602317" spans="21:21" x14ac:dyDescent="0.3">
      <c r="U602317" s="25"/>
    </row>
    <row r="602339" spans="21:21" x14ac:dyDescent="0.3">
      <c r="U602339" s="25"/>
    </row>
    <row r="602361" spans="21:21" x14ac:dyDescent="0.3">
      <c r="U602361" s="25"/>
    </row>
    <row r="602383" spans="21:21" x14ac:dyDescent="0.3">
      <c r="U602383" s="25"/>
    </row>
    <row r="602405" spans="21:21" x14ac:dyDescent="0.3">
      <c r="U602405" s="25"/>
    </row>
    <row r="602427" spans="21:21" x14ac:dyDescent="0.3">
      <c r="U602427" s="25"/>
    </row>
    <row r="602449" spans="21:21" x14ac:dyDescent="0.3">
      <c r="U602449" s="25"/>
    </row>
    <row r="602471" spans="21:21" x14ac:dyDescent="0.3">
      <c r="U602471" s="25"/>
    </row>
    <row r="602493" spans="21:21" x14ac:dyDescent="0.3">
      <c r="U602493" s="25"/>
    </row>
    <row r="602515" spans="21:21" x14ac:dyDescent="0.3">
      <c r="U602515" s="25"/>
    </row>
    <row r="602537" spans="21:21" x14ac:dyDescent="0.3">
      <c r="U602537" s="25"/>
    </row>
    <row r="602559" spans="21:21" x14ac:dyDescent="0.3">
      <c r="U602559" s="25"/>
    </row>
    <row r="602581" spans="21:21" x14ac:dyDescent="0.3">
      <c r="U602581" s="25"/>
    </row>
    <row r="602603" spans="21:21" x14ac:dyDescent="0.3">
      <c r="U602603" s="25"/>
    </row>
    <row r="602625" spans="21:21" x14ac:dyDescent="0.3">
      <c r="U602625" s="25"/>
    </row>
    <row r="602647" spans="21:21" x14ac:dyDescent="0.3">
      <c r="U602647" s="25"/>
    </row>
    <row r="602669" spans="21:21" x14ac:dyDescent="0.3">
      <c r="U602669" s="25"/>
    </row>
    <row r="602691" spans="21:21" x14ac:dyDescent="0.3">
      <c r="U602691" s="25"/>
    </row>
    <row r="602713" spans="21:21" x14ac:dyDescent="0.3">
      <c r="U602713" s="25"/>
    </row>
    <row r="602735" spans="21:21" x14ac:dyDescent="0.3">
      <c r="U602735" s="25"/>
    </row>
    <row r="602757" spans="21:21" x14ac:dyDescent="0.3">
      <c r="U602757" s="25"/>
    </row>
    <row r="602779" spans="21:21" x14ac:dyDescent="0.3">
      <c r="U602779" s="25"/>
    </row>
    <row r="602801" spans="21:21" x14ac:dyDescent="0.3">
      <c r="U602801" s="25"/>
    </row>
    <row r="602823" spans="21:21" x14ac:dyDescent="0.3">
      <c r="U602823" s="25"/>
    </row>
    <row r="602845" spans="21:21" x14ac:dyDescent="0.3">
      <c r="U602845" s="25"/>
    </row>
    <row r="602867" spans="21:21" x14ac:dyDescent="0.3">
      <c r="U602867" s="25"/>
    </row>
    <row r="602889" spans="21:21" x14ac:dyDescent="0.3">
      <c r="U602889" s="25"/>
    </row>
    <row r="602911" spans="21:21" x14ac:dyDescent="0.3">
      <c r="U602911" s="25"/>
    </row>
    <row r="602933" spans="21:21" x14ac:dyDescent="0.3">
      <c r="U602933" s="25"/>
    </row>
    <row r="602955" spans="21:21" x14ac:dyDescent="0.3">
      <c r="U602955" s="25"/>
    </row>
    <row r="602977" spans="21:21" x14ac:dyDescent="0.3">
      <c r="U602977" s="25"/>
    </row>
    <row r="602999" spans="21:21" x14ac:dyDescent="0.3">
      <c r="U602999" s="25"/>
    </row>
    <row r="603021" spans="21:21" x14ac:dyDescent="0.3">
      <c r="U603021" s="25"/>
    </row>
    <row r="603043" spans="21:21" x14ac:dyDescent="0.3">
      <c r="U603043" s="25"/>
    </row>
    <row r="603065" spans="21:21" x14ac:dyDescent="0.3">
      <c r="U603065" s="25"/>
    </row>
    <row r="603087" spans="21:21" x14ac:dyDescent="0.3">
      <c r="U603087" s="25"/>
    </row>
    <row r="603109" spans="21:21" x14ac:dyDescent="0.3">
      <c r="U603109" s="25"/>
    </row>
    <row r="603131" spans="21:21" x14ac:dyDescent="0.3">
      <c r="U603131" s="25"/>
    </row>
    <row r="603153" spans="21:21" x14ac:dyDescent="0.3">
      <c r="U603153" s="25"/>
    </row>
    <row r="603175" spans="21:21" x14ac:dyDescent="0.3">
      <c r="U603175" s="25"/>
    </row>
    <row r="603197" spans="21:21" x14ac:dyDescent="0.3">
      <c r="U603197" s="25"/>
    </row>
    <row r="603219" spans="21:21" x14ac:dyDescent="0.3">
      <c r="U603219" s="25"/>
    </row>
    <row r="603241" spans="21:21" x14ac:dyDescent="0.3">
      <c r="U603241" s="25"/>
    </row>
    <row r="603263" spans="21:21" x14ac:dyDescent="0.3">
      <c r="U603263" s="25"/>
    </row>
    <row r="603285" spans="21:21" x14ac:dyDescent="0.3">
      <c r="U603285" s="25"/>
    </row>
    <row r="603307" spans="21:21" x14ac:dyDescent="0.3">
      <c r="U603307" s="25"/>
    </row>
    <row r="603329" spans="21:21" x14ac:dyDescent="0.3">
      <c r="U603329" s="25"/>
    </row>
    <row r="603351" spans="21:21" x14ac:dyDescent="0.3">
      <c r="U603351" s="25"/>
    </row>
    <row r="603373" spans="21:21" x14ac:dyDescent="0.3">
      <c r="U603373" s="25"/>
    </row>
    <row r="603395" spans="21:21" x14ac:dyDescent="0.3">
      <c r="U603395" s="25"/>
    </row>
    <row r="603417" spans="21:21" x14ac:dyDescent="0.3">
      <c r="U603417" s="25"/>
    </row>
    <row r="603439" spans="21:21" x14ac:dyDescent="0.3">
      <c r="U603439" s="25"/>
    </row>
    <row r="603461" spans="21:21" x14ac:dyDescent="0.3">
      <c r="U603461" s="25"/>
    </row>
    <row r="603483" spans="21:21" x14ac:dyDescent="0.3">
      <c r="U603483" s="25"/>
    </row>
    <row r="603505" spans="21:21" x14ac:dyDescent="0.3">
      <c r="U603505" s="25"/>
    </row>
    <row r="603527" spans="21:21" x14ac:dyDescent="0.3">
      <c r="U603527" s="25"/>
    </row>
    <row r="603549" spans="21:21" x14ac:dyDescent="0.3">
      <c r="U603549" s="25"/>
    </row>
    <row r="603571" spans="21:21" x14ac:dyDescent="0.3">
      <c r="U603571" s="25"/>
    </row>
    <row r="603593" spans="21:21" x14ac:dyDescent="0.3">
      <c r="U603593" s="25"/>
    </row>
    <row r="603615" spans="21:21" x14ac:dyDescent="0.3">
      <c r="U603615" s="25"/>
    </row>
    <row r="603637" spans="21:21" x14ac:dyDescent="0.3">
      <c r="U603637" s="25"/>
    </row>
    <row r="603659" spans="21:21" x14ac:dyDescent="0.3">
      <c r="U603659" s="25"/>
    </row>
    <row r="603681" spans="21:21" x14ac:dyDescent="0.3">
      <c r="U603681" s="25"/>
    </row>
    <row r="603703" spans="21:21" x14ac:dyDescent="0.3">
      <c r="U603703" s="25"/>
    </row>
    <row r="603725" spans="21:21" x14ac:dyDescent="0.3">
      <c r="U603725" s="25"/>
    </row>
    <row r="603747" spans="21:21" x14ac:dyDescent="0.3">
      <c r="U603747" s="25"/>
    </row>
    <row r="603769" spans="21:21" x14ac:dyDescent="0.3">
      <c r="U603769" s="25"/>
    </row>
    <row r="603791" spans="21:21" x14ac:dyDescent="0.3">
      <c r="U603791" s="25"/>
    </row>
    <row r="603813" spans="21:21" x14ac:dyDescent="0.3">
      <c r="U603813" s="25"/>
    </row>
    <row r="603835" spans="21:21" x14ac:dyDescent="0.3">
      <c r="U603835" s="25"/>
    </row>
    <row r="603857" spans="21:21" x14ac:dyDescent="0.3">
      <c r="U603857" s="25"/>
    </row>
    <row r="603879" spans="21:21" x14ac:dyDescent="0.3">
      <c r="U603879" s="25"/>
    </row>
    <row r="603901" spans="21:21" x14ac:dyDescent="0.3">
      <c r="U603901" s="25"/>
    </row>
    <row r="603923" spans="21:21" x14ac:dyDescent="0.3">
      <c r="U603923" s="25"/>
    </row>
    <row r="603945" spans="21:21" x14ac:dyDescent="0.3">
      <c r="U603945" s="25"/>
    </row>
    <row r="603967" spans="21:21" x14ac:dyDescent="0.3">
      <c r="U603967" s="25"/>
    </row>
    <row r="603989" spans="21:21" x14ac:dyDescent="0.3">
      <c r="U603989" s="25"/>
    </row>
    <row r="604011" spans="21:21" x14ac:dyDescent="0.3">
      <c r="U604011" s="25"/>
    </row>
    <row r="604033" spans="21:21" x14ac:dyDescent="0.3">
      <c r="U604033" s="25"/>
    </row>
    <row r="604055" spans="21:21" x14ac:dyDescent="0.3">
      <c r="U604055" s="25"/>
    </row>
    <row r="604077" spans="21:21" x14ac:dyDescent="0.3">
      <c r="U604077" s="25"/>
    </row>
    <row r="604099" spans="21:21" x14ac:dyDescent="0.3">
      <c r="U604099" s="25"/>
    </row>
    <row r="604121" spans="21:21" x14ac:dyDescent="0.3">
      <c r="U604121" s="25"/>
    </row>
    <row r="604143" spans="21:21" x14ac:dyDescent="0.3">
      <c r="U604143" s="25"/>
    </row>
    <row r="604165" spans="21:21" x14ac:dyDescent="0.3">
      <c r="U604165" s="25"/>
    </row>
    <row r="604187" spans="21:21" x14ac:dyDescent="0.3">
      <c r="U604187" s="25"/>
    </row>
    <row r="604209" spans="21:21" x14ac:dyDescent="0.3">
      <c r="U604209" s="25"/>
    </row>
    <row r="604231" spans="21:21" x14ac:dyDescent="0.3">
      <c r="U604231" s="25"/>
    </row>
    <row r="604253" spans="21:21" x14ac:dyDescent="0.3">
      <c r="U604253" s="25"/>
    </row>
    <row r="604275" spans="21:21" x14ac:dyDescent="0.3">
      <c r="U604275" s="25"/>
    </row>
    <row r="604297" spans="21:21" x14ac:dyDescent="0.3">
      <c r="U604297" s="25"/>
    </row>
    <row r="604319" spans="21:21" x14ac:dyDescent="0.3">
      <c r="U604319" s="25"/>
    </row>
    <row r="604341" spans="21:21" x14ac:dyDescent="0.3">
      <c r="U604341" s="25"/>
    </row>
    <row r="604363" spans="21:21" x14ac:dyDescent="0.3">
      <c r="U604363" s="25"/>
    </row>
    <row r="604385" spans="21:21" x14ac:dyDescent="0.3">
      <c r="U604385" s="25"/>
    </row>
    <row r="604407" spans="21:21" x14ac:dyDescent="0.3">
      <c r="U604407" s="25"/>
    </row>
    <row r="604429" spans="21:21" x14ac:dyDescent="0.3">
      <c r="U604429" s="25"/>
    </row>
    <row r="604451" spans="21:21" x14ac:dyDescent="0.3">
      <c r="U604451" s="25"/>
    </row>
    <row r="604473" spans="21:21" x14ac:dyDescent="0.3">
      <c r="U604473" s="25"/>
    </row>
    <row r="604495" spans="21:21" x14ac:dyDescent="0.3">
      <c r="U604495" s="25"/>
    </row>
    <row r="604517" spans="21:21" x14ac:dyDescent="0.3">
      <c r="U604517" s="25"/>
    </row>
    <row r="604539" spans="21:21" x14ac:dyDescent="0.3">
      <c r="U604539" s="25"/>
    </row>
    <row r="604561" spans="21:21" x14ac:dyDescent="0.3">
      <c r="U604561" s="25"/>
    </row>
    <row r="604583" spans="21:21" x14ac:dyDescent="0.3">
      <c r="U604583" s="25"/>
    </row>
    <row r="604605" spans="21:21" x14ac:dyDescent="0.3">
      <c r="U604605" s="25"/>
    </row>
    <row r="604627" spans="21:21" x14ac:dyDescent="0.3">
      <c r="U604627" s="25"/>
    </row>
    <row r="604649" spans="21:21" x14ac:dyDescent="0.3">
      <c r="U604649" s="25"/>
    </row>
    <row r="604671" spans="21:21" x14ac:dyDescent="0.3">
      <c r="U604671" s="25"/>
    </row>
    <row r="604693" spans="21:21" x14ac:dyDescent="0.3">
      <c r="U604693" s="25"/>
    </row>
    <row r="604715" spans="21:21" x14ac:dyDescent="0.3">
      <c r="U604715" s="25"/>
    </row>
    <row r="604737" spans="21:21" x14ac:dyDescent="0.3">
      <c r="U604737" s="25"/>
    </row>
    <row r="604759" spans="21:21" x14ac:dyDescent="0.3">
      <c r="U604759" s="25"/>
    </row>
    <row r="604781" spans="21:21" x14ac:dyDescent="0.3">
      <c r="U604781" s="25"/>
    </row>
    <row r="604803" spans="21:21" x14ac:dyDescent="0.3">
      <c r="U604803" s="25"/>
    </row>
    <row r="604825" spans="21:21" x14ac:dyDescent="0.3">
      <c r="U604825" s="25"/>
    </row>
    <row r="604847" spans="21:21" x14ac:dyDescent="0.3">
      <c r="U604847" s="25"/>
    </row>
    <row r="604869" spans="21:21" x14ac:dyDescent="0.3">
      <c r="U604869" s="25"/>
    </row>
    <row r="604891" spans="21:21" x14ac:dyDescent="0.3">
      <c r="U604891" s="25"/>
    </row>
    <row r="604913" spans="21:21" x14ac:dyDescent="0.3">
      <c r="U604913" s="25"/>
    </row>
    <row r="604935" spans="21:21" x14ac:dyDescent="0.3">
      <c r="U604935" s="25"/>
    </row>
    <row r="604957" spans="21:21" x14ac:dyDescent="0.3">
      <c r="U604957" s="25"/>
    </row>
    <row r="604979" spans="21:21" x14ac:dyDescent="0.3">
      <c r="U604979" s="25"/>
    </row>
    <row r="605001" spans="21:21" x14ac:dyDescent="0.3">
      <c r="U605001" s="25"/>
    </row>
    <row r="605023" spans="21:21" x14ac:dyDescent="0.3">
      <c r="U605023" s="25"/>
    </row>
    <row r="605045" spans="21:21" x14ac:dyDescent="0.3">
      <c r="U605045" s="25"/>
    </row>
    <row r="605067" spans="21:21" x14ac:dyDescent="0.3">
      <c r="U605067" s="25"/>
    </row>
    <row r="605089" spans="21:21" x14ac:dyDescent="0.3">
      <c r="U605089" s="25"/>
    </row>
    <row r="605111" spans="21:21" x14ac:dyDescent="0.3">
      <c r="U605111" s="25"/>
    </row>
    <row r="605133" spans="21:21" x14ac:dyDescent="0.3">
      <c r="U605133" s="25"/>
    </row>
    <row r="605155" spans="21:21" x14ac:dyDescent="0.3">
      <c r="U605155" s="25"/>
    </row>
    <row r="605177" spans="21:21" x14ac:dyDescent="0.3">
      <c r="U605177" s="25"/>
    </row>
    <row r="605199" spans="21:21" x14ac:dyDescent="0.3">
      <c r="U605199" s="25"/>
    </row>
    <row r="605221" spans="21:21" x14ac:dyDescent="0.3">
      <c r="U605221" s="25"/>
    </row>
    <row r="605243" spans="21:21" x14ac:dyDescent="0.3">
      <c r="U605243" s="25"/>
    </row>
    <row r="605265" spans="21:21" x14ac:dyDescent="0.3">
      <c r="U605265" s="25"/>
    </row>
    <row r="605287" spans="21:21" x14ac:dyDescent="0.3">
      <c r="U605287" s="25"/>
    </row>
    <row r="605309" spans="21:21" x14ac:dyDescent="0.3">
      <c r="U605309" s="25"/>
    </row>
    <row r="605331" spans="21:21" x14ac:dyDescent="0.3">
      <c r="U605331" s="25"/>
    </row>
    <row r="605353" spans="21:21" x14ac:dyDescent="0.3">
      <c r="U605353" s="25"/>
    </row>
    <row r="605375" spans="21:21" x14ac:dyDescent="0.3">
      <c r="U605375" s="25"/>
    </row>
    <row r="605397" spans="21:21" x14ac:dyDescent="0.3">
      <c r="U605397" s="25"/>
    </row>
    <row r="605419" spans="21:21" x14ac:dyDescent="0.3">
      <c r="U605419" s="25"/>
    </row>
    <row r="605441" spans="21:21" x14ac:dyDescent="0.3">
      <c r="U605441" s="25"/>
    </row>
    <row r="605463" spans="21:21" x14ac:dyDescent="0.3">
      <c r="U605463" s="25"/>
    </row>
    <row r="605485" spans="21:21" x14ac:dyDescent="0.3">
      <c r="U605485" s="25"/>
    </row>
    <row r="605507" spans="21:21" x14ac:dyDescent="0.3">
      <c r="U605507" s="25"/>
    </row>
    <row r="605529" spans="21:21" x14ac:dyDescent="0.3">
      <c r="U605529" s="25"/>
    </row>
    <row r="605551" spans="21:21" x14ac:dyDescent="0.3">
      <c r="U605551" s="25"/>
    </row>
    <row r="605573" spans="21:21" x14ac:dyDescent="0.3">
      <c r="U605573" s="25"/>
    </row>
    <row r="605595" spans="21:21" x14ac:dyDescent="0.3">
      <c r="U605595" s="25"/>
    </row>
    <row r="605617" spans="21:21" x14ac:dyDescent="0.3">
      <c r="U605617" s="25"/>
    </row>
    <row r="605639" spans="21:21" x14ac:dyDescent="0.3">
      <c r="U605639" s="25"/>
    </row>
    <row r="605661" spans="21:21" x14ac:dyDescent="0.3">
      <c r="U605661" s="25"/>
    </row>
    <row r="605683" spans="21:21" x14ac:dyDescent="0.3">
      <c r="U605683" s="25"/>
    </row>
    <row r="605705" spans="21:21" x14ac:dyDescent="0.3">
      <c r="U605705" s="25"/>
    </row>
    <row r="605727" spans="21:21" x14ac:dyDescent="0.3">
      <c r="U605727" s="25"/>
    </row>
    <row r="605749" spans="21:21" x14ac:dyDescent="0.3">
      <c r="U605749" s="25"/>
    </row>
    <row r="605771" spans="21:21" x14ac:dyDescent="0.3">
      <c r="U605771" s="25"/>
    </row>
    <row r="605793" spans="21:21" x14ac:dyDescent="0.3">
      <c r="U605793" s="25"/>
    </row>
    <row r="605815" spans="21:21" x14ac:dyDescent="0.3">
      <c r="U605815" s="25"/>
    </row>
    <row r="605837" spans="21:21" x14ac:dyDescent="0.3">
      <c r="U605837" s="25"/>
    </row>
    <row r="605859" spans="21:21" x14ac:dyDescent="0.3">
      <c r="U605859" s="25"/>
    </row>
    <row r="605881" spans="21:21" x14ac:dyDescent="0.3">
      <c r="U605881" s="25"/>
    </row>
    <row r="605903" spans="21:21" x14ac:dyDescent="0.3">
      <c r="U605903" s="25"/>
    </row>
    <row r="605925" spans="21:21" x14ac:dyDescent="0.3">
      <c r="U605925" s="25"/>
    </row>
    <row r="605947" spans="21:21" x14ac:dyDescent="0.3">
      <c r="U605947" s="25"/>
    </row>
    <row r="605969" spans="21:21" x14ac:dyDescent="0.3">
      <c r="U605969" s="25"/>
    </row>
    <row r="605991" spans="21:21" x14ac:dyDescent="0.3">
      <c r="U605991" s="25"/>
    </row>
    <row r="606013" spans="21:21" x14ac:dyDescent="0.3">
      <c r="U606013" s="25"/>
    </row>
    <row r="606035" spans="21:21" x14ac:dyDescent="0.3">
      <c r="U606035" s="25"/>
    </row>
    <row r="606057" spans="21:21" x14ac:dyDescent="0.3">
      <c r="U606057" s="25"/>
    </row>
    <row r="606079" spans="21:21" x14ac:dyDescent="0.3">
      <c r="U606079" s="25"/>
    </row>
    <row r="606101" spans="21:21" x14ac:dyDescent="0.3">
      <c r="U606101" s="25"/>
    </row>
    <row r="606123" spans="21:21" x14ac:dyDescent="0.3">
      <c r="U606123" s="25"/>
    </row>
    <row r="606145" spans="21:21" x14ac:dyDescent="0.3">
      <c r="U606145" s="25"/>
    </row>
    <row r="606167" spans="21:21" x14ac:dyDescent="0.3">
      <c r="U606167" s="25"/>
    </row>
    <row r="606189" spans="21:21" x14ac:dyDescent="0.3">
      <c r="U606189" s="25"/>
    </row>
    <row r="606211" spans="21:21" x14ac:dyDescent="0.3">
      <c r="U606211" s="25"/>
    </row>
    <row r="606233" spans="21:21" x14ac:dyDescent="0.3">
      <c r="U606233" s="25"/>
    </row>
    <row r="606255" spans="21:21" x14ac:dyDescent="0.3">
      <c r="U606255" s="25"/>
    </row>
    <row r="606277" spans="21:21" x14ac:dyDescent="0.3">
      <c r="U606277" s="25"/>
    </row>
    <row r="606299" spans="21:21" x14ac:dyDescent="0.3">
      <c r="U606299" s="25"/>
    </row>
    <row r="606321" spans="21:21" x14ac:dyDescent="0.3">
      <c r="U606321" s="25"/>
    </row>
    <row r="606343" spans="21:21" x14ac:dyDescent="0.3">
      <c r="U606343" s="25"/>
    </row>
    <row r="606365" spans="21:21" x14ac:dyDescent="0.3">
      <c r="U606365" s="25"/>
    </row>
    <row r="606387" spans="21:21" x14ac:dyDescent="0.3">
      <c r="U606387" s="25"/>
    </row>
    <row r="606409" spans="21:21" x14ac:dyDescent="0.3">
      <c r="U606409" s="25"/>
    </row>
    <row r="606431" spans="21:21" x14ac:dyDescent="0.3">
      <c r="U606431" s="25"/>
    </row>
    <row r="606453" spans="21:21" x14ac:dyDescent="0.3">
      <c r="U606453" s="25"/>
    </row>
    <row r="606475" spans="21:21" x14ac:dyDescent="0.3">
      <c r="U606475" s="25"/>
    </row>
    <row r="606497" spans="21:21" x14ac:dyDescent="0.3">
      <c r="U606497" s="25"/>
    </row>
    <row r="606519" spans="21:21" x14ac:dyDescent="0.3">
      <c r="U606519" s="25"/>
    </row>
    <row r="606541" spans="21:21" x14ac:dyDescent="0.3">
      <c r="U606541" s="25"/>
    </row>
    <row r="606563" spans="21:21" x14ac:dyDescent="0.3">
      <c r="U606563" s="25"/>
    </row>
    <row r="606585" spans="21:21" x14ac:dyDescent="0.3">
      <c r="U606585" s="25"/>
    </row>
    <row r="606607" spans="21:21" x14ac:dyDescent="0.3">
      <c r="U606607" s="25"/>
    </row>
    <row r="606629" spans="21:21" x14ac:dyDescent="0.3">
      <c r="U606629" s="25"/>
    </row>
    <row r="606651" spans="21:21" x14ac:dyDescent="0.3">
      <c r="U606651" s="25"/>
    </row>
    <row r="606673" spans="21:21" x14ac:dyDescent="0.3">
      <c r="U606673" s="25"/>
    </row>
    <row r="606695" spans="21:21" x14ac:dyDescent="0.3">
      <c r="U606695" s="25"/>
    </row>
    <row r="606717" spans="21:21" x14ac:dyDescent="0.3">
      <c r="U606717" s="25"/>
    </row>
    <row r="606739" spans="21:21" x14ac:dyDescent="0.3">
      <c r="U606739" s="25"/>
    </row>
    <row r="606761" spans="21:21" x14ac:dyDescent="0.3">
      <c r="U606761" s="25"/>
    </row>
    <row r="606783" spans="21:21" x14ac:dyDescent="0.3">
      <c r="U606783" s="25"/>
    </row>
    <row r="606805" spans="21:21" x14ac:dyDescent="0.3">
      <c r="U606805" s="25"/>
    </row>
    <row r="606827" spans="21:21" x14ac:dyDescent="0.3">
      <c r="U606827" s="25"/>
    </row>
    <row r="606849" spans="21:21" x14ac:dyDescent="0.3">
      <c r="U606849" s="25"/>
    </row>
    <row r="606871" spans="21:21" x14ac:dyDescent="0.3">
      <c r="U606871" s="25"/>
    </row>
    <row r="606893" spans="21:21" x14ac:dyDescent="0.3">
      <c r="U606893" s="25"/>
    </row>
    <row r="606915" spans="21:21" x14ac:dyDescent="0.3">
      <c r="U606915" s="25"/>
    </row>
    <row r="606937" spans="21:21" x14ac:dyDescent="0.3">
      <c r="U606937" s="25"/>
    </row>
    <row r="606959" spans="21:21" x14ac:dyDescent="0.3">
      <c r="U606959" s="25"/>
    </row>
    <row r="606981" spans="21:21" x14ac:dyDescent="0.3">
      <c r="U606981" s="25"/>
    </row>
    <row r="607003" spans="21:21" x14ac:dyDescent="0.3">
      <c r="U607003" s="25"/>
    </row>
    <row r="607025" spans="21:21" x14ac:dyDescent="0.3">
      <c r="U607025" s="25"/>
    </row>
    <row r="607047" spans="21:21" x14ac:dyDescent="0.3">
      <c r="U607047" s="25"/>
    </row>
    <row r="607069" spans="21:21" x14ac:dyDescent="0.3">
      <c r="U607069" s="25"/>
    </row>
    <row r="607091" spans="21:21" x14ac:dyDescent="0.3">
      <c r="U607091" s="25"/>
    </row>
    <row r="607113" spans="21:21" x14ac:dyDescent="0.3">
      <c r="U607113" s="25"/>
    </row>
    <row r="607135" spans="21:21" x14ac:dyDescent="0.3">
      <c r="U607135" s="25"/>
    </row>
    <row r="607157" spans="21:21" x14ac:dyDescent="0.3">
      <c r="U607157" s="25"/>
    </row>
    <row r="607179" spans="21:21" x14ac:dyDescent="0.3">
      <c r="U607179" s="25"/>
    </row>
    <row r="607201" spans="21:21" x14ac:dyDescent="0.3">
      <c r="U607201" s="25"/>
    </row>
    <row r="607223" spans="21:21" x14ac:dyDescent="0.3">
      <c r="U607223" s="25"/>
    </row>
    <row r="607245" spans="21:21" x14ac:dyDescent="0.3">
      <c r="U607245" s="25"/>
    </row>
    <row r="607267" spans="21:21" x14ac:dyDescent="0.3">
      <c r="U607267" s="25"/>
    </row>
    <row r="607289" spans="21:21" x14ac:dyDescent="0.3">
      <c r="U607289" s="25"/>
    </row>
    <row r="607311" spans="21:21" x14ac:dyDescent="0.3">
      <c r="U607311" s="25"/>
    </row>
    <row r="607333" spans="21:21" x14ac:dyDescent="0.3">
      <c r="U607333" s="25"/>
    </row>
    <row r="607355" spans="21:21" x14ac:dyDescent="0.3">
      <c r="U607355" s="25"/>
    </row>
    <row r="607377" spans="21:21" x14ac:dyDescent="0.3">
      <c r="U607377" s="25"/>
    </row>
    <row r="607399" spans="21:21" x14ac:dyDescent="0.3">
      <c r="U607399" s="25"/>
    </row>
    <row r="607421" spans="21:21" x14ac:dyDescent="0.3">
      <c r="U607421" s="25"/>
    </row>
    <row r="607443" spans="21:21" x14ac:dyDescent="0.3">
      <c r="U607443" s="25"/>
    </row>
    <row r="607465" spans="21:21" x14ac:dyDescent="0.3">
      <c r="U607465" s="25"/>
    </row>
    <row r="607487" spans="21:21" x14ac:dyDescent="0.3">
      <c r="U607487" s="25"/>
    </row>
    <row r="607509" spans="21:21" x14ac:dyDescent="0.3">
      <c r="U607509" s="25"/>
    </row>
    <row r="607531" spans="21:21" x14ac:dyDescent="0.3">
      <c r="U607531" s="25"/>
    </row>
    <row r="607553" spans="21:21" x14ac:dyDescent="0.3">
      <c r="U607553" s="25"/>
    </row>
    <row r="607575" spans="21:21" x14ac:dyDescent="0.3">
      <c r="U607575" s="25"/>
    </row>
    <row r="607597" spans="21:21" x14ac:dyDescent="0.3">
      <c r="U607597" s="25"/>
    </row>
    <row r="607619" spans="21:21" x14ac:dyDescent="0.3">
      <c r="U607619" s="25"/>
    </row>
    <row r="607641" spans="21:21" x14ac:dyDescent="0.3">
      <c r="U607641" s="25"/>
    </row>
    <row r="607663" spans="21:21" x14ac:dyDescent="0.3">
      <c r="U607663" s="25"/>
    </row>
    <row r="607685" spans="21:21" x14ac:dyDescent="0.3">
      <c r="U607685" s="25"/>
    </row>
    <row r="607707" spans="21:21" x14ac:dyDescent="0.3">
      <c r="U607707" s="25"/>
    </row>
    <row r="607729" spans="21:21" x14ac:dyDescent="0.3">
      <c r="U607729" s="25"/>
    </row>
    <row r="607751" spans="21:21" x14ac:dyDescent="0.3">
      <c r="U607751" s="25"/>
    </row>
    <row r="607773" spans="21:21" x14ac:dyDescent="0.3">
      <c r="U607773" s="25"/>
    </row>
    <row r="607795" spans="21:21" x14ac:dyDescent="0.3">
      <c r="U607795" s="25"/>
    </row>
    <row r="607817" spans="21:21" x14ac:dyDescent="0.3">
      <c r="U607817" s="25"/>
    </row>
    <row r="607839" spans="21:21" x14ac:dyDescent="0.3">
      <c r="U607839" s="25"/>
    </row>
    <row r="607861" spans="21:21" x14ac:dyDescent="0.3">
      <c r="U607861" s="25"/>
    </row>
    <row r="607883" spans="21:21" x14ac:dyDescent="0.3">
      <c r="U607883" s="25"/>
    </row>
    <row r="607905" spans="21:21" x14ac:dyDescent="0.3">
      <c r="U607905" s="25"/>
    </row>
    <row r="607927" spans="21:21" x14ac:dyDescent="0.3">
      <c r="U607927" s="25"/>
    </row>
    <row r="607949" spans="21:21" x14ac:dyDescent="0.3">
      <c r="U607949" s="25"/>
    </row>
    <row r="607971" spans="21:21" x14ac:dyDescent="0.3">
      <c r="U607971" s="25"/>
    </row>
    <row r="607993" spans="21:21" x14ac:dyDescent="0.3">
      <c r="U607993" s="25"/>
    </row>
    <row r="608015" spans="21:21" x14ac:dyDescent="0.3">
      <c r="U608015" s="25"/>
    </row>
    <row r="608037" spans="21:21" x14ac:dyDescent="0.3">
      <c r="U608037" s="25"/>
    </row>
    <row r="608059" spans="21:21" x14ac:dyDescent="0.3">
      <c r="U608059" s="25"/>
    </row>
    <row r="608081" spans="21:21" x14ac:dyDescent="0.3">
      <c r="U608081" s="25"/>
    </row>
    <row r="608103" spans="21:21" x14ac:dyDescent="0.3">
      <c r="U608103" s="25"/>
    </row>
    <row r="608125" spans="21:21" x14ac:dyDescent="0.3">
      <c r="U608125" s="25"/>
    </row>
    <row r="608147" spans="21:21" x14ac:dyDescent="0.3">
      <c r="U608147" s="25"/>
    </row>
    <row r="608169" spans="21:21" x14ac:dyDescent="0.3">
      <c r="U608169" s="25"/>
    </row>
    <row r="608191" spans="21:21" x14ac:dyDescent="0.3">
      <c r="U608191" s="25"/>
    </row>
    <row r="608213" spans="21:21" x14ac:dyDescent="0.3">
      <c r="U608213" s="25"/>
    </row>
    <row r="608235" spans="21:21" x14ac:dyDescent="0.3">
      <c r="U608235" s="25"/>
    </row>
    <row r="608257" spans="21:21" x14ac:dyDescent="0.3">
      <c r="U608257" s="25"/>
    </row>
    <row r="608279" spans="21:21" x14ac:dyDescent="0.3">
      <c r="U608279" s="25"/>
    </row>
    <row r="608301" spans="21:21" x14ac:dyDescent="0.3">
      <c r="U608301" s="25"/>
    </row>
    <row r="608323" spans="21:21" x14ac:dyDescent="0.3">
      <c r="U608323" s="25"/>
    </row>
    <row r="608345" spans="21:21" x14ac:dyDescent="0.3">
      <c r="U608345" s="25"/>
    </row>
    <row r="608367" spans="21:21" x14ac:dyDescent="0.3">
      <c r="U608367" s="25"/>
    </row>
    <row r="608389" spans="21:21" x14ac:dyDescent="0.3">
      <c r="U608389" s="25"/>
    </row>
    <row r="608411" spans="21:21" x14ac:dyDescent="0.3">
      <c r="U608411" s="25"/>
    </row>
    <row r="608433" spans="21:21" x14ac:dyDescent="0.3">
      <c r="U608433" s="25"/>
    </row>
    <row r="608455" spans="21:21" x14ac:dyDescent="0.3">
      <c r="U608455" s="25"/>
    </row>
    <row r="608477" spans="21:21" x14ac:dyDescent="0.3">
      <c r="U608477" s="25"/>
    </row>
    <row r="608499" spans="21:21" x14ac:dyDescent="0.3">
      <c r="U608499" s="25"/>
    </row>
    <row r="608521" spans="21:21" x14ac:dyDescent="0.3">
      <c r="U608521" s="25"/>
    </row>
    <row r="608543" spans="21:21" x14ac:dyDescent="0.3">
      <c r="U608543" s="25"/>
    </row>
    <row r="608565" spans="21:21" x14ac:dyDescent="0.3">
      <c r="U608565" s="25"/>
    </row>
    <row r="608587" spans="21:21" x14ac:dyDescent="0.3">
      <c r="U608587" s="25"/>
    </row>
    <row r="608609" spans="21:21" x14ac:dyDescent="0.3">
      <c r="U608609" s="25"/>
    </row>
    <row r="608631" spans="21:21" x14ac:dyDescent="0.3">
      <c r="U608631" s="25"/>
    </row>
    <row r="608653" spans="21:21" x14ac:dyDescent="0.3">
      <c r="U608653" s="25"/>
    </row>
    <row r="608675" spans="21:21" x14ac:dyDescent="0.3">
      <c r="U608675" s="25"/>
    </row>
    <row r="608697" spans="21:21" x14ac:dyDescent="0.3">
      <c r="U608697" s="25"/>
    </row>
    <row r="608719" spans="21:21" x14ac:dyDescent="0.3">
      <c r="U608719" s="25"/>
    </row>
    <row r="608741" spans="21:21" x14ac:dyDescent="0.3">
      <c r="U608741" s="25"/>
    </row>
    <row r="608763" spans="21:21" x14ac:dyDescent="0.3">
      <c r="U608763" s="25"/>
    </row>
    <row r="608785" spans="21:21" x14ac:dyDescent="0.3">
      <c r="U608785" s="25"/>
    </row>
    <row r="608807" spans="21:21" x14ac:dyDescent="0.3">
      <c r="U608807" s="25"/>
    </row>
    <row r="608829" spans="21:21" x14ac:dyDescent="0.3">
      <c r="U608829" s="25"/>
    </row>
    <row r="608851" spans="21:21" x14ac:dyDescent="0.3">
      <c r="U608851" s="25"/>
    </row>
    <row r="608873" spans="21:21" x14ac:dyDescent="0.3">
      <c r="U608873" s="25"/>
    </row>
    <row r="608895" spans="21:21" x14ac:dyDescent="0.3">
      <c r="U608895" s="25"/>
    </row>
    <row r="608917" spans="21:21" x14ac:dyDescent="0.3">
      <c r="U608917" s="25"/>
    </row>
    <row r="608939" spans="21:21" x14ac:dyDescent="0.3">
      <c r="U608939" s="25"/>
    </row>
    <row r="608961" spans="21:21" x14ac:dyDescent="0.3">
      <c r="U608961" s="25"/>
    </row>
    <row r="608983" spans="21:21" x14ac:dyDescent="0.3">
      <c r="U608983" s="25"/>
    </row>
    <row r="609005" spans="21:21" x14ac:dyDescent="0.3">
      <c r="U609005" s="25"/>
    </row>
    <row r="609027" spans="21:21" x14ac:dyDescent="0.3">
      <c r="U609027" s="25"/>
    </row>
    <row r="609049" spans="21:21" x14ac:dyDescent="0.3">
      <c r="U609049" s="25"/>
    </row>
    <row r="609071" spans="21:21" x14ac:dyDescent="0.3">
      <c r="U609071" s="25"/>
    </row>
    <row r="609093" spans="21:21" x14ac:dyDescent="0.3">
      <c r="U609093" s="25"/>
    </row>
    <row r="609115" spans="21:21" x14ac:dyDescent="0.3">
      <c r="U609115" s="25"/>
    </row>
    <row r="609137" spans="21:21" x14ac:dyDescent="0.3">
      <c r="U609137" s="25"/>
    </row>
    <row r="609159" spans="21:21" x14ac:dyDescent="0.3">
      <c r="U609159" s="25"/>
    </row>
    <row r="609181" spans="21:21" x14ac:dyDescent="0.3">
      <c r="U609181" s="25"/>
    </row>
    <row r="609203" spans="21:21" x14ac:dyDescent="0.3">
      <c r="U609203" s="25"/>
    </row>
    <row r="609225" spans="21:21" x14ac:dyDescent="0.3">
      <c r="U609225" s="25"/>
    </row>
    <row r="609247" spans="21:21" x14ac:dyDescent="0.3">
      <c r="U609247" s="25"/>
    </row>
    <row r="609269" spans="21:21" x14ac:dyDescent="0.3">
      <c r="U609269" s="25"/>
    </row>
    <row r="609291" spans="21:21" x14ac:dyDescent="0.3">
      <c r="U609291" s="25"/>
    </row>
    <row r="609313" spans="21:21" x14ac:dyDescent="0.3">
      <c r="U609313" s="25"/>
    </row>
    <row r="609335" spans="21:21" x14ac:dyDescent="0.3">
      <c r="U609335" s="25"/>
    </row>
    <row r="609357" spans="21:21" x14ac:dyDescent="0.3">
      <c r="U609357" s="25"/>
    </row>
    <row r="609379" spans="21:21" x14ac:dyDescent="0.3">
      <c r="U609379" s="25"/>
    </row>
    <row r="609401" spans="21:21" x14ac:dyDescent="0.3">
      <c r="U609401" s="25"/>
    </row>
    <row r="609423" spans="21:21" x14ac:dyDescent="0.3">
      <c r="U609423" s="25"/>
    </row>
    <row r="609445" spans="21:21" x14ac:dyDescent="0.3">
      <c r="U609445" s="25"/>
    </row>
    <row r="609467" spans="21:21" x14ac:dyDescent="0.3">
      <c r="U609467" s="25"/>
    </row>
    <row r="609489" spans="21:21" x14ac:dyDescent="0.3">
      <c r="U609489" s="25"/>
    </row>
    <row r="609511" spans="21:21" x14ac:dyDescent="0.3">
      <c r="U609511" s="25"/>
    </row>
    <row r="609533" spans="21:21" x14ac:dyDescent="0.3">
      <c r="U609533" s="25"/>
    </row>
    <row r="609555" spans="21:21" x14ac:dyDescent="0.3">
      <c r="U609555" s="25"/>
    </row>
    <row r="609577" spans="21:21" x14ac:dyDescent="0.3">
      <c r="U609577" s="25"/>
    </row>
    <row r="609599" spans="21:21" x14ac:dyDescent="0.3">
      <c r="U609599" s="25"/>
    </row>
    <row r="609621" spans="21:21" x14ac:dyDescent="0.3">
      <c r="U609621" s="25"/>
    </row>
    <row r="609643" spans="21:21" x14ac:dyDescent="0.3">
      <c r="U609643" s="25"/>
    </row>
    <row r="609665" spans="21:21" x14ac:dyDescent="0.3">
      <c r="U609665" s="25"/>
    </row>
    <row r="609687" spans="21:21" x14ac:dyDescent="0.3">
      <c r="U609687" s="25"/>
    </row>
    <row r="609709" spans="21:21" x14ac:dyDescent="0.3">
      <c r="U609709" s="25"/>
    </row>
    <row r="609731" spans="21:21" x14ac:dyDescent="0.3">
      <c r="U609731" s="25"/>
    </row>
    <row r="609753" spans="21:21" x14ac:dyDescent="0.3">
      <c r="U609753" s="25"/>
    </row>
    <row r="609775" spans="21:21" x14ac:dyDescent="0.3">
      <c r="U609775" s="25"/>
    </row>
    <row r="609797" spans="21:21" x14ac:dyDescent="0.3">
      <c r="U609797" s="25"/>
    </row>
    <row r="609819" spans="21:21" x14ac:dyDescent="0.3">
      <c r="U609819" s="25"/>
    </row>
    <row r="609841" spans="21:21" x14ac:dyDescent="0.3">
      <c r="U609841" s="25"/>
    </row>
    <row r="609863" spans="21:21" x14ac:dyDescent="0.3">
      <c r="U609863" s="25"/>
    </row>
    <row r="609885" spans="21:21" x14ac:dyDescent="0.3">
      <c r="U609885" s="25"/>
    </row>
    <row r="609907" spans="21:21" x14ac:dyDescent="0.3">
      <c r="U609907" s="25"/>
    </row>
    <row r="609929" spans="21:21" x14ac:dyDescent="0.3">
      <c r="U609929" s="25"/>
    </row>
    <row r="609951" spans="21:21" x14ac:dyDescent="0.3">
      <c r="U609951" s="25"/>
    </row>
    <row r="609973" spans="21:21" x14ac:dyDescent="0.3">
      <c r="U609973" s="25"/>
    </row>
    <row r="609995" spans="21:21" x14ac:dyDescent="0.3">
      <c r="U609995" s="25"/>
    </row>
    <row r="610017" spans="21:21" x14ac:dyDescent="0.3">
      <c r="U610017" s="25"/>
    </row>
    <row r="610039" spans="21:21" x14ac:dyDescent="0.3">
      <c r="U610039" s="25"/>
    </row>
    <row r="610061" spans="21:21" x14ac:dyDescent="0.3">
      <c r="U610061" s="25"/>
    </row>
    <row r="610083" spans="21:21" x14ac:dyDescent="0.3">
      <c r="U610083" s="25"/>
    </row>
    <row r="610105" spans="21:21" x14ac:dyDescent="0.3">
      <c r="U610105" s="25"/>
    </row>
    <row r="610127" spans="21:21" x14ac:dyDescent="0.3">
      <c r="U610127" s="25"/>
    </row>
    <row r="610149" spans="21:21" x14ac:dyDescent="0.3">
      <c r="U610149" s="25"/>
    </row>
    <row r="610171" spans="21:21" x14ac:dyDescent="0.3">
      <c r="U610171" s="25"/>
    </row>
    <row r="610193" spans="21:21" x14ac:dyDescent="0.3">
      <c r="U610193" s="25"/>
    </row>
    <row r="610215" spans="21:21" x14ac:dyDescent="0.3">
      <c r="U610215" s="25"/>
    </row>
    <row r="610237" spans="21:21" x14ac:dyDescent="0.3">
      <c r="U610237" s="25"/>
    </row>
    <row r="610259" spans="21:21" x14ac:dyDescent="0.3">
      <c r="U610259" s="25"/>
    </row>
    <row r="610281" spans="21:21" x14ac:dyDescent="0.3">
      <c r="U610281" s="25"/>
    </row>
    <row r="610303" spans="21:21" x14ac:dyDescent="0.3">
      <c r="U610303" s="25"/>
    </row>
    <row r="610325" spans="21:21" x14ac:dyDescent="0.3">
      <c r="U610325" s="25"/>
    </row>
    <row r="610347" spans="21:21" x14ac:dyDescent="0.3">
      <c r="U610347" s="25"/>
    </row>
    <row r="610369" spans="21:21" x14ac:dyDescent="0.3">
      <c r="U610369" s="25"/>
    </row>
    <row r="610391" spans="21:21" x14ac:dyDescent="0.3">
      <c r="U610391" s="25"/>
    </row>
    <row r="610413" spans="21:21" x14ac:dyDescent="0.3">
      <c r="U610413" s="25"/>
    </row>
    <row r="610435" spans="21:21" x14ac:dyDescent="0.3">
      <c r="U610435" s="25"/>
    </row>
    <row r="610457" spans="21:21" x14ac:dyDescent="0.3">
      <c r="U610457" s="25"/>
    </row>
    <row r="610479" spans="21:21" x14ac:dyDescent="0.3">
      <c r="U610479" s="25"/>
    </row>
    <row r="610501" spans="21:21" x14ac:dyDescent="0.3">
      <c r="U610501" s="25"/>
    </row>
    <row r="610523" spans="21:21" x14ac:dyDescent="0.3">
      <c r="U610523" s="25"/>
    </row>
    <row r="610545" spans="21:21" x14ac:dyDescent="0.3">
      <c r="U610545" s="25"/>
    </row>
    <row r="610567" spans="21:21" x14ac:dyDescent="0.3">
      <c r="U610567" s="25"/>
    </row>
    <row r="610589" spans="21:21" x14ac:dyDescent="0.3">
      <c r="U610589" s="25"/>
    </row>
    <row r="610611" spans="21:21" x14ac:dyDescent="0.3">
      <c r="U610611" s="25"/>
    </row>
    <row r="610633" spans="21:21" x14ac:dyDescent="0.3">
      <c r="U610633" s="25"/>
    </row>
    <row r="610655" spans="21:21" x14ac:dyDescent="0.3">
      <c r="U610655" s="25"/>
    </row>
    <row r="610677" spans="21:21" x14ac:dyDescent="0.3">
      <c r="U610677" s="25"/>
    </row>
    <row r="610699" spans="21:21" x14ac:dyDescent="0.3">
      <c r="U610699" s="25"/>
    </row>
    <row r="610721" spans="21:21" x14ac:dyDescent="0.3">
      <c r="U610721" s="25"/>
    </row>
    <row r="610743" spans="21:21" x14ac:dyDescent="0.3">
      <c r="U610743" s="25"/>
    </row>
    <row r="610765" spans="21:21" x14ac:dyDescent="0.3">
      <c r="U610765" s="25"/>
    </row>
    <row r="610787" spans="21:21" x14ac:dyDescent="0.3">
      <c r="U610787" s="25"/>
    </row>
    <row r="610809" spans="21:21" x14ac:dyDescent="0.3">
      <c r="U610809" s="25"/>
    </row>
    <row r="610831" spans="21:21" x14ac:dyDescent="0.3">
      <c r="U610831" s="25"/>
    </row>
    <row r="610853" spans="21:21" x14ac:dyDescent="0.3">
      <c r="U610853" s="25"/>
    </row>
    <row r="610875" spans="21:21" x14ac:dyDescent="0.3">
      <c r="U610875" s="25"/>
    </row>
    <row r="610897" spans="21:21" x14ac:dyDescent="0.3">
      <c r="U610897" s="25"/>
    </row>
    <row r="610919" spans="21:21" x14ac:dyDescent="0.3">
      <c r="U610919" s="25"/>
    </row>
    <row r="610941" spans="21:21" x14ac:dyDescent="0.3">
      <c r="U610941" s="25"/>
    </row>
    <row r="610963" spans="21:21" x14ac:dyDescent="0.3">
      <c r="U610963" s="25"/>
    </row>
    <row r="610985" spans="21:21" x14ac:dyDescent="0.3">
      <c r="U610985" s="25"/>
    </row>
    <row r="611007" spans="21:21" x14ac:dyDescent="0.3">
      <c r="U611007" s="25"/>
    </row>
    <row r="611029" spans="21:21" x14ac:dyDescent="0.3">
      <c r="U611029" s="25"/>
    </row>
    <row r="611051" spans="21:21" x14ac:dyDescent="0.3">
      <c r="U611051" s="25"/>
    </row>
    <row r="611073" spans="21:21" x14ac:dyDescent="0.3">
      <c r="U611073" s="25"/>
    </row>
    <row r="611095" spans="21:21" x14ac:dyDescent="0.3">
      <c r="U611095" s="25"/>
    </row>
    <row r="611117" spans="21:21" x14ac:dyDescent="0.3">
      <c r="U611117" s="25"/>
    </row>
    <row r="611139" spans="21:21" x14ac:dyDescent="0.3">
      <c r="U611139" s="25"/>
    </row>
    <row r="611161" spans="21:21" x14ac:dyDescent="0.3">
      <c r="U611161" s="25"/>
    </row>
    <row r="611183" spans="21:21" x14ac:dyDescent="0.3">
      <c r="U611183" s="25"/>
    </row>
    <row r="611205" spans="21:21" x14ac:dyDescent="0.3">
      <c r="U611205" s="25"/>
    </row>
    <row r="611227" spans="21:21" x14ac:dyDescent="0.3">
      <c r="U611227" s="25"/>
    </row>
    <row r="611249" spans="21:21" x14ac:dyDescent="0.3">
      <c r="U611249" s="25"/>
    </row>
    <row r="611271" spans="21:21" x14ac:dyDescent="0.3">
      <c r="U611271" s="25"/>
    </row>
    <row r="611293" spans="21:21" x14ac:dyDescent="0.3">
      <c r="U611293" s="25"/>
    </row>
    <row r="611315" spans="21:21" x14ac:dyDescent="0.3">
      <c r="U611315" s="25"/>
    </row>
    <row r="611337" spans="21:21" x14ac:dyDescent="0.3">
      <c r="U611337" s="25"/>
    </row>
    <row r="611359" spans="21:21" x14ac:dyDescent="0.3">
      <c r="U611359" s="25"/>
    </row>
    <row r="611381" spans="21:21" x14ac:dyDescent="0.3">
      <c r="U611381" s="25"/>
    </row>
    <row r="611403" spans="21:21" x14ac:dyDescent="0.3">
      <c r="U611403" s="25"/>
    </row>
    <row r="611425" spans="21:21" x14ac:dyDescent="0.3">
      <c r="U611425" s="25"/>
    </row>
    <row r="611447" spans="21:21" x14ac:dyDescent="0.3">
      <c r="U611447" s="25"/>
    </row>
    <row r="611469" spans="21:21" x14ac:dyDescent="0.3">
      <c r="U611469" s="25"/>
    </row>
    <row r="611491" spans="21:21" x14ac:dyDescent="0.3">
      <c r="U611491" s="25"/>
    </row>
    <row r="611513" spans="21:21" x14ac:dyDescent="0.3">
      <c r="U611513" s="25"/>
    </row>
    <row r="611535" spans="21:21" x14ac:dyDescent="0.3">
      <c r="U611535" s="25"/>
    </row>
    <row r="611557" spans="21:21" x14ac:dyDescent="0.3">
      <c r="U611557" s="25"/>
    </row>
    <row r="611579" spans="21:21" x14ac:dyDescent="0.3">
      <c r="U611579" s="25"/>
    </row>
    <row r="611601" spans="21:21" x14ac:dyDescent="0.3">
      <c r="U611601" s="25"/>
    </row>
    <row r="611623" spans="21:21" x14ac:dyDescent="0.3">
      <c r="U611623" s="25"/>
    </row>
    <row r="611645" spans="21:21" x14ac:dyDescent="0.3">
      <c r="U611645" s="25"/>
    </row>
    <row r="611667" spans="21:21" x14ac:dyDescent="0.3">
      <c r="U611667" s="25"/>
    </row>
    <row r="611689" spans="21:21" x14ac:dyDescent="0.3">
      <c r="U611689" s="25"/>
    </row>
    <row r="611711" spans="21:21" x14ac:dyDescent="0.3">
      <c r="U611711" s="25"/>
    </row>
    <row r="611733" spans="21:21" x14ac:dyDescent="0.3">
      <c r="U611733" s="25"/>
    </row>
    <row r="611755" spans="21:21" x14ac:dyDescent="0.3">
      <c r="U611755" s="25"/>
    </row>
    <row r="611777" spans="21:21" x14ac:dyDescent="0.3">
      <c r="U611777" s="25"/>
    </row>
    <row r="611799" spans="21:21" x14ac:dyDescent="0.3">
      <c r="U611799" s="25"/>
    </row>
    <row r="611821" spans="21:21" x14ac:dyDescent="0.3">
      <c r="U611821" s="25"/>
    </row>
    <row r="611843" spans="21:21" x14ac:dyDescent="0.3">
      <c r="U611843" s="25"/>
    </row>
    <row r="611865" spans="21:21" x14ac:dyDescent="0.3">
      <c r="U611865" s="25"/>
    </row>
    <row r="611887" spans="21:21" x14ac:dyDescent="0.3">
      <c r="U611887" s="25"/>
    </row>
    <row r="611909" spans="21:21" x14ac:dyDescent="0.3">
      <c r="U611909" s="25"/>
    </row>
    <row r="611931" spans="21:21" x14ac:dyDescent="0.3">
      <c r="U611931" s="25"/>
    </row>
    <row r="611953" spans="21:21" x14ac:dyDescent="0.3">
      <c r="U611953" s="25"/>
    </row>
    <row r="611975" spans="21:21" x14ac:dyDescent="0.3">
      <c r="U611975" s="25"/>
    </row>
    <row r="611997" spans="21:21" x14ac:dyDescent="0.3">
      <c r="U611997" s="25"/>
    </row>
    <row r="612019" spans="21:21" x14ac:dyDescent="0.3">
      <c r="U612019" s="25"/>
    </row>
    <row r="612041" spans="21:21" x14ac:dyDescent="0.3">
      <c r="U612041" s="25"/>
    </row>
    <row r="612063" spans="21:21" x14ac:dyDescent="0.3">
      <c r="U612063" s="25"/>
    </row>
    <row r="612085" spans="21:21" x14ac:dyDescent="0.3">
      <c r="U612085" s="25"/>
    </row>
    <row r="612107" spans="21:21" x14ac:dyDescent="0.3">
      <c r="U612107" s="25"/>
    </row>
    <row r="612129" spans="21:21" x14ac:dyDescent="0.3">
      <c r="U612129" s="25"/>
    </row>
    <row r="612151" spans="21:21" x14ac:dyDescent="0.3">
      <c r="U612151" s="25"/>
    </row>
    <row r="612173" spans="21:21" x14ac:dyDescent="0.3">
      <c r="U612173" s="25"/>
    </row>
    <row r="612195" spans="21:21" x14ac:dyDescent="0.3">
      <c r="U612195" s="25"/>
    </row>
    <row r="612217" spans="21:21" x14ac:dyDescent="0.3">
      <c r="U612217" s="25"/>
    </row>
    <row r="612239" spans="21:21" x14ac:dyDescent="0.3">
      <c r="U612239" s="25"/>
    </row>
    <row r="612261" spans="21:21" x14ac:dyDescent="0.3">
      <c r="U612261" s="25"/>
    </row>
    <row r="612283" spans="21:21" x14ac:dyDescent="0.3">
      <c r="U612283" s="25"/>
    </row>
    <row r="612305" spans="21:21" x14ac:dyDescent="0.3">
      <c r="U612305" s="25"/>
    </row>
    <row r="612327" spans="21:21" x14ac:dyDescent="0.3">
      <c r="U612327" s="25"/>
    </row>
    <row r="612349" spans="21:21" x14ac:dyDescent="0.3">
      <c r="U612349" s="25"/>
    </row>
    <row r="612371" spans="21:21" x14ac:dyDescent="0.3">
      <c r="U612371" s="25"/>
    </row>
    <row r="612393" spans="21:21" x14ac:dyDescent="0.3">
      <c r="U612393" s="25"/>
    </row>
    <row r="612415" spans="21:21" x14ac:dyDescent="0.3">
      <c r="U612415" s="25"/>
    </row>
    <row r="612437" spans="21:21" x14ac:dyDescent="0.3">
      <c r="U612437" s="25"/>
    </row>
    <row r="612459" spans="21:21" x14ac:dyDescent="0.3">
      <c r="U612459" s="25"/>
    </row>
    <row r="612481" spans="21:21" x14ac:dyDescent="0.3">
      <c r="U612481" s="25"/>
    </row>
    <row r="612503" spans="21:21" x14ac:dyDescent="0.3">
      <c r="U612503" s="25"/>
    </row>
    <row r="612525" spans="21:21" x14ac:dyDescent="0.3">
      <c r="U612525" s="25"/>
    </row>
    <row r="612547" spans="21:21" x14ac:dyDescent="0.3">
      <c r="U612547" s="25"/>
    </row>
    <row r="612569" spans="21:21" x14ac:dyDescent="0.3">
      <c r="U612569" s="25"/>
    </row>
    <row r="612591" spans="21:21" x14ac:dyDescent="0.3">
      <c r="U612591" s="25"/>
    </row>
    <row r="612613" spans="21:21" x14ac:dyDescent="0.3">
      <c r="U612613" s="25"/>
    </row>
    <row r="612635" spans="21:21" x14ac:dyDescent="0.3">
      <c r="U612635" s="25"/>
    </row>
    <row r="612657" spans="21:21" x14ac:dyDescent="0.3">
      <c r="U612657" s="25"/>
    </row>
    <row r="612679" spans="21:21" x14ac:dyDescent="0.3">
      <c r="U612679" s="25"/>
    </row>
    <row r="612701" spans="21:21" x14ac:dyDescent="0.3">
      <c r="U612701" s="25"/>
    </row>
    <row r="612723" spans="21:21" x14ac:dyDescent="0.3">
      <c r="U612723" s="25"/>
    </row>
    <row r="612745" spans="21:21" x14ac:dyDescent="0.3">
      <c r="U612745" s="25"/>
    </row>
    <row r="612767" spans="21:21" x14ac:dyDescent="0.3">
      <c r="U612767" s="25"/>
    </row>
    <row r="612789" spans="21:21" x14ac:dyDescent="0.3">
      <c r="U612789" s="25"/>
    </row>
    <row r="612811" spans="21:21" x14ac:dyDescent="0.3">
      <c r="U612811" s="25"/>
    </row>
    <row r="612833" spans="21:21" x14ac:dyDescent="0.3">
      <c r="U612833" s="25"/>
    </row>
    <row r="612855" spans="21:21" x14ac:dyDescent="0.3">
      <c r="U612855" s="25"/>
    </row>
    <row r="612877" spans="21:21" x14ac:dyDescent="0.3">
      <c r="U612877" s="25"/>
    </row>
    <row r="612899" spans="21:21" x14ac:dyDescent="0.3">
      <c r="U612899" s="25"/>
    </row>
    <row r="612921" spans="21:21" x14ac:dyDescent="0.3">
      <c r="U612921" s="25"/>
    </row>
    <row r="612943" spans="21:21" x14ac:dyDescent="0.3">
      <c r="U612943" s="25"/>
    </row>
    <row r="612965" spans="21:21" x14ac:dyDescent="0.3">
      <c r="U612965" s="25"/>
    </row>
    <row r="612987" spans="21:21" x14ac:dyDescent="0.3">
      <c r="U612987" s="25"/>
    </row>
    <row r="613009" spans="21:21" x14ac:dyDescent="0.3">
      <c r="U613009" s="25"/>
    </row>
    <row r="613031" spans="21:21" x14ac:dyDescent="0.3">
      <c r="U613031" s="25"/>
    </row>
    <row r="613053" spans="21:21" x14ac:dyDescent="0.3">
      <c r="U613053" s="25"/>
    </row>
    <row r="613075" spans="21:21" x14ac:dyDescent="0.3">
      <c r="U613075" s="25"/>
    </row>
    <row r="613097" spans="21:21" x14ac:dyDescent="0.3">
      <c r="U613097" s="25"/>
    </row>
    <row r="613119" spans="21:21" x14ac:dyDescent="0.3">
      <c r="U613119" s="25"/>
    </row>
    <row r="613141" spans="21:21" x14ac:dyDescent="0.3">
      <c r="U613141" s="25"/>
    </row>
    <row r="613163" spans="21:21" x14ac:dyDescent="0.3">
      <c r="U613163" s="25"/>
    </row>
    <row r="613185" spans="21:21" x14ac:dyDescent="0.3">
      <c r="U613185" s="25"/>
    </row>
    <row r="613207" spans="21:21" x14ac:dyDescent="0.3">
      <c r="U613207" s="25"/>
    </row>
    <row r="613229" spans="21:21" x14ac:dyDescent="0.3">
      <c r="U613229" s="25"/>
    </row>
    <row r="613251" spans="21:21" x14ac:dyDescent="0.3">
      <c r="U613251" s="25"/>
    </row>
    <row r="613273" spans="21:21" x14ac:dyDescent="0.3">
      <c r="U613273" s="25"/>
    </row>
    <row r="613295" spans="21:21" x14ac:dyDescent="0.3">
      <c r="U613295" s="25"/>
    </row>
    <row r="613317" spans="21:21" x14ac:dyDescent="0.3">
      <c r="U613317" s="25"/>
    </row>
    <row r="613339" spans="21:21" x14ac:dyDescent="0.3">
      <c r="U613339" s="25"/>
    </row>
    <row r="613361" spans="21:21" x14ac:dyDescent="0.3">
      <c r="U613361" s="25"/>
    </row>
    <row r="613383" spans="21:21" x14ac:dyDescent="0.3">
      <c r="U613383" s="25"/>
    </row>
    <row r="613405" spans="21:21" x14ac:dyDescent="0.3">
      <c r="U613405" s="25"/>
    </row>
    <row r="613427" spans="21:21" x14ac:dyDescent="0.3">
      <c r="U613427" s="25"/>
    </row>
    <row r="613449" spans="21:21" x14ac:dyDescent="0.3">
      <c r="U613449" s="25"/>
    </row>
    <row r="613471" spans="21:21" x14ac:dyDescent="0.3">
      <c r="U613471" s="25"/>
    </row>
    <row r="613493" spans="21:21" x14ac:dyDescent="0.3">
      <c r="U613493" s="25"/>
    </row>
    <row r="613515" spans="21:21" x14ac:dyDescent="0.3">
      <c r="U613515" s="25"/>
    </row>
    <row r="613537" spans="21:21" x14ac:dyDescent="0.3">
      <c r="U613537" s="25"/>
    </row>
    <row r="613559" spans="21:21" x14ac:dyDescent="0.3">
      <c r="U613559" s="25"/>
    </row>
    <row r="613581" spans="21:21" x14ac:dyDescent="0.3">
      <c r="U613581" s="25"/>
    </row>
    <row r="613603" spans="21:21" x14ac:dyDescent="0.3">
      <c r="U613603" s="25"/>
    </row>
    <row r="613625" spans="21:21" x14ac:dyDescent="0.3">
      <c r="U613625" s="25"/>
    </row>
    <row r="613647" spans="21:21" x14ac:dyDescent="0.3">
      <c r="U613647" s="25"/>
    </row>
    <row r="613669" spans="21:21" x14ac:dyDescent="0.3">
      <c r="U613669" s="25"/>
    </row>
    <row r="613691" spans="21:21" x14ac:dyDescent="0.3">
      <c r="U613691" s="25"/>
    </row>
    <row r="613713" spans="21:21" x14ac:dyDescent="0.3">
      <c r="U613713" s="25"/>
    </row>
    <row r="613735" spans="21:21" x14ac:dyDescent="0.3">
      <c r="U613735" s="25"/>
    </row>
    <row r="613757" spans="21:21" x14ac:dyDescent="0.3">
      <c r="U613757" s="25"/>
    </row>
    <row r="613779" spans="21:21" x14ac:dyDescent="0.3">
      <c r="U613779" s="25"/>
    </row>
    <row r="613801" spans="21:21" x14ac:dyDescent="0.3">
      <c r="U613801" s="25"/>
    </row>
    <row r="613823" spans="21:21" x14ac:dyDescent="0.3">
      <c r="U613823" s="25"/>
    </row>
    <row r="613845" spans="21:21" x14ac:dyDescent="0.3">
      <c r="U613845" s="25"/>
    </row>
    <row r="613867" spans="21:21" x14ac:dyDescent="0.3">
      <c r="U613867" s="25"/>
    </row>
    <row r="613889" spans="21:21" x14ac:dyDescent="0.3">
      <c r="U613889" s="25"/>
    </row>
    <row r="613911" spans="21:21" x14ac:dyDescent="0.3">
      <c r="U613911" s="25"/>
    </row>
    <row r="613933" spans="21:21" x14ac:dyDescent="0.3">
      <c r="U613933" s="25"/>
    </row>
    <row r="613955" spans="21:21" x14ac:dyDescent="0.3">
      <c r="U613955" s="25"/>
    </row>
    <row r="613977" spans="21:21" x14ac:dyDescent="0.3">
      <c r="U613977" s="25"/>
    </row>
    <row r="613999" spans="21:21" x14ac:dyDescent="0.3">
      <c r="U613999" s="25"/>
    </row>
    <row r="614021" spans="21:21" x14ac:dyDescent="0.3">
      <c r="U614021" s="25"/>
    </row>
    <row r="614043" spans="21:21" x14ac:dyDescent="0.3">
      <c r="U614043" s="25"/>
    </row>
    <row r="614065" spans="21:21" x14ac:dyDescent="0.3">
      <c r="U614065" s="25"/>
    </row>
    <row r="614087" spans="21:21" x14ac:dyDescent="0.3">
      <c r="U614087" s="25"/>
    </row>
    <row r="614109" spans="21:21" x14ac:dyDescent="0.3">
      <c r="U614109" s="25"/>
    </row>
    <row r="614131" spans="21:21" x14ac:dyDescent="0.3">
      <c r="U614131" s="25"/>
    </row>
    <row r="614153" spans="21:21" x14ac:dyDescent="0.3">
      <c r="U614153" s="25"/>
    </row>
    <row r="614175" spans="21:21" x14ac:dyDescent="0.3">
      <c r="U614175" s="25"/>
    </row>
    <row r="614197" spans="21:21" x14ac:dyDescent="0.3">
      <c r="U614197" s="25"/>
    </row>
    <row r="614219" spans="21:21" x14ac:dyDescent="0.3">
      <c r="U614219" s="25"/>
    </row>
    <row r="614241" spans="21:21" x14ac:dyDescent="0.3">
      <c r="U614241" s="25"/>
    </row>
    <row r="614263" spans="21:21" x14ac:dyDescent="0.3">
      <c r="U614263" s="25"/>
    </row>
    <row r="614285" spans="21:21" x14ac:dyDescent="0.3">
      <c r="U614285" s="25"/>
    </row>
    <row r="614307" spans="21:21" x14ac:dyDescent="0.3">
      <c r="U614307" s="25"/>
    </row>
    <row r="614329" spans="21:21" x14ac:dyDescent="0.3">
      <c r="U614329" s="25"/>
    </row>
    <row r="614351" spans="21:21" x14ac:dyDescent="0.3">
      <c r="U614351" s="25"/>
    </row>
    <row r="614373" spans="21:21" x14ac:dyDescent="0.3">
      <c r="U614373" s="25"/>
    </row>
    <row r="614395" spans="21:21" x14ac:dyDescent="0.3">
      <c r="U614395" s="25"/>
    </row>
    <row r="614417" spans="21:21" x14ac:dyDescent="0.3">
      <c r="U614417" s="25"/>
    </row>
    <row r="614439" spans="21:21" x14ac:dyDescent="0.3">
      <c r="U614439" s="25"/>
    </row>
    <row r="614461" spans="21:21" x14ac:dyDescent="0.3">
      <c r="U614461" s="25"/>
    </row>
    <row r="614483" spans="21:21" x14ac:dyDescent="0.3">
      <c r="U614483" s="25"/>
    </row>
    <row r="614505" spans="21:21" x14ac:dyDescent="0.3">
      <c r="U614505" s="25"/>
    </row>
    <row r="614527" spans="21:21" x14ac:dyDescent="0.3">
      <c r="U614527" s="25"/>
    </row>
    <row r="614549" spans="21:21" x14ac:dyDescent="0.3">
      <c r="U614549" s="25"/>
    </row>
    <row r="614571" spans="21:21" x14ac:dyDescent="0.3">
      <c r="U614571" s="25"/>
    </row>
    <row r="614593" spans="21:21" x14ac:dyDescent="0.3">
      <c r="U614593" s="25"/>
    </row>
    <row r="614615" spans="21:21" x14ac:dyDescent="0.3">
      <c r="U614615" s="25"/>
    </row>
    <row r="614637" spans="21:21" x14ac:dyDescent="0.3">
      <c r="U614637" s="25"/>
    </row>
    <row r="614659" spans="21:21" x14ac:dyDescent="0.3">
      <c r="U614659" s="25"/>
    </row>
    <row r="614681" spans="21:21" x14ac:dyDescent="0.3">
      <c r="U614681" s="25"/>
    </row>
    <row r="614703" spans="21:21" x14ac:dyDescent="0.3">
      <c r="U614703" s="25"/>
    </row>
    <row r="614725" spans="21:21" x14ac:dyDescent="0.3">
      <c r="U614725" s="25"/>
    </row>
    <row r="614747" spans="21:21" x14ac:dyDescent="0.3">
      <c r="U614747" s="25"/>
    </row>
    <row r="614769" spans="21:21" x14ac:dyDescent="0.3">
      <c r="U614769" s="25"/>
    </row>
    <row r="614791" spans="21:21" x14ac:dyDescent="0.3">
      <c r="U614791" s="25"/>
    </row>
    <row r="614813" spans="21:21" x14ac:dyDescent="0.3">
      <c r="U614813" s="25"/>
    </row>
    <row r="614835" spans="21:21" x14ac:dyDescent="0.3">
      <c r="U614835" s="25"/>
    </row>
    <row r="614857" spans="21:21" x14ac:dyDescent="0.3">
      <c r="U614857" s="25"/>
    </row>
    <row r="614879" spans="21:21" x14ac:dyDescent="0.3">
      <c r="U614879" s="25"/>
    </row>
    <row r="614901" spans="21:21" x14ac:dyDescent="0.3">
      <c r="U614901" s="25"/>
    </row>
    <row r="614923" spans="21:21" x14ac:dyDescent="0.3">
      <c r="U614923" s="25"/>
    </row>
    <row r="614945" spans="21:21" x14ac:dyDescent="0.3">
      <c r="U614945" s="25"/>
    </row>
    <row r="614967" spans="21:21" x14ac:dyDescent="0.3">
      <c r="U614967" s="25"/>
    </row>
    <row r="614989" spans="21:21" x14ac:dyDescent="0.3">
      <c r="U614989" s="25"/>
    </row>
    <row r="615011" spans="21:21" x14ac:dyDescent="0.3">
      <c r="U615011" s="25"/>
    </row>
    <row r="615033" spans="21:21" x14ac:dyDescent="0.3">
      <c r="U615033" s="25"/>
    </row>
    <row r="615055" spans="21:21" x14ac:dyDescent="0.3">
      <c r="U615055" s="25"/>
    </row>
    <row r="615077" spans="21:21" x14ac:dyDescent="0.3">
      <c r="U615077" s="25"/>
    </row>
    <row r="615099" spans="21:21" x14ac:dyDescent="0.3">
      <c r="U615099" s="25"/>
    </row>
    <row r="615121" spans="21:21" x14ac:dyDescent="0.3">
      <c r="U615121" s="25"/>
    </row>
    <row r="615143" spans="21:21" x14ac:dyDescent="0.3">
      <c r="U615143" s="25"/>
    </row>
    <row r="615165" spans="21:21" x14ac:dyDescent="0.3">
      <c r="U615165" s="25"/>
    </row>
    <row r="615187" spans="21:21" x14ac:dyDescent="0.3">
      <c r="U615187" s="25"/>
    </row>
    <row r="615209" spans="21:21" x14ac:dyDescent="0.3">
      <c r="U615209" s="25"/>
    </row>
    <row r="615231" spans="21:21" x14ac:dyDescent="0.3">
      <c r="U615231" s="25"/>
    </row>
    <row r="615253" spans="21:21" x14ac:dyDescent="0.3">
      <c r="U615253" s="25"/>
    </row>
    <row r="615275" spans="21:21" x14ac:dyDescent="0.3">
      <c r="U615275" s="25"/>
    </row>
    <row r="615297" spans="21:21" x14ac:dyDescent="0.3">
      <c r="U615297" s="25"/>
    </row>
    <row r="615319" spans="21:21" x14ac:dyDescent="0.3">
      <c r="U615319" s="25"/>
    </row>
    <row r="615341" spans="21:21" x14ac:dyDescent="0.3">
      <c r="U615341" s="25"/>
    </row>
    <row r="615363" spans="21:21" x14ac:dyDescent="0.3">
      <c r="U615363" s="25"/>
    </row>
    <row r="615385" spans="21:21" x14ac:dyDescent="0.3">
      <c r="U615385" s="25"/>
    </row>
    <row r="615407" spans="21:21" x14ac:dyDescent="0.3">
      <c r="U615407" s="25"/>
    </row>
    <row r="615429" spans="21:21" x14ac:dyDescent="0.3">
      <c r="U615429" s="25"/>
    </row>
    <row r="615451" spans="21:21" x14ac:dyDescent="0.3">
      <c r="U615451" s="25"/>
    </row>
    <row r="615473" spans="21:21" x14ac:dyDescent="0.3">
      <c r="U615473" s="25"/>
    </row>
    <row r="615495" spans="21:21" x14ac:dyDescent="0.3">
      <c r="U615495" s="25"/>
    </row>
    <row r="615517" spans="21:21" x14ac:dyDescent="0.3">
      <c r="U615517" s="25"/>
    </row>
    <row r="615539" spans="21:21" x14ac:dyDescent="0.3">
      <c r="U615539" s="25"/>
    </row>
    <row r="615561" spans="21:21" x14ac:dyDescent="0.3">
      <c r="U615561" s="25"/>
    </row>
    <row r="615583" spans="21:21" x14ac:dyDescent="0.3">
      <c r="U615583" s="25"/>
    </row>
    <row r="615605" spans="21:21" x14ac:dyDescent="0.3">
      <c r="U615605" s="25"/>
    </row>
    <row r="615627" spans="21:21" x14ac:dyDescent="0.3">
      <c r="U615627" s="25"/>
    </row>
    <row r="615649" spans="21:21" x14ac:dyDescent="0.3">
      <c r="U615649" s="25"/>
    </row>
    <row r="615671" spans="21:21" x14ac:dyDescent="0.3">
      <c r="U615671" s="25"/>
    </row>
    <row r="615693" spans="21:21" x14ac:dyDescent="0.3">
      <c r="U615693" s="25"/>
    </row>
    <row r="615715" spans="21:21" x14ac:dyDescent="0.3">
      <c r="U615715" s="25"/>
    </row>
    <row r="615737" spans="21:21" x14ac:dyDescent="0.3">
      <c r="U615737" s="25"/>
    </row>
    <row r="615759" spans="21:21" x14ac:dyDescent="0.3">
      <c r="U615759" s="25"/>
    </row>
    <row r="615781" spans="21:21" x14ac:dyDescent="0.3">
      <c r="U615781" s="25"/>
    </row>
    <row r="615803" spans="21:21" x14ac:dyDescent="0.3">
      <c r="U615803" s="25"/>
    </row>
    <row r="615825" spans="21:21" x14ac:dyDescent="0.3">
      <c r="U615825" s="25"/>
    </row>
    <row r="615847" spans="21:21" x14ac:dyDescent="0.3">
      <c r="U615847" s="25"/>
    </row>
    <row r="615869" spans="21:21" x14ac:dyDescent="0.3">
      <c r="U615869" s="25"/>
    </row>
    <row r="615891" spans="21:21" x14ac:dyDescent="0.3">
      <c r="U615891" s="25"/>
    </row>
    <row r="615913" spans="21:21" x14ac:dyDescent="0.3">
      <c r="U615913" s="25"/>
    </row>
    <row r="615935" spans="21:21" x14ac:dyDescent="0.3">
      <c r="U615935" s="25"/>
    </row>
    <row r="615957" spans="21:21" x14ac:dyDescent="0.3">
      <c r="U615957" s="25"/>
    </row>
    <row r="615979" spans="21:21" x14ac:dyDescent="0.3">
      <c r="U615979" s="25"/>
    </row>
    <row r="616001" spans="21:21" x14ac:dyDescent="0.3">
      <c r="U616001" s="25"/>
    </row>
    <row r="616023" spans="21:21" x14ac:dyDescent="0.3">
      <c r="U616023" s="25"/>
    </row>
    <row r="616045" spans="21:21" x14ac:dyDescent="0.3">
      <c r="U616045" s="25"/>
    </row>
    <row r="616067" spans="21:21" x14ac:dyDescent="0.3">
      <c r="U616067" s="25"/>
    </row>
    <row r="616089" spans="21:21" x14ac:dyDescent="0.3">
      <c r="U616089" s="25"/>
    </row>
    <row r="616111" spans="21:21" x14ac:dyDescent="0.3">
      <c r="U616111" s="25"/>
    </row>
    <row r="616133" spans="21:21" x14ac:dyDescent="0.3">
      <c r="U616133" s="25"/>
    </row>
    <row r="616155" spans="21:21" x14ac:dyDescent="0.3">
      <c r="U616155" s="25"/>
    </row>
    <row r="616177" spans="21:21" x14ac:dyDescent="0.3">
      <c r="U616177" s="25"/>
    </row>
    <row r="616199" spans="21:21" x14ac:dyDescent="0.3">
      <c r="U616199" s="25"/>
    </row>
    <row r="616221" spans="21:21" x14ac:dyDescent="0.3">
      <c r="U616221" s="25"/>
    </row>
    <row r="616243" spans="21:21" x14ac:dyDescent="0.3">
      <c r="U616243" s="25"/>
    </row>
    <row r="616265" spans="21:21" x14ac:dyDescent="0.3">
      <c r="U616265" s="25"/>
    </row>
    <row r="616287" spans="21:21" x14ac:dyDescent="0.3">
      <c r="U616287" s="25"/>
    </row>
    <row r="616309" spans="21:21" x14ac:dyDescent="0.3">
      <c r="U616309" s="25"/>
    </row>
    <row r="616331" spans="21:21" x14ac:dyDescent="0.3">
      <c r="U616331" s="25"/>
    </row>
    <row r="616353" spans="21:21" x14ac:dyDescent="0.3">
      <c r="U616353" s="25"/>
    </row>
    <row r="616375" spans="21:21" x14ac:dyDescent="0.3">
      <c r="U616375" s="25"/>
    </row>
    <row r="616397" spans="21:21" x14ac:dyDescent="0.3">
      <c r="U616397" s="25"/>
    </row>
    <row r="616419" spans="21:21" x14ac:dyDescent="0.3">
      <c r="U616419" s="25"/>
    </row>
    <row r="616441" spans="21:21" x14ac:dyDescent="0.3">
      <c r="U616441" s="25"/>
    </row>
    <row r="616463" spans="21:21" x14ac:dyDescent="0.3">
      <c r="U616463" s="25"/>
    </row>
    <row r="616485" spans="21:21" x14ac:dyDescent="0.3">
      <c r="U616485" s="25"/>
    </row>
    <row r="616507" spans="21:21" x14ac:dyDescent="0.3">
      <c r="U616507" s="25"/>
    </row>
    <row r="616529" spans="21:21" x14ac:dyDescent="0.3">
      <c r="U616529" s="25"/>
    </row>
    <row r="616551" spans="21:21" x14ac:dyDescent="0.3">
      <c r="U616551" s="25"/>
    </row>
    <row r="616573" spans="21:21" x14ac:dyDescent="0.3">
      <c r="U616573" s="25"/>
    </row>
    <row r="616595" spans="21:21" x14ac:dyDescent="0.3">
      <c r="U616595" s="25"/>
    </row>
    <row r="616617" spans="21:21" x14ac:dyDescent="0.3">
      <c r="U616617" s="25"/>
    </row>
    <row r="616639" spans="21:21" x14ac:dyDescent="0.3">
      <c r="U616639" s="25"/>
    </row>
    <row r="616661" spans="21:21" x14ac:dyDescent="0.3">
      <c r="U616661" s="25"/>
    </row>
    <row r="616683" spans="21:21" x14ac:dyDescent="0.3">
      <c r="U616683" s="25"/>
    </row>
    <row r="616705" spans="21:21" x14ac:dyDescent="0.3">
      <c r="U616705" s="25"/>
    </row>
    <row r="616727" spans="21:21" x14ac:dyDescent="0.3">
      <c r="U616727" s="25"/>
    </row>
    <row r="616749" spans="21:21" x14ac:dyDescent="0.3">
      <c r="U616749" s="25"/>
    </row>
    <row r="616771" spans="21:21" x14ac:dyDescent="0.3">
      <c r="U616771" s="25"/>
    </row>
    <row r="616793" spans="21:21" x14ac:dyDescent="0.3">
      <c r="U616793" s="25"/>
    </row>
    <row r="616815" spans="21:21" x14ac:dyDescent="0.3">
      <c r="U616815" s="25"/>
    </row>
    <row r="616837" spans="21:21" x14ac:dyDescent="0.3">
      <c r="U616837" s="25"/>
    </row>
    <row r="616859" spans="21:21" x14ac:dyDescent="0.3">
      <c r="U616859" s="25"/>
    </row>
    <row r="616881" spans="21:21" x14ac:dyDescent="0.3">
      <c r="U616881" s="25"/>
    </row>
    <row r="616903" spans="21:21" x14ac:dyDescent="0.3">
      <c r="U616903" s="25"/>
    </row>
    <row r="616925" spans="21:21" x14ac:dyDescent="0.3">
      <c r="U616925" s="25"/>
    </row>
    <row r="616947" spans="21:21" x14ac:dyDescent="0.3">
      <c r="U616947" s="25"/>
    </row>
    <row r="616969" spans="21:21" x14ac:dyDescent="0.3">
      <c r="U616969" s="25"/>
    </row>
    <row r="616991" spans="21:21" x14ac:dyDescent="0.3">
      <c r="U616991" s="25"/>
    </row>
    <row r="617013" spans="21:21" x14ac:dyDescent="0.3">
      <c r="U617013" s="25"/>
    </row>
    <row r="617035" spans="21:21" x14ac:dyDescent="0.3">
      <c r="U617035" s="25"/>
    </row>
    <row r="617057" spans="21:21" x14ac:dyDescent="0.3">
      <c r="U617057" s="25"/>
    </row>
    <row r="617079" spans="21:21" x14ac:dyDescent="0.3">
      <c r="U617079" s="25"/>
    </row>
    <row r="617101" spans="21:21" x14ac:dyDescent="0.3">
      <c r="U617101" s="25"/>
    </row>
    <row r="617123" spans="21:21" x14ac:dyDescent="0.3">
      <c r="U617123" s="25"/>
    </row>
    <row r="617145" spans="21:21" x14ac:dyDescent="0.3">
      <c r="U617145" s="25"/>
    </row>
    <row r="617167" spans="21:21" x14ac:dyDescent="0.3">
      <c r="U617167" s="25"/>
    </row>
    <row r="617189" spans="21:21" x14ac:dyDescent="0.3">
      <c r="U617189" s="25"/>
    </row>
    <row r="617211" spans="21:21" x14ac:dyDescent="0.3">
      <c r="U617211" s="25"/>
    </row>
    <row r="617233" spans="21:21" x14ac:dyDescent="0.3">
      <c r="U617233" s="25"/>
    </row>
    <row r="617255" spans="21:21" x14ac:dyDescent="0.3">
      <c r="U617255" s="25"/>
    </row>
    <row r="617277" spans="21:21" x14ac:dyDescent="0.3">
      <c r="U617277" s="25"/>
    </row>
    <row r="617299" spans="21:21" x14ac:dyDescent="0.3">
      <c r="U617299" s="25"/>
    </row>
    <row r="617321" spans="21:21" x14ac:dyDescent="0.3">
      <c r="U617321" s="25"/>
    </row>
    <row r="617343" spans="21:21" x14ac:dyDescent="0.3">
      <c r="U617343" s="25"/>
    </row>
    <row r="617365" spans="21:21" x14ac:dyDescent="0.3">
      <c r="U617365" s="25"/>
    </row>
    <row r="617387" spans="21:21" x14ac:dyDescent="0.3">
      <c r="U617387" s="25"/>
    </row>
    <row r="617409" spans="21:21" x14ac:dyDescent="0.3">
      <c r="U617409" s="25"/>
    </row>
    <row r="617431" spans="21:21" x14ac:dyDescent="0.3">
      <c r="U617431" s="25"/>
    </row>
    <row r="617453" spans="21:21" x14ac:dyDescent="0.3">
      <c r="U617453" s="25"/>
    </row>
    <row r="617475" spans="21:21" x14ac:dyDescent="0.3">
      <c r="U617475" s="25"/>
    </row>
    <row r="617497" spans="21:21" x14ac:dyDescent="0.3">
      <c r="U617497" s="25"/>
    </row>
    <row r="617519" spans="21:21" x14ac:dyDescent="0.3">
      <c r="U617519" s="25"/>
    </row>
    <row r="617541" spans="21:21" x14ac:dyDescent="0.3">
      <c r="U617541" s="25"/>
    </row>
    <row r="617563" spans="21:21" x14ac:dyDescent="0.3">
      <c r="U617563" s="25"/>
    </row>
    <row r="617585" spans="21:21" x14ac:dyDescent="0.3">
      <c r="U617585" s="25"/>
    </row>
    <row r="617607" spans="21:21" x14ac:dyDescent="0.3">
      <c r="U617607" s="25"/>
    </row>
    <row r="617629" spans="21:21" x14ac:dyDescent="0.3">
      <c r="U617629" s="25"/>
    </row>
    <row r="617651" spans="21:21" x14ac:dyDescent="0.3">
      <c r="U617651" s="25"/>
    </row>
    <row r="617673" spans="21:21" x14ac:dyDescent="0.3">
      <c r="U617673" s="25"/>
    </row>
    <row r="617695" spans="21:21" x14ac:dyDescent="0.3">
      <c r="U617695" s="25"/>
    </row>
    <row r="617717" spans="21:21" x14ac:dyDescent="0.3">
      <c r="U617717" s="25"/>
    </row>
    <row r="617739" spans="21:21" x14ac:dyDescent="0.3">
      <c r="U617739" s="25"/>
    </row>
    <row r="617761" spans="21:21" x14ac:dyDescent="0.3">
      <c r="U617761" s="25"/>
    </row>
    <row r="617783" spans="21:21" x14ac:dyDescent="0.3">
      <c r="U617783" s="25"/>
    </row>
    <row r="617805" spans="21:21" x14ac:dyDescent="0.3">
      <c r="U617805" s="25"/>
    </row>
    <row r="617827" spans="21:21" x14ac:dyDescent="0.3">
      <c r="U617827" s="25"/>
    </row>
    <row r="617849" spans="21:21" x14ac:dyDescent="0.3">
      <c r="U617849" s="25"/>
    </row>
    <row r="617871" spans="21:21" x14ac:dyDescent="0.3">
      <c r="U617871" s="25"/>
    </row>
    <row r="617893" spans="21:21" x14ac:dyDescent="0.3">
      <c r="U617893" s="25"/>
    </row>
    <row r="617915" spans="21:21" x14ac:dyDescent="0.3">
      <c r="U617915" s="25"/>
    </row>
    <row r="617937" spans="21:21" x14ac:dyDescent="0.3">
      <c r="U617937" s="25"/>
    </row>
    <row r="617959" spans="21:21" x14ac:dyDescent="0.3">
      <c r="U617959" s="25"/>
    </row>
    <row r="617981" spans="21:21" x14ac:dyDescent="0.3">
      <c r="U617981" s="25"/>
    </row>
    <row r="618003" spans="21:21" x14ac:dyDescent="0.3">
      <c r="U618003" s="25"/>
    </row>
    <row r="618025" spans="21:21" x14ac:dyDescent="0.3">
      <c r="U618025" s="25"/>
    </row>
    <row r="618047" spans="21:21" x14ac:dyDescent="0.3">
      <c r="U618047" s="25"/>
    </row>
    <row r="618069" spans="21:21" x14ac:dyDescent="0.3">
      <c r="U618069" s="25"/>
    </row>
    <row r="618091" spans="21:21" x14ac:dyDescent="0.3">
      <c r="U618091" s="25"/>
    </row>
    <row r="618113" spans="21:21" x14ac:dyDescent="0.3">
      <c r="U618113" s="25"/>
    </row>
    <row r="618135" spans="21:21" x14ac:dyDescent="0.3">
      <c r="U618135" s="25"/>
    </row>
    <row r="618157" spans="21:21" x14ac:dyDescent="0.3">
      <c r="U618157" s="25"/>
    </row>
    <row r="618179" spans="21:21" x14ac:dyDescent="0.3">
      <c r="U618179" s="25"/>
    </row>
    <row r="618201" spans="21:21" x14ac:dyDescent="0.3">
      <c r="U618201" s="25"/>
    </row>
    <row r="618223" spans="21:21" x14ac:dyDescent="0.3">
      <c r="U618223" s="25"/>
    </row>
    <row r="618245" spans="21:21" x14ac:dyDescent="0.3">
      <c r="U618245" s="25"/>
    </row>
    <row r="618267" spans="21:21" x14ac:dyDescent="0.3">
      <c r="U618267" s="25"/>
    </row>
    <row r="618289" spans="21:21" x14ac:dyDescent="0.3">
      <c r="U618289" s="25"/>
    </row>
    <row r="618311" spans="21:21" x14ac:dyDescent="0.3">
      <c r="U618311" s="25"/>
    </row>
    <row r="618333" spans="21:21" x14ac:dyDescent="0.3">
      <c r="U618333" s="25"/>
    </row>
    <row r="618355" spans="21:21" x14ac:dyDescent="0.3">
      <c r="U618355" s="25"/>
    </row>
    <row r="618377" spans="21:21" x14ac:dyDescent="0.3">
      <c r="U618377" s="25"/>
    </row>
    <row r="618399" spans="21:21" x14ac:dyDescent="0.3">
      <c r="U618399" s="25"/>
    </row>
    <row r="618421" spans="21:21" x14ac:dyDescent="0.3">
      <c r="U618421" s="25"/>
    </row>
    <row r="618443" spans="21:21" x14ac:dyDescent="0.3">
      <c r="U618443" s="25"/>
    </row>
    <row r="618465" spans="21:21" x14ac:dyDescent="0.3">
      <c r="U618465" s="25"/>
    </row>
    <row r="618487" spans="21:21" x14ac:dyDescent="0.3">
      <c r="U618487" s="25"/>
    </row>
    <row r="618509" spans="21:21" x14ac:dyDescent="0.3">
      <c r="U618509" s="25"/>
    </row>
    <row r="618531" spans="21:21" x14ac:dyDescent="0.3">
      <c r="U618531" s="25"/>
    </row>
    <row r="618553" spans="21:21" x14ac:dyDescent="0.3">
      <c r="U618553" s="25"/>
    </row>
    <row r="618575" spans="21:21" x14ac:dyDescent="0.3">
      <c r="U618575" s="25"/>
    </row>
    <row r="618597" spans="21:21" x14ac:dyDescent="0.3">
      <c r="U618597" s="25"/>
    </row>
    <row r="618619" spans="21:21" x14ac:dyDescent="0.3">
      <c r="U618619" s="25"/>
    </row>
    <row r="618641" spans="21:21" x14ac:dyDescent="0.3">
      <c r="U618641" s="25"/>
    </row>
    <row r="618663" spans="21:21" x14ac:dyDescent="0.3">
      <c r="U618663" s="25"/>
    </row>
    <row r="618685" spans="21:21" x14ac:dyDescent="0.3">
      <c r="U618685" s="25"/>
    </row>
    <row r="618707" spans="21:21" x14ac:dyDescent="0.3">
      <c r="U618707" s="25"/>
    </row>
    <row r="618729" spans="21:21" x14ac:dyDescent="0.3">
      <c r="U618729" s="25"/>
    </row>
    <row r="618751" spans="21:21" x14ac:dyDescent="0.3">
      <c r="U618751" s="25"/>
    </row>
    <row r="618773" spans="21:21" x14ac:dyDescent="0.3">
      <c r="U618773" s="25"/>
    </row>
    <row r="618795" spans="21:21" x14ac:dyDescent="0.3">
      <c r="U618795" s="25"/>
    </row>
    <row r="618817" spans="21:21" x14ac:dyDescent="0.3">
      <c r="U618817" s="25"/>
    </row>
    <row r="618839" spans="21:21" x14ac:dyDescent="0.3">
      <c r="U618839" s="25"/>
    </row>
    <row r="618861" spans="21:21" x14ac:dyDescent="0.3">
      <c r="U618861" s="25"/>
    </row>
    <row r="618883" spans="21:21" x14ac:dyDescent="0.3">
      <c r="U618883" s="25"/>
    </row>
    <row r="618905" spans="21:21" x14ac:dyDescent="0.3">
      <c r="U618905" s="25"/>
    </row>
    <row r="618927" spans="21:21" x14ac:dyDescent="0.3">
      <c r="U618927" s="25"/>
    </row>
    <row r="618949" spans="21:21" x14ac:dyDescent="0.3">
      <c r="U618949" s="25"/>
    </row>
    <row r="618971" spans="21:21" x14ac:dyDescent="0.3">
      <c r="U618971" s="25"/>
    </row>
    <row r="618993" spans="21:21" x14ac:dyDescent="0.3">
      <c r="U618993" s="25"/>
    </row>
    <row r="619015" spans="21:21" x14ac:dyDescent="0.3">
      <c r="U619015" s="25"/>
    </row>
    <row r="619037" spans="21:21" x14ac:dyDescent="0.3">
      <c r="U619037" s="25"/>
    </row>
    <row r="619059" spans="21:21" x14ac:dyDescent="0.3">
      <c r="U619059" s="25"/>
    </row>
    <row r="619081" spans="21:21" x14ac:dyDescent="0.3">
      <c r="U619081" s="25"/>
    </row>
    <row r="619103" spans="21:21" x14ac:dyDescent="0.3">
      <c r="U619103" s="25"/>
    </row>
    <row r="619125" spans="21:21" x14ac:dyDescent="0.3">
      <c r="U619125" s="25"/>
    </row>
    <row r="619147" spans="21:21" x14ac:dyDescent="0.3">
      <c r="U619147" s="25"/>
    </row>
    <row r="619169" spans="21:21" x14ac:dyDescent="0.3">
      <c r="U619169" s="25"/>
    </row>
    <row r="619191" spans="21:21" x14ac:dyDescent="0.3">
      <c r="U619191" s="25"/>
    </row>
    <row r="619213" spans="21:21" x14ac:dyDescent="0.3">
      <c r="U619213" s="25"/>
    </row>
    <row r="619235" spans="21:21" x14ac:dyDescent="0.3">
      <c r="U619235" s="25"/>
    </row>
    <row r="619257" spans="21:21" x14ac:dyDescent="0.3">
      <c r="U619257" s="25"/>
    </row>
    <row r="619279" spans="21:21" x14ac:dyDescent="0.3">
      <c r="U619279" s="25"/>
    </row>
    <row r="619301" spans="21:21" x14ac:dyDescent="0.3">
      <c r="U619301" s="25"/>
    </row>
    <row r="619323" spans="21:21" x14ac:dyDescent="0.3">
      <c r="U619323" s="25"/>
    </row>
    <row r="619345" spans="21:21" x14ac:dyDescent="0.3">
      <c r="U619345" s="25"/>
    </row>
    <row r="619367" spans="21:21" x14ac:dyDescent="0.3">
      <c r="U619367" s="25"/>
    </row>
    <row r="619389" spans="21:21" x14ac:dyDescent="0.3">
      <c r="U619389" s="25"/>
    </row>
    <row r="619411" spans="21:21" x14ac:dyDescent="0.3">
      <c r="U619411" s="25"/>
    </row>
    <row r="619433" spans="21:21" x14ac:dyDescent="0.3">
      <c r="U619433" s="25"/>
    </row>
    <row r="619455" spans="21:21" x14ac:dyDescent="0.3">
      <c r="U619455" s="25"/>
    </row>
    <row r="619477" spans="21:21" x14ac:dyDescent="0.3">
      <c r="U619477" s="25"/>
    </row>
    <row r="619499" spans="21:21" x14ac:dyDescent="0.3">
      <c r="U619499" s="25"/>
    </row>
    <row r="619521" spans="21:21" x14ac:dyDescent="0.3">
      <c r="U619521" s="25"/>
    </row>
    <row r="619543" spans="21:21" x14ac:dyDescent="0.3">
      <c r="U619543" s="25"/>
    </row>
    <row r="619565" spans="21:21" x14ac:dyDescent="0.3">
      <c r="U619565" s="25"/>
    </row>
    <row r="619587" spans="21:21" x14ac:dyDescent="0.3">
      <c r="U619587" s="25"/>
    </row>
    <row r="619609" spans="21:21" x14ac:dyDescent="0.3">
      <c r="U619609" s="25"/>
    </row>
    <row r="619631" spans="21:21" x14ac:dyDescent="0.3">
      <c r="U619631" s="25"/>
    </row>
    <row r="619653" spans="21:21" x14ac:dyDescent="0.3">
      <c r="U619653" s="25"/>
    </row>
    <row r="619675" spans="21:21" x14ac:dyDescent="0.3">
      <c r="U619675" s="25"/>
    </row>
    <row r="619697" spans="21:21" x14ac:dyDescent="0.3">
      <c r="U619697" s="25"/>
    </row>
    <row r="619719" spans="21:21" x14ac:dyDescent="0.3">
      <c r="U619719" s="25"/>
    </row>
    <row r="619741" spans="21:21" x14ac:dyDescent="0.3">
      <c r="U619741" s="25"/>
    </row>
    <row r="619763" spans="21:21" x14ac:dyDescent="0.3">
      <c r="U619763" s="25"/>
    </row>
    <row r="619785" spans="21:21" x14ac:dyDescent="0.3">
      <c r="U619785" s="25"/>
    </row>
    <row r="619807" spans="21:21" x14ac:dyDescent="0.3">
      <c r="U619807" s="25"/>
    </row>
    <row r="619829" spans="21:21" x14ac:dyDescent="0.3">
      <c r="U619829" s="25"/>
    </row>
    <row r="619851" spans="21:21" x14ac:dyDescent="0.3">
      <c r="U619851" s="25"/>
    </row>
    <row r="619873" spans="21:21" x14ac:dyDescent="0.3">
      <c r="U619873" s="25"/>
    </row>
    <row r="619895" spans="21:21" x14ac:dyDescent="0.3">
      <c r="U619895" s="25"/>
    </row>
    <row r="619917" spans="21:21" x14ac:dyDescent="0.3">
      <c r="U619917" s="25"/>
    </row>
    <row r="619939" spans="21:21" x14ac:dyDescent="0.3">
      <c r="U619939" s="25"/>
    </row>
    <row r="619961" spans="21:21" x14ac:dyDescent="0.3">
      <c r="U619961" s="25"/>
    </row>
    <row r="619983" spans="21:21" x14ac:dyDescent="0.3">
      <c r="U619983" s="25"/>
    </row>
    <row r="620005" spans="21:21" x14ac:dyDescent="0.3">
      <c r="U620005" s="25"/>
    </row>
    <row r="620027" spans="21:21" x14ac:dyDescent="0.3">
      <c r="U620027" s="25"/>
    </row>
    <row r="620049" spans="21:21" x14ac:dyDescent="0.3">
      <c r="U620049" s="25"/>
    </row>
    <row r="620071" spans="21:21" x14ac:dyDescent="0.3">
      <c r="U620071" s="25"/>
    </row>
    <row r="620093" spans="21:21" x14ac:dyDescent="0.3">
      <c r="U620093" s="25"/>
    </row>
    <row r="620115" spans="21:21" x14ac:dyDescent="0.3">
      <c r="U620115" s="25"/>
    </row>
    <row r="620137" spans="21:21" x14ac:dyDescent="0.3">
      <c r="U620137" s="25"/>
    </row>
    <row r="620159" spans="21:21" x14ac:dyDescent="0.3">
      <c r="U620159" s="25"/>
    </row>
    <row r="620181" spans="21:21" x14ac:dyDescent="0.3">
      <c r="U620181" s="25"/>
    </row>
    <row r="620203" spans="21:21" x14ac:dyDescent="0.3">
      <c r="U620203" s="25"/>
    </row>
    <row r="620225" spans="21:21" x14ac:dyDescent="0.3">
      <c r="U620225" s="25"/>
    </row>
    <row r="620247" spans="21:21" x14ac:dyDescent="0.3">
      <c r="U620247" s="25"/>
    </row>
    <row r="620269" spans="21:21" x14ac:dyDescent="0.3">
      <c r="U620269" s="25"/>
    </row>
    <row r="620291" spans="21:21" x14ac:dyDescent="0.3">
      <c r="U620291" s="25"/>
    </row>
    <row r="620313" spans="21:21" x14ac:dyDescent="0.3">
      <c r="U620313" s="25"/>
    </row>
    <row r="620335" spans="21:21" x14ac:dyDescent="0.3">
      <c r="U620335" s="25"/>
    </row>
    <row r="620357" spans="21:21" x14ac:dyDescent="0.3">
      <c r="U620357" s="25"/>
    </row>
    <row r="620379" spans="21:21" x14ac:dyDescent="0.3">
      <c r="U620379" s="25"/>
    </row>
    <row r="620401" spans="21:21" x14ac:dyDescent="0.3">
      <c r="U620401" s="25"/>
    </row>
    <row r="620423" spans="21:21" x14ac:dyDescent="0.3">
      <c r="U620423" s="25"/>
    </row>
    <row r="620445" spans="21:21" x14ac:dyDescent="0.3">
      <c r="U620445" s="25"/>
    </row>
    <row r="620467" spans="21:21" x14ac:dyDescent="0.3">
      <c r="U620467" s="25"/>
    </row>
    <row r="620489" spans="21:21" x14ac:dyDescent="0.3">
      <c r="U620489" s="25"/>
    </row>
    <row r="620511" spans="21:21" x14ac:dyDescent="0.3">
      <c r="U620511" s="25"/>
    </row>
    <row r="620533" spans="21:21" x14ac:dyDescent="0.3">
      <c r="U620533" s="25"/>
    </row>
    <row r="620555" spans="21:21" x14ac:dyDescent="0.3">
      <c r="U620555" s="25"/>
    </row>
    <row r="620577" spans="21:21" x14ac:dyDescent="0.3">
      <c r="U620577" s="25"/>
    </row>
    <row r="620599" spans="21:21" x14ac:dyDescent="0.3">
      <c r="U620599" s="25"/>
    </row>
    <row r="620621" spans="21:21" x14ac:dyDescent="0.3">
      <c r="U620621" s="25"/>
    </row>
    <row r="620643" spans="21:21" x14ac:dyDescent="0.3">
      <c r="U620643" s="25"/>
    </row>
    <row r="620665" spans="21:21" x14ac:dyDescent="0.3">
      <c r="U620665" s="25"/>
    </row>
    <row r="620687" spans="21:21" x14ac:dyDescent="0.3">
      <c r="U620687" s="25"/>
    </row>
    <row r="620709" spans="21:21" x14ac:dyDescent="0.3">
      <c r="U620709" s="25"/>
    </row>
    <row r="620731" spans="21:21" x14ac:dyDescent="0.3">
      <c r="U620731" s="25"/>
    </row>
    <row r="620753" spans="21:21" x14ac:dyDescent="0.3">
      <c r="U620753" s="25"/>
    </row>
    <row r="620775" spans="21:21" x14ac:dyDescent="0.3">
      <c r="U620775" s="25"/>
    </row>
    <row r="620797" spans="21:21" x14ac:dyDescent="0.3">
      <c r="U620797" s="25"/>
    </row>
    <row r="620819" spans="21:21" x14ac:dyDescent="0.3">
      <c r="U620819" s="25"/>
    </row>
    <row r="620841" spans="21:21" x14ac:dyDescent="0.3">
      <c r="U620841" s="25"/>
    </row>
    <row r="620863" spans="21:21" x14ac:dyDescent="0.3">
      <c r="U620863" s="25"/>
    </row>
    <row r="620885" spans="21:21" x14ac:dyDescent="0.3">
      <c r="U620885" s="25"/>
    </row>
    <row r="620907" spans="21:21" x14ac:dyDescent="0.3">
      <c r="U620907" s="25"/>
    </row>
    <row r="620929" spans="21:21" x14ac:dyDescent="0.3">
      <c r="U620929" s="25"/>
    </row>
    <row r="620951" spans="21:21" x14ac:dyDescent="0.3">
      <c r="U620951" s="25"/>
    </row>
    <row r="620973" spans="21:21" x14ac:dyDescent="0.3">
      <c r="U620973" s="25"/>
    </row>
    <row r="620995" spans="21:21" x14ac:dyDescent="0.3">
      <c r="U620995" s="25"/>
    </row>
    <row r="621017" spans="21:21" x14ac:dyDescent="0.3">
      <c r="U621017" s="25"/>
    </row>
    <row r="621039" spans="21:21" x14ac:dyDescent="0.3">
      <c r="U621039" s="25"/>
    </row>
    <row r="621061" spans="21:21" x14ac:dyDescent="0.3">
      <c r="U621061" s="25"/>
    </row>
    <row r="621083" spans="21:21" x14ac:dyDescent="0.3">
      <c r="U621083" s="25"/>
    </row>
    <row r="621105" spans="21:21" x14ac:dyDescent="0.3">
      <c r="U621105" s="25"/>
    </row>
    <row r="621127" spans="21:21" x14ac:dyDescent="0.3">
      <c r="U621127" s="25"/>
    </row>
    <row r="621149" spans="21:21" x14ac:dyDescent="0.3">
      <c r="U621149" s="25"/>
    </row>
    <row r="621171" spans="21:21" x14ac:dyDescent="0.3">
      <c r="U621171" s="25"/>
    </row>
    <row r="621193" spans="21:21" x14ac:dyDescent="0.3">
      <c r="U621193" s="25"/>
    </row>
    <row r="621215" spans="21:21" x14ac:dyDescent="0.3">
      <c r="U621215" s="25"/>
    </row>
    <row r="621237" spans="21:21" x14ac:dyDescent="0.3">
      <c r="U621237" s="25"/>
    </row>
    <row r="621259" spans="21:21" x14ac:dyDescent="0.3">
      <c r="U621259" s="25"/>
    </row>
    <row r="621281" spans="21:21" x14ac:dyDescent="0.3">
      <c r="U621281" s="25"/>
    </row>
    <row r="621303" spans="21:21" x14ac:dyDescent="0.3">
      <c r="U621303" s="25"/>
    </row>
    <row r="621325" spans="21:21" x14ac:dyDescent="0.3">
      <c r="U621325" s="25"/>
    </row>
    <row r="621347" spans="21:21" x14ac:dyDescent="0.3">
      <c r="U621347" s="25"/>
    </row>
    <row r="621369" spans="21:21" x14ac:dyDescent="0.3">
      <c r="U621369" s="25"/>
    </row>
    <row r="621391" spans="21:21" x14ac:dyDescent="0.3">
      <c r="U621391" s="25"/>
    </row>
    <row r="621413" spans="21:21" x14ac:dyDescent="0.3">
      <c r="U621413" s="25"/>
    </row>
    <row r="621435" spans="21:21" x14ac:dyDescent="0.3">
      <c r="U621435" s="25"/>
    </row>
    <row r="621457" spans="21:21" x14ac:dyDescent="0.3">
      <c r="U621457" s="25"/>
    </row>
    <row r="621479" spans="21:21" x14ac:dyDescent="0.3">
      <c r="U621479" s="25"/>
    </row>
    <row r="621501" spans="21:21" x14ac:dyDescent="0.3">
      <c r="U621501" s="25"/>
    </row>
    <row r="621523" spans="21:21" x14ac:dyDescent="0.3">
      <c r="U621523" s="25"/>
    </row>
    <row r="621545" spans="21:21" x14ac:dyDescent="0.3">
      <c r="U621545" s="25"/>
    </row>
    <row r="621567" spans="21:21" x14ac:dyDescent="0.3">
      <c r="U621567" s="25"/>
    </row>
    <row r="621589" spans="21:21" x14ac:dyDescent="0.3">
      <c r="U621589" s="25"/>
    </row>
    <row r="621611" spans="21:21" x14ac:dyDescent="0.3">
      <c r="U621611" s="25"/>
    </row>
    <row r="621633" spans="21:21" x14ac:dyDescent="0.3">
      <c r="U621633" s="25"/>
    </row>
    <row r="621655" spans="21:21" x14ac:dyDescent="0.3">
      <c r="U621655" s="25"/>
    </row>
    <row r="621677" spans="21:21" x14ac:dyDescent="0.3">
      <c r="U621677" s="25"/>
    </row>
    <row r="621699" spans="21:21" x14ac:dyDescent="0.3">
      <c r="U621699" s="25"/>
    </row>
    <row r="621721" spans="21:21" x14ac:dyDescent="0.3">
      <c r="U621721" s="25"/>
    </row>
    <row r="621743" spans="21:21" x14ac:dyDescent="0.3">
      <c r="U621743" s="25"/>
    </row>
    <row r="621765" spans="21:21" x14ac:dyDescent="0.3">
      <c r="U621765" s="25"/>
    </row>
    <row r="621787" spans="21:21" x14ac:dyDescent="0.3">
      <c r="U621787" s="25"/>
    </row>
    <row r="621809" spans="21:21" x14ac:dyDescent="0.3">
      <c r="U621809" s="25"/>
    </row>
    <row r="621831" spans="21:21" x14ac:dyDescent="0.3">
      <c r="U621831" s="25"/>
    </row>
    <row r="621853" spans="21:21" x14ac:dyDescent="0.3">
      <c r="U621853" s="25"/>
    </row>
    <row r="621875" spans="21:21" x14ac:dyDescent="0.3">
      <c r="U621875" s="25"/>
    </row>
    <row r="621897" spans="21:21" x14ac:dyDescent="0.3">
      <c r="U621897" s="25"/>
    </row>
    <row r="621919" spans="21:21" x14ac:dyDescent="0.3">
      <c r="U621919" s="25"/>
    </row>
    <row r="621941" spans="21:21" x14ac:dyDescent="0.3">
      <c r="U621941" s="25"/>
    </row>
    <row r="621963" spans="21:21" x14ac:dyDescent="0.3">
      <c r="U621963" s="25"/>
    </row>
    <row r="621985" spans="21:21" x14ac:dyDescent="0.3">
      <c r="U621985" s="25"/>
    </row>
    <row r="622007" spans="21:21" x14ac:dyDescent="0.3">
      <c r="U622007" s="25"/>
    </row>
    <row r="622029" spans="21:21" x14ac:dyDescent="0.3">
      <c r="U622029" s="25"/>
    </row>
    <row r="622051" spans="21:21" x14ac:dyDescent="0.3">
      <c r="U622051" s="25"/>
    </row>
    <row r="622073" spans="21:21" x14ac:dyDescent="0.3">
      <c r="U622073" s="25"/>
    </row>
    <row r="622095" spans="21:21" x14ac:dyDescent="0.3">
      <c r="U622095" s="25"/>
    </row>
    <row r="622117" spans="21:21" x14ac:dyDescent="0.3">
      <c r="U622117" s="25"/>
    </row>
    <row r="622139" spans="21:21" x14ac:dyDescent="0.3">
      <c r="U622139" s="25"/>
    </row>
    <row r="622161" spans="21:21" x14ac:dyDescent="0.3">
      <c r="U622161" s="25"/>
    </row>
    <row r="622183" spans="21:21" x14ac:dyDescent="0.3">
      <c r="U622183" s="25"/>
    </row>
    <row r="622205" spans="21:21" x14ac:dyDescent="0.3">
      <c r="U622205" s="25"/>
    </row>
    <row r="622227" spans="21:21" x14ac:dyDescent="0.3">
      <c r="U622227" s="25"/>
    </row>
    <row r="622249" spans="21:21" x14ac:dyDescent="0.3">
      <c r="U622249" s="25"/>
    </row>
    <row r="622271" spans="21:21" x14ac:dyDescent="0.3">
      <c r="U622271" s="25"/>
    </row>
    <row r="622293" spans="21:21" x14ac:dyDescent="0.3">
      <c r="U622293" s="25"/>
    </row>
    <row r="622315" spans="21:21" x14ac:dyDescent="0.3">
      <c r="U622315" s="25"/>
    </row>
    <row r="622337" spans="21:21" x14ac:dyDescent="0.3">
      <c r="U622337" s="25"/>
    </row>
    <row r="622359" spans="21:21" x14ac:dyDescent="0.3">
      <c r="U622359" s="25"/>
    </row>
    <row r="622381" spans="21:21" x14ac:dyDescent="0.3">
      <c r="U622381" s="25"/>
    </row>
    <row r="622403" spans="21:21" x14ac:dyDescent="0.3">
      <c r="U622403" s="25"/>
    </row>
    <row r="622425" spans="21:21" x14ac:dyDescent="0.3">
      <c r="U622425" s="25"/>
    </row>
    <row r="622447" spans="21:21" x14ac:dyDescent="0.3">
      <c r="U622447" s="25"/>
    </row>
    <row r="622469" spans="21:21" x14ac:dyDescent="0.3">
      <c r="U622469" s="25"/>
    </row>
    <row r="622491" spans="21:21" x14ac:dyDescent="0.3">
      <c r="U622491" s="25"/>
    </row>
    <row r="622513" spans="21:21" x14ac:dyDescent="0.3">
      <c r="U622513" s="25"/>
    </row>
    <row r="622535" spans="21:21" x14ac:dyDescent="0.3">
      <c r="U622535" s="25"/>
    </row>
    <row r="622557" spans="21:21" x14ac:dyDescent="0.3">
      <c r="U622557" s="25"/>
    </row>
    <row r="622579" spans="21:21" x14ac:dyDescent="0.3">
      <c r="U622579" s="25"/>
    </row>
    <row r="622601" spans="21:21" x14ac:dyDescent="0.3">
      <c r="U622601" s="25"/>
    </row>
    <row r="622623" spans="21:21" x14ac:dyDescent="0.3">
      <c r="U622623" s="25"/>
    </row>
    <row r="622645" spans="21:21" x14ac:dyDescent="0.3">
      <c r="U622645" s="25"/>
    </row>
    <row r="622667" spans="21:21" x14ac:dyDescent="0.3">
      <c r="U622667" s="25"/>
    </row>
    <row r="622689" spans="21:21" x14ac:dyDescent="0.3">
      <c r="U622689" s="25"/>
    </row>
    <row r="622711" spans="21:21" x14ac:dyDescent="0.3">
      <c r="U622711" s="25"/>
    </row>
    <row r="622733" spans="21:21" x14ac:dyDescent="0.3">
      <c r="U622733" s="25"/>
    </row>
    <row r="622755" spans="21:21" x14ac:dyDescent="0.3">
      <c r="U622755" s="25"/>
    </row>
    <row r="622777" spans="21:21" x14ac:dyDescent="0.3">
      <c r="U622777" s="25"/>
    </row>
    <row r="622799" spans="21:21" x14ac:dyDescent="0.3">
      <c r="U622799" s="25"/>
    </row>
    <row r="622821" spans="21:21" x14ac:dyDescent="0.3">
      <c r="U622821" s="25"/>
    </row>
    <row r="622843" spans="21:21" x14ac:dyDescent="0.3">
      <c r="U622843" s="25"/>
    </row>
    <row r="622865" spans="21:21" x14ac:dyDescent="0.3">
      <c r="U622865" s="25"/>
    </row>
    <row r="622887" spans="21:21" x14ac:dyDescent="0.3">
      <c r="U622887" s="25"/>
    </row>
    <row r="622909" spans="21:21" x14ac:dyDescent="0.3">
      <c r="U622909" s="25"/>
    </row>
    <row r="622931" spans="21:21" x14ac:dyDescent="0.3">
      <c r="U622931" s="25"/>
    </row>
    <row r="622953" spans="21:21" x14ac:dyDescent="0.3">
      <c r="U622953" s="25"/>
    </row>
    <row r="622975" spans="21:21" x14ac:dyDescent="0.3">
      <c r="U622975" s="25"/>
    </row>
    <row r="622997" spans="21:21" x14ac:dyDescent="0.3">
      <c r="U622997" s="25"/>
    </row>
    <row r="623019" spans="21:21" x14ac:dyDescent="0.3">
      <c r="U623019" s="25"/>
    </row>
    <row r="623041" spans="21:21" x14ac:dyDescent="0.3">
      <c r="U623041" s="25"/>
    </row>
    <row r="623063" spans="21:21" x14ac:dyDescent="0.3">
      <c r="U623063" s="25"/>
    </row>
    <row r="623085" spans="21:21" x14ac:dyDescent="0.3">
      <c r="U623085" s="25"/>
    </row>
    <row r="623107" spans="21:21" x14ac:dyDescent="0.3">
      <c r="U623107" s="25"/>
    </row>
    <row r="623129" spans="21:21" x14ac:dyDescent="0.3">
      <c r="U623129" s="25"/>
    </row>
    <row r="623151" spans="21:21" x14ac:dyDescent="0.3">
      <c r="U623151" s="25"/>
    </row>
    <row r="623173" spans="21:21" x14ac:dyDescent="0.3">
      <c r="U623173" s="25"/>
    </row>
    <row r="623195" spans="21:21" x14ac:dyDescent="0.3">
      <c r="U623195" s="25"/>
    </row>
    <row r="623217" spans="21:21" x14ac:dyDescent="0.3">
      <c r="U623217" s="25"/>
    </row>
    <row r="623239" spans="21:21" x14ac:dyDescent="0.3">
      <c r="U623239" s="25"/>
    </row>
    <row r="623261" spans="21:21" x14ac:dyDescent="0.3">
      <c r="U623261" s="25"/>
    </row>
    <row r="623283" spans="21:21" x14ac:dyDescent="0.3">
      <c r="U623283" s="25"/>
    </row>
    <row r="623305" spans="21:21" x14ac:dyDescent="0.3">
      <c r="U623305" s="25"/>
    </row>
    <row r="623327" spans="21:21" x14ac:dyDescent="0.3">
      <c r="U623327" s="25"/>
    </row>
    <row r="623349" spans="21:21" x14ac:dyDescent="0.3">
      <c r="U623349" s="25"/>
    </row>
    <row r="623371" spans="21:21" x14ac:dyDescent="0.3">
      <c r="U623371" s="25"/>
    </row>
    <row r="623393" spans="21:21" x14ac:dyDescent="0.3">
      <c r="U623393" s="25"/>
    </row>
    <row r="623415" spans="21:21" x14ac:dyDescent="0.3">
      <c r="U623415" s="25"/>
    </row>
    <row r="623437" spans="21:21" x14ac:dyDescent="0.3">
      <c r="U623437" s="25"/>
    </row>
    <row r="623459" spans="21:21" x14ac:dyDescent="0.3">
      <c r="U623459" s="25"/>
    </row>
    <row r="623481" spans="21:21" x14ac:dyDescent="0.3">
      <c r="U623481" s="25"/>
    </row>
    <row r="623503" spans="21:21" x14ac:dyDescent="0.3">
      <c r="U623503" s="25"/>
    </row>
    <row r="623525" spans="21:21" x14ac:dyDescent="0.3">
      <c r="U623525" s="25"/>
    </row>
    <row r="623547" spans="21:21" x14ac:dyDescent="0.3">
      <c r="U623547" s="25"/>
    </row>
    <row r="623569" spans="21:21" x14ac:dyDescent="0.3">
      <c r="U623569" s="25"/>
    </row>
    <row r="623591" spans="21:21" x14ac:dyDescent="0.3">
      <c r="U623591" s="25"/>
    </row>
    <row r="623613" spans="21:21" x14ac:dyDescent="0.3">
      <c r="U623613" s="25"/>
    </row>
    <row r="623635" spans="21:21" x14ac:dyDescent="0.3">
      <c r="U623635" s="25"/>
    </row>
    <row r="623657" spans="21:21" x14ac:dyDescent="0.3">
      <c r="U623657" s="25"/>
    </row>
    <row r="623679" spans="21:21" x14ac:dyDescent="0.3">
      <c r="U623679" s="25"/>
    </row>
    <row r="623701" spans="21:21" x14ac:dyDescent="0.3">
      <c r="U623701" s="25"/>
    </row>
    <row r="623723" spans="21:21" x14ac:dyDescent="0.3">
      <c r="U623723" s="25"/>
    </row>
    <row r="623745" spans="21:21" x14ac:dyDescent="0.3">
      <c r="U623745" s="25"/>
    </row>
    <row r="623767" spans="21:21" x14ac:dyDescent="0.3">
      <c r="U623767" s="25"/>
    </row>
    <row r="623789" spans="21:21" x14ac:dyDescent="0.3">
      <c r="U623789" s="25"/>
    </row>
    <row r="623811" spans="21:21" x14ac:dyDescent="0.3">
      <c r="U623811" s="25"/>
    </row>
    <row r="623833" spans="21:21" x14ac:dyDescent="0.3">
      <c r="U623833" s="25"/>
    </row>
    <row r="623855" spans="21:21" x14ac:dyDescent="0.3">
      <c r="U623855" s="25"/>
    </row>
    <row r="623877" spans="21:21" x14ac:dyDescent="0.3">
      <c r="U623877" s="25"/>
    </row>
    <row r="623899" spans="21:21" x14ac:dyDescent="0.3">
      <c r="U623899" s="25"/>
    </row>
    <row r="623921" spans="21:21" x14ac:dyDescent="0.3">
      <c r="U623921" s="25"/>
    </row>
    <row r="623943" spans="21:21" x14ac:dyDescent="0.3">
      <c r="U623943" s="25"/>
    </row>
    <row r="623965" spans="21:21" x14ac:dyDescent="0.3">
      <c r="U623965" s="25"/>
    </row>
    <row r="623987" spans="21:21" x14ac:dyDescent="0.3">
      <c r="U623987" s="25"/>
    </row>
    <row r="624009" spans="21:21" x14ac:dyDescent="0.3">
      <c r="U624009" s="25"/>
    </row>
    <row r="624031" spans="21:21" x14ac:dyDescent="0.3">
      <c r="U624031" s="25"/>
    </row>
    <row r="624053" spans="21:21" x14ac:dyDescent="0.3">
      <c r="U624053" s="25"/>
    </row>
    <row r="624075" spans="21:21" x14ac:dyDescent="0.3">
      <c r="U624075" s="25"/>
    </row>
    <row r="624097" spans="21:21" x14ac:dyDescent="0.3">
      <c r="U624097" s="25"/>
    </row>
    <row r="624119" spans="21:21" x14ac:dyDescent="0.3">
      <c r="U624119" s="25"/>
    </row>
    <row r="624141" spans="21:21" x14ac:dyDescent="0.3">
      <c r="U624141" s="25"/>
    </row>
    <row r="624163" spans="21:21" x14ac:dyDescent="0.3">
      <c r="U624163" s="25"/>
    </row>
    <row r="624185" spans="21:21" x14ac:dyDescent="0.3">
      <c r="U624185" s="25"/>
    </row>
    <row r="624207" spans="21:21" x14ac:dyDescent="0.3">
      <c r="U624207" s="25"/>
    </row>
    <row r="624229" spans="21:21" x14ac:dyDescent="0.3">
      <c r="U624229" s="25"/>
    </row>
    <row r="624251" spans="21:21" x14ac:dyDescent="0.3">
      <c r="U624251" s="25"/>
    </row>
    <row r="624273" spans="21:21" x14ac:dyDescent="0.3">
      <c r="U624273" s="25"/>
    </row>
    <row r="624295" spans="21:21" x14ac:dyDescent="0.3">
      <c r="U624295" s="25"/>
    </row>
    <row r="624317" spans="21:21" x14ac:dyDescent="0.3">
      <c r="U624317" s="25"/>
    </row>
    <row r="624339" spans="21:21" x14ac:dyDescent="0.3">
      <c r="U624339" s="25"/>
    </row>
    <row r="624361" spans="21:21" x14ac:dyDescent="0.3">
      <c r="U624361" s="25"/>
    </row>
    <row r="624383" spans="21:21" x14ac:dyDescent="0.3">
      <c r="U624383" s="25"/>
    </row>
    <row r="624405" spans="21:21" x14ac:dyDescent="0.3">
      <c r="U624405" s="25"/>
    </row>
    <row r="624427" spans="21:21" x14ac:dyDescent="0.3">
      <c r="U624427" s="25"/>
    </row>
    <row r="624449" spans="21:21" x14ac:dyDescent="0.3">
      <c r="U624449" s="25"/>
    </row>
    <row r="624471" spans="21:21" x14ac:dyDescent="0.3">
      <c r="U624471" s="25"/>
    </row>
    <row r="624493" spans="21:21" x14ac:dyDescent="0.3">
      <c r="U624493" s="25"/>
    </row>
    <row r="624515" spans="21:21" x14ac:dyDescent="0.3">
      <c r="U624515" s="25"/>
    </row>
    <row r="624537" spans="21:21" x14ac:dyDescent="0.3">
      <c r="U624537" s="25"/>
    </row>
    <row r="624559" spans="21:21" x14ac:dyDescent="0.3">
      <c r="U624559" s="25"/>
    </row>
    <row r="624581" spans="21:21" x14ac:dyDescent="0.3">
      <c r="U624581" s="25"/>
    </row>
    <row r="624603" spans="21:21" x14ac:dyDescent="0.3">
      <c r="U624603" s="25"/>
    </row>
    <row r="624625" spans="21:21" x14ac:dyDescent="0.3">
      <c r="U624625" s="25"/>
    </row>
    <row r="624647" spans="21:21" x14ac:dyDescent="0.3">
      <c r="U624647" s="25"/>
    </row>
    <row r="624669" spans="21:21" x14ac:dyDescent="0.3">
      <c r="U624669" s="25"/>
    </row>
    <row r="624691" spans="21:21" x14ac:dyDescent="0.3">
      <c r="U624691" s="25"/>
    </row>
    <row r="624713" spans="21:21" x14ac:dyDescent="0.3">
      <c r="U624713" s="25"/>
    </row>
    <row r="624735" spans="21:21" x14ac:dyDescent="0.3">
      <c r="U624735" s="25"/>
    </row>
    <row r="624757" spans="21:21" x14ac:dyDescent="0.3">
      <c r="U624757" s="25"/>
    </row>
    <row r="624779" spans="21:21" x14ac:dyDescent="0.3">
      <c r="U624779" s="25"/>
    </row>
    <row r="624801" spans="21:21" x14ac:dyDescent="0.3">
      <c r="U624801" s="25"/>
    </row>
    <row r="624823" spans="21:21" x14ac:dyDescent="0.3">
      <c r="U624823" s="25"/>
    </row>
    <row r="624845" spans="21:21" x14ac:dyDescent="0.3">
      <c r="U624845" s="25"/>
    </row>
    <row r="624867" spans="21:21" x14ac:dyDescent="0.3">
      <c r="U624867" s="25"/>
    </row>
    <row r="624889" spans="21:21" x14ac:dyDescent="0.3">
      <c r="U624889" s="25"/>
    </row>
    <row r="624911" spans="21:21" x14ac:dyDescent="0.3">
      <c r="U624911" s="25"/>
    </row>
    <row r="624933" spans="21:21" x14ac:dyDescent="0.3">
      <c r="U624933" s="25"/>
    </row>
    <row r="624955" spans="21:21" x14ac:dyDescent="0.3">
      <c r="U624955" s="25"/>
    </row>
    <row r="624977" spans="21:21" x14ac:dyDescent="0.3">
      <c r="U624977" s="25"/>
    </row>
    <row r="624999" spans="21:21" x14ac:dyDescent="0.3">
      <c r="U624999" s="25"/>
    </row>
    <row r="625021" spans="21:21" x14ac:dyDescent="0.3">
      <c r="U625021" s="25"/>
    </row>
    <row r="625043" spans="21:21" x14ac:dyDescent="0.3">
      <c r="U625043" s="25"/>
    </row>
    <row r="625065" spans="21:21" x14ac:dyDescent="0.3">
      <c r="U625065" s="25"/>
    </row>
    <row r="625087" spans="21:21" x14ac:dyDescent="0.3">
      <c r="U625087" s="25"/>
    </row>
    <row r="625109" spans="21:21" x14ac:dyDescent="0.3">
      <c r="U625109" s="25"/>
    </row>
    <row r="625131" spans="21:21" x14ac:dyDescent="0.3">
      <c r="U625131" s="25"/>
    </row>
    <row r="625153" spans="21:21" x14ac:dyDescent="0.3">
      <c r="U625153" s="25"/>
    </row>
    <row r="625175" spans="21:21" x14ac:dyDescent="0.3">
      <c r="U625175" s="25"/>
    </row>
    <row r="625197" spans="21:21" x14ac:dyDescent="0.3">
      <c r="U625197" s="25"/>
    </row>
    <row r="625219" spans="21:21" x14ac:dyDescent="0.3">
      <c r="U625219" s="25"/>
    </row>
    <row r="625241" spans="21:21" x14ac:dyDescent="0.3">
      <c r="U625241" s="25"/>
    </row>
    <row r="625263" spans="21:21" x14ac:dyDescent="0.3">
      <c r="U625263" s="25"/>
    </row>
    <row r="625285" spans="21:21" x14ac:dyDescent="0.3">
      <c r="U625285" s="25"/>
    </row>
    <row r="625307" spans="21:21" x14ac:dyDescent="0.3">
      <c r="U625307" s="25"/>
    </row>
    <row r="625329" spans="21:21" x14ac:dyDescent="0.3">
      <c r="U625329" s="25"/>
    </row>
    <row r="625351" spans="21:21" x14ac:dyDescent="0.3">
      <c r="U625351" s="25"/>
    </row>
    <row r="625373" spans="21:21" x14ac:dyDescent="0.3">
      <c r="U625373" s="25"/>
    </row>
    <row r="625395" spans="21:21" x14ac:dyDescent="0.3">
      <c r="U625395" s="25"/>
    </row>
    <row r="625417" spans="21:21" x14ac:dyDescent="0.3">
      <c r="U625417" s="25"/>
    </row>
    <row r="625439" spans="21:21" x14ac:dyDescent="0.3">
      <c r="U625439" s="25"/>
    </row>
    <row r="625461" spans="21:21" x14ac:dyDescent="0.3">
      <c r="U625461" s="25"/>
    </row>
    <row r="625483" spans="21:21" x14ac:dyDescent="0.3">
      <c r="U625483" s="25"/>
    </row>
    <row r="625505" spans="21:21" x14ac:dyDescent="0.3">
      <c r="U625505" s="25"/>
    </row>
    <row r="625527" spans="21:21" x14ac:dyDescent="0.3">
      <c r="U625527" s="25"/>
    </row>
    <row r="625549" spans="21:21" x14ac:dyDescent="0.3">
      <c r="U625549" s="25"/>
    </row>
    <row r="625571" spans="21:21" x14ac:dyDescent="0.3">
      <c r="U625571" s="25"/>
    </row>
    <row r="625593" spans="21:21" x14ac:dyDescent="0.3">
      <c r="U625593" s="25"/>
    </row>
    <row r="625615" spans="21:21" x14ac:dyDescent="0.3">
      <c r="U625615" s="25"/>
    </row>
    <row r="625637" spans="21:21" x14ac:dyDescent="0.3">
      <c r="U625637" s="25"/>
    </row>
    <row r="625659" spans="21:21" x14ac:dyDescent="0.3">
      <c r="U625659" s="25"/>
    </row>
    <row r="625681" spans="21:21" x14ac:dyDescent="0.3">
      <c r="U625681" s="25"/>
    </row>
    <row r="625703" spans="21:21" x14ac:dyDescent="0.3">
      <c r="U625703" s="25"/>
    </row>
    <row r="625725" spans="21:21" x14ac:dyDescent="0.3">
      <c r="U625725" s="25"/>
    </row>
    <row r="625747" spans="21:21" x14ac:dyDescent="0.3">
      <c r="U625747" s="25"/>
    </row>
    <row r="625769" spans="21:21" x14ac:dyDescent="0.3">
      <c r="U625769" s="25"/>
    </row>
    <row r="625791" spans="21:21" x14ac:dyDescent="0.3">
      <c r="U625791" s="25"/>
    </row>
    <row r="625813" spans="21:21" x14ac:dyDescent="0.3">
      <c r="U625813" s="25"/>
    </row>
    <row r="625835" spans="21:21" x14ac:dyDescent="0.3">
      <c r="U625835" s="25"/>
    </row>
    <row r="625857" spans="21:21" x14ac:dyDescent="0.3">
      <c r="U625857" s="25"/>
    </row>
    <row r="625879" spans="21:21" x14ac:dyDescent="0.3">
      <c r="U625879" s="25"/>
    </row>
    <row r="625901" spans="21:21" x14ac:dyDescent="0.3">
      <c r="U625901" s="25"/>
    </row>
    <row r="625923" spans="21:21" x14ac:dyDescent="0.3">
      <c r="U625923" s="25"/>
    </row>
    <row r="625945" spans="21:21" x14ac:dyDescent="0.3">
      <c r="U625945" s="25"/>
    </row>
    <row r="625967" spans="21:21" x14ac:dyDescent="0.3">
      <c r="U625967" s="25"/>
    </row>
    <row r="625989" spans="21:21" x14ac:dyDescent="0.3">
      <c r="U625989" s="25"/>
    </row>
    <row r="626011" spans="21:21" x14ac:dyDescent="0.3">
      <c r="U626011" s="25"/>
    </row>
    <row r="626033" spans="21:21" x14ac:dyDescent="0.3">
      <c r="U626033" s="25"/>
    </row>
    <row r="626055" spans="21:21" x14ac:dyDescent="0.3">
      <c r="U626055" s="25"/>
    </row>
    <row r="626077" spans="21:21" x14ac:dyDescent="0.3">
      <c r="U626077" s="25"/>
    </row>
    <row r="626099" spans="21:21" x14ac:dyDescent="0.3">
      <c r="U626099" s="25"/>
    </row>
    <row r="626121" spans="21:21" x14ac:dyDescent="0.3">
      <c r="U626121" s="25"/>
    </row>
    <row r="626143" spans="21:21" x14ac:dyDescent="0.3">
      <c r="U626143" s="25"/>
    </row>
    <row r="626165" spans="21:21" x14ac:dyDescent="0.3">
      <c r="U626165" s="25"/>
    </row>
    <row r="626187" spans="21:21" x14ac:dyDescent="0.3">
      <c r="U626187" s="25"/>
    </row>
    <row r="626209" spans="21:21" x14ac:dyDescent="0.3">
      <c r="U626209" s="25"/>
    </row>
    <row r="626231" spans="21:21" x14ac:dyDescent="0.3">
      <c r="U626231" s="25"/>
    </row>
    <row r="626253" spans="21:21" x14ac:dyDescent="0.3">
      <c r="U626253" s="25"/>
    </row>
    <row r="626275" spans="21:21" x14ac:dyDescent="0.3">
      <c r="U626275" s="25"/>
    </row>
    <row r="626297" spans="21:21" x14ac:dyDescent="0.3">
      <c r="U626297" s="25"/>
    </row>
    <row r="626319" spans="21:21" x14ac:dyDescent="0.3">
      <c r="U626319" s="25"/>
    </row>
    <row r="626341" spans="21:21" x14ac:dyDescent="0.3">
      <c r="U626341" s="25"/>
    </row>
    <row r="626363" spans="21:21" x14ac:dyDescent="0.3">
      <c r="U626363" s="25"/>
    </row>
    <row r="626385" spans="21:21" x14ac:dyDescent="0.3">
      <c r="U626385" s="25"/>
    </row>
    <row r="626407" spans="21:21" x14ac:dyDescent="0.3">
      <c r="U626407" s="25"/>
    </row>
    <row r="626429" spans="21:21" x14ac:dyDescent="0.3">
      <c r="U626429" s="25"/>
    </row>
    <row r="626451" spans="21:21" x14ac:dyDescent="0.3">
      <c r="U626451" s="25"/>
    </row>
    <row r="626473" spans="21:21" x14ac:dyDescent="0.3">
      <c r="U626473" s="25"/>
    </row>
    <row r="626495" spans="21:21" x14ac:dyDescent="0.3">
      <c r="U626495" s="25"/>
    </row>
    <row r="626517" spans="21:21" x14ac:dyDescent="0.3">
      <c r="U626517" s="25"/>
    </row>
    <row r="626539" spans="21:21" x14ac:dyDescent="0.3">
      <c r="U626539" s="25"/>
    </row>
    <row r="626561" spans="21:21" x14ac:dyDescent="0.3">
      <c r="U626561" s="25"/>
    </row>
    <row r="626583" spans="21:21" x14ac:dyDescent="0.3">
      <c r="U626583" s="25"/>
    </row>
    <row r="626605" spans="21:21" x14ac:dyDescent="0.3">
      <c r="U626605" s="25"/>
    </row>
    <row r="626627" spans="21:21" x14ac:dyDescent="0.3">
      <c r="U626627" s="25"/>
    </row>
    <row r="626649" spans="21:21" x14ac:dyDescent="0.3">
      <c r="U626649" s="25"/>
    </row>
    <row r="626671" spans="21:21" x14ac:dyDescent="0.3">
      <c r="U626671" s="25"/>
    </row>
    <row r="626693" spans="21:21" x14ac:dyDescent="0.3">
      <c r="U626693" s="25"/>
    </row>
    <row r="626715" spans="21:21" x14ac:dyDescent="0.3">
      <c r="U626715" s="25"/>
    </row>
    <row r="626737" spans="21:21" x14ac:dyDescent="0.3">
      <c r="U626737" s="25"/>
    </row>
    <row r="626759" spans="21:21" x14ac:dyDescent="0.3">
      <c r="U626759" s="25"/>
    </row>
    <row r="626781" spans="21:21" x14ac:dyDescent="0.3">
      <c r="U626781" s="25"/>
    </row>
    <row r="626803" spans="21:21" x14ac:dyDescent="0.3">
      <c r="U626803" s="25"/>
    </row>
    <row r="626825" spans="21:21" x14ac:dyDescent="0.3">
      <c r="U626825" s="25"/>
    </row>
    <row r="626847" spans="21:21" x14ac:dyDescent="0.3">
      <c r="U626847" s="25"/>
    </row>
    <row r="626869" spans="21:21" x14ac:dyDescent="0.3">
      <c r="U626869" s="25"/>
    </row>
    <row r="626891" spans="21:21" x14ac:dyDescent="0.3">
      <c r="U626891" s="25"/>
    </row>
    <row r="626913" spans="21:21" x14ac:dyDescent="0.3">
      <c r="U626913" s="25"/>
    </row>
    <row r="626935" spans="21:21" x14ac:dyDescent="0.3">
      <c r="U626935" s="25"/>
    </row>
    <row r="626957" spans="21:21" x14ac:dyDescent="0.3">
      <c r="U626957" s="25"/>
    </row>
    <row r="626979" spans="21:21" x14ac:dyDescent="0.3">
      <c r="U626979" s="25"/>
    </row>
    <row r="627001" spans="21:21" x14ac:dyDescent="0.3">
      <c r="U627001" s="25"/>
    </row>
    <row r="627023" spans="21:21" x14ac:dyDescent="0.3">
      <c r="U627023" s="25"/>
    </row>
    <row r="627045" spans="21:21" x14ac:dyDescent="0.3">
      <c r="U627045" s="25"/>
    </row>
    <row r="627067" spans="21:21" x14ac:dyDescent="0.3">
      <c r="U627067" s="25"/>
    </row>
    <row r="627089" spans="21:21" x14ac:dyDescent="0.3">
      <c r="U627089" s="25"/>
    </row>
    <row r="627111" spans="21:21" x14ac:dyDescent="0.3">
      <c r="U627111" s="25"/>
    </row>
    <row r="627133" spans="21:21" x14ac:dyDescent="0.3">
      <c r="U627133" s="25"/>
    </row>
    <row r="627155" spans="21:21" x14ac:dyDescent="0.3">
      <c r="U627155" s="25"/>
    </row>
    <row r="627177" spans="21:21" x14ac:dyDescent="0.3">
      <c r="U627177" s="25"/>
    </row>
    <row r="627199" spans="21:21" x14ac:dyDescent="0.3">
      <c r="U627199" s="25"/>
    </row>
    <row r="627221" spans="21:21" x14ac:dyDescent="0.3">
      <c r="U627221" s="25"/>
    </row>
    <row r="627243" spans="21:21" x14ac:dyDescent="0.3">
      <c r="U627243" s="25"/>
    </row>
    <row r="627265" spans="21:21" x14ac:dyDescent="0.3">
      <c r="U627265" s="25"/>
    </row>
    <row r="627287" spans="21:21" x14ac:dyDescent="0.3">
      <c r="U627287" s="25"/>
    </row>
    <row r="627309" spans="21:21" x14ac:dyDescent="0.3">
      <c r="U627309" s="25"/>
    </row>
    <row r="627331" spans="21:21" x14ac:dyDescent="0.3">
      <c r="U627331" s="25"/>
    </row>
    <row r="627353" spans="21:21" x14ac:dyDescent="0.3">
      <c r="U627353" s="25"/>
    </row>
    <row r="627375" spans="21:21" x14ac:dyDescent="0.3">
      <c r="U627375" s="25"/>
    </row>
    <row r="627397" spans="21:21" x14ac:dyDescent="0.3">
      <c r="U627397" s="25"/>
    </row>
    <row r="627419" spans="21:21" x14ac:dyDescent="0.3">
      <c r="U627419" s="25"/>
    </row>
    <row r="627441" spans="21:21" x14ac:dyDescent="0.3">
      <c r="U627441" s="25"/>
    </row>
    <row r="627463" spans="21:21" x14ac:dyDescent="0.3">
      <c r="U627463" s="25"/>
    </row>
    <row r="627485" spans="21:21" x14ac:dyDescent="0.3">
      <c r="U627485" s="25"/>
    </row>
    <row r="627507" spans="21:21" x14ac:dyDescent="0.3">
      <c r="U627507" s="25"/>
    </row>
    <row r="627529" spans="21:21" x14ac:dyDescent="0.3">
      <c r="U627529" s="25"/>
    </row>
    <row r="627551" spans="21:21" x14ac:dyDescent="0.3">
      <c r="U627551" s="25"/>
    </row>
    <row r="627573" spans="21:21" x14ac:dyDescent="0.3">
      <c r="U627573" s="25"/>
    </row>
    <row r="627595" spans="21:21" x14ac:dyDescent="0.3">
      <c r="U627595" s="25"/>
    </row>
    <row r="627617" spans="21:21" x14ac:dyDescent="0.3">
      <c r="U627617" s="25"/>
    </row>
    <row r="627639" spans="21:21" x14ac:dyDescent="0.3">
      <c r="U627639" s="25"/>
    </row>
    <row r="627661" spans="21:21" x14ac:dyDescent="0.3">
      <c r="U627661" s="25"/>
    </row>
    <row r="627683" spans="21:21" x14ac:dyDescent="0.3">
      <c r="U627683" s="25"/>
    </row>
    <row r="627705" spans="21:21" x14ac:dyDescent="0.3">
      <c r="U627705" s="25"/>
    </row>
    <row r="627727" spans="21:21" x14ac:dyDescent="0.3">
      <c r="U627727" s="25"/>
    </row>
    <row r="627749" spans="21:21" x14ac:dyDescent="0.3">
      <c r="U627749" s="25"/>
    </row>
    <row r="627771" spans="21:21" x14ac:dyDescent="0.3">
      <c r="U627771" s="25"/>
    </row>
    <row r="627793" spans="21:21" x14ac:dyDescent="0.3">
      <c r="U627793" s="25"/>
    </row>
    <row r="627815" spans="21:21" x14ac:dyDescent="0.3">
      <c r="U627815" s="25"/>
    </row>
    <row r="627837" spans="21:21" x14ac:dyDescent="0.3">
      <c r="U627837" s="25"/>
    </row>
    <row r="627859" spans="21:21" x14ac:dyDescent="0.3">
      <c r="U627859" s="25"/>
    </row>
    <row r="627881" spans="21:21" x14ac:dyDescent="0.3">
      <c r="U627881" s="25"/>
    </row>
    <row r="627903" spans="21:21" x14ac:dyDescent="0.3">
      <c r="U627903" s="25"/>
    </row>
    <row r="627925" spans="21:21" x14ac:dyDescent="0.3">
      <c r="U627925" s="25"/>
    </row>
    <row r="627947" spans="21:21" x14ac:dyDescent="0.3">
      <c r="U627947" s="25"/>
    </row>
    <row r="627969" spans="21:21" x14ac:dyDescent="0.3">
      <c r="U627969" s="25"/>
    </row>
    <row r="627991" spans="21:21" x14ac:dyDescent="0.3">
      <c r="U627991" s="25"/>
    </row>
    <row r="628013" spans="21:21" x14ac:dyDescent="0.3">
      <c r="U628013" s="25"/>
    </row>
    <row r="628035" spans="21:21" x14ac:dyDescent="0.3">
      <c r="U628035" s="25"/>
    </row>
    <row r="628057" spans="21:21" x14ac:dyDescent="0.3">
      <c r="U628057" s="25"/>
    </row>
    <row r="628079" spans="21:21" x14ac:dyDescent="0.3">
      <c r="U628079" s="25"/>
    </row>
    <row r="628101" spans="21:21" x14ac:dyDescent="0.3">
      <c r="U628101" s="25"/>
    </row>
    <row r="628123" spans="21:21" x14ac:dyDescent="0.3">
      <c r="U628123" s="25"/>
    </row>
    <row r="628145" spans="21:21" x14ac:dyDescent="0.3">
      <c r="U628145" s="25"/>
    </row>
    <row r="628167" spans="21:21" x14ac:dyDescent="0.3">
      <c r="U628167" s="25"/>
    </row>
    <row r="628189" spans="21:21" x14ac:dyDescent="0.3">
      <c r="U628189" s="25"/>
    </row>
    <row r="628211" spans="21:21" x14ac:dyDescent="0.3">
      <c r="U628211" s="25"/>
    </row>
    <row r="628233" spans="21:21" x14ac:dyDescent="0.3">
      <c r="U628233" s="25"/>
    </row>
    <row r="628255" spans="21:21" x14ac:dyDescent="0.3">
      <c r="U628255" s="25"/>
    </row>
    <row r="628277" spans="21:21" x14ac:dyDescent="0.3">
      <c r="U628277" s="25"/>
    </row>
    <row r="628299" spans="21:21" x14ac:dyDescent="0.3">
      <c r="U628299" s="25"/>
    </row>
    <row r="628321" spans="21:21" x14ac:dyDescent="0.3">
      <c r="U628321" s="25"/>
    </row>
    <row r="628343" spans="21:21" x14ac:dyDescent="0.3">
      <c r="U628343" s="25"/>
    </row>
    <row r="628365" spans="21:21" x14ac:dyDescent="0.3">
      <c r="U628365" s="25"/>
    </row>
    <row r="628387" spans="21:21" x14ac:dyDescent="0.3">
      <c r="U628387" s="25"/>
    </row>
    <row r="628409" spans="21:21" x14ac:dyDescent="0.3">
      <c r="U628409" s="25"/>
    </row>
    <row r="628431" spans="21:21" x14ac:dyDescent="0.3">
      <c r="U628431" s="25"/>
    </row>
    <row r="628453" spans="21:21" x14ac:dyDescent="0.3">
      <c r="U628453" s="25"/>
    </row>
    <row r="628475" spans="21:21" x14ac:dyDescent="0.3">
      <c r="U628475" s="25"/>
    </row>
    <row r="628497" spans="21:21" x14ac:dyDescent="0.3">
      <c r="U628497" s="25"/>
    </row>
    <row r="628519" spans="21:21" x14ac:dyDescent="0.3">
      <c r="U628519" s="25"/>
    </row>
    <row r="628541" spans="21:21" x14ac:dyDescent="0.3">
      <c r="U628541" s="25"/>
    </row>
    <row r="628563" spans="21:21" x14ac:dyDescent="0.3">
      <c r="U628563" s="25"/>
    </row>
    <row r="628585" spans="21:21" x14ac:dyDescent="0.3">
      <c r="U628585" s="25"/>
    </row>
    <row r="628607" spans="21:21" x14ac:dyDescent="0.3">
      <c r="U628607" s="25"/>
    </row>
    <row r="628629" spans="21:21" x14ac:dyDescent="0.3">
      <c r="U628629" s="25"/>
    </row>
    <row r="628651" spans="21:21" x14ac:dyDescent="0.3">
      <c r="U628651" s="25"/>
    </row>
    <row r="628673" spans="21:21" x14ac:dyDescent="0.3">
      <c r="U628673" s="25"/>
    </row>
    <row r="628695" spans="21:21" x14ac:dyDescent="0.3">
      <c r="U628695" s="25"/>
    </row>
    <row r="628717" spans="21:21" x14ac:dyDescent="0.3">
      <c r="U628717" s="25"/>
    </row>
    <row r="628739" spans="21:21" x14ac:dyDescent="0.3">
      <c r="U628739" s="25"/>
    </row>
    <row r="628761" spans="21:21" x14ac:dyDescent="0.3">
      <c r="U628761" s="25"/>
    </row>
    <row r="628783" spans="21:21" x14ac:dyDescent="0.3">
      <c r="U628783" s="25"/>
    </row>
    <row r="628805" spans="21:21" x14ac:dyDescent="0.3">
      <c r="U628805" s="25"/>
    </row>
    <row r="628827" spans="21:21" x14ac:dyDescent="0.3">
      <c r="U628827" s="25"/>
    </row>
    <row r="628849" spans="21:21" x14ac:dyDescent="0.3">
      <c r="U628849" s="25"/>
    </row>
    <row r="628871" spans="21:21" x14ac:dyDescent="0.3">
      <c r="U628871" s="25"/>
    </row>
    <row r="628893" spans="21:21" x14ac:dyDescent="0.3">
      <c r="U628893" s="25"/>
    </row>
    <row r="628915" spans="21:21" x14ac:dyDescent="0.3">
      <c r="U628915" s="25"/>
    </row>
    <row r="628937" spans="21:21" x14ac:dyDescent="0.3">
      <c r="U628937" s="25"/>
    </row>
    <row r="628959" spans="21:21" x14ac:dyDescent="0.3">
      <c r="U628959" s="25"/>
    </row>
    <row r="628981" spans="21:21" x14ac:dyDescent="0.3">
      <c r="U628981" s="25"/>
    </row>
    <row r="629003" spans="21:21" x14ac:dyDescent="0.3">
      <c r="U629003" s="25"/>
    </row>
    <row r="629025" spans="21:21" x14ac:dyDescent="0.3">
      <c r="U629025" s="25"/>
    </row>
    <row r="629047" spans="21:21" x14ac:dyDescent="0.3">
      <c r="U629047" s="25"/>
    </row>
    <row r="629069" spans="21:21" x14ac:dyDescent="0.3">
      <c r="U629069" s="25"/>
    </row>
    <row r="629091" spans="21:21" x14ac:dyDescent="0.3">
      <c r="U629091" s="25"/>
    </row>
    <row r="629113" spans="21:21" x14ac:dyDescent="0.3">
      <c r="U629113" s="25"/>
    </row>
    <row r="629135" spans="21:21" x14ac:dyDescent="0.3">
      <c r="U629135" s="25"/>
    </row>
    <row r="629157" spans="21:21" x14ac:dyDescent="0.3">
      <c r="U629157" s="25"/>
    </row>
    <row r="629179" spans="21:21" x14ac:dyDescent="0.3">
      <c r="U629179" s="25"/>
    </row>
    <row r="629201" spans="21:21" x14ac:dyDescent="0.3">
      <c r="U629201" s="25"/>
    </row>
    <row r="629223" spans="21:21" x14ac:dyDescent="0.3">
      <c r="U629223" s="25"/>
    </row>
    <row r="629245" spans="21:21" x14ac:dyDescent="0.3">
      <c r="U629245" s="25"/>
    </row>
    <row r="629267" spans="21:21" x14ac:dyDescent="0.3">
      <c r="U629267" s="25"/>
    </row>
    <row r="629289" spans="21:21" x14ac:dyDescent="0.3">
      <c r="U629289" s="25"/>
    </row>
    <row r="629311" spans="21:21" x14ac:dyDescent="0.3">
      <c r="U629311" s="25"/>
    </row>
    <row r="629333" spans="21:21" x14ac:dyDescent="0.3">
      <c r="U629333" s="25"/>
    </row>
    <row r="629355" spans="21:21" x14ac:dyDescent="0.3">
      <c r="U629355" s="25"/>
    </row>
    <row r="629377" spans="21:21" x14ac:dyDescent="0.3">
      <c r="U629377" s="25"/>
    </row>
    <row r="629399" spans="21:21" x14ac:dyDescent="0.3">
      <c r="U629399" s="25"/>
    </row>
    <row r="629421" spans="21:21" x14ac:dyDescent="0.3">
      <c r="U629421" s="25"/>
    </row>
    <row r="629443" spans="21:21" x14ac:dyDescent="0.3">
      <c r="U629443" s="25"/>
    </row>
    <row r="629465" spans="21:21" x14ac:dyDescent="0.3">
      <c r="U629465" s="25"/>
    </row>
    <row r="629487" spans="21:21" x14ac:dyDescent="0.3">
      <c r="U629487" s="25"/>
    </row>
    <row r="629509" spans="21:21" x14ac:dyDescent="0.3">
      <c r="U629509" s="25"/>
    </row>
    <row r="629531" spans="21:21" x14ac:dyDescent="0.3">
      <c r="U629531" s="25"/>
    </row>
    <row r="629553" spans="21:21" x14ac:dyDescent="0.3">
      <c r="U629553" s="25"/>
    </row>
    <row r="629575" spans="21:21" x14ac:dyDescent="0.3">
      <c r="U629575" s="25"/>
    </row>
    <row r="629597" spans="21:21" x14ac:dyDescent="0.3">
      <c r="U629597" s="25"/>
    </row>
    <row r="629619" spans="21:21" x14ac:dyDescent="0.3">
      <c r="U629619" s="25"/>
    </row>
    <row r="629641" spans="21:21" x14ac:dyDescent="0.3">
      <c r="U629641" s="25"/>
    </row>
    <row r="629663" spans="21:21" x14ac:dyDescent="0.3">
      <c r="U629663" s="25"/>
    </row>
    <row r="629685" spans="21:21" x14ac:dyDescent="0.3">
      <c r="U629685" s="25"/>
    </row>
    <row r="629707" spans="21:21" x14ac:dyDescent="0.3">
      <c r="U629707" s="25"/>
    </row>
    <row r="629729" spans="21:21" x14ac:dyDescent="0.3">
      <c r="U629729" s="25"/>
    </row>
    <row r="629751" spans="21:21" x14ac:dyDescent="0.3">
      <c r="U629751" s="25"/>
    </row>
    <row r="629773" spans="21:21" x14ac:dyDescent="0.3">
      <c r="U629773" s="25"/>
    </row>
    <row r="629795" spans="21:21" x14ac:dyDescent="0.3">
      <c r="U629795" s="25"/>
    </row>
    <row r="629817" spans="21:21" x14ac:dyDescent="0.3">
      <c r="U629817" s="25"/>
    </row>
    <row r="629839" spans="21:21" x14ac:dyDescent="0.3">
      <c r="U629839" s="25"/>
    </row>
    <row r="629861" spans="21:21" x14ac:dyDescent="0.3">
      <c r="U629861" s="25"/>
    </row>
    <row r="629883" spans="21:21" x14ac:dyDescent="0.3">
      <c r="U629883" s="25"/>
    </row>
    <row r="629905" spans="21:21" x14ac:dyDescent="0.3">
      <c r="U629905" s="25"/>
    </row>
    <row r="629927" spans="21:21" x14ac:dyDescent="0.3">
      <c r="U629927" s="25"/>
    </row>
    <row r="629949" spans="21:21" x14ac:dyDescent="0.3">
      <c r="U629949" s="25"/>
    </row>
    <row r="629971" spans="21:21" x14ac:dyDescent="0.3">
      <c r="U629971" s="25"/>
    </row>
    <row r="629993" spans="21:21" x14ac:dyDescent="0.3">
      <c r="U629993" s="25"/>
    </row>
    <row r="630015" spans="21:21" x14ac:dyDescent="0.3">
      <c r="U630015" s="25"/>
    </row>
    <row r="630037" spans="21:21" x14ac:dyDescent="0.3">
      <c r="U630037" s="25"/>
    </row>
    <row r="630059" spans="21:21" x14ac:dyDescent="0.3">
      <c r="U630059" s="25"/>
    </row>
    <row r="630081" spans="21:21" x14ac:dyDescent="0.3">
      <c r="U630081" s="25"/>
    </row>
    <row r="630103" spans="21:21" x14ac:dyDescent="0.3">
      <c r="U630103" s="25"/>
    </row>
    <row r="630125" spans="21:21" x14ac:dyDescent="0.3">
      <c r="U630125" s="25"/>
    </row>
    <row r="630147" spans="21:21" x14ac:dyDescent="0.3">
      <c r="U630147" s="25"/>
    </row>
    <row r="630169" spans="21:21" x14ac:dyDescent="0.3">
      <c r="U630169" s="25"/>
    </row>
    <row r="630191" spans="21:21" x14ac:dyDescent="0.3">
      <c r="U630191" s="25"/>
    </row>
    <row r="630213" spans="21:21" x14ac:dyDescent="0.3">
      <c r="U630213" s="25"/>
    </row>
    <row r="630235" spans="21:21" x14ac:dyDescent="0.3">
      <c r="U630235" s="25"/>
    </row>
    <row r="630257" spans="21:21" x14ac:dyDescent="0.3">
      <c r="U630257" s="25"/>
    </row>
    <row r="630279" spans="21:21" x14ac:dyDescent="0.3">
      <c r="U630279" s="25"/>
    </row>
    <row r="630301" spans="21:21" x14ac:dyDescent="0.3">
      <c r="U630301" s="25"/>
    </row>
    <row r="630323" spans="21:21" x14ac:dyDescent="0.3">
      <c r="U630323" s="25"/>
    </row>
    <row r="630345" spans="21:21" x14ac:dyDescent="0.3">
      <c r="U630345" s="25"/>
    </row>
    <row r="630367" spans="21:21" x14ac:dyDescent="0.3">
      <c r="U630367" s="25"/>
    </row>
    <row r="630389" spans="21:21" x14ac:dyDescent="0.3">
      <c r="U630389" s="25"/>
    </row>
    <row r="630411" spans="21:21" x14ac:dyDescent="0.3">
      <c r="U630411" s="25"/>
    </row>
    <row r="630433" spans="21:21" x14ac:dyDescent="0.3">
      <c r="U630433" s="25"/>
    </row>
    <row r="630455" spans="21:21" x14ac:dyDescent="0.3">
      <c r="U630455" s="25"/>
    </row>
    <row r="630477" spans="21:21" x14ac:dyDescent="0.3">
      <c r="U630477" s="25"/>
    </row>
    <row r="630499" spans="21:21" x14ac:dyDescent="0.3">
      <c r="U630499" s="25"/>
    </row>
    <row r="630521" spans="21:21" x14ac:dyDescent="0.3">
      <c r="U630521" s="25"/>
    </row>
    <row r="630543" spans="21:21" x14ac:dyDescent="0.3">
      <c r="U630543" s="25"/>
    </row>
    <row r="630565" spans="21:21" x14ac:dyDescent="0.3">
      <c r="U630565" s="25"/>
    </row>
    <row r="630587" spans="21:21" x14ac:dyDescent="0.3">
      <c r="U630587" s="25"/>
    </row>
    <row r="630609" spans="21:21" x14ac:dyDescent="0.3">
      <c r="U630609" s="25"/>
    </row>
    <row r="630631" spans="21:21" x14ac:dyDescent="0.3">
      <c r="U630631" s="25"/>
    </row>
    <row r="630653" spans="21:21" x14ac:dyDescent="0.3">
      <c r="U630653" s="25"/>
    </row>
    <row r="630675" spans="21:21" x14ac:dyDescent="0.3">
      <c r="U630675" s="25"/>
    </row>
    <row r="630697" spans="21:21" x14ac:dyDescent="0.3">
      <c r="U630697" s="25"/>
    </row>
    <row r="630719" spans="21:21" x14ac:dyDescent="0.3">
      <c r="U630719" s="25"/>
    </row>
    <row r="630741" spans="21:21" x14ac:dyDescent="0.3">
      <c r="U630741" s="25"/>
    </row>
    <row r="630763" spans="21:21" x14ac:dyDescent="0.3">
      <c r="U630763" s="25"/>
    </row>
    <row r="630785" spans="21:21" x14ac:dyDescent="0.3">
      <c r="U630785" s="25"/>
    </row>
    <row r="630807" spans="21:21" x14ac:dyDescent="0.3">
      <c r="U630807" s="25"/>
    </row>
    <row r="630829" spans="21:21" x14ac:dyDescent="0.3">
      <c r="U630829" s="25"/>
    </row>
    <row r="630851" spans="21:21" x14ac:dyDescent="0.3">
      <c r="U630851" s="25"/>
    </row>
    <row r="630873" spans="21:21" x14ac:dyDescent="0.3">
      <c r="U630873" s="25"/>
    </row>
    <row r="630895" spans="21:21" x14ac:dyDescent="0.3">
      <c r="U630895" s="25"/>
    </row>
    <row r="630917" spans="21:21" x14ac:dyDescent="0.3">
      <c r="U630917" s="25"/>
    </row>
    <row r="630939" spans="21:21" x14ac:dyDescent="0.3">
      <c r="U630939" s="25"/>
    </row>
    <row r="630961" spans="21:21" x14ac:dyDescent="0.3">
      <c r="U630961" s="25"/>
    </row>
    <row r="630983" spans="21:21" x14ac:dyDescent="0.3">
      <c r="U630983" s="25"/>
    </row>
    <row r="631005" spans="21:21" x14ac:dyDescent="0.3">
      <c r="U631005" s="25"/>
    </row>
    <row r="631027" spans="21:21" x14ac:dyDescent="0.3">
      <c r="U631027" s="25"/>
    </row>
    <row r="631049" spans="21:21" x14ac:dyDescent="0.3">
      <c r="U631049" s="25"/>
    </row>
    <row r="631071" spans="21:21" x14ac:dyDescent="0.3">
      <c r="U631071" s="25"/>
    </row>
    <row r="631093" spans="21:21" x14ac:dyDescent="0.3">
      <c r="U631093" s="25"/>
    </row>
    <row r="631115" spans="21:21" x14ac:dyDescent="0.3">
      <c r="U631115" s="25"/>
    </row>
    <row r="631137" spans="21:21" x14ac:dyDescent="0.3">
      <c r="U631137" s="25"/>
    </row>
    <row r="631159" spans="21:21" x14ac:dyDescent="0.3">
      <c r="U631159" s="25"/>
    </row>
    <row r="631181" spans="21:21" x14ac:dyDescent="0.3">
      <c r="U631181" s="25"/>
    </row>
    <row r="631203" spans="21:21" x14ac:dyDescent="0.3">
      <c r="U631203" s="25"/>
    </row>
    <row r="631225" spans="21:21" x14ac:dyDescent="0.3">
      <c r="U631225" s="25"/>
    </row>
    <row r="631247" spans="21:21" x14ac:dyDescent="0.3">
      <c r="U631247" s="25"/>
    </row>
    <row r="631269" spans="21:21" x14ac:dyDescent="0.3">
      <c r="U631269" s="25"/>
    </row>
    <row r="631291" spans="21:21" x14ac:dyDescent="0.3">
      <c r="U631291" s="25"/>
    </row>
    <row r="631313" spans="21:21" x14ac:dyDescent="0.3">
      <c r="U631313" s="25"/>
    </row>
    <row r="631335" spans="21:21" x14ac:dyDescent="0.3">
      <c r="U631335" s="25"/>
    </row>
    <row r="631357" spans="21:21" x14ac:dyDescent="0.3">
      <c r="U631357" s="25"/>
    </row>
    <row r="631379" spans="21:21" x14ac:dyDescent="0.3">
      <c r="U631379" s="25"/>
    </row>
    <row r="631401" spans="21:21" x14ac:dyDescent="0.3">
      <c r="U631401" s="25"/>
    </row>
    <row r="631423" spans="21:21" x14ac:dyDescent="0.3">
      <c r="U631423" s="25"/>
    </row>
    <row r="631445" spans="21:21" x14ac:dyDescent="0.3">
      <c r="U631445" s="25"/>
    </row>
    <row r="631467" spans="21:21" x14ac:dyDescent="0.3">
      <c r="U631467" s="25"/>
    </row>
    <row r="631489" spans="21:21" x14ac:dyDescent="0.3">
      <c r="U631489" s="25"/>
    </row>
    <row r="631511" spans="21:21" x14ac:dyDescent="0.3">
      <c r="U631511" s="25"/>
    </row>
    <row r="631533" spans="21:21" x14ac:dyDescent="0.3">
      <c r="U631533" s="25"/>
    </row>
    <row r="631555" spans="21:21" x14ac:dyDescent="0.3">
      <c r="U631555" s="25"/>
    </row>
    <row r="631577" spans="21:21" x14ac:dyDescent="0.3">
      <c r="U631577" s="25"/>
    </row>
    <row r="631599" spans="21:21" x14ac:dyDescent="0.3">
      <c r="U631599" s="25"/>
    </row>
    <row r="631621" spans="21:21" x14ac:dyDescent="0.3">
      <c r="U631621" s="25"/>
    </row>
    <row r="631643" spans="21:21" x14ac:dyDescent="0.3">
      <c r="U631643" s="25"/>
    </row>
    <row r="631665" spans="21:21" x14ac:dyDescent="0.3">
      <c r="U631665" s="25"/>
    </row>
    <row r="631687" spans="21:21" x14ac:dyDescent="0.3">
      <c r="U631687" s="25"/>
    </row>
    <row r="631709" spans="21:21" x14ac:dyDescent="0.3">
      <c r="U631709" s="25"/>
    </row>
    <row r="631731" spans="21:21" x14ac:dyDescent="0.3">
      <c r="U631731" s="25"/>
    </row>
    <row r="631753" spans="21:21" x14ac:dyDescent="0.3">
      <c r="U631753" s="25"/>
    </row>
    <row r="631775" spans="21:21" x14ac:dyDescent="0.3">
      <c r="U631775" s="25"/>
    </row>
    <row r="631797" spans="21:21" x14ac:dyDescent="0.3">
      <c r="U631797" s="25"/>
    </row>
    <row r="631819" spans="21:21" x14ac:dyDescent="0.3">
      <c r="U631819" s="25"/>
    </row>
    <row r="631841" spans="21:21" x14ac:dyDescent="0.3">
      <c r="U631841" s="25"/>
    </row>
    <row r="631863" spans="21:21" x14ac:dyDescent="0.3">
      <c r="U631863" s="25"/>
    </row>
    <row r="631885" spans="21:21" x14ac:dyDescent="0.3">
      <c r="U631885" s="25"/>
    </row>
    <row r="631907" spans="21:21" x14ac:dyDescent="0.3">
      <c r="U631907" s="25"/>
    </row>
    <row r="631929" spans="21:21" x14ac:dyDescent="0.3">
      <c r="U631929" s="25"/>
    </row>
    <row r="631951" spans="21:21" x14ac:dyDescent="0.3">
      <c r="U631951" s="25"/>
    </row>
    <row r="631973" spans="21:21" x14ac:dyDescent="0.3">
      <c r="U631973" s="25"/>
    </row>
    <row r="631995" spans="21:21" x14ac:dyDescent="0.3">
      <c r="U631995" s="25"/>
    </row>
    <row r="632017" spans="21:21" x14ac:dyDescent="0.3">
      <c r="U632017" s="25"/>
    </row>
    <row r="632039" spans="21:21" x14ac:dyDescent="0.3">
      <c r="U632039" s="25"/>
    </row>
    <row r="632061" spans="21:21" x14ac:dyDescent="0.3">
      <c r="U632061" s="25"/>
    </row>
    <row r="632083" spans="21:21" x14ac:dyDescent="0.3">
      <c r="U632083" s="25"/>
    </row>
    <row r="632105" spans="21:21" x14ac:dyDescent="0.3">
      <c r="U632105" s="25"/>
    </row>
    <row r="632127" spans="21:21" x14ac:dyDescent="0.3">
      <c r="U632127" s="25"/>
    </row>
    <row r="632149" spans="21:21" x14ac:dyDescent="0.3">
      <c r="U632149" s="25"/>
    </row>
    <row r="632171" spans="21:21" x14ac:dyDescent="0.3">
      <c r="U632171" s="25"/>
    </row>
    <row r="632193" spans="21:21" x14ac:dyDescent="0.3">
      <c r="U632193" s="25"/>
    </row>
    <row r="632215" spans="21:21" x14ac:dyDescent="0.3">
      <c r="U632215" s="25"/>
    </row>
    <row r="632237" spans="21:21" x14ac:dyDescent="0.3">
      <c r="U632237" s="25"/>
    </row>
    <row r="632259" spans="21:21" x14ac:dyDescent="0.3">
      <c r="U632259" s="25"/>
    </row>
    <row r="632281" spans="21:21" x14ac:dyDescent="0.3">
      <c r="U632281" s="25"/>
    </row>
    <row r="632303" spans="21:21" x14ac:dyDescent="0.3">
      <c r="U632303" s="25"/>
    </row>
    <row r="632325" spans="21:21" x14ac:dyDescent="0.3">
      <c r="U632325" s="25"/>
    </row>
    <row r="632347" spans="21:21" x14ac:dyDescent="0.3">
      <c r="U632347" s="25"/>
    </row>
    <row r="632369" spans="21:21" x14ac:dyDescent="0.3">
      <c r="U632369" s="25"/>
    </row>
    <row r="632391" spans="21:21" x14ac:dyDescent="0.3">
      <c r="U632391" s="25"/>
    </row>
    <row r="632413" spans="21:21" x14ac:dyDescent="0.3">
      <c r="U632413" s="25"/>
    </row>
    <row r="632435" spans="21:21" x14ac:dyDescent="0.3">
      <c r="U632435" s="25"/>
    </row>
    <row r="632457" spans="21:21" x14ac:dyDescent="0.3">
      <c r="U632457" s="25"/>
    </row>
    <row r="632479" spans="21:21" x14ac:dyDescent="0.3">
      <c r="U632479" s="25"/>
    </row>
    <row r="632501" spans="21:21" x14ac:dyDescent="0.3">
      <c r="U632501" s="25"/>
    </row>
    <row r="632523" spans="21:21" x14ac:dyDescent="0.3">
      <c r="U632523" s="25"/>
    </row>
    <row r="632545" spans="21:21" x14ac:dyDescent="0.3">
      <c r="U632545" s="25"/>
    </row>
    <row r="632567" spans="21:21" x14ac:dyDescent="0.3">
      <c r="U632567" s="25"/>
    </row>
    <row r="632589" spans="21:21" x14ac:dyDescent="0.3">
      <c r="U632589" s="25"/>
    </row>
    <row r="632611" spans="21:21" x14ac:dyDescent="0.3">
      <c r="U632611" s="25"/>
    </row>
    <row r="632633" spans="21:21" x14ac:dyDescent="0.3">
      <c r="U632633" s="25"/>
    </row>
    <row r="632655" spans="21:21" x14ac:dyDescent="0.3">
      <c r="U632655" s="25"/>
    </row>
    <row r="632677" spans="21:21" x14ac:dyDescent="0.3">
      <c r="U632677" s="25"/>
    </row>
    <row r="632699" spans="21:21" x14ac:dyDescent="0.3">
      <c r="U632699" s="25"/>
    </row>
    <row r="632721" spans="21:21" x14ac:dyDescent="0.3">
      <c r="U632721" s="25"/>
    </row>
    <row r="632743" spans="21:21" x14ac:dyDescent="0.3">
      <c r="U632743" s="25"/>
    </row>
    <row r="632765" spans="21:21" x14ac:dyDescent="0.3">
      <c r="U632765" s="25"/>
    </row>
    <row r="632787" spans="21:21" x14ac:dyDescent="0.3">
      <c r="U632787" s="25"/>
    </row>
    <row r="632809" spans="21:21" x14ac:dyDescent="0.3">
      <c r="U632809" s="25"/>
    </row>
    <row r="632831" spans="21:21" x14ac:dyDescent="0.3">
      <c r="U632831" s="25"/>
    </row>
    <row r="632853" spans="21:21" x14ac:dyDescent="0.3">
      <c r="U632853" s="25"/>
    </row>
    <row r="632875" spans="21:21" x14ac:dyDescent="0.3">
      <c r="U632875" s="25"/>
    </row>
    <row r="632897" spans="21:21" x14ac:dyDescent="0.3">
      <c r="U632897" s="25"/>
    </row>
    <row r="632919" spans="21:21" x14ac:dyDescent="0.3">
      <c r="U632919" s="25"/>
    </row>
    <row r="632941" spans="21:21" x14ac:dyDescent="0.3">
      <c r="U632941" s="25"/>
    </row>
    <row r="632963" spans="21:21" x14ac:dyDescent="0.3">
      <c r="U632963" s="25"/>
    </row>
    <row r="632985" spans="21:21" x14ac:dyDescent="0.3">
      <c r="U632985" s="25"/>
    </row>
    <row r="633007" spans="21:21" x14ac:dyDescent="0.3">
      <c r="U633007" s="25"/>
    </row>
    <row r="633029" spans="21:21" x14ac:dyDescent="0.3">
      <c r="U633029" s="25"/>
    </row>
    <row r="633051" spans="21:21" x14ac:dyDescent="0.3">
      <c r="U633051" s="25"/>
    </row>
    <row r="633073" spans="21:21" x14ac:dyDescent="0.3">
      <c r="U633073" s="25"/>
    </row>
    <row r="633095" spans="21:21" x14ac:dyDescent="0.3">
      <c r="U633095" s="25"/>
    </row>
    <row r="633117" spans="21:21" x14ac:dyDescent="0.3">
      <c r="U633117" s="25"/>
    </row>
    <row r="633139" spans="21:21" x14ac:dyDescent="0.3">
      <c r="U633139" s="25"/>
    </row>
    <row r="633161" spans="21:21" x14ac:dyDescent="0.3">
      <c r="U633161" s="25"/>
    </row>
    <row r="633183" spans="21:21" x14ac:dyDescent="0.3">
      <c r="U633183" s="25"/>
    </row>
    <row r="633205" spans="21:21" x14ac:dyDescent="0.3">
      <c r="U633205" s="25"/>
    </row>
    <row r="633227" spans="21:21" x14ac:dyDescent="0.3">
      <c r="U633227" s="25"/>
    </row>
    <row r="633249" spans="21:21" x14ac:dyDescent="0.3">
      <c r="U633249" s="25"/>
    </row>
    <row r="633271" spans="21:21" x14ac:dyDescent="0.3">
      <c r="U633271" s="25"/>
    </row>
    <row r="633293" spans="21:21" x14ac:dyDescent="0.3">
      <c r="U633293" s="25"/>
    </row>
    <row r="633315" spans="21:21" x14ac:dyDescent="0.3">
      <c r="U633315" s="25"/>
    </row>
    <row r="633337" spans="21:21" x14ac:dyDescent="0.3">
      <c r="U633337" s="25"/>
    </row>
    <row r="633359" spans="21:21" x14ac:dyDescent="0.3">
      <c r="U633359" s="25"/>
    </row>
    <row r="633381" spans="21:21" x14ac:dyDescent="0.3">
      <c r="U633381" s="25"/>
    </row>
    <row r="633403" spans="21:21" x14ac:dyDescent="0.3">
      <c r="U633403" s="25"/>
    </row>
    <row r="633425" spans="21:21" x14ac:dyDescent="0.3">
      <c r="U633425" s="25"/>
    </row>
    <row r="633447" spans="21:21" x14ac:dyDescent="0.3">
      <c r="U633447" s="25"/>
    </row>
    <row r="633469" spans="21:21" x14ac:dyDescent="0.3">
      <c r="U633469" s="25"/>
    </row>
    <row r="633491" spans="21:21" x14ac:dyDescent="0.3">
      <c r="U633491" s="25"/>
    </row>
    <row r="633513" spans="21:21" x14ac:dyDescent="0.3">
      <c r="U633513" s="25"/>
    </row>
    <row r="633535" spans="21:21" x14ac:dyDescent="0.3">
      <c r="U633535" s="25"/>
    </row>
    <row r="633557" spans="21:21" x14ac:dyDescent="0.3">
      <c r="U633557" s="25"/>
    </row>
    <row r="633579" spans="21:21" x14ac:dyDescent="0.3">
      <c r="U633579" s="25"/>
    </row>
    <row r="633601" spans="21:21" x14ac:dyDescent="0.3">
      <c r="U633601" s="25"/>
    </row>
    <row r="633623" spans="21:21" x14ac:dyDescent="0.3">
      <c r="U633623" s="25"/>
    </row>
    <row r="633645" spans="21:21" x14ac:dyDescent="0.3">
      <c r="U633645" s="25"/>
    </row>
    <row r="633667" spans="21:21" x14ac:dyDescent="0.3">
      <c r="U633667" s="25"/>
    </row>
    <row r="633689" spans="21:21" x14ac:dyDescent="0.3">
      <c r="U633689" s="25"/>
    </row>
    <row r="633711" spans="21:21" x14ac:dyDescent="0.3">
      <c r="U633711" s="25"/>
    </row>
    <row r="633733" spans="21:21" x14ac:dyDescent="0.3">
      <c r="U633733" s="25"/>
    </row>
    <row r="633755" spans="21:21" x14ac:dyDescent="0.3">
      <c r="U633755" s="25"/>
    </row>
    <row r="633777" spans="21:21" x14ac:dyDescent="0.3">
      <c r="U633777" s="25"/>
    </row>
    <row r="633799" spans="21:21" x14ac:dyDescent="0.3">
      <c r="U633799" s="25"/>
    </row>
    <row r="633821" spans="21:21" x14ac:dyDescent="0.3">
      <c r="U633821" s="25"/>
    </row>
    <row r="633843" spans="21:21" x14ac:dyDescent="0.3">
      <c r="U633843" s="25"/>
    </row>
    <row r="633865" spans="21:21" x14ac:dyDescent="0.3">
      <c r="U633865" s="25"/>
    </row>
    <row r="633887" spans="21:21" x14ac:dyDescent="0.3">
      <c r="U633887" s="25"/>
    </row>
    <row r="633909" spans="21:21" x14ac:dyDescent="0.3">
      <c r="U633909" s="25"/>
    </row>
    <row r="633931" spans="21:21" x14ac:dyDescent="0.3">
      <c r="U633931" s="25"/>
    </row>
    <row r="633953" spans="21:21" x14ac:dyDescent="0.3">
      <c r="U633953" s="25"/>
    </row>
    <row r="633975" spans="21:21" x14ac:dyDescent="0.3">
      <c r="U633975" s="25"/>
    </row>
    <row r="633997" spans="21:21" x14ac:dyDescent="0.3">
      <c r="U633997" s="25"/>
    </row>
    <row r="634019" spans="21:21" x14ac:dyDescent="0.3">
      <c r="U634019" s="25"/>
    </row>
    <row r="634041" spans="21:21" x14ac:dyDescent="0.3">
      <c r="U634041" s="25"/>
    </row>
    <row r="634063" spans="21:21" x14ac:dyDescent="0.3">
      <c r="U634063" s="25"/>
    </row>
    <row r="634085" spans="21:21" x14ac:dyDescent="0.3">
      <c r="U634085" s="25"/>
    </row>
    <row r="634107" spans="21:21" x14ac:dyDescent="0.3">
      <c r="U634107" s="25"/>
    </row>
    <row r="634129" spans="21:21" x14ac:dyDescent="0.3">
      <c r="U634129" s="25"/>
    </row>
    <row r="634151" spans="21:21" x14ac:dyDescent="0.3">
      <c r="U634151" s="25"/>
    </row>
    <row r="634173" spans="21:21" x14ac:dyDescent="0.3">
      <c r="U634173" s="25"/>
    </row>
    <row r="634195" spans="21:21" x14ac:dyDescent="0.3">
      <c r="U634195" s="25"/>
    </row>
    <row r="634217" spans="21:21" x14ac:dyDescent="0.3">
      <c r="U634217" s="25"/>
    </row>
    <row r="634239" spans="21:21" x14ac:dyDescent="0.3">
      <c r="U634239" s="25"/>
    </row>
    <row r="634261" spans="21:21" x14ac:dyDescent="0.3">
      <c r="U634261" s="25"/>
    </row>
    <row r="634283" spans="21:21" x14ac:dyDescent="0.3">
      <c r="U634283" s="25"/>
    </row>
    <row r="634305" spans="21:21" x14ac:dyDescent="0.3">
      <c r="U634305" s="25"/>
    </row>
    <row r="634327" spans="21:21" x14ac:dyDescent="0.3">
      <c r="U634327" s="25"/>
    </row>
    <row r="634349" spans="21:21" x14ac:dyDescent="0.3">
      <c r="U634349" s="25"/>
    </row>
    <row r="634371" spans="21:21" x14ac:dyDescent="0.3">
      <c r="U634371" s="25"/>
    </row>
    <row r="634393" spans="21:21" x14ac:dyDescent="0.3">
      <c r="U634393" s="25"/>
    </row>
    <row r="634415" spans="21:21" x14ac:dyDescent="0.3">
      <c r="U634415" s="25"/>
    </row>
    <row r="634437" spans="21:21" x14ac:dyDescent="0.3">
      <c r="U634437" s="25"/>
    </row>
    <row r="634459" spans="21:21" x14ac:dyDescent="0.3">
      <c r="U634459" s="25"/>
    </row>
    <row r="634481" spans="21:21" x14ac:dyDescent="0.3">
      <c r="U634481" s="25"/>
    </row>
    <row r="634503" spans="21:21" x14ac:dyDescent="0.3">
      <c r="U634503" s="25"/>
    </row>
    <row r="634525" spans="21:21" x14ac:dyDescent="0.3">
      <c r="U634525" s="25"/>
    </row>
    <row r="634547" spans="21:21" x14ac:dyDescent="0.3">
      <c r="U634547" s="25"/>
    </row>
    <row r="634569" spans="21:21" x14ac:dyDescent="0.3">
      <c r="U634569" s="25"/>
    </row>
    <row r="634591" spans="21:21" x14ac:dyDescent="0.3">
      <c r="U634591" s="25"/>
    </row>
    <row r="634613" spans="21:21" x14ac:dyDescent="0.3">
      <c r="U634613" s="25"/>
    </row>
    <row r="634635" spans="21:21" x14ac:dyDescent="0.3">
      <c r="U634635" s="25"/>
    </row>
    <row r="634657" spans="21:21" x14ac:dyDescent="0.3">
      <c r="U634657" s="25"/>
    </row>
    <row r="634679" spans="21:21" x14ac:dyDescent="0.3">
      <c r="U634679" s="25"/>
    </row>
    <row r="634701" spans="21:21" x14ac:dyDescent="0.3">
      <c r="U634701" s="25"/>
    </row>
    <row r="634723" spans="21:21" x14ac:dyDescent="0.3">
      <c r="U634723" s="25"/>
    </row>
    <row r="634745" spans="21:21" x14ac:dyDescent="0.3">
      <c r="U634745" s="25"/>
    </row>
    <row r="634767" spans="21:21" x14ac:dyDescent="0.3">
      <c r="U634767" s="25"/>
    </row>
    <row r="634789" spans="21:21" x14ac:dyDescent="0.3">
      <c r="U634789" s="25"/>
    </row>
    <row r="634811" spans="21:21" x14ac:dyDescent="0.3">
      <c r="U634811" s="25"/>
    </row>
    <row r="634833" spans="21:21" x14ac:dyDescent="0.3">
      <c r="U634833" s="25"/>
    </row>
    <row r="634855" spans="21:21" x14ac:dyDescent="0.3">
      <c r="U634855" s="25"/>
    </row>
    <row r="634877" spans="21:21" x14ac:dyDescent="0.3">
      <c r="U634877" s="25"/>
    </row>
    <row r="634899" spans="21:21" x14ac:dyDescent="0.3">
      <c r="U634899" s="25"/>
    </row>
    <row r="634921" spans="21:21" x14ac:dyDescent="0.3">
      <c r="U634921" s="25"/>
    </row>
    <row r="634943" spans="21:21" x14ac:dyDescent="0.3">
      <c r="U634943" s="25"/>
    </row>
    <row r="634965" spans="21:21" x14ac:dyDescent="0.3">
      <c r="U634965" s="25"/>
    </row>
    <row r="634987" spans="21:21" x14ac:dyDescent="0.3">
      <c r="U634987" s="25"/>
    </row>
    <row r="635009" spans="21:21" x14ac:dyDescent="0.3">
      <c r="U635009" s="25"/>
    </row>
    <row r="635031" spans="21:21" x14ac:dyDescent="0.3">
      <c r="U635031" s="25"/>
    </row>
    <row r="635053" spans="21:21" x14ac:dyDescent="0.3">
      <c r="U635053" s="25"/>
    </row>
    <row r="635075" spans="21:21" x14ac:dyDescent="0.3">
      <c r="U635075" s="25"/>
    </row>
    <row r="635097" spans="21:21" x14ac:dyDescent="0.3">
      <c r="U635097" s="25"/>
    </row>
    <row r="635119" spans="21:21" x14ac:dyDescent="0.3">
      <c r="U635119" s="25"/>
    </row>
    <row r="635141" spans="21:21" x14ac:dyDescent="0.3">
      <c r="U635141" s="25"/>
    </row>
    <row r="635163" spans="21:21" x14ac:dyDescent="0.3">
      <c r="U635163" s="25"/>
    </row>
    <row r="635185" spans="21:21" x14ac:dyDescent="0.3">
      <c r="U635185" s="25"/>
    </row>
    <row r="635207" spans="21:21" x14ac:dyDescent="0.3">
      <c r="U635207" s="25"/>
    </row>
    <row r="635229" spans="21:21" x14ac:dyDescent="0.3">
      <c r="U635229" s="25"/>
    </row>
    <row r="635251" spans="21:21" x14ac:dyDescent="0.3">
      <c r="U635251" s="25"/>
    </row>
    <row r="635273" spans="21:21" x14ac:dyDescent="0.3">
      <c r="U635273" s="25"/>
    </row>
    <row r="635295" spans="21:21" x14ac:dyDescent="0.3">
      <c r="U635295" s="25"/>
    </row>
    <row r="635317" spans="21:21" x14ac:dyDescent="0.3">
      <c r="U635317" s="25"/>
    </row>
    <row r="635339" spans="21:21" x14ac:dyDescent="0.3">
      <c r="U635339" s="25"/>
    </row>
    <row r="635361" spans="21:21" x14ac:dyDescent="0.3">
      <c r="U635361" s="25"/>
    </row>
    <row r="635383" spans="21:21" x14ac:dyDescent="0.3">
      <c r="U635383" s="25"/>
    </row>
    <row r="635405" spans="21:21" x14ac:dyDescent="0.3">
      <c r="U635405" s="25"/>
    </row>
    <row r="635427" spans="21:21" x14ac:dyDescent="0.3">
      <c r="U635427" s="25"/>
    </row>
    <row r="635449" spans="21:21" x14ac:dyDescent="0.3">
      <c r="U635449" s="25"/>
    </row>
    <row r="635471" spans="21:21" x14ac:dyDescent="0.3">
      <c r="U635471" s="25"/>
    </row>
    <row r="635493" spans="21:21" x14ac:dyDescent="0.3">
      <c r="U635493" s="25"/>
    </row>
    <row r="635515" spans="21:21" x14ac:dyDescent="0.3">
      <c r="U635515" s="25"/>
    </row>
    <row r="635537" spans="21:21" x14ac:dyDescent="0.3">
      <c r="U635537" s="25"/>
    </row>
    <row r="635559" spans="21:21" x14ac:dyDescent="0.3">
      <c r="U635559" s="25"/>
    </row>
    <row r="635581" spans="21:21" x14ac:dyDescent="0.3">
      <c r="U635581" s="25"/>
    </row>
    <row r="635603" spans="21:21" x14ac:dyDescent="0.3">
      <c r="U635603" s="25"/>
    </row>
    <row r="635625" spans="21:21" x14ac:dyDescent="0.3">
      <c r="U635625" s="25"/>
    </row>
    <row r="635647" spans="21:21" x14ac:dyDescent="0.3">
      <c r="U635647" s="25"/>
    </row>
    <row r="635669" spans="21:21" x14ac:dyDescent="0.3">
      <c r="U635669" s="25"/>
    </row>
    <row r="635691" spans="21:21" x14ac:dyDescent="0.3">
      <c r="U635691" s="25"/>
    </row>
    <row r="635713" spans="21:21" x14ac:dyDescent="0.3">
      <c r="U635713" s="25"/>
    </row>
    <row r="635735" spans="21:21" x14ac:dyDescent="0.3">
      <c r="U635735" s="25"/>
    </row>
    <row r="635757" spans="21:21" x14ac:dyDescent="0.3">
      <c r="U635757" s="25"/>
    </row>
    <row r="635779" spans="21:21" x14ac:dyDescent="0.3">
      <c r="U635779" s="25"/>
    </row>
    <row r="635801" spans="21:21" x14ac:dyDescent="0.3">
      <c r="U635801" s="25"/>
    </row>
    <row r="635823" spans="21:21" x14ac:dyDescent="0.3">
      <c r="U635823" s="25"/>
    </row>
    <row r="635845" spans="21:21" x14ac:dyDescent="0.3">
      <c r="U635845" s="25"/>
    </row>
    <row r="635867" spans="21:21" x14ac:dyDescent="0.3">
      <c r="U635867" s="25"/>
    </row>
    <row r="635889" spans="21:21" x14ac:dyDescent="0.3">
      <c r="U635889" s="25"/>
    </row>
    <row r="635911" spans="21:21" x14ac:dyDescent="0.3">
      <c r="U635911" s="25"/>
    </row>
    <row r="635933" spans="21:21" x14ac:dyDescent="0.3">
      <c r="U635933" s="25"/>
    </row>
    <row r="635955" spans="21:21" x14ac:dyDescent="0.3">
      <c r="U635955" s="25"/>
    </row>
    <row r="635977" spans="21:21" x14ac:dyDescent="0.3">
      <c r="U635977" s="25"/>
    </row>
    <row r="635999" spans="21:21" x14ac:dyDescent="0.3">
      <c r="U635999" s="25"/>
    </row>
    <row r="636021" spans="21:21" x14ac:dyDescent="0.3">
      <c r="U636021" s="25"/>
    </row>
    <row r="636043" spans="21:21" x14ac:dyDescent="0.3">
      <c r="U636043" s="25"/>
    </row>
    <row r="636065" spans="21:21" x14ac:dyDescent="0.3">
      <c r="U636065" s="25"/>
    </row>
    <row r="636087" spans="21:21" x14ac:dyDescent="0.3">
      <c r="U636087" s="25"/>
    </row>
    <row r="636109" spans="21:21" x14ac:dyDescent="0.3">
      <c r="U636109" s="25"/>
    </row>
    <row r="636131" spans="21:21" x14ac:dyDescent="0.3">
      <c r="U636131" s="25"/>
    </row>
    <row r="636153" spans="21:21" x14ac:dyDescent="0.3">
      <c r="U636153" s="25"/>
    </row>
    <row r="636175" spans="21:21" x14ac:dyDescent="0.3">
      <c r="U636175" s="25"/>
    </row>
    <row r="636197" spans="21:21" x14ac:dyDescent="0.3">
      <c r="U636197" s="25"/>
    </row>
    <row r="636219" spans="21:21" x14ac:dyDescent="0.3">
      <c r="U636219" s="25"/>
    </row>
    <row r="636241" spans="21:21" x14ac:dyDescent="0.3">
      <c r="U636241" s="25"/>
    </row>
    <row r="636263" spans="21:21" x14ac:dyDescent="0.3">
      <c r="U636263" s="25"/>
    </row>
    <row r="636285" spans="21:21" x14ac:dyDescent="0.3">
      <c r="U636285" s="25"/>
    </row>
    <row r="636307" spans="21:21" x14ac:dyDescent="0.3">
      <c r="U636307" s="25"/>
    </row>
    <row r="636329" spans="21:21" x14ac:dyDescent="0.3">
      <c r="U636329" s="25"/>
    </row>
    <row r="636351" spans="21:21" x14ac:dyDescent="0.3">
      <c r="U636351" s="25"/>
    </row>
    <row r="636373" spans="21:21" x14ac:dyDescent="0.3">
      <c r="U636373" s="25"/>
    </row>
    <row r="636395" spans="21:21" x14ac:dyDescent="0.3">
      <c r="U636395" s="25"/>
    </row>
    <row r="636417" spans="21:21" x14ac:dyDescent="0.3">
      <c r="U636417" s="25"/>
    </row>
    <row r="636439" spans="21:21" x14ac:dyDescent="0.3">
      <c r="U636439" s="25"/>
    </row>
    <row r="636461" spans="21:21" x14ac:dyDescent="0.3">
      <c r="U636461" s="25"/>
    </row>
    <row r="636483" spans="21:21" x14ac:dyDescent="0.3">
      <c r="U636483" s="25"/>
    </row>
    <row r="636505" spans="21:21" x14ac:dyDescent="0.3">
      <c r="U636505" s="25"/>
    </row>
    <row r="636527" spans="21:21" x14ac:dyDescent="0.3">
      <c r="U636527" s="25"/>
    </row>
    <row r="636549" spans="21:21" x14ac:dyDescent="0.3">
      <c r="U636549" s="25"/>
    </row>
    <row r="636571" spans="21:21" x14ac:dyDescent="0.3">
      <c r="U636571" s="25"/>
    </row>
    <row r="636593" spans="21:21" x14ac:dyDescent="0.3">
      <c r="U636593" s="25"/>
    </row>
    <row r="636615" spans="21:21" x14ac:dyDescent="0.3">
      <c r="U636615" s="25"/>
    </row>
    <row r="636637" spans="21:21" x14ac:dyDescent="0.3">
      <c r="U636637" s="25"/>
    </row>
    <row r="636659" spans="21:21" x14ac:dyDescent="0.3">
      <c r="U636659" s="25"/>
    </row>
    <row r="636681" spans="21:21" x14ac:dyDescent="0.3">
      <c r="U636681" s="25"/>
    </row>
    <row r="636703" spans="21:21" x14ac:dyDescent="0.3">
      <c r="U636703" s="25"/>
    </row>
    <row r="636725" spans="21:21" x14ac:dyDescent="0.3">
      <c r="U636725" s="25"/>
    </row>
    <row r="636747" spans="21:21" x14ac:dyDescent="0.3">
      <c r="U636747" s="25"/>
    </row>
    <row r="636769" spans="21:21" x14ac:dyDescent="0.3">
      <c r="U636769" s="25"/>
    </row>
    <row r="636791" spans="21:21" x14ac:dyDescent="0.3">
      <c r="U636791" s="25"/>
    </row>
    <row r="636813" spans="21:21" x14ac:dyDescent="0.3">
      <c r="U636813" s="25"/>
    </row>
    <row r="636835" spans="21:21" x14ac:dyDescent="0.3">
      <c r="U636835" s="25"/>
    </row>
    <row r="636857" spans="21:21" x14ac:dyDescent="0.3">
      <c r="U636857" s="25"/>
    </row>
    <row r="636879" spans="21:21" x14ac:dyDescent="0.3">
      <c r="U636879" s="25"/>
    </row>
    <row r="636901" spans="21:21" x14ac:dyDescent="0.3">
      <c r="U636901" s="25"/>
    </row>
    <row r="636923" spans="21:21" x14ac:dyDescent="0.3">
      <c r="U636923" s="25"/>
    </row>
    <row r="636945" spans="21:21" x14ac:dyDescent="0.3">
      <c r="U636945" s="25"/>
    </row>
    <row r="636967" spans="21:21" x14ac:dyDescent="0.3">
      <c r="U636967" s="25"/>
    </row>
    <row r="636989" spans="21:21" x14ac:dyDescent="0.3">
      <c r="U636989" s="25"/>
    </row>
    <row r="637011" spans="21:21" x14ac:dyDescent="0.3">
      <c r="U637011" s="25"/>
    </row>
    <row r="637033" spans="21:21" x14ac:dyDescent="0.3">
      <c r="U637033" s="25"/>
    </row>
    <row r="637055" spans="21:21" x14ac:dyDescent="0.3">
      <c r="U637055" s="25"/>
    </row>
    <row r="637077" spans="21:21" x14ac:dyDescent="0.3">
      <c r="U637077" s="25"/>
    </row>
    <row r="637099" spans="21:21" x14ac:dyDescent="0.3">
      <c r="U637099" s="25"/>
    </row>
    <row r="637121" spans="21:21" x14ac:dyDescent="0.3">
      <c r="U637121" s="25"/>
    </row>
    <row r="637143" spans="21:21" x14ac:dyDescent="0.3">
      <c r="U637143" s="25"/>
    </row>
    <row r="637165" spans="21:21" x14ac:dyDescent="0.3">
      <c r="U637165" s="25"/>
    </row>
    <row r="637187" spans="21:21" x14ac:dyDescent="0.3">
      <c r="U637187" s="25"/>
    </row>
    <row r="637209" spans="21:21" x14ac:dyDescent="0.3">
      <c r="U637209" s="25"/>
    </row>
    <row r="637231" spans="21:21" x14ac:dyDescent="0.3">
      <c r="U637231" s="25"/>
    </row>
    <row r="637253" spans="21:21" x14ac:dyDescent="0.3">
      <c r="U637253" s="25"/>
    </row>
    <row r="637275" spans="21:21" x14ac:dyDescent="0.3">
      <c r="U637275" s="25"/>
    </row>
    <row r="637297" spans="21:21" x14ac:dyDescent="0.3">
      <c r="U637297" s="25"/>
    </row>
    <row r="637319" spans="21:21" x14ac:dyDescent="0.3">
      <c r="U637319" s="25"/>
    </row>
    <row r="637341" spans="21:21" x14ac:dyDescent="0.3">
      <c r="U637341" s="25"/>
    </row>
    <row r="637363" spans="21:21" x14ac:dyDescent="0.3">
      <c r="U637363" s="25"/>
    </row>
    <row r="637385" spans="21:21" x14ac:dyDescent="0.3">
      <c r="U637385" s="25"/>
    </row>
    <row r="637407" spans="21:21" x14ac:dyDescent="0.3">
      <c r="U637407" s="25"/>
    </row>
    <row r="637429" spans="21:21" x14ac:dyDescent="0.3">
      <c r="U637429" s="25"/>
    </row>
    <row r="637451" spans="21:21" x14ac:dyDescent="0.3">
      <c r="U637451" s="25"/>
    </row>
    <row r="637473" spans="21:21" x14ac:dyDescent="0.3">
      <c r="U637473" s="25"/>
    </row>
    <row r="637495" spans="21:21" x14ac:dyDescent="0.3">
      <c r="U637495" s="25"/>
    </row>
    <row r="637517" spans="21:21" x14ac:dyDescent="0.3">
      <c r="U637517" s="25"/>
    </row>
    <row r="637539" spans="21:21" x14ac:dyDescent="0.3">
      <c r="U637539" s="25"/>
    </row>
    <row r="637561" spans="21:21" x14ac:dyDescent="0.3">
      <c r="U637561" s="25"/>
    </row>
    <row r="637583" spans="21:21" x14ac:dyDescent="0.3">
      <c r="U637583" s="25"/>
    </row>
    <row r="637605" spans="21:21" x14ac:dyDescent="0.3">
      <c r="U637605" s="25"/>
    </row>
    <row r="637627" spans="21:21" x14ac:dyDescent="0.3">
      <c r="U637627" s="25"/>
    </row>
    <row r="637649" spans="21:21" x14ac:dyDescent="0.3">
      <c r="U637649" s="25"/>
    </row>
    <row r="637671" spans="21:21" x14ac:dyDescent="0.3">
      <c r="U637671" s="25"/>
    </row>
    <row r="637693" spans="21:21" x14ac:dyDescent="0.3">
      <c r="U637693" s="25"/>
    </row>
    <row r="637715" spans="21:21" x14ac:dyDescent="0.3">
      <c r="U637715" s="25"/>
    </row>
    <row r="637737" spans="21:21" x14ac:dyDescent="0.3">
      <c r="U637737" s="25"/>
    </row>
    <row r="637759" spans="21:21" x14ac:dyDescent="0.3">
      <c r="U637759" s="25"/>
    </row>
    <row r="637781" spans="21:21" x14ac:dyDescent="0.3">
      <c r="U637781" s="25"/>
    </row>
    <row r="637803" spans="21:21" x14ac:dyDescent="0.3">
      <c r="U637803" s="25"/>
    </row>
    <row r="637825" spans="21:21" x14ac:dyDescent="0.3">
      <c r="U637825" s="25"/>
    </row>
    <row r="637847" spans="21:21" x14ac:dyDescent="0.3">
      <c r="U637847" s="25"/>
    </row>
    <row r="637869" spans="21:21" x14ac:dyDescent="0.3">
      <c r="U637869" s="25"/>
    </row>
    <row r="637891" spans="21:21" x14ac:dyDescent="0.3">
      <c r="U637891" s="25"/>
    </row>
    <row r="637913" spans="21:21" x14ac:dyDescent="0.3">
      <c r="U637913" s="25"/>
    </row>
    <row r="637935" spans="21:21" x14ac:dyDescent="0.3">
      <c r="U637935" s="25"/>
    </row>
    <row r="637957" spans="21:21" x14ac:dyDescent="0.3">
      <c r="U637957" s="25"/>
    </row>
    <row r="637979" spans="21:21" x14ac:dyDescent="0.3">
      <c r="U637979" s="25"/>
    </row>
    <row r="638001" spans="21:21" x14ac:dyDescent="0.3">
      <c r="U638001" s="25"/>
    </row>
    <row r="638023" spans="21:21" x14ac:dyDescent="0.3">
      <c r="U638023" s="25"/>
    </row>
    <row r="638045" spans="21:21" x14ac:dyDescent="0.3">
      <c r="U638045" s="25"/>
    </row>
    <row r="638067" spans="21:21" x14ac:dyDescent="0.3">
      <c r="U638067" s="25"/>
    </row>
    <row r="638089" spans="21:21" x14ac:dyDescent="0.3">
      <c r="U638089" s="25"/>
    </row>
    <row r="638111" spans="21:21" x14ac:dyDescent="0.3">
      <c r="U638111" s="25"/>
    </row>
    <row r="638133" spans="21:21" x14ac:dyDescent="0.3">
      <c r="U638133" s="25"/>
    </row>
    <row r="638155" spans="21:21" x14ac:dyDescent="0.3">
      <c r="U638155" s="25"/>
    </row>
    <row r="638177" spans="21:21" x14ac:dyDescent="0.3">
      <c r="U638177" s="25"/>
    </row>
    <row r="638199" spans="21:21" x14ac:dyDescent="0.3">
      <c r="U638199" s="25"/>
    </row>
    <row r="638221" spans="21:21" x14ac:dyDescent="0.3">
      <c r="U638221" s="25"/>
    </row>
    <row r="638243" spans="21:21" x14ac:dyDescent="0.3">
      <c r="U638243" s="25"/>
    </row>
    <row r="638265" spans="21:21" x14ac:dyDescent="0.3">
      <c r="U638265" s="25"/>
    </row>
    <row r="638287" spans="21:21" x14ac:dyDescent="0.3">
      <c r="U638287" s="25"/>
    </row>
    <row r="638309" spans="21:21" x14ac:dyDescent="0.3">
      <c r="U638309" s="25"/>
    </row>
    <row r="638331" spans="21:21" x14ac:dyDescent="0.3">
      <c r="U638331" s="25"/>
    </row>
    <row r="638353" spans="21:21" x14ac:dyDescent="0.3">
      <c r="U638353" s="25"/>
    </row>
    <row r="638375" spans="21:21" x14ac:dyDescent="0.3">
      <c r="U638375" s="25"/>
    </row>
    <row r="638397" spans="21:21" x14ac:dyDescent="0.3">
      <c r="U638397" s="25"/>
    </row>
    <row r="638419" spans="21:21" x14ac:dyDescent="0.3">
      <c r="U638419" s="25"/>
    </row>
    <row r="638441" spans="21:21" x14ac:dyDescent="0.3">
      <c r="U638441" s="25"/>
    </row>
    <row r="638463" spans="21:21" x14ac:dyDescent="0.3">
      <c r="U638463" s="25"/>
    </row>
    <row r="638485" spans="21:21" x14ac:dyDescent="0.3">
      <c r="U638485" s="25"/>
    </row>
    <row r="638507" spans="21:21" x14ac:dyDescent="0.3">
      <c r="U638507" s="25"/>
    </row>
    <row r="638529" spans="21:21" x14ac:dyDescent="0.3">
      <c r="U638529" s="25"/>
    </row>
    <row r="638551" spans="21:21" x14ac:dyDescent="0.3">
      <c r="U638551" s="25"/>
    </row>
    <row r="638573" spans="21:21" x14ac:dyDescent="0.3">
      <c r="U638573" s="25"/>
    </row>
    <row r="638595" spans="21:21" x14ac:dyDescent="0.3">
      <c r="U638595" s="25"/>
    </row>
    <row r="638617" spans="21:21" x14ac:dyDescent="0.3">
      <c r="U638617" s="25"/>
    </row>
    <row r="638639" spans="21:21" x14ac:dyDescent="0.3">
      <c r="U638639" s="25"/>
    </row>
    <row r="638661" spans="21:21" x14ac:dyDescent="0.3">
      <c r="U638661" s="25"/>
    </row>
    <row r="638683" spans="21:21" x14ac:dyDescent="0.3">
      <c r="U638683" s="25"/>
    </row>
    <row r="638705" spans="21:21" x14ac:dyDescent="0.3">
      <c r="U638705" s="25"/>
    </row>
    <row r="638727" spans="21:21" x14ac:dyDescent="0.3">
      <c r="U638727" s="25"/>
    </row>
    <row r="638749" spans="21:21" x14ac:dyDescent="0.3">
      <c r="U638749" s="25"/>
    </row>
    <row r="638771" spans="21:21" x14ac:dyDescent="0.3">
      <c r="U638771" s="25"/>
    </row>
    <row r="638793" spans="21:21" x14ac:dyDescent="0.3">
      <c r="U638793" s="25"/>
    </row>
    <row r="638815" spans="21:21" x14ac:dyDescent="0.3">
      <c r="U638815" s="25"/>
    </row>
    <row r="638837" spans="21:21" x14ac:dyDescent="0.3">
      <c r="U638837" s="25"/>
    </row>
    <row r="638859" spans="21:21" x14ac:dyDescent="0.3">
      <c r="U638859" s="25"/>
    </row>
    <row r="638881" spans="21:21" x14ac:dyDescent="0.3">
      <c r="U638881" s="25"/>
    </row>
    <row r="638903" spans="21:21" x14ac:dyDescent="0.3">
      <c r="U638903" s="25"/>
    </row>
    <row r="638925" spans="21:21" x14ac:dyDescent="0.3">
      <c r="U638925" s="25"/>
    </row>
    <row r="638947" spans="21:21" x14ac:dyDescent="0.3">
      <c r="U638947" s="25"/>
    </row>
    <row r="638969" spans="21:21" x14ac:dyDescent="0.3">
      <c r="U638969" s="25"/>
    </row>
    <row r="638991" spans="21:21" x14ac:dyDescent="0.3">
      <c r="U638991" s="25"/>
    </row>
    <row r="639013" spans="21:21" x14ac:dyDescent="0.3">
      <c r="U639013" s="25"/>
    </row>
    <row r="639035" spans="21:21" x14ac:dyDescent="0.3">
      <c r="U639035" s="25"/>
    </row>
    <row r="639057" spans="21:21" x14ac:dyDescent="0.3">
      <c r="U639057" s="25"/>
    </row>
    <row r="639079" spans="21:21" x14ac:dyDescent="0.3">
      <c r="U639079" s="25"/>
    </row>
    <row r="639101" spans="21:21" x14ac:dyDescent="0.3">
      <c r="U639101" s="25"/>
    </row>
    <row r="639123" spans="21:21" x14ac:dyDescent="0.3">
      <c r="U639123" s="25"/>
    </row>
    <row r="639145" spans="21:21" x14ac:dyDescent="0.3">
      <c r="U639145" s="25"/>
    </row>
    <row r="639167" spans="21:21" x14ac:dyDescent="0.3">
      <c r="U639167" s="25"/>
    </row>
    <row r="639189" spans="21:21" x14ac:dyDescent="0.3">
      <c r="U639189" s="25"/>
    </row>
    <row r="639211" spans="21:21" x14ac:dyDescent="0.3">
      <c r="U639211" s="25"/>
    </row>
    <row r="639233" spans="21:21" x14ac:dyDescent="0.3">
      <c r="U639233" s="25"/>
    </row>
    <row r="639255" spans="21:21" x14ac:dyDescent="0.3">
      <c r="U639255" s="25"/>
    </row>
    <row r="639277" spans="21:21" x14ac:dyDescent="0.3">
      <c r="U639277" s="25"/>
    </row>
    <row r="639299" spans="21:21" x14ac:dyDescent="0.3">
      <c r="U639299" s="25"/>
    </row>
    <row r="639321" spans="21:21" x14ac:dyDescent="0.3">
      <c r="U639321" s="25"/>
    </row>
    <row r="639343" spans="21:21" x14ac:dyDescent="0.3">
      <c r="U639343" s="25"/>
    </row>
    <row r="639365" spans="21:21" x14ac:dyDescent="0.3">
      <c r="U639365" s="25"/>
    </row>
    <row r="639387" spans="21:21" x14ac:dyDescent="0.3">
      <c r="U639387" s="25"/>
    </row>
    <row r="639409" spans="21:21" x14ac:dyDescent="0.3">
      <c r="U639409" s="25"/>
    </row>
    <row r="639431" spans="21:21" x14ac:dyDescent="0.3">
      <c r="U639431" s="25"/>
    </row>
    <row r="639453" spans="21:21" x14ac:dyDescent="0.3">
      <c r="U639453" s="25"/>
    </row>
    <row r="639475" spans="21:21" x14ac:dyDescent="0.3">
      <c r="U639475" s="25"/>
    </row>
    <row r="639497" spans="21:21" x14ac:dyDescent="0.3">
      <c r="U639497" s="25"/>
    </row>
    <row r="639519" spans="21:21" x14ac:dyDescent="0.3">
      <c r="U639519" s="25"/>
    </row>
    <row r="639541" spans="21:21" x14ac:dyDescent="0.3">
      <c r="U639541" s="25"/>
    </row>
    <row r="639563" spans="21:21" x14ac:dyDescent="0.3">
      <c r="U639563" s="25"/>
    </row>
    <row r="639585" spans="21:21" x14ac:dyDescent="0.3">
      <c r="U639585" s="25"/>
    </row>
    <row r="639607" spans="21:21" x14ac:dyDescent="0.3">
      <c r="U639607" s="25"/>
    </row>
    <row r="639629" spans="21:21" x14ac:dyDescent="0.3">
      <c r="U639629" s="25"/>
    </row>
    <row r="639651" spans="21:21" x14ac:dyDescent="0.3">
      <c r="U639651" s="25"/>
    </row>
    <row r="639673" spans="21:21" x14ac:dyDescent="0.3">
      <c r="U639673" s="25"/>
    </row>
    <row r="639695" spans="21:21" x14ac:dyDescent="0.3">
      <c r="U639695" s="25"/>
    </row>
    <row r="639717" spans="21:21" x14ac:dyDescent="0.3">
      <c r="U639717" s="25"/>
    </row>
    <row r="639739" spans="21:21" x14ac:dyDescent="0.3">
      <c r="U639739" s="25"/>
    </row>
    <row r="639761" spans="21:21" x14ac:dyDescent="0.3">
      <c r="U639761" s="25"/>
    </row>
    <row r="639783" spans="21:21" x14ac:dyDescent="0.3">
      <c r="U639783" s="25"/>
    </row>
    <row r="639805" spans="21:21" x14ac:dyDescent="0.3">
      <c r="U639805" s="25"/>
    </row>
    <row r="639827" spans="21:21" x14ac:dyDescent="0.3">
      <c r="U639827" s="25"/>
    </row>
    <row r="639849" spans="21:21" x14ac:dyDescent="0.3">
      <c r="U639849" s="25"/>
    </row>
    <row r="639871" spans="21:21" x14ac:dyDescent="0.3">
      <c r="U639871" s="25"/>
    </row>
    <row r="639893" spans="21:21" x14ac:dyDescent="0.3">
      <c r="U639893" s="25"/>
    </row>
    <row r="639915" spans="21:21" x14ac:dyDescent="0.3">
      <c r="U639915" s="25"/>
    </row>
    <row r="639937" spans="21:21" x14ac:dyDescent="0.3">
      <c r="U639937" s="25"/>
    </row>
    <row r="639959" spans="21:21" x14ac:dyDescent="0.3">
      <c r="U639959" s="25"/>
    </row>
    <row r="639981" spans="21:21" x14ac:dyDescent="0.3">
      <c r="U639981" s="25"/>
    </row>
    <row r="640003" spans="21:21" x14ac:dyDescent="0.3">
      <c r="U640003" s="25"/>
    </row>
    <row r="640025" spans="21:21" x14ac:dyDescent="0.3">
      <c r="U640025" s="25"/>
    </row>
    <row r="640047" spans="21:21" x14ac:dyDescent="0.3">
      <c r="U640047" s="25"/>
    </row>
    <row r="640069" spans="21:21" x14ac:dyDescent="0.3">
      <c r="U640069" s="25"/>
    </row>
    <row r="640091" spans="21:21" x14ac:dyDescent="0.3">
      <c r="U640091" s="25"/>
    </row>
    <row r="640113" spans="21:21" x14ac:dyDescent="0.3">
      <c r="U640113" s="25"/>
    </row>
    <row r="640135" spans="21:21" x14ac:dyDescent="0.3">
      <c r="U640135" s="25"/>
    </row>
    <row r="640157" spans="21:21" x14ac:dyDescent="0.3">
      <c r="U640157" s="25"/>
    </row>
    <row r="640179" spans="21:21" x14ac:dyDescent="0.3">
      <c r="U640179" s="25"/>
    </row>
    <row r="640201" spans="21:21" x14ac:dyDescent="0.3">
      <c r="U640201" s="25"/>
    </row>
    <row r="640223" spans="21:21" x14ac:dyDescent="0.3">
      <c r="U640223" s="25"/>
    </row>
    <row r="640245" spans="21:21" x14ac:dyDescent="0.3">
      <c r="U640245" s="25"/>
    </row>
    <row r="640267" spans="21:21" x14ac:dyDescent="0.3">
      <c r="U640267" s="25"/>
    </row>
    <row r="640289" spans="21:21" x14ac:dyDescent="0.3">
      <c r="U640289" s="25"/>
    </row>
    <row r="640311" spans="21:21" x14ac:dyDescent="0.3">
      <c r="U640311" s="25"/>
    </row>
    <row r="640333" spans="21:21" x14ac:dyDescent="0.3">
      <c r="U640333" s="25"/>
    </row>
    <row r="640355" spans="21:21" x14ac:dyDescent="0.3">
      <c r="U640355" s="25"/>
    </row>
    <row r="640377" spans="21:21" x14ac:dyDescent="0.3">
      <c r="U640377" s="25"/>
    </row>
    <row r="640399" spans="21:21" x14ac:dyDescent="0.3">
      <c r="U640399" s="25"/>
    </row>
    <row r="640421" spans="21:21" x14ac:dyDescent="0.3">
      <c r="U640421" s="25"/>
    </row>
    <row r="640443" spans="21:21" x14ac:dyDescent="0.3">
      <c r="U640443" s="25"/>
    </row>
    <row r="640465" spans="21:21" x14ac:dyDescent="0.3">
      <c r="U640465" s="25"/>
    </row>
    <row r="640487" spans="21:21" x14ac:dyDescent="0.3">
      <c r="U640487" s="25"/>
    </row>
    <row r="640509" spans="21:21" x14ac:dyDescent="0.3">
      <c r="U640509" s="25"/>
    </row>
    <row r="640531" spans="21:21" x14ac:dyDescent="0.3">
      <c r="U640531" s="25"/>
    </row>
    <row r="640553" spans="21:21" x14ac:dyDescent="0.3">
      <c r="U640553" s="25"/>
    </row>
    <row r="640575" spans="21:21" x14ac:dyDescent="0.3">
      <c r="U640575" s="25"/>
    </row>
    <row r="640597" spans="21:21" x14ac:dyDescent="0.3">
      <c r="U640597" s="25"/>
    </row>
    <row r="640619" spans="21:21" x14ac:dyDescent="0.3">
      <c r="U640619" s="25"/>
    </row>
    <row r="640641" spans="21:21" x14ac:dyDescent="0.3">
      <c r="U640641" s="25"/>
    </row>
    <row r="640663" spans="21:21" x14ac:dyDescent="0.3">
      <c r="U640663" s="25"/>
    </row>
    <row r="640685" spans="21:21" x14ac:dyDescent="0.3">
      <c r="U640685" s="25"/>
    </row>
    <row r="640707" spans="21:21" x14ac:dyDescent="0.3">
      <c r="U640707" s="25"/>
    </row>
    <row r="640729" spans="21:21" x14ac:dyDescent="0.3">
      <c r="U640729" s="25"/>
    </row>
    <row r="640751" spans="21:21" x14ac:dyDescent="0.3">
      <c r="U640751" s="25"/>
    </row>
    <row r="640773" spans="21:21" x14ac:dyDescent="0.3">
      <c r="U640773" s="25"/>
    </row>
    <row r="640795" spans="21:21" x14ac:dyDescent="0.3">
      <c r="U640795" s="25"/>
    </row>
    <row r="640817" spans="21:21" x14ac:dyDescent="0.3">
      <c r="U640817" s="25"/>
    </row>
    <row r="640839" spans="21:21" x14ac:dyDescent="0.3">
      <c r="U640839" s="25"/>
    </row>
    <row r="640861" spans="21:21" x14ac:dyDescent="0.3">
      <c r="U640861" s="25"/>
    </row>
    <row r="640883" spans="21:21" x14ac:dyDescent="0.3">
      <c r="U640883" s="25"/>
    </row>
    <row r="640905" spans="21:21" x14ac:dyDescent="0.3">
      <c r="U640905" s="25"/>
    </row>
    <row r="640927" spans="21:21" x14ac:dyDescent="0.3">
      <c r="U640927" s="25"/>
    </row>
    <row r="640949" spans="21:21" x14ac:dyDescent="0.3">
      <c r="U640949" s="25"/>
    </row>
    <row r="640971" spans="21:21" x14ac:dyDescent="0.3">
      <c r="U640971" s="25"/>
    </row>
    <row r="640993" spans="21:21" x14ac:dyDescent="0.3">
      <c r="U640993" s="25"/>
    </row>
    <row r="641015" spans="21:21" x14ac:dyDescent="0.3">
      <c r="U641015" s="25"/>
    </row>
    <row r="641037" spans="21:21" x14ac:dyDescent="0.3">
      <c r="U641037" s="25"/>
    </row>
    <row r="641059" spans="21:21" x14ac:dyDescent="0.3">
      <c r="U641059" s="25"/>
    </row>
    <row r="641081" spans="21:21" x14ac:dyDescent="0.3">
      <c r="U641081" s="25"/>
    </row>
    <row r="641103" spans="21:21" x14ac:dyDescent="0.3">
      <c r="U641103" s="25"/>
    </row>
    <row r="641125" spans="21:21" x14ac:dyDescent="0.3">
      <c r="U641125" s="25"/>
    </row>
    <row r="641147" spans="21:21" x14ac:dyDescent="0.3">
      <c r="U641147" s="25"/>
    </row>
    <row r="641169" spans="21:21" x14ac:dyDescent="0.3">
      <c r="U641169" s="25"/>
    </row>
    <row r="641191" spans="21:21" x14ac:dyDescent="0.3">
      <c r="U641191" s="25"/>
    </row>
    <row r="641213" spans="21:21" x14ac:dyDescent="0.3">
      <c r="U641213" s="25"/>
    </row>
    <row r="641235" spans="21:21" x14ac:dyDescent="0.3">
      <c r="U641235" s="25"/>
    </row>
    <row r="641257" spans="21:21" x14ac:dyDescent="0.3">
      <c r="U641257" s="25"/>
    </row>
    <row r="641279" spans="21:21" x14ac:dyDescent="0.3">
      <c r="U641279" s="25"/>
    </row>
    <row r="641301" spans="21:21" x14ac:dyDescent="0.3">
      <c r="U641301" s="25"/>
    </row>
    <row r="641323" spans="21:21" x14ac:dyDescent="0.3">
      <c r="U641323" s="25"/>
    </row>
    <row r="641345" spans="21:21" x14ac:dyDescent="0.3">
      <c r="U641345" s="25"/>
    </row>
    <row r="641367" spans="21:21" x14ac:dyDescent="0.3">
      <c r="U641367" s="25"/>
    </row>
    <row r="641389" spans="21:21" x14ac:dyDescent="0.3">
      <c r="U641389" s="25"/>
    </row>
    <row r="641411" spans="21:21" x14ac:dyDescent="0.3">
      <c r="U641411" s="25"/>
    </row>
    <row r="641433" spans="21:21" x14ac:dyDescent="0.3">
      <c r="U641433" s="25"/>
    </row>
    <row r="641455" spans="21:21" x14ac:dyDescent="0.3">
      <c r="U641455" s="25"/>
    </row>
    <row r="641477" spans="21:21" x14ac:dyDescent="0.3">
      <c r="U641477" s="25"/>
    </row>
    <row r="641499" spans="21:21" x14ac:dyDescent="0.3">
      <c r="U641499" s="25"/>
    </row>
    <row r="641521" spans="21:21" x14ac:dyDescent="0.3">
      <c r="U641521" s="25"/>
    </row>
    <row r="641543" spans="21:21" x14ac:dyDescent="0.3">
      <c r="U641543" s="25"/>
    </row>
    <row r="641565" spans="21:21" x14ac:dyDescent="0.3">
      <c r="U641565" s="25"/>
    </row>
    <row r="641587" spans="21:21" x14ac:dyDescent="0.3">
      <c r="U641587" s="25"/>
    </row>
    <row r="641609" spans="21:21" x14ac:dyDescent="0.3">
      <c r="U641609" s="25"/>
    </row>
    <row r="641631" spans="21:21" x14ac:dyDescent="0.3">
      <c r="U641631" s="25"/>
    </row>
    <row r="641653" spans="21:21" x14ac:dyDescent="0.3">
      <c r="U641653" s="25"/>
    </row>
    <row r="641675" spans="21:21" x14ac:dyDescent="0.3">
      <c r="U641675" s="25"/>
    </row>
    <row r="641697" spans="21:21" x14ac:dyDescent="0.3">
      <c r="U641697" s="25"/>
    </row>
    <row r="641719" spans="21:21" x14ac:dyDescent="0.3">
      <c r="U641719" s="25"/>
    </row>
    <row r="641741" spans="21:21" x14ac:dyDescent="0.3">
      <c r="U641741" s="25"/>
    </row>
    <row r="641763" spans="21:21" x14ac:dyDescent="0.3">
      <c r="U641763" s="25"/>
    </row>
    <row r="641785" spans="21:21" x14ac:dyDescent="0.3">
      <c r="U641785" s="25"/>
    </row>
    <row r="641807" spans="21:21" x14ac:dyDescent="0.3">
      <c r="U641807" s="25"/>
    </row>
    <row r="641829" spans="21:21" x14ac:dyDescent="0.3">
      <c r="U641829" s="25"/>
    </row>
    <row r="641851" spans="21:21" x14ac:dyDescent="0.3">
      <c r="U641851" s="25"/>
    </row>
    <row r="641873" spans="21:21" x14ac:dyDescent="0.3">
      <c r="U641873" s="25"/>
    </row>
    <row r="641895" spans="21:21" x14ac:dyDescent="0.3">
      <c r="U641895" s="25"/>
    </row>
    <row r="641917" spans="21:21" x14ac:dyDescent="0.3">
      <c r="U641917" s="25"/>
    </row>
    <row r="641939" spans="21:21" x14ac:dyDescent="0.3">
      <c r="U641939" s="25"/>
    </row>
    <row r="641961" spans="21:21" x14ac:dyDescent="0.3">
      <c r="U641961" s="25"/>
    </row>
    <row r="641983" spans="21:21" x14ac:dyDescent="0.3">
      <c r="U641983" s="25"/>
    </row>
    <row r="642005" spans="21:21" x14ac:dyDescent="0.3">
      <c r="U642005" s="25"/>
    </row>
    <row r="642027" spans="21:21" x14ac:dyDescent="0.3">
      <c r="U642027" s="25"/>
    </row>
    <row r="642049" spans="21:21" x14ac:dyDescent="0.3">
      <c r="U642049" s="25"/>
    </row>
    <row r="642071" spans="21:21" x14ac:dyDescent="0.3">
      <c r="U642071" s="25"/>
    </row>
    <row r="642093" spans="21:21" x14ac:dyDescent="0.3">
      <c r="U642093" s="25"/>
    </row>
    <row r="642115" spans="21:21" x14ac:dyDescent="0.3">
      <c r="U642115" s="25"/>
    </row>
    <row r="642137" spans="21:21" x14ac:dyDescent="0.3">
      <c r="U642137" s="25"/>
    </row>
    <row r="642159" spans="21:21" x14ac:dyDescent="0.3">
      <c r="U642159" s="25"/>
    </row>
    <row r="642181" spans="21:21" x14ac:dyDescent="0.3">
      <c r="U642181" s="25"/>
    </row>
    <row r="642203" spans="21:21" x14ac:dyDescent="0.3">
      <c r="U642203" s="25"/>
    </row>
    <row r="642225" spans="21:21" x14ac:dyDescent="0.3">
      <c r="U642225" s="25"/>
    </row>
    <row r="642247" spans="21:21" x14ac:dyDescent="0.3">
      <c r="U642247" s="25"/>
    </row>
    <row r="642269" spans="21:21" x14ac:dyDescent="0.3">
      <c r="U642269" s="25"/>
    </row>
    <row r="642291" spans="21:21" x14ac:dyDescent="0.3">
      <c r="U642291" s="25"/>
    </row>
    <row r="642313" spans="21:21" x14ac:dyDescent="0.3">
      <c r="U642313" s="25"/>
    </row>
    <row r="642335" spans="21:21" x14ac:dyDescent="0.3">
      <c r="U642335" s="25"/>
    </row>
    <row r="642357" spans="21:21" x14ac:dyDescent="0.3">
      <c r="U642357" s="25"/>
    </row>
    <row r="642379" spans="21:21" x14ac:dyDescent="0.3">
      <c r="U642379" s="25"/>
    </row>
    <row r="642401" spans="21:21" x14ac:dyDescent="0.3">
      <c r="U642401" s="25"/>
    </row>
    <row r="642423" spans="21:21" x14ac:dyDescent="0.3">
      <c r="U642423" s="25"/>
    </row>
    <row r="642445" spans="21:21" x14ac:dyDescent="0.3">
      <c r="U642445" s="25"/>
    </row>
    <row r="642467" spans="21:21" x14ac:dyDescent="0.3">
      <c r="U642467" s="25"/>
    </row>
    <row r="642489" spans="21:21" x14ac:dyDescent="0.3">
      <c r="U642489" s="25"/>
    </row>
    <row r="642511" spans="21:21" x14ac:dyDescent="0.3">
      <c r="U642511" s="25"/>
    </row>
    <row r="642533" spans="21:21" x14ac:dyDescent="0.3">
      <c r="U642533" s="25"/>
    </row>
    <row r="642555" spans="21:21" x14ac:dyDescent="0.3">
      <c r="U642555" s="25"/>
    </row>
    <row r="642577" spans="21:21" x14ac:dyDescent="0.3">
      <c r="U642577" s="25"/>
    </row>
    <row r="642599" spans="21:21" x14ac:dyDescent="0.3">
      <c r="U642599" s="25"/>
    </row>
    <row r="642621" spans="21:21" x14ac:dyDescent="0.3">
      <c r="U642621" s="25"/>
    </row>
    <row r="642643" spans="21:21" x14ac:dyDescent="0.3">
      <c r="U642643" s="25"/>
    </row>
    <row r="642665" spans="21:21" x14ac:dyDescent="0.3">
      <c r="U642665" s="25"/>
    </row>
    <row r="642687" spans="21:21" x14ac:dyDescent="0.3">
      <c r="U642687" s="25"/>
    </row>
    <row r="642709" spans="21:21" x14ac:dyDescent="0.3">
      <c r="U642709" s="25"/>
    </row>
    <row r="642731" spans="21:21" x14ac:dyDescent="0.3">
      <c r="U642731" s="25"/>
    </row>
    <row r="642753" spans="21:21" x14ac:dyDescent="0.3">
      <c r="U642753" s="25"/>
    </row>
    <row r="642775" spans="21:21" x14ac:dyDescent="0.3">
      <c r="U642775" s="25"/>
    </row>
    <row r="642797" spans="21:21" x14ac:dyDescent="0.3">
      <c r="U642797" s="25"/>
    </row>
    <row r="642819" spans="21:21" x14ac:dyDescent="0.3">
      <c r="U642819" s="25"/>
    </row>
    <row r="642841" spans="21:21" x14ac:dyDescent="0.3">
      <c r="U642841" s="25"/>
    </row>
    <row r="642863" spans="21:21" x14ac:dyDescent="0.3">
      <c r="U642863" s="25"/>
    </row>
    <row r="642885" spans="21:21" x14ac:dyDescent="0.3">
      <c r="U642885" s="25"/>
    </row>
    <row r="642907" spans="21:21" x14ac:dyDescent="0.3">
      <c r="U642907" s="25"/>
    </row>
    <row r="642929" spans="21:21" x14ac:dyDescent="0.3">
      <c r="U642929" s="25"/>
    </row>
    <row r="642951" spans="21:21" x14ac:dyDescent="0.3">
      <c r="U642951" s="25"/>
    </row>
    <row r="642973" spans="21:21" x14ac:dyDescent="0.3">
      <c r="U642973" s="25"/>
    </row>
    <row r="642995" spans="21:21" x14ac:dyDescent="0.3">
      <c r="U642995" s="25"/>
    </row>
    <row r="643017" spans="21:21" x14ac:dyDescent="0.3">
      <c r="U643017" s="25"/>
    </row>
    <row r="643039" spans="21:21" x14ac:dyDescent="0.3">
      <c r="U643039" s="25"/>
    </row>
    <row r="643061" spans="21:21" x14ac:dyDescent="0.3">
      <c r="U643061" s="25"/>
    </row>
    <row r="643083" spans="21:21" x14ac:dyDescent="0.3">
      <c r="U643083" s="25"/>
    </row>
    <row r="643105" spans="21:21" x14ac:dyDescent="0.3">
      <c r="U643105" s="25"/>
    </row>
    <row r="643127" spans="21:21" x14ac:dyDescent="0.3">
      <c r="U643127" s="25"/>
    </row>
    <row r="643149" spans="21:21" x14ac:dyDescent="0.3">
      <c r="U643149" s="25"/>
    </row>
    <row r="643171" spans="21:21" x14ac:dyDescent="0.3">
      <c r="U643171" s="25"/>
    </row>
    <row r="643193" spans="21:21" x14ac:dyDescent="0.3">
      <c r="U643193" s="25"/>
    </row>
    <row r="643215" spans="21:21" x14ac:dyDescent="0.3">
      <c r="U643215" s="25"/>
    </row>
    <row r="643237" spans="21:21" x14ac:dyDescent="0.3">
      <c r="U643237" s="25"/>
    </row>
    <row r="643259" spans="21:21" x14ac:dyDescent="0.3">
      <c r="U643259" s="25"/>
    </row>
    <row r="643281" spans="21:21" x14ac:dyDescent="0.3">
      <c r="U643281" s="25"/>
    </row>
    <row r="643303" spans="21:21" x14ac:dyDescent="0.3">
      <c r="U643303" s="25"/>
    </row>
    <row r="643325" spans="21:21" x14ac:dyDescent="0.3">
      <c r="U643325" s="25"/>
    </row>
    <row r="643347" spans="21:21" x14ac:dyDescent="0.3">
      <c r="U643347" s="25"/>
    </row>
    <row r="643369" spans="21:21" x14ac:dyDescent="0.3">
      <c r="U643369" s="25"/>
    </row>
    <row r="643391" spans="21:21" x14ac:dyDescent="0.3">
      <c r="U643391" s="25"/>
    </row>
    <row r="643413" spans="21:21" x14ac:dyDescent="0.3">
      <c r="U643413" s="25"/>
    </row>
    <row r="643435" spans="21:21" x14ac:dyDescent="0.3">
      <c r="U643435" s="25"/>
    </row>
    <row r="643457" spans="21:21" x14ac:dyDescent="0.3">
      <c r="U643457" s="25"/>
    </row>
    <row r="643479" spans="21:21" x14ac:dyDescent="0.3">
      <c r="U643479" s="25"/>
    </row>
    <row r="643501" spans="21:21" x14ac:dyDescent="0.3">
      <c r="U643501" s="25"/>
    </row>
    <row r="643523" spans="21:21" x14ac:dyDescent="0.3">
      <c r="U643523" s="25"/>
    </row>
    <row r="643545" spans="21:21" x14ac:dyDescent="0.3">
      <c r="U643545" s="25"/>
    </row>
    <row r="643567" spans="21:21" x14ac:dyDescent="0.3">
      <c r="U643567" s="25"/>
    </row>
    <row r="643589" spans="21:21" x14ac:dyDescent="0.3">
      <c r="U643589" s="25"/>
    </row>
    <row r="643611" spans="21:21" x14ac:dyDescent="0.3">
      <c r="U643611" s="25"/>
    </row>
    <row r="643633" spans="21:21" x14ac:dyDescent="0.3">
      <c r="U643633" s="25"/>
    </row>
    <row r="643655" spans="21:21" x14ac:dyDescent="0.3">
      <c r="U643655" s="25"/>
    </row>
    <row r="643677" spans="21:21" x14ac:dyDescent="0.3">
      <c r="U643677" s="25"/>
    </row>
    <row r="643699" spans="21:21" x14ac:dyDescent="0.3">
      <c r="U643699" s="25"/>
    </row>
    <row r="643721" spans="21:21" x14ac:dyDescent="0.3">
      <c r="U643721" s="25"/>
    </row>
    <row r="643743" spans="21:21" x14ac:dyDescent="0.3">
      <c r="U643743" s="25"/>
    </row>
    <row r="643765" spans="21:21" x14ac:dyDescent="0.3">
      <c r="U643765" s="25"/>
    </row>
    <row r="643787" spans="21:21" x14ac:dyDescent="0.3">
      <c r="U643787" s="25"/>
    </row>
    <row r="643809" spans="21:21" x14ac:dyDescent="0.3">
      <c r="U643809" s="25"/>
    </row>
    <row r="643831" spans="21:21" x14ac:dyDescent="0.3">
      <c r="U643831" s="25"/>
    </row>
    <row r="643853" spans="21:21" x14ac:dyDescent="0.3">
      <c r="U643853" s="25"/>
    </row>
    <row r="643875" spans="21:21" x14ac:dyDescent="0.3">
      <c r="U643875" s="25"/>
    </row>
    <row r="643897" spans="21:21" x14ac:dyDescent="0.3">
      <c r="U643897" s="25"/>
    </row>
    <row r="643919" spans="21:21" x14ac:dyDescent="0.3">
      <c r="U643919" s="25"/>
    </row>
    <row r="643941" spans="21:21" x14ac:dyDescent="0.3">
      <c r="U643941" s="25"/>
    </row>
    <row r="643963" spans="21:21" x14ac:dyDescent="0.3">
      <c r="U643963" s="25"/>
    </row>
    <row r="643985" spans="21:21" x14ac:dyDescent="0.3">
      <c r="U643985" s="25"/>
    </row>
    <row r="644007" spans="21:21" x14ac:dyDescent="0.3">
      <c r="U644007" s="25"/>
    </row>
    <row r="644029" spans="21:21" x14ac:dyDescent="0.3">
      <c r="U644029" s="25"/>
    </row>
    <row r="644051" spans="21:21" x14ac:dyDescent="0.3">
      <c r="U644051" s="25"/>
    </row>
    <row r="644073" spans="21:21" x14ac:dyDescent="0.3">
      <c r="U644073" s="25"/>
    </row>
    <row r="644095" spans="21:21" x14ac:dyDescent="0.3">
      <c r="U644095" s="25"/>
    </row>
    <row r="644117" spans="21:21" x14ac:dyDescent="0.3">
      <c r="U644117" s="25"/>
    </row>
    <row r="644139" spans="21:21" x14ac:dyDescent="0.3">
      <c r="U644139" s="25"/>
    </row>
    <row r="644161" spans="21:21" x14ac:dyDescent="0.3">
      <c r="U644161" s="25"/>
    </row>
    <row r="644183" spans="21:21" x14ac:dyDescent="0.3">
      <c r="U644183" s="25"/>
    </row>
    <row r="644205" spans="21:21" x14ac:dyDescent="0.3">
      <c r="U644205" s="25"/>
    </row>
    <row r="644227" spans="21:21" x14ac:dyDescent="0.3">
      <c r="U644227" s="25"/>
    </row>
    <row r="644249" spans="21:21" x14ac:dyDescent="0.3">
      <c r="U644249" s="25"/>
    </row>
    <row r="644271" spans="21:21" x14ac:dyDescent="0.3">
      <c r="U644271" s="25"/>
    </row>
    <row r="644293" spans="21:21" x14ac:dyDescent="0.3">
      <c r="U644293" s="25"/>
    </row>
    <row r="644315" spans="21:21" x14ac:dyDescent="0.3">
      <c r="U644315" s="25"/>
    </row>
    <row r="644337" spans="21:21" x14ac:dyDescent="0.3">
      <c r="U644337" s="25"/>
    </row>
    <row r="644359" spans="21:21" x14ac:dyDescent="0.3">
      <c r="U644359" s="25"/>
    </row>
    <row r="644381" spans="21:21" x14ac:dyDescent="0.3">
      <c r="U644381" s="25"/>
    </row>
    <row r="644403" spans="21:21" x14ac:dyDescent="0.3">
      <c r="U644403" s="25"/>
    </row>
    <row r="644425" spans="21:21" x14ac:dyDescent="0.3">
      <c r="U644425" s="25"/>
    </row>
    <row r="644447" spans="21:21" x14ac:dyDescent="0.3">
      <c r="U644447" s="25"/>
    </row>
    <row r="644469" spans="21:21" x14ac:dyDescent="0.3">
      <c r="U644469" s="25"/>
    </row>
    <row r="644491" spans="21:21" x14ac:dyDescent="0.3">
      <c r="U644491" s="25"/>
    </row>
    <row r="644513" spans="21:21" x14ac:dyDescent="0.3">
      <c r="U644513" s="25"/>
    </row>
    <row r="644535" spans="21:21" x14ac:dyDescent="0.3">
      <c r="U644535" s="25"/>
    </row>
    <row r="644557" spans="21:21" x14ac:dyDescent="0.3">
      <c r="U644557" s="25"/>
    </row>
    <row r="644579" spans="21:21" x14ac:dyDescent="0.3">
      <c r="U644579" s="25"/>
    </row>
    <row r="644601" spans="21:21" x14ac:dyDescent="0.3">
      <c r="U644601" s="25"/>
    </row>
    <row r="644623" spans="21:21" x14ac:dyDescent="0.3">
      <c r="U644623" s="25"/>
    </row>
    <row r="644645" spans="21:21" x14ac:dyDescent="0.3">
      <c r="U644645" s="25"/>
    </row>
    <row r="644667" spans="21:21" x14ac:dyDescent="0.3">
      <c r="U644667" s="25"/>
    </row>
    <row r="644689" spans="21:21" x14ac:dyDescent="0.3">
      <c r="U644689" s="25"/>
    </row>
    <row r="644711" spans="21:21" x14ac:dyDescent="0.3">
      <c r="U644711" s="25"/>
    </row>
    <row r="644733" spans="21:21" x14ac:dyDescent="0.3">
      <c r="U644733" s="25"/>
    </row>
    <row r="644755" spans="21:21" x14ac:dyDescent="0.3">
      <c r="U644755" s="25"/>
    </row>
    <row r="644777" spans="21:21" x14ac:dyDescent="0.3">
      <c r="U644777" s="25"/>
    </row>
    <row r="644799" spans="21:21" x14ac:dyDescent="0.3">
      <c r="U644799" s="25"/>
    </row>
    <row r="644821" spans="21:21" x14ac:dyDescent="0.3">
      <c r="U644821" s="25"/>
    </row>
    <row r="644843" spans="21:21" x14ac:dyDescent="0.3">
      <c r="U644843" s="25"/>
    </row>
    <row r="644865" spans="21:21" x14ac:dyDescent="0.3">
      <c r="U644865" s="25"/>
    </row>
    <row r="644887" spans="21:21" x14ac:dyDescent="0.3">
      <c r="U644887" s="25"/>
    </row>
    <row r="644909" spans="21:21" x14ac:dyDescent="0.3">
      <c r="U644909" s="25"/>
    </row>
    <row r="644931" spans="21:21" x14ac:dyDescent="0.3">
      <c r="U644931" s="25"/>
    </row>
    <row r="644953" spans="21:21" x14ac:dyDescent="0.3">
      <c r="U644953" s="25"/>
    </row>
    <row r="644975" spans="21:21" x14ac:dyDescent="0.3">
      <c r="U644975" s="25"/>
    </row>
    <row r="644997" spans="21:21" x14ac:dyDescent="0.3">
      <c r="U644997" s="25"/>
    </row>
    <row r="645019" spans="21:21" x14ac:dyDescent="0.3">
      <c r="U645019" s="25"/>
    </row>
    <row r="645041" spans="21:21" x14ac:dyDescent="0.3">
      <c r="U645041" s="25"/>
    </row>
    <row r="645063" spans="21:21" x14ac:dyDescent="0.3">
      <c r="U645063" s="25"/>
    </row>
    <row r="645085" spans="21:21" x14ac:dyDescent="0.3">
      <c r="U645085" s="25"/>
    </row>
    <row r="645107" spans="21:21" x14ac:dyDescent="0.3">
      <c r="U645107" s="25"/>
    </row>
    <row r="645129" spans="21:21" x14ac:dyDescent="0.3">
      <c r="U645129" s="25"/>
    </row>
    <row r="645151" spans="21:21" x14ac:dyDescent="0.3">
      <c r="U645151" s="25"/>
    </row>
    <row r="645173" spans="21:21" x14ac:dyDescent="0.3">
      <c r="U645173" s="25"/>
    </row>
    <row r="645195" spans="21:21" x14ac:dyDescent="0.3">
      <c r="U645195" s="25"/>
    </row>
    <row r="645217" spans="21:21" x14ac:dyDescent="0.3">
      <c r="U645217" s="25"/>
    </row>
    <row r="645239" spans="21:21" x14ac:dyDescent="0.3">
      <c r="U645239" s="25"/>
    </row>
    <row r="645261" spans="21:21" x14ac:dyDescent="0.3">
      <c r="U645261" s="25"/>
    </row>
    <row r="645283" spans="21:21" x14ac:dyDescent="0.3">
      <c r="U645283" s="25"/>
    </row>
    <row r="645305" spans="21:21" x14ac:dyDescent="0.3">
      <c r="U645305" s="25"/>
    </row>
    <row r="645327" spans="21:21" x14ac:dyDescent="0.3">
      <c r="U645327" s="25"/>
    </row>
    <row r="645349" spans="21:21" x14ac:dyDescent="0.3">
      <c r="U645349" s="25"/>
    </row>
    <row r="645371" spans="21:21" x14ac:dyDescent="0.3">
      <c r="U645371" s="25"/>
    </row>
    <row r="645393" spans="21:21" x14ac:dyDescent="0.3">
      <c r="U645393" s="25"/>
    </row>
    <row r="645415" spans="21:21" x14ac:dyDescent="0.3">
      <c r="U645415" s="25"/>
    </row>
    <row r="645437" spans="21:21" x14ac:dyDescent="0.3">
      <c r="U645437" s="25"/>
    </row>
    <row r="645459" spans="21:21" x14ac:dyDescent="0.3">
      <c r="U645459" s="25"/>
    </row>
    <row r="645481" spans="21:21" x14ac:dyDescent="0.3">
      <c r="U645481" s="25"/>
    </row>
    <row r="645503" spans="21:21" x14ac:dyDescent="0.3">
      <c r="U645503" s="25"/>
    </row>
    <row r="645525" spans="21:21" x14ac:dyDescent="0.3">
      <c r="U645525" s="25"/>
    </row>
    <row r="645547" spans="21:21" x14ac:dyDescent="0.3">
      <c r="U645547" s="25"/>
    </row>
    <row r="645569" spans="21:21" x14ac:dyDescent="0.3">
      <c r="U645569" s="25"/>
    </row>
    <row r="645591" spans="21:21" x14ac:dyDescent="0.3">
      <c r="U645591" s="25"/>
    </row>
    <row r="645613" spans="21:21" x14ac:dyDescent="0.3">
      <c r="U645613" s="25"/>
    </row>
    <row r="645635" spans="21:21" x14ac:dyDescent="0.3">
      <c r="U645635" s="25"/>
    </row>
    <row r="645657" spans="21:21" x14ac:dyDescent="0.3">
      <c r="U645657" s="25"/>
    </row>
    <row r="645679" spans="21:21" x14ac:dyDescent="0.3">
      <c r="U645679" s="25"/>
    </row>
    <row r="645701" spans="21:21" x14ac:dyDescent="0.3">
      <c r="U645701" s="25"/>
    </row>
    <row r="645723" spans="21:21" x14ac:dyDescent="0.3">
      <c r="U645723" s="25"/>
    </row>
    <row r="645745" spans="21:21" x14ac:dyDescent="0.3">
      <c r="U645745" s="25"/>
    </row>
    <row r="645767" spans="21:21" x14ac:dyDescent="0.3">
      <c r="U645767" s="25"/>
    </row>
    <row r="645789" spans="21:21" x14ac:dyDescent="0.3">
      <c r="U645789" s="25"/>
    </row>
    <row r="645811" spans="21:21" x14ac:dyDescent="0.3">
      <c r="U645811" s="25"/>
    </row>
    <row r="645833" spans="21:21" x14ac:dyDescent="0.3">
      <c r="U645833" s="25"/>
    </row>
    <row r="645855" spans="21:21" x14ac:dyDescent="0.3">
      <c r="U645855" s="25"/>
    </row>
    <row r="645877" spans="21:21" x14ac:dyDescent="0.3">
      <c r="U645877" s="25"/>
    </row>
    <row r="645899" spans="21:21" x14ac:dyDescent="0.3">
      <c r="U645899" s="25"/>
    </row>
    <row r="645921" spans="21:21" x14ac:dyDescent="0.3">
      <c r="U645921" s="25"/>
    </row>
    <row r="645943" spans="21:21" x14ac:dyDescent="0.3">
      <c r="U645943" s="25"/>
    </row>
    <row r="645965" spans="21:21" x14ac:dyDescent="0.3">
      <c r="U645965" s="25"/>
    </row>
    <row r="645987" spans="21:21" x14ac:dyDescent="0.3">
      <c r="U645987" s="25"/>
    </row>
    <row r="646009" spans="21:21" x14ac:dyDescent="0.3">
      <c r="U646009" s="25"/>
    </row>
    <row r="646031" spans="21:21" x14ac:dyDescent="0.3">
      <c r="U646031" s="25"/>
    </row>
    <row r="646053" spans="21:21" x14ac:dyDescent="0.3">
      <c r="U646053" s="25"/>
    </row>
    <row r="646075" spans="21:21" x14ac:dyDescent="0.3">
      <c r="U646075" s="25"/>
    </row>
    <row r="646097" spans="21:21" x14ac:dyDescent="0.3">
      <c r="U646097" s="25"/>
    </row>
    <row r="646119" spans="21:21" x14ac:dyDescent="0.3">
      <c r="U646119" s="25"/>
    </row>
    <row r="646141" spans="21:21" x14ac:dyDescent="0.3">
      <c r="U646141" s="25"/>
    </row>
    <row r="646163" spans="21:21" x14ac:dyDescent="0.3">
      <c r="U646163" s="25"/>
    </row>
    <row r="646185" spans="21:21" x14ac:dyDescent="0.3">
      <c r="U646185" s="25"/>
    </row>
    <row r="646207" spans="21:21" x14ac:dyDescent="0.3">
      <c r="U646207" s="25"/>
    </row>
    <row r="646229" spans="21:21" x14ac:dyDescent="0.3">
      <c r="U646229" s="25"/>
    </row>
    <row r="646251" spans="21:21" x14ac:dyDescent="0.3">
      <c r="U646251" s="25"/>
    </row>
    <row r="646273" spans="21:21" x14ac:dyDescent="0.3">
      <c r="U646273" s="25"/>
    </row>
    <row r="646295" spans="21:21" x14ac:dyDescent="0.3">
      <c r="U646295" s="25"/>
    </row>
    <row r="646317" spans="21:21" x14ac:dyDescent="0.3">
      <c r="U646317" s="25"/>
    </row>
    <row r="646339" spans="21:21" x14ac:dyDescent="0.3">
      <c r="U646339" s="25"/>
    </row>
    <row r="646361" spans="21:21" x14ac:dyDescent="0.3">
      <c r="U646361" s="25"/>
    </row>
    <row r="646383" spans="21:21" x14ac:dyDescent="0.3">
      <c r="U646383" s="25"/>
    </row>
    <row r="646405" spans="21:21" x14ac:dyDescent="0.3">
      <c r="U646405" s="25"/>
    </row>
    <row r="646427" spans="21:21" x14ac:dyDescent="0.3">
      <c r="U646427" s="25"/>
    </row>
    <row r="646449" spans="21:21" x14ac:dyDescent="0.3">
      <c r="U646449" s="25"/>
    </row>
    <row r="646471" spans="21:21" x14ac:dyDescent="0.3">
      <c r="U646471" s="25"/>
    </row>
    <row r="646493" spans="21:21" x14ac:dyDescent="0.3">
      <c r="U646493" s="25"/>
    </row>
    <row r="646515" spans="21:21" x14ac:dyDescent="0.3">
      <c r="U646515" s="25"/>
    </row>
    <row r="646537" spans="21:21" x14ac:dyDescent="0.3">
      <c r="U646537" s="25"/>
    </row>
    <row r="646559" spans="21:21" x14ac:dyDescent="0.3">
      <c r="U646559" s="25"/>
    </row>
    <row r="646581" spans="21:21" x14ac:dyDescent="0.3">
      <c r="U646581" s="25"/>
    </row>
    <row r="646603" spans="21:21" x14ac:dyDescent="0.3">
      <c r="U646603" s="25"/>
    </row>
    <row r="646625" spans="21:21" x14ac:dyDescent="0.3">
      <c r="U646625" s="25"/>
    </row>
    <row r="646647" spans="21:21" x14ac:dyDescent="0.3">
      <c r="U646647" s="25"/>
    </row>
    <row r="646669" spans="21:21" x14ac:dyDescent="0.3">
      <c r="U646669" s="25"/>
    </row>
    <row r="646691" spans="21:21" x14ac:dyDescent="0.3">
      <c r="U646691" s="25"/>
    </row>
    <row r="646713" spans="21:21" x14ac:dyDescent="0.3">
      <c r="U646713" s="25"/>
    </row>
    <row r="646735" spans="21:21" x14ac:dyDescent="0.3">
      <c r="U646735" s="25"/>
    </row>
    <row r="646757" spans="21:21" x14ac:dyDescent="0.3">
      <c r="U646757" s="25"/>
    </row>
    <row r="646779" spans="21:21" x14ac:dyDescent="0.3">
      <c r="U646779" s="25"/>
    </row>
    <row r="646801" spans="21:21" x14ac:dyDescent="0.3">
      <c r="U646801" s="25"/>
    </row>
    <row r="646823" spans="21:21" x14ac:dyDescent="0.3">
      <c r="U646823" s="25"/>
    </row>
    <row r="646845" spans="21:21" x14ac:dyDescent="0.3">
      <c r="U646845" s="25"/>
    </row>
    <row r="646867" spans="21:21" x14ac:dyDescent="0.3">
      <c r="U646867" s="25"/>
    </row>
    <row r="646889" spans="21:21" x14ac:dyDescent="0.3">
      <c r="U646889" s="25"/>
    </row>
    <row r="646911" spans="21:21" x14ac:dyDescent="0.3">
      <c r="U646911" s="25"/>
    </row>
    <row r="646933" spans="21:21" x14ac:dyDescent="0.3">
      <c r="U646933" s="25"/>
    </row>
    <row r="646955" spans="21:21" x14ac:dyDescent="0.3">
      <c r="U646955" s="25"/>
    </row>
    <row r="646977" spans="21:21" x14ac:dyDescent="0.3">
      <c r="U646977" s="25"/>
    </row>
    <row r="646999" spans="21:21" x14ac:dyDescent="0.3">
      <c r="U646999" s="25"/>
    </row>
    <row r="647021" spans="21:21" x14ac:dyDescent="0.3">
      <c r="U647021" s="25"/>
    </row>
    <row r="647043" spans="21:21" x14ac:dyDescent="0.3">
      <c r="U647043" s="25"/>
    </row>
    <row r="647065" spans="21:21" x14ac:dyDescent="0.3">
      <c r="U647065" s="25"/>
    </row>
    <row r="647087" spans="21:21" x14ac:dyDescent="0.3">
      <c r="U647087" s="25"/>
    </row>
    <row r="647109" spans="21:21" x14ac:dyDescent="0.3">
      <c r="U647109" s="25"/>
    </row>
    <row r="647131" spans="21:21" x14ac:dyDescent="0.3">
      <c r="U647131" s="25"/>
    </row>
    <row r="647153" spans="21:21" x14ac:dyDescent="0.3">
      <c r="U647153" s="25"/>
    </row>
    <row r="647175" spans="21:21" x14ac:dyDescent="0.3">
      <c r="U647175" s="25"/>
    </row>
    <row r="647197" spans="21:21" x14ac:dyDescent="0.3">
      <c r="U647197" s="25"/>
    </row>
    <row r="647219" spans="21:21" x14ac:dyDescent="0.3">
      <c r="U647219" s="25"/>
    </row>
    <row r="647241" spans="21:21" x14ac:dyDescent="0.3">
      <c r="U647241" s="25"/>
    </row>
    <row r="647263" spans="21:21" x14ac:dyDescent="0.3">
      <c r="U647263" s="25"/>
    </row>
    <row r="647285" spans="21:21" x14ac:dyDescent="0.3">
      <c r="U647285" s="25"/>
    </row>
    <row r="647307" spans="21:21" x14ac:dyDescent="0.3">
      <c r="U647307" s="25"/>
    </row>
    <row r="647329" spans="21:21" x14ac:dyDescent="0.3">
      <c r="U647329" s="25"/>
    </row>
    <row r="647351" spans="21:21" x14ac:dyDescent="0.3">
      <c r="U647351" s="25"/>
    </row>
    <row r="647373" spans="21:21" x14ac:dyDescent="0.3">
      <c r="U647373" s="25"/>
    </row>
    <row r="647395" spans="21:21" x14ac:dyDescent="0.3">
      <c r="U647395" s="25"/>
    </row>
    <row r="647417" spans="21:21" x14ac:dyDescent="0.3">
      <c r="U647417" s="25"/>
    </row>
    <row r="647439" spans="21:21" x14ac:dyDescent="0.3">
      <c r="U647439" s="25"/>
    </row>
    <row r="647461" spans="21:21" x14ac:dyDescent="0.3">
      <c r="U647461" s="25"/>
    </row>
    <row r="647483" spans="21:21" x14ac:dyDescent="0.3">
      <c r="U647483" s="25"/>
    </row>
    <row r="647505" spans="21:21" x14ac:dyDescent="0.3">
      <c r="U647505" s="25"/>
    </row>
    <row r="647527" spans="21:21" x14ac:dyDescent="0.3">
      <c r="U647527" s="25"/>
    </row>
    <row r="647549" spans="21:21" x14ac:dyDescent="0.3">
      <c r="U647549" s="25"/>
    </row>
    <row r="647571" spans="21:21" x14ac:dyDescent="0.3">
      <c r="U647571" s="25"/>
    </row>
    <row r="647593" spans="21:21" x14ac:dyDescent="0.3">
      <c r="U647593" s="25"/>
    </row>
    <row r="647615" spans="21:21" x14ac:dyDescent="0.3">
      <c r="U647615" s="25"/>
    </row>
    <row r="647637" spans="21:21" x14ac:dyDescent="0.3">
      <c r="U647637" s="25"/>
    </row>
    <row r="647659" spans="21:21" x14ac:dyDescent="0.3">
      <c r="U647659" s="25"/>
    </row>
    <row r="647681" spans="21:21" x14ac:dyDescent="0.3">
      <c r="U647681" s="25"/>
    </row>
    <row r="647703" spans="21:21" x14ac:dyDescent="0.3">
      <c r="U647703" s="25"/>
    </row>
    <row r="647725" spans="21:21" x14ac:dyDescent="0.3">
      <c r="U647725" s="25"/>
    </row>
    <row r="647747" spans="21:21" x14ac:dyDescent="0.3">
      <c r="U647747" s="25"/>
    </row>
    <row r="647769" spans="21:21" x14ac:dyDescent="0.3">
      <c r="U647769" s="25"/>
    </row>
    <row r="647791" spans="21:21" x14ac:dyDescent="0.3">
      <c r="U647791" s="25"/>
    </row>
    <row r="647813" spans="21:21" x14ac:dyDescent="0.3">
      <c r="U647813" s="25"/>
    </row>
    <row r="647835" spans="21:21" x14ac:dyDescent="0.3">
      <c r="U647835" s="25"/>
    </row>
    <row r="647857" spans="21:21" x14ac:dyDescent="0.3">
      <c r="U647857" s="25"/>
    </row>
    <row r="647879" spans="21:21" x14ac:dyDescent="0.3">
      <c r="U647879" s="25"/>
    </row>
    <row r="647901" spans="21:21" x14ac:dyDescent="0.3">
      <c r="U647901" s="25"/>
    </row>
    <row r="647923" spans="21:21" x14ac:dyDescent="0.3">
      <c r="U647923" s="25"/>
    </row>
    <row r="647945" spans="21:21" x14ac:dyDescent="0.3">
      <c r="U647945" s="25"/>
    </row>
    <row r="647967" spans="21:21" x14ac:dyDescent="0.3">
      <c r="U647967" s="25"/>
    </row>
    <row r="647989" spans="21:21" x14ac:dyDescent="0.3">
      <c r="U647989" s="25"/>
    </row>
    <row r="648011" spans="21:21" x14ac:dyDescent="0.3">
      <c r="U648011" s="25"/>
    </row>
    <row r="648033" spans="21:21" x14ac:dyDescent="0.3">
      <c r="U648033" s="25"/>
    </row>
    <row r="648055" spans="21:21" x14ac:dyDescent="0.3">
      <c r="U648055" s="25"/>
    </row>
    <row r="648077" spans="21:21" x14ac:dyDescent="0.3">
      <c r="U648077" s="25"/>
    </row>
    <row r="648099" spans="21:21" x14ac:dyDescent="0.3">
      <c r="U648099" s="25"/>
    </row>
    <row r="648121" spans="21:21" x14ac:dyDescent="0.3">
      <c r="U648121" s="25"/>
    </row>
    <row r="648143" spans="21:21" x14ac:dyDescent="0.3">
      <c r="U648143" s="25"/>
    </row>
    <row r="648165" spans="21:21" x14ac:dyDescent="0.3">
      <c r="U648165" s="25"/>
    </row>
    <row r="648187" spans="21:21" x14ac:dyDescent="0.3">
      <c r="U648187" s="25"/>
    </row>
    <row r="648209" spans="21:21" x14ac:dyDescent="0.3">
      <c r="U648209" s="25"/>
    </row>
    <row r="648231" spans="21:21" x14ac:dyDescent="0.3">
      <c r="U648231" s="25"/>
    </row>
    <row r="648253" spans="21:21" x14ac:dyDescent="0.3">
      <c r="U648253" s="25"/>
    </row>
    <row r="648275" spans="21:21" x14ac:dyDescent="0.3">
      <c r="U648275" s="25"/>
    </row>
    <row r="648297" spans="21:21" x14ac:dyDescent="0.3">
      <c r="U648297" s="25"/>
    </row>
    <row r="648319" spans="21:21" x14ac:dyDescent="0.3">
      <c r="U648319" s="25"/>
    </row>
    <row r="648341" spans="21:21" x14ac:dyDescent="0.3">
      <c r="U648341" s="25"/>
    </row>
    <row r="648363" spans="21:21" x14ac:dyDescent="0.3">
      <c r="U648363" s="25"/>
    </row>
    <row r="648385" spans="21:21" x14ac:dyDescent="0.3">
      <c r="U648385" s="25"/>
    </row>
    <row r="648407" spans="21:21" x14ac:dyDescent="0.3">
      <c r="U648407" s="25"/>
    </row>
    <row r="648429" spans="21:21" x14ac:dyDescent="0.3">
      <c r="U648429" s="25"/>
    </row>
    <row r="648451" spans="21:21" x14ac:dyDescent="0.3">
      <c r="U648451" s="25"/>
    </row>
    <row r="648473" spans="21:21" x14ac:dyDescent="0.3">
      <c r="U648473" s="25"/>
    </row>
    <row r="648495" spans="21:21" x14ac:dyDescent="0.3">
      <c r="U648495" s="25"/>
    </row>
    <row r="648517" spans="21:21" x14ac:dyDescent="0.3">
      <c r="U648517" s="25"/>
    </row>
    <row r="648539" spans="21:21" x14ac:dyDescent="0.3">
      <c r="U648539" s="25"/>
    </row>
    <row r="648561" spans="21:21" x14ac:dyDescent="0.3">
      <c r="U648561" s="25"/>
    </row>
    <row r="648583" spans="21:21" x14ac:dyDescent="0.3">
      <c r="U648583" s="25"/>
    </row>
    <row r="648605" spans="21:21" x14ac:dyDescent="0.3">
      <c r="U648605" s="25"/>
    </row>
    <row r="648627" spans="21:21" x14ac:dyDescent="0.3">
      <c r="U648627" s="25"/>
    </row>
    <row r="648649" spans="21:21" x14ac:dyDescent="0.3">
      <c r="U648649" s="25"/>
    </row>
    <row r="648671" spans="21:21" x14ac:dyDescent="0.3">
      <c r="U648671" s="25"/>
    </row>
    <row r="648693" spans="21:21" x14ac:dyDescent="0.3">
      <c r="U648693" s="25"/>
    </row>
    <row r="648715" spans="21:21" x14ac:dyDescent="0.3">
      <c r="U648715" s="25"/>
    </row>
    <row r="648737" spans="21:21" x14ac:dyDescent="0.3">
      <c r="U648737" s="25"/>
    </row>
    <row r="648759" spans="21:21" x14ac:dyDescent="0.3">
      <c r="U648759" s="25"/>
    </row>
    <row r="648781" spans="21:21" x14ac:dyDescent="0.3">
      <c r="U648781" s="25"/>
    </row>
    <row r="648803" spans="21:21" x14ac:dyDescent="0.3">
      <c r="U648803" s="25"/>
    </row>
    <row r="648825" spans="21:21" x14ac:dyDescent="0.3">
      <c r="U648825" s="25"/>
    </row>
    <row r="648847" spans="21:21" x14ac:dyDescent="0.3">
      <c r="U648847" s="25"/>
    </row>
    <row r="648869" spans="21:21" x14ac:dyDescent="0.3">
      <c r="U648869" s="25"/>
    </row>
    <row r="648891" spans="21:21" x14ac:dyDescent="0.3">
      <c r="U648891" s="25"/>
    </row>
    <row r="648913" spans="21:21" x14ac:dyDescent="0.3">
      <c r="U648913" s="25"/>
    </row>
    <row r="648935" spans="21:21" x14ac:dyDescent="0.3">
      <c r="U648935" s="25"/>
    </row>
    <row r="648957" spans="21:21" x14ac:dyDescent="0.3">
      <c r="U648957" s="25"/>
    </row>
    <row r="648979" spans="21:21" x14ac:dyDescent="0.3">
      <c r="U648979" s="25"/>
    </row>
    <row r="649001" spans="21:21" x14ac:dyDescent="0.3">
      <c r="U649001" s="25"/>
    </row>
    <row r="649023" spans="21:21" x14ac:dyDescent="0.3">
      <c r="U649023" s="25"/>
    </row>
    <row r="649045" spans="21:21" x14ac:dyDescent="0.3">
      <c r="U649045" s="25"/>
    </row>
    <row r="649067" spans="21:21" x14ac:dyDescent="0.3">
      <c r="U649067" s="25"/>
    </row>
    <row r="649089" spans="21:21" x14ac:dyDescent="0.3">
      <c r="U649089" s="25"/>
    </row>
    <row r="649111" spans="21:21" x14ac:dyDescent="0.3">
      <c r="U649111" s="25"/>
    </row>
    <row r="649133" spans="21:21" x14ac:dyDescent="0.3">
      <c r="U649133" s="25"/>
    </row>
    <row r="649155" spans="21:21" x14ac:dyDescent="0.3">
      <c r="U649155" s="25"/>
    </row>
    <row r="649177" spans="21:21" x14ac:dyDescent="0.3">
      <c r="U649177" s="25"/>
    </row>
    <row r="649199" spans="21:21" x14ac:dyDescent="0.3">
      <c r="U649199" s="25"/>
    </row>
    <row r="649221" spans="21:21" x14ac:dyDescent="0.3">
      <c r="U649221" s="25"/>
    </row>
    <row r="649243" spans="21:21" x14ac:dyDescent="0.3">
      <c r="U649243" s="25"/>
    </row>
    <row r="649265" spans="21:21" x14ac:dyDescent="0.3">
      <c r="U649265" s="25"/>
    </row>
    <row r="649287" spans="21:21" x14ac:dyDescent="0.3">
      <c r="U649287" s="25"/>
    </row>
    <row r="649309" spans="21:21" x14ac:dyDescent="0.3">
      <c r="U649309" s="25"/>
    </row>
    <row r="649331" spans="21:21" x14ac:dyDescent="0.3">
      <c r="U649331" s="25"/>
    </row>
    <row r="649353" spans="21:21" x14ac:dyDescent="0.3">
      <c r="U649353" s="25"/>
    </row>
    <row r="649375" spans="21:21" x14ac:dyDescent="0.3">
      <c r="U649375" s="25"/>
    </row>
    <row r="649397" spans="21:21" x14ac:dyDescent="0.3">
      <c r="U649397" s="25"/>
    </row>
    <row r="649419" spans="21:21" x14ac:dyDescent="0.3">
      <c r="U649419" s="25"/>
    </row>
    <row r="649441" spans="21:21" x14ac:dyDescent="0.3">
      <c r="U649441" s="25"/>
    </row>
    <row r="649463" spans="21:21" x14ac:dyDescent="0.3">
      <c r="U649463" s="25"/>
    </row>
    <row r="649485" spans="21:21" x14ac:dyDescent="0.3">
      <c r="U649485" s="25"/>
    </row>
    <row r="649507" spans="21:21" x14ac:dyDescent="0.3">
      <c r="U649507" s="25"/>
    </row>
    <row r="649529" spans="21:21" x14ac:dyDescent="0.3">
      <c r="U649529" s="25"/>
    </row>
    <row r="649551" spans="21:21" x14ac:dyDescent="0.3">
      <c r="U649551" s="25"/>
    </row>
    <row r="649573" spans="21:21" x14ac:dyDescent="0.3">
      <c r="U649573" s="25"/>
    </row>
    <row r="649595" spans="21:21" x14ac:dyDescent="0.3">
      <c r="U649595" s="25"/>
    </row>
    <row r="649617" spans="21:21" x14ac:dyDescent="0.3">
      <c r="U649617" s="25"/>
    </row>
    <row r="649639" spans="21:21" x14ac:dyDescent="0.3">
      <c r="U649639" s="25"/>
    </row>
    <row r="649661" spans="21:21" x14ac:dyDescent="0.3">
      <c r="U649661" s="25"/>
    </row>
    <row r="649683" spans="21:21" x14ac:dyDescent="0.3">
      <c r="U649683" s="25"/>
    </row>
    <row r="649705" spans="21:21" x14ac:dyDescent="0.3">
      <c r="U649705" s="25"/>
    </row>
    <row r="649727" spans="21:21" x14ac:dyDescent="0.3">
      <c r="U649727" s="25"/>
    </row>
    <row r="649749" spans="21:21" x14ac:dyDescent="0.3">
      <c r="U649749" s="25"/>
    </row>
    <row r="649771" spans="21:21" x14ac:dyDescent="0.3">
      <c r="U649771" s="25"/>
    </row>
    <row r="649793" spans="21:21" x14ac:dyDescent="0.3">
      <c r="U649793" s="25"/>
    </row>
    <row r="649815" spans="21:21" x14ac:dyDescent="0.3">
      <c r="U649815" s="25"/>
    </row>
    <row r="649837" spans="21:21" x14ac:dyDescent="0.3">
      <c r="U649837" s="25"/>
    </row>
    <row r="649859" spans="21:21" x14ac:dyDescent="0.3">
      <c r="U649859" s="25"/>
    </row>
    <row r="649881" spans="21:21" x14ac:dyDescent="0.3">
      <c r="U649881" s="25"/>
    </row>
    <row r="649903" spans="21:21" x14ac:dyDescent="0.3">
      <c r="U649903" s="25"/>
    </row>
    <row r="649925" spans="21:21" x14ac:dyDescent="0.3">
      <c r="U649925" s="25"/>
    </row>
    <row r="649947" spans="21:21" x14ac:dyDescent="0.3">
      <c r="U649947" s="25"/>
    </row>
    <row r="649969" spans="21:21" x14ac:dyDescent="0.3">
      <c r="U649969" s="25"/>
    </row>
    <row r="649991" spans="21:21" x14ac:dyDescent="0.3">
      <c r="U649991" s="25"/>
    </row>
    <row r="650013" spans="21:21" x14ac:dyDescent="0.3">
      <c r="U650013" s="25"/>
    </row>
    <row r="650035" spans="21:21" x14ac:dyDescent="0.3">
      <c r="U650035" s="25"/>
    </row>
    <row r="650057" spans="21:21" x14ac:dyDescent="0.3">
      <c r="U650057" s="25"/>
    </row>
    <row r="650079" spans="21:21" x14ac:dyDescent="0.3">
      <c r="U650079" s="25"/>
    </row>
    <row r="650101" spans="21:21" x14ac:dyDescent="0.3">
      <c r="U650101" s="25"/>
    </row>
    <row r="650123" spans="21:21" x14ac:dyDescent="0.3">
      <c r="U650123" s="25"/>
    </row>
    <row r="650145" spans="21:21" x14ac:dyDescent="0.3">
      <c r="U650145" s="25"/>
    </row>
    <row r="650167" spans="21:21" x14ac:dyDescent="0.3">
      <c r="U650167" s="25"/>
    </row>
    <row r="650189" spans="21:21" x14ac:dyDescent="0.3">
      <c r="U650189" s="25"/>
    </row>
    <row r="650211" spans="21:21" x14ac:dyDescent="0.3">
      <c r="U650211" s="25"/>
    </row>
    <row r="650233" spans="21:21" x14ac:dyDescent="0.3">
      <c r="U650233" s="25"/>
    </row>
    <row r="650255" spans="21:21" x14ac:dyDescent="0.3">
      <c r="U650255" s="25"/>
    </row>
    <row r="650277" spans="21:21" x14ac:dyDescent="0.3">
      <c r="U650277" s="25"/>
    </row>
    <row r="650299" spans="21:21" x14ac:dyDescent="0.3">
      <c r="U650299" s="25"/>
    </row>
    <row r="650321" spans="21:21" x14ac:dyDescent="0.3">
      <c r="U650321" s="25"/>
    </row>
    <row r="650343" spans="21:21" x14ac:dyDescent="0.3">
      <c r="U650343" s="25"/>
    </row>
    <row r="650365" spans="21:21" x14ac:dyDescent="0.3">
      <c r="U650365" s="25"/>
    </row>
    <row r="650387" spans="21:21" x14ac:dyDescent="0.3">
      <c r="U650387" s="25"/>
    </row>
    <row r="650409" spans="21:21" x14ac:dyDescent="0.3">
      <c r="U650409" s="25"/>
    </row>
    <row r="650431" spans="21:21" x14ac:dyDescent="0.3">
      <c r="U650431" s="25"/>
    </row>
    <row r="650453" spans="21:21" x14ac:dyDescent="0.3">
      <c r="U650453" s="25"/>
    </row>
    <row r="650475" spans="21:21" x14ac:dyDescent="0.3">
      <c r="U650475" s="25"/>
    </row>
    <row r="650497" spans="21:21" x14ac:dyDescent="0.3">
      <c r="U650497" s="25"/>
    </row>
    <row r="650519" spans="21:21" x14ac:dyDescent="0.3">
      <c r="U650519" s="25"/>
    </row>
    <row r="650541" spans="21:21" x14ac:dyDescent="0.3">
      <c r="U650541" s="25"/>
    </row>
    <row r="650563" spans="21:21" x14ac:dyDescent="0.3">
      <c r="U650563" s="25"/>
    </row>
    <row r="650585" spans="21:21" x14ac:dyDescent="0.3">
      <c r="U650585" s="25"/>
    </row>
    <row r="650607" spans="21:21" x14ac:dyDescent="0.3">
      <c r="U650607" s="25"/>
    </row>
    <row r="650629" spans="21:21" x14ac:dyDescent="0.3">
      <c r="U650629" s="25"/>
    </row>
    <row r="650651" spans="21:21" x14ac:dyDescent="0.3">
      <c r="U650651" s="25"/>
    </row>
    <row r="650673" spans="21:21" x14ac:dyDescent="0.3">
      <c r="U650673" s="25"/>
    </row>
    <row r="650695" spans="21:21" x14ac:dyDescent="0.3">
      <c r="U650695" s="25"/>
    </row>
    <row r="650717" spans="21:21" x14ac:dyDescent="0.3">
      <c r="U650717" s="25"/>
    </row>
    <row r="650739" spans="21:21" x14ac:dyDescent="0.3">
      <c r="U650739" s="25"/>
    </row>
    <row r="650761" spans="21:21" x14ac:dyDescent="0.3">
      <c r="U650761" s="25"/>
    </row>
    <row r="650783" spans="21:21" x14ac:dyDescent="0.3">
      <c r="U650783" s="25"/>
    </row>
    <row r="650805" spans="21:21" x14ac:dyDescent="0.3">
      <c r="U650805" s="25"/>
    </row>
    <row r="650827" spans="21:21" x14ac:dyDescent="0.3">
      <c r="U650827" s="25"/>
    </row>
    <row r="650849" spans="21:21" x14ac:dyDescent="0.3">
      <c r="U650849" s="25"/>
    </row>
    <row r="650871" spans="21:21" x14ac:dyDescent="0.3">
      <c r="U650871" s="25"/>
    </row>
    <row r="650893" spans="21:21" x14ac:dyDescent="0.3">
      <c r="U650893" s="25"/>
    </row>
    <row r="650915" spans="21:21" x14ac:dyDescent="0.3">
      <c r="U650915" s="25"/>
    </row>
    <row r="650937" spans="21:21" x14ac:dyDescent="0.3">
      <c r="U650937" s="25"/>
    </row>
    <row r="650959" spans="21:21" x14ac:dyDescent="0.3">
      <c r="U650959" s="25"/>
    </row>
    <row r="650981" spans="21:21" x14ac:dyDescent="0.3">
      <c r="U650981" s="25"/>
    </row>
    <row r="651003" spans="21:21" x14ac:dyDescent="0.3">
      <c r="U651003" s="25"/>
    </row>
    <row r="651025" spans="21:21" x14ac:dyDescent="0.3">
      <c r="U651025" s="25"/>
    </row>
    <row r="651047" spans="21:21" x14ac:dyDescent="0.3">
      <c r="U651047" s="25"/>
    </row>
    <row r="651069" spans="21:21" x14ac:dyDescent="0.3">
      <c r="U651069" s="25"/>
    </row>
    <row r="651091" spans="21:21" x14ac:dyDescent="0.3">
      <c r="U651091" s="25"/>
    </row>
    <row r="651113" spans="21:21" x14ac:dyDescent="0.3">
      <c r="U651113" s="25"/>
    </row>
    <row r="651135" spans="21:21" x14ac:dyDescent="0.3">
      <c r="U651135" s="25"/>
    </row>
    <row r="651157" spans="21:21" x14ac:dyDescent="0.3">
      <c r="U651157" s="25"/>
    </row>
    <row r="651179" spans="21:21" x14ac:dyDescent="0.3">
      <c r="U651179" s="25"/>
    </row>
    <row r="651201" spans="21:21" x14ac:dyDescent="0.3">
      <c r="U651201" s="25"/>
    </row>
    <row r="651223" spans="21:21" x14ac:dyDescent="0.3">
      <c r="U651223" s="25"/>
    </row>
    <row r="651245" spans="21:21" x14ac:dyDescent="0.3">
      <c r="U651245" s="25"/>
    </row>
    <row r="651267" spans="21:21" x14ac:dyDescent="0.3">
      <c r="U651267" s="25"/>
    </row>
    <row r="651289" spans="21:21" x14ac:dyDescent="0.3">
      <c r="U651289" s="25"/>
    </row>
    <row r="651311" spans="21:21" x14ac:dyDescent="0.3">
      <c r="U651311" s="25"/>
    </row>
    <row r="651333" spans="21:21" x14ac:dyDescent="0.3">
      <c r="U651333" s="25"/>
    </row>
    <row r="651355" spans="21:21" x14ac:dyDescent="0.3">
      <c r="U651355" s="25"/>
    </row>
    <row r="651377" spans="21:21" x14ac:dyDescent="0.3">
      <c r="U651377" s="25"/>
    </row>
    <row r="651399" spans="21:21" x14ac:dyDescent="0.3">
      <c r="U651399" s="25"/>
    </row>
    <row r="651421" spans="21:21" x14ac:dyDescent="0.3">
      <c r="U651421" s="25"/>
    </row>
    <row r="651443" spans="21:21" x14ac:dyDescent="0.3">
      <c r="U651443" s="25"/>
    </row>
    <row r="651465" spans="21:21" x14ac:dyDescent="0.3">
      <c r="U651465" s="25"/>
    </row>
    <row r="651487" spans="21:21" x14ac:dyDescent="0.3">
      <c r="U651487" s="25"/>
    </row>
    <row r="651509" spans="21:21" x14ac:dyDescent="0.3">
      <c r="U651509" s="25"/>
    </row>
    <row r="651531" spans="21:21" x14ac:dyDescent="0.3">
      <c r="U651531" s="25"/>
    </row>
    <row r="651553" spans="21:21" x14ac:dyDescent="0.3">
      <c r="U651553" s="25"/>
    </row>
    <row r="651575" spans="21:21" x14ac:dyDescent="0.3">
      <c r="U651575" s="25"/>
    </row>
    <row r="651597" spans="21:21" x14ac:dyDescent="0.3">
      <c r="U651597" s="25"/>
    </row>
    <row r="651619" spans="21:21" x14ac:dyDescent="0.3">
      <c r="U651619" s="25"/>
    </row>
    <row r="651641" spans="21:21" x14ac:dyDescent="0.3">
      <c r="U651641" s="25"/>
    </row>
    <row r="651663" spans="21:21" x14ac:dyDescent="0.3">
      <c r="U651663" s="25"/>
    </row>
    <row r="651685" spans="21:21" x14ac:dyDescent="0.3">
      <c r="U651685" s="25"/>
    </row>
    <row r="651707" spans="21:21" x14ac:dyDescent="0.3">
      <c r="U651707" s="25"/>
    </row>
    <row r="651729" spans="21:21" x14ac:dyDescent="0.3">
      <c r="U651729" s="25"/>
    </row>
    <row r="651751" spans="21:21" x14ac:dyDescent="0.3">
      <c r="U651751" s="25"/>
    </row>
    <row r="651773" spans="21:21" x14ac:dyDescent="0.3">
      <c r="U651773" s="25"/>
    </row>
    <row r="651795" spans="21:21" x14ac:dyDescent="0.3">
      <c r="U651795" s="25"/>
    </row>
    <row r="651817" spans="21:21" x14ac:dyDescent="0.3">
      <c r="U651817" s="25"/>
    </row>
    <row r="651839" spans="21:21" x14ac:dyDescent="0.3">
      <c r="U651839" s="25"/>
    </row>
    <row r="651861" spans="21:21" x14ac:dyDescent="0.3">
      <c r="U651861" s="25"/>
    </row>
    <row r="651883" spans="21:21" x14ac:dyDescent="0.3">
      <c r="U651883" s="25"/>
    </row>
    <row r="651905" spans="21:21" x14ac:dyDescent="0.3">
      <c r="U651905" s="25"/>
    </row>
    <row r="651927" spans="21:21" x14ac:dyDescent="0.3">
      <c r="U651927" s="25"/>
    </row>
    <row r="651949" spans="21:21" x14ac:dyDescent="0.3">
      <c r="U651949" s="25"/>
    </row>
    <row r="651971" spans="21:21" x14ac:dyDescent="0.3">
      <c r="U651971" s="25"/>
    </row>
    <row r="651993" spans="21:21" x14ac:dyDescent="0.3">
      <c r="U651993" s="25"/>
    </row>
    <row r="652015" spans="21:21" x14ac:dyDescent="0.3">
      <c r="U652015" s="25"/>
    </row>
    <row r="652037" spans="21:21" x14ac:dyDescent="0.3">
      <c r="U652037" s="25"/>
    </row>
    <row r="652059" spans="21:21" x14ac:dyDescent="0.3">
      <c r="U652059" s="25"/>
    </row>
    <row r="652081" spans="21:21" x14ac:dyDescent="0.3">
      <c r="U652081" s="25"/>
    </row>
    <row r="652103" spans="21:21" x14ac:dyDescent="0.3">
      <c r="U652103" s="25"/>
    </row>
    <row r="652125" spans="21:21" x14ac:dyDescent="0.3">
      <c r="U652125" s="25"/>
    </row>
    <row r="652147" spans="21:21" x14ac:dyDescent="0.3">
      <c r="U652147" s="25"/>
    </row>
    <row r="652169" spans="21:21" x14ac:dyDescent="0.3">
      <c r="U652169" s="25"/>
    </row>
    <row r="652191" spans="21:21" x14ac:dyDescent="0.3">
      <c r="U652191" s="25"/>
    </row>
    <row r="652213" spans="21:21" x14ac:dyDescent="0.3">
      <c r="U652213" s="25"/>
    </row>
    <row r="652235" spans="21:21" x14ac:dyDescent="0.3">
      <c r="U652235" s="25"/>
    </row>
    <row r="652257" spans="21:21" x14ac:dyDescent="0.3">
      <c r="U652257" s="25"/>
    </row>
    <row r="652279" spans="21:21" x14ac:dyDescent="0.3">
      <c r="U652279" s="25"/>
    </row>
    <row r="652301" spans="21:21" x14ac:dyDescent="0.3">
      <c r="U652301" s="25"/>
    </row>
    <row r="652323" spans="21:21" x14ac:dyDescent="0.3">
      <c r="U652323" s="25"/>
    </row>
    <row r="652345" spans="21:21" x14ac:dyDescent="0.3">
      <c r="U652345" s="25"/>
    </row>
    <row r="652367" spans="21:21" x14ac:dyDescent="0.3">
      <c r="U652367" s="25"/>
    </row>
    <row r="652389" spans="21:21" x14ac:dyDescent="0.3">
      <c r="U652389" s="25"/>
    </row>
    <row r="652411" spans="21:21" x14ac:dyDescent="0.3">
      <c r="U652411" s="25"/>
    </row>
    <row r="652433" spans="21:21" x14ac:dyDescent="0.3">
      <c r="U652433" s="25"/>
    </row>
    <row r="652455" spans="21:21" x14ac:dyDescent="0.3">
      <c r="U652455" s="25"/>
    </row>
    <row r="652477" spans="21:21" x14ac:dyDescent="0.3">
      <c r="U652477" s="25"/>
    </row>
    <row r="652499" spans="21:21" x14ac:dyDescent="0.3">
      <c r="U652499" s="25"/>
    </row>
    <row r="652521" spans="21:21" x14ac:dyDescent="0.3">
      <c r="U652521" s="25"/>
    </row>
    <row r="652543" spans="21:21" x14ac:dyDescent="0.3">
      <c r="U652543" s="25"/>
    </row>
    <row r="652565" spans="21:21" x14ac:dyDescent="0.3">
      <c r="U652565" s="25"/>
    </row>
    <row r="652587" spans="21:21" x14ac:dyDescent="0.3">
      <c r="U652587" s="25"/>
    </row>
    <row r="652609" spans="21:21" x14ac:dyDescent="0.3">
      <c r="U652609" s="25"/>
    </row>
    <row r="652631" spans="21:21" x14ac:dyDescent="0.3">
      <c r="U652631" s="25"/>
    </row>
    <row r="652653" spans="21:21" x14ac:dyDescent="0.3">
      <c r="U652653" s="25"/>
    </row>
    <row r="652675" spans="21:21" x14ac:dyDescent="0.3">
      <c r="U652675" s="25"/>
    </row>
    <row r="652697" spans="21:21" x14ac:dyDescent="0.3">
      <c r="U652697" s="25"/>
    </row>
    <row r="652719" spans="21:21" x14ac:dyDescent="0.3">
      <c r="U652719" s="25"/>
    </row>
    <row r="652741" spans="21:21" x14ac:dyDescent="0.3">
      <c r="U652741" s="25"/>
    </row>
    <row r="652763" spans="21:21" x14ac:dyDescent="0.3">
      <c r="U652763" s="25"/>
    </row>
    <row r="652785" spans="21:21" x14ac:dyDescent="0.3">
      <c r="U652785" s="25"/>
    </row>
    <row r="652807" spans="21:21" x14ac:dyDescent="0.3">
      <c r="U652807" s="25"/>
    </row>
    <row r="652829" spans="21:21" x14ac:dyDescent="0.3">
      <c r="U652829" s="25"/>
    </row>
    <row r="652851" spans="21:21" x14ac:dyDescent="0.3">
      <c r="U652851" s="25"/>
    </row>
    <row r="652873" spans="21:21" x14ac:dyDescent="0.3">
      <c r="U652873" s="25"/>
    </row>
    <row r="652895" spans="21:21" x14ac:dyDescent="0.3">
      <c r="U652895" s="25"/>
    </row>
    <row r="652917" spans="21:21" x14ac:dyDescent="0.3">
      <c r="U652917" s="25"/>
    </row>
    <row r="652939" spans="21:21" x14ac:dyDescent="0.3">
      <c r="U652939" s="25"/>
    </row>
    <row r="652961" spans="21:21" x14ac:dyDescent="0.3">
      <c r="U652961" s="25"/>
    </row>
    <row r="652983" spans="21:21" x14ac:dyDescent="0.3">
      <c r="U652983" s="25"/>
    </row>
    <row r="653005" spans="21:21" x14ac:dyDescent="0.3">
      <c r="U653005" s="25"/>
    </row>
    <row r="653027" spans="21:21" x14ac:dyDescent="0.3">
      <c r="U653027" s="25"/>
    </row>
    <row r="653049" spans="21:21" x14ac:dyDescent="0.3">
      <c r="U653049" s="25"/>
    </row>
    <row r="653071" spans="21:21" x14ac:dyDescent="0.3">
      <c r="U653071" s="25"/>
    </row>
    <row r="653093" spans="21:21" x14ac:dyDescent="0.3">
      <c r="U653093" s="25"/>
    </row>
    <row r="653115" spans="21:21" x14ac:dyDescent="0.3">
      <c r="U653115" s="25"/>
    </row>
    <row r="653137" spans="21:21" x14ac:dyDescent="0.3">
      <c r="U653137" s="25"/>
    </row>
    <row r="653159" spans="21:21" x14ac:dyDescent="0.3">
      <c r="U653159" s="25"/>
    </row>
    <row r="653181" spans="21:21" x14ac:dyDescent="0.3">
      <c r="U653181" s="25"/>
    </row>
    <row r="653203" spans="21:21" x14ac:dyDescent="0.3">
      <c r="U653203" s="25"/>
    </row>
    <row r="653225" spans="21:21" x14ac:dyDescent="0.3">
      <c r="U653225" s="25"/>
    </row>
    <row r="653247" spans="21:21" x14ac:dyDescent="0.3">
      <c r="U653247" s="25"/>
    </row>
    <row r="653269" spans="21:21" x14ac:dyDescent="0.3">
      <c r="U653269" s="25"/>
    </row>
    <row r="653291" spans="21:21" x14ac:dyDescent="0.3">
      <c r="U653291" s="25"/>
    </row>
    <row r="653313" spans="21:21" x14ac:dyDescent="0.3">
      <c r="U653313" s="25"/>
    </row>
    <row r="653335" spans="21:21" x14ac:dyDescent="0.3">
      <c r="U653335" s="25"/>
    </row>
    <row r="653357" spans="21:21" x14ac:dyDescent="0.3">
      <c r="U653357" s="25"/>
    </row>
    <row r="653379" spans="21:21" x14ac:dyDescent="0.3">
      <c r="U653379" s="25"/>
    </row>
    <row r="653401" spans="21:21" x14ac:dyDescent="0.3">
      <c r="U653401" s="25"/>
    </row>
    <row r="653423" spans="21:21" x14ac:dyDescent="0.3">
      <c r="U653423" s="25"/>
    </row>
    <row r="653445" spans="21:21" x14ac:dyDescent="0.3">
      <c r="U653445" s="25"/>
    </row>
    <row r="653467" spans="21:21" x14ac:dyDescent="0.3">
      <c r="U653467" s="25"/>
    </row>
    <row r="653489" spans="21:21" x14ac:dyDescent="0.3">
      <c r="U653489" s="25"/>
    </row>
    <row r="653511" spans="21:21" x14ac:dyDescent="0.3">
      <c r="U653511" s="25"/>
    </row>
    <row r="653533" spans="21:21" x14ac:dyDescent="0.3">
      <c r="U653533" s="25"/>
    </row>
    <row r="653555" spans="21:21" x14ac:dyDescent="0.3">
      <c r="U653555" s="25"/>
    </row>
    <row r="653577" spans="21:21" x14ac:dyDescent="0.3">
      <c r="U653577" s="25"/>
    </row>
    <row r="653599" spans="21:21" x14ac:dyDescent="0.3">
      <c r="U653599" s="25"/>
    </row>
    <row r="653621" spans="21:21" x14ac:dyDescent="0.3">
      <c r="U653621" s="25"/>
    </row>
    <row r="653643" spans="21:21" x14ac:dyDescent="0.3">
      <c r="U653643" s="25"/>
    </row>
    <row r="653665" spans="21:21" x14ac:dyDescent="0.3">
      <c r="U653665" s="25"/>
    </row>
    <row r="653687" spans="21:21" x14ac:dyDescent="0.3">
      <c r="U653687" s="25"/>
    </row>
    <row r="653709" spans="21:21" x14ac:dyDescent="0.3">
      <c r="U653709" s="25"/>
    </row>
    <row r="653731" spans="21:21" x14ac:dyDescent="0.3">
      <c r="U653731" s="25"/>
    </row>
    <row r="653753" spans="21:21" x14ac:dyDescent="0.3">
      <c r="U653753" s="25"/>
    </row>
    <row r="653775" spans="21:21" x14ac:dyDescent="0.3">
      <c r="U653775" s="25"/>
    </row>
    <row r="653797" spans="21:21" x14ac:dyDescent="0.3">
      <c r="U653797" s="25"/>
    </row>
    <row r="653819" spans="21:21" x14ac:dyDescent="0.3">
      <c r="U653819" s="25"/>
    </row>
    <row r="653841" spans="21:21" x14ac:dyDescent="0.3">
      <c r="U653841" s="25"/>
    </row>
    <row r="653863" spans="21:21" x14ac:dyDescent="0.3">
      <c r="U653863" s="25"/>
    </row>
    <row r="653885" spans="21:21" x14ac:dyDescent="0.3">
      <c r="U653885" s="25"/>
    </row>
    <row r="653907" spans="21:21" x14ac:dyDescent="0.3">
      <c r="U653907" s="25"/>
    </row>
    <row r="653929" spans="21:21" x14ac:dyDescent="0.3">
      <c r="U653929" s="25"/>
    </row>
    <row r="653951" spans="21:21" x14ac:dyDescent="0.3">
      <c r="U653951" s="25"/>
    </row>
    <row r="653973" spans="21:21" x14ac:dyDescent="0.3">
      <c r="U653973" s="25"/>
    </row>
    <row r="653995" spans="21:21" x14ac:dyDescent="0.3">
      <c r="U653995" s="25"/>
    </row>
    <row r="654017" spans="21:21" x14ac:dyDescent="0.3">
      <c r="U654017" s="25"/>
    </row>
    <row r="654039" spans="21:21" x14ac:dyDescent="0.3">
      <c r="U654039" s="25"/>
    </row>
    <row r="654061" spans="21:21" x14ac:dyDescent="0.3">
      <c r="U654061" s="25"/>
    </row>
    <row r="654083" spans="21:21" x14ac:dyDescent="0.3">
      <c r="U654083" s="25"/>
    </row>
    <row r="654105" spans="21:21" x14ac:dyDescent="0.3">
      <c r="U654105" s="25"/>
    </row>
    <row r="654127" spans="21:21" x14ac:dyDescent="0.3">
      <c r="U654127" s="25"/>
    </row>
    <row r="654149" spans="21:21" x14ac:dyDescent="0.3">
      <c r="U654149" s="25"/>
    </row>
    <row r="654171" spans="21:21" x14ac:dyDescent="0.3">
      <c r="U654171" s="25"/>
    </row>
    <row r="654193" spans="21:21" x14ac:dyDescent="0.3">
      <c r="U654193" s="25"/>
    </row>
    <row r="654215" spans="21:21" x14ac:dyDescent="0.3">
      <c r="U654215" s="25"/>
    </row>
    <row r="654237" spans="21:21" x14ac:dyDescent="0.3">
      <c r="U654237" s="25"/>
    </row>
    <row r="654259" spans="21:21" x14ac:dyDescent="0.3">
      <c r="U654259" s="25"/>
    </row>
    <row r="654281" spans="21:21" x14ac:dyDescent="0.3">
      <c r="U654281" s="25"/>
    </row>
    <row r="654303" spans="21:21" x14ac:dyDescent="0.3">
      <c r="U654303" s="25"/>
    </row>
    <row r="654325" spans="21:21" x14ac:dyDescent="0.3">
      <c r="U654325" s="25"/>
    </row>
    <row r="654347" spans="21:21" x14ac:dyDescent="0.3">
      <c r="U654347" s="25"/>
    </row>
    <row r="654369" spans="21:21" x14ac:dyDescent="0.3">
      <c r="U654369" s="25"/>
    </row>
    <row r="654391" spans="21:21" x14ac:dyDescent="0.3">
      <c r="U654391" s="25"/>
    </row>
    <row r="654413" spans="21:21" x14ac:dyDescent="0.3">
      <c r="U654413" s="25"/>
    </row>
    <row r="654435" spans="21:21" x14ac:dyDescent="0.3">
      <c r="U654435" s="25"/>
    </row>
    <row r="654457" spans="21:21" x14ac:dyDescent="0.3">
      <c r="U654457" s="25"/>
    </row>
    <row r="654479" spans="21:21" x14ac:dyDescent="0.3">
      <c r="U654479" s="25"/>
    </row>
    <row r="654501" spans="21:21" x14ac:dyDescent="0.3">
      <c r="U654501" s="25"/>
    </row>
    <row r="654523" spans="21:21" x14ac:dyDescent="0.3">
      <c r="U654523" s="25"/>
    </row>
    <row r="654545" spans="21:21" x14ac:dyDescent="0.3">
      <c r="U654545" s="25"/>
    </row>
    <row r="654567" spans="21:21" x14ac:dyDescent="0.3">
      <c r="U654567" s="25"/>
    </row>
    <row r="654589" spans="21:21" x14ac:dyDescent="0.3">
      <c r="U654589" s="25"/>
    </row>
    <row r="654611" spans="21:21" x14ac:dyDescent="0.3">
      <c r="U654611" s="25"/>
    </row>
    <row r="654633" spans="21:21" x14ac:dyDescent="0.3">
      <c r="U654633" s="25"/>
    </row>
    <row r="654655" spans="21:21" x14ac:dyDescent="0.3">
      <c r="U654655" s="25"/>
    </row>
    <row r="654677" spans="21:21" x14ac:dyDescent="0.3">
      <c r="U654677" s="25"/>
    </row>
    <row r="654699" spans="21:21" x14ac:dyDescent="0.3">
      <c r="U654699" s="25"/>
    </row>
    <row r="654721" spans="21:21" x14ac:dyDescent="0.3">
      <c r="U654721" s="25"/>
    </row>
    <row r="654743" spans="21:21" x14ac:dyDescent="0.3">
      <c r="U654743" s="25"/>
    </row>
    <row r="654765" spans="21:21" x14ac:dyDescent="0.3">
      <c r="U654765" s="25"/>
    </row>
    <row r="654787" spans="21:21" x14ac:dyDescent="0.3">
      <c r="U654787" s="25"/>
    </row>
    <row r="654809" spans="21:21" x14ac:dyDescent="0.3">
      <c r="U654809" s="25"/>
    </row>
    <row r="654831" spans="21:21" x14ac:dyDescent="0.3">
      <c r="U654831" s="25"/>
    </row>
    <row r="654853" spans="21:21" x14ac:dyDescent="0.3">
      <c r="U654853" s="25"/>
    </row>
    <row r="654875" spans="21:21" x14ac:dyDescent="0.3">
      <c r="U654875" s="25"/>
    </row>
    <row r="654897" spans="21:21" x14ac:dyDescent="0.3">
      <c r="U654897" s="25"/>
    </row>
    <row r="654919" spans="21:21" x14ac:dyDescent="0.3">
      <c r="U654919" s="25"/>
    </row>
    <row r="654941" spans="21:21" x14ac:dyDescent="0.3">
      <c r="U654941" s="25"/>
    </row>
    <row r="654963" spans="21:21" x14ac:dyDescent="0.3">
      <c r="U654963" s="25"/>
    </row>
    <row r="654985" spans="21:21" x14ac:dyDescent="0.3">
      <c r="U654985" s="25"/>
    </row>
    <row r="655007" spans="21:21" x14ac:dyDescent="0.3">
      <c r="U655007" s="25"/>
    </row>
    <row r="655029" spans="21:21" x14ac:dyDescent="0.3">
      <c r="U655029" s="25"/>
    </row>
    <row r="655051" spans="21:21" x14ac:dyDescent="0.3">
      <c r="U655051" s="25"/>
    </row>
    <row r="655073" spans="21:21" x14ac:dyDescent="0.3">
      <c r="U655073" s="25"/>
    </row>
    <row r="655095" spans="21:21" x14ac:dyDescent="0.3">
      <c r="U655095" s="25"/>
    </row>
    <row r="655117" spans="21:21" x14ac:dyDescent="0.3">
      <c r="U655117" s="25"/>
    </row>
    <row r="655139" spans="21:21" x14ac:dyDescent="0.3">
      <c r="U655139" s="25"/>
    </row>
    <row r="655161" spans="21:21" x14ac:dyDescent="0.3">
      <c r="U655161" s="25"/>
    </row>
    <row r="655183" spans="21:21" x14ac:dyDescent="0.3">
      <c r="U655183" s="25"/>
    </row>
    <row r="655205" spans="21:21" x14ac:dyDescent="0.3">
      <c r="U655205" s="25"/>
    </row>
    <row r="655227" spans="21:21" x14ac:dyDescent="0.3">
      <c r="U655227" s="25"/>
    </row>
    <row r="655249" spans="21:21" x14ac:dyDescent="0.3">
      <c r="U655249" s="25"/>
    </row>
    <row r="655271" spans="21:21" x14ac:dyDescent="0.3">
      <c r="U655271" s="25"/>
    </row>
    <row r="655293" spans="21:21" x14ac:dyDescent="0.3">
      <c r="U655293" s="25"/>
    </row>
    <row r="655315" spans="21:21" x14ac:dyDescent="0.3">
      <c r="U655315" s="25"/>
    </row>
    <row r="655337" spans="21:21" x14ac:dyDescent="0.3">
      <c r="U655337" s="25"/>
    </row>
    <row r="655359" spans="21:21" x14ac:dyDescent="0.3">
      <c r="U655359" s="25"/>
    </row>
    <row r="655381" spans="21:21" x14ac:dyDescent="0.3">
      <c r="U655381" s="25"/>
    </row>
    <row r="655403" spans="21:21" x14ac:dyDescent="0.3">
      <c r="U655403" s="25"/>
    </row>
    <row r="655425" spans="21:21" x14ac:dyDescent="0.3">
      <c r="U655425" s="25"/>
    </row>
    <row r="655447" spans="21:21" x14ac:dyDescent="0.3">
      <c r="U655447" s="25"/>
    </row>
    <row r="655469" spans="21:21" x14ac:dyDescent="0.3">
      <c r="U655469" s="25"/>
    </row>
    <row r="655491" spans="21:21" x14ac:dyDescent="0.3">
      <c r="U655491" s="25"/>
    </row>
    <row r="655513" spans="21:21" x14ac:dyDescent="0.3">
      <c r="U655513" s="25"/>
    </row>
    <row r="655535" spans="21:21" x14ac:dyDescent="0.3">
      <c r="U655535" s="25"/>
    </row>
    <row r="655557" spans="21:21" x14ac:dyDescent="0.3">
      <c r="U655557" s="25"/>
    </row>
    <row r="655579" spans="21:21" x14ac:dyDescent="0.3">
      <c r="U655579" s="25"/>
    </row>
    <row r="655601" spans="21:21" x14ac:dyDescent="0.3">
      <c r="U655601" s="25"/>
    </row>
    <row r="655623" spans="21:21" x14ac:dyDescent="0.3">
      <c r="U655623" s="25"/>
    </row>
    <row r="655645" spans="21:21" x14ac:dyDescent="0.3">
      <c r="U655645" s="25"/>
    </row>
    <row r="655667" spans="21:21" x14ac:dyDescent="0.3">
      <c r="U655667" s="25"/>
    </row>
    <row r="655689" spans="21:21" x14ac:dyDescent="0.3">
      <c r="U655689" s="25"/>
    </row>
    <row r="655711" spans="21:21" x14ac:dyDescent="0.3">
      <c r="U655711" s="25"/>
    </row>
    <row r="655733" spans="21:21" x14ac:dyDescent="0.3">
      <c r="U655733" s="25"/>
    </row>
    <row r="655755" spans="21:21" x14ac:dyDescent="0.3">
      <c r="U655755" s="25"/>
    </row>
    <row r="655777" spans="21:21" x14ac:dyDescent="0.3">
      <c r="U655777" s="25"/>
    </row>
    <row r="655799" spans="21:21" x14ac:dyDescent="0.3">
      <c r="U655799" s="25"/>
    </row>
    <row r="655821" spans="21:21" x14ac:dyDescent="0.3">
      <c r="U655821" s="25"/>
    </row>
    <row r="655843" spans="21:21" x14ac:dyDescent="0.3">
      <c r="U655843" s="25"/>
    </row>
    <row r="655865" spans="21:21" x14ac:dyDescent="0.3">
      <c r="U655865" s="25"/>
    </row>
    <row r="655887" spans="21:21" x14ac:dyDescent="0.3">
      <c r="U655887" s="25"/>
    </row>
    <row r="655909" spans="21:21" x14ac:dyDescent="0.3">
      <c r="U655909" s="25"/>
    </row>
    <row r="655931" spans="21:21" x14ac:dyDescent="0.3">
      <c r="U655931" s="25"/>
    </row>
    <row r="655953" spans="21:21" x14ac:dyDescent="0.3">
      <c r="U655953" s="25"/>
    </row>
    <row r="655975" spans="21:21" x14ac:dyDescent="0.3">
      <c r="U655975" s="25"/>
    </row>
    <row r="655997" spans="21:21" x14ac:dyDescent="0.3">
      <c r="U655997" s="25"/>
    </row>
    <row r="656019" spans="21:21" x14ac:dyDescent="0.3">
      <c r="U656019" s="25"/>
    </row>
    <row r="656041" spans="21:21" x14ac:dyDescent="0.3">
      <c r="U656041" s="25"/>
    </row>
    <row r="656063" spans="21:21" x14ac:dyDescent="0.3">
      <c r="U656063" s="25"/>
    </row>
    <row r="656085" spans="21:21" x14ac:dyDescent="0.3">
      <c r="U656085" s="25"/>
    </row>
    <row r="656107" spans="21:21" x14ac:dyDescent="0.3">
      <c r="U656107" s="25"/>
    </row>
    <row r="656129" spans="21:21" x14ac:dyDescent="0.3">
      <c r="U656129" s="25"/>
    </row>
    <row r="656151" spans="21:21" x14ac:dyDescent="0.3">
      <c r="U656151" s="25"/>
    </row>
    <row r="656173" spans="21:21" x14ac:dyDescent="0.3">
      <c r="U656173" s="25"/>
    </row>
    <row r="656195" spans="21:21" x14ac:dyDescent="0.3">
      <c r="U656195" s="25"/>
    </row>
    <row r="656217" spans="21:21" x14ac:dyDescent="0.3">
      <c r="U656217" s="25"/>
    </row>
    <row r="656239" spans="21:21" x14ac:dyDescent="0.3">
      <c r="U656239" s="25"/>
    </row>
    <row r="656261" spans="21:21" x14ac:dyDescent="0.3">
      <c r="U656261" s="25"/>
    </row>
    <row r="656283" spans="21:21" x14ac:dyDescent="0.3">
      <c r="U656283" s="25"/>
    </row>
    <row r="656305" spans="21:21" x14ac:dyDescent="0.3">
      <c r="U656305" s="25"/>
    </row>
    <row r="656327" spans="21:21" x14ac:dyDescent="0.3">
      <c r="U656327" s="25"/>
    </row>
    <row r="656349" spans="21:21" x14ac:dyDescent="0.3">
      <c r="U656349" s="25"/>
    </row>
    <row r="656371" spans="21:21" x14ac:dyDescent="0.3">
      <c r="U656371" s="25"/>
    </row>
    <row r="656393" spans="21:21" x14ac:dyDescent="0.3">
      <c r="U656393" s="25"/>
    </row>
    <row r="656415" spans="21:21" x14ac:dyDescent="0.3">
      <c r="U656415" s="25"/>
    </row>
    <row r="656437" spans="21:21" x14ac:dyDescent="0.3">
      <c r="U656437" s="25"/>
    </row>
    <row r="656459" spans="21:21" x14ac:dyDescent="0.3">
      <c r="U656459" s="25"/>
    </row>
    <row r="656481" spans="21:21" x14ac:dyDescent="0.3">
      <c r="U656481" s="25"/>
    </row>
    <row r="656503" spans="21:21" x14ac:dyDescent="0.3">
      <c r="U656503" s="25"/>
    </row>
    <row r="656525" spans="21:21" x14ac:dyDescent="0.3">
      <c r="U656525" s="25"/>
    </row>
    <row r="656547" spans="21:21" x14ac:dyDescent="0.3">
      <c r="U656547" s="25"/>
    </row>
    <row r="656569" spans="21:21" x14ac:dyDescent="0.3">
      <c r="U656569" s="25"/>
    </row>
    <row r="656591" spans="21:21" x14ac:dyDescent="0.3">
      <c r="U656591" s="25"/>
    </row>
    <row r="656613" spans="21:21" x14ac:dyDescent="0.3">
      <c r="U656613" s="25"/>
    </row>
    <row r="656635" spans="21:21" x14ac:dyDescent="0.3">
      <c r="U656635" s="25"/>
    </row>
    <row r="656657" spans="21:21" x14ac:dyDescent="0.3">
      <c r="U656657" s="25"/>
    </row>
    <row r="656679" spans="21:21" x14ac:dyDescent="0.3">
      <c r="U656679" s="25"/>
    </row>
    <row r="656701" spans="21:21" x14ac:dyDescent="0.3">
      <c r="U656701" s="25"/>
    </row>
    <row r="656723" spans="21:21" x14ac:dyDescent="0.3">
      <c r="U656723" s="25"/>
    </row>
    <row r="656745" spans="21:21" x14ac:dyDescent="0.3">
      <c r="U656745" s="25"/>
    </row>
    <row r="656767" spans="21:21" x14ac:dyDescent="0.3">
      <c r="U656767" s="25"/>
    </row>
    <row r="656789" spans="21:21" x14ac:dyDescent="0.3">
      <c r="U656789" s="25"/>
    </row>
    <row r="656811" spans="21:21" x14ac:dyDescent="0.3">
      <c r="U656811" s="25"/>
    </row>
    <row r="656833" spans="21:21" x14ac:dyDescent="0.3">
      <c r="U656833" s="25"/>
    </row>
    <row r="656855" spans="21:21" x14ac:dyDescent="0.3">
      <c r="U656855" s="25"/>
    </row>
    <row r="656877" spans="21:21" x14ac:dyDescent="0.3">
      <c r="U656877" s="25"/>
    </row>
    <row r="656899" spans="21:21" x14ac:dyDescent="0.3">
      <c r="U656899" s="25"/>
    </row>
    <row r="656921" spans="21:21" x14ac:dyDescent="0.3">
      <c r="U656921" s="25"/>
    </row>
    <row r="656943" spans="21:21" x14ac:dyDescent="0.3">
      <c r="U656943" s="25"/>
    </row>
    <row r="656965" spans="21:21" x14ac:dyDescent="0.3">
      <c r="U656965" s="25"/>
    </row>
    <row r="656987" spans="21:21" x14ac:dyDescent="0.3">
      <c r="U656987" s="25"/>
    </row>
    <row r="657009" spans="21:21" x14ac:dyDescent="0.3">
      <c r="U657009" s="25"/>
    </row>
    <row r="657031" spans="21:21" x14ac:dyDescent="0.3">
      <c r="U657031" s="25"/>
    </row>
    <row r="657053" spans="21:21" x14ac:dyDescent="0.3">
      <c r="U657053" s="25"/>
    </row>
    <row r="657075" spans="21:21" x14ac:dyDescent="0.3">
      <c r="U657075" s="25"/>
    </row>
    <row r="657097" spans="21:21" x14ac:dyDescent="0.3">
      <c r="U657097" s="25"/>
    </row>
    <row r="657119" spans="21:21" x14ac:dyDescent="0.3">
      <c r="U657119" s="25"/>
    </row>
    <row r="657141" spans="21:21" x14ac:dyDescent="0.3">
      <c r="U657141" s="25"/>
    </row>
    <row r="657163" spans="21:21" x14ac:dyDescent="0.3">
      <c r="U657163" s="25"/>
    </row>
    <row r="657185" spans="21:21" x14ac:dyDescent="0.3">
      <c r="U657185" s="25"/>
    </row>
    <row r="657207" spans="21:21" x14ac:dyDescent="0.3">
      <c r="U657207" s="25"/>
    </row>
    <row r="657229" spans="21:21" x14ac:dyDescent="0.3">
      <c r="U657229" s="25"/>
    </row>
    <row r="657251" spans="21:21" x14ac:dyDescent="0.3">
      <c r="U657251" s="25"/>
    </row>
    <row r="657273" spans="21:21" x14ac:dyDescent="0.3">
      <c r="U657273" s="25"/>
    </row>
    <row r="657295" spans="21:21" x14ac:dyDescent="0.3">
      <c r="U657295" s="25"/>
    </row>
    <row r="657317" spans="21:21" x14ac:dyDescent="0.3">
      <c r="U657317" s="25"/>
    </row>
    <row r="657339" spans="21:21" x14ac:dyDescent="0.3">
      <c r="U657339" s="25"/>
    </row>
    <row r="657361" spans="21:21" x14ac:dyDescent="0.3">
      <c r="U657361" s="25"/>
    </row>
    <row r="657383" spans="21:21" x14ac:dyDescent="0.3">
      <c r="U657383" s="25"/>
    </row>
    <row r="657405" spans="21:21" x14ac:dyDescent="0.3">
      <c r="U657405" s="25"/>
    </row>
    <row r="657427" spans="21:21" x14ac:dyDescent="0.3">
      <c r="U657427" s="25"/>
    </row>
    <row r="657449" spans="21:21" x14ac:dyDescent="0.3">
      <c r="U657449" s="25"/>
    </row>
    <row r="657471" spans="21:21" x14ac:dyDescent="0.3">
      <c r="U657471" s="25"/>
    </row>
    <row r="657493" spans="21:21" x14ac:dyDescent="0.3">
      <c r="U657493" s="25"/>
    </row>
    <row r="657515" spans="21:21" x14ac:dyDescent="0.3">
      <c r="U657515" s="25"/>
    </row>
    <row r="657537" spans="21:21" x14ac:dyDescent="0.3">
      <c r="U657537" s="25"/>
    </row>
    <row r="657559" spans="21:21" x14ac:dyDescent="0.3">
      <c r="U657559" s="25"/>
    </row>
    <row r="657581" spans="21:21" x14ac:dyDescent="0.3">
      <c r="U657581" s="25"/>
    </row>
    <row r="657603" spans="21:21" x14ac:dyDescent="0.3">
      <c r="U657603" s="25"/>
    </row>
    <row r="657625" spans="21:21" x14ac:dyDescent="0.3">
      <c r="U657625" s="25"/>
    </row>
    <row r="657647" spans="21:21" x14ac:dyDescent="0.3">
      <c r="U657647" s="25"/>
    </row>
    <row r="657669" spans="21:21" x14ac:dyDescent="0.3">
      <c r="U657669" s="25"/>
    </row>
    <row r="657691" spans="21:21" x14ac:dyDescent="0.3">
      <c r="U657691" s="25"/>
    </row>
    <row r="657713" spans="21:21" x14ac:dyDescent="0.3">
      <c r="U657713" s="25"/>
    </row>
    <row r="657735" spans="21:21" x14ac:dyDescent="0.3">
      <c r="U657735" s="25"/>
    </row>
    <row r="657757" spans="21:21" x14ac:dyDescent="0.3">
      <c r="U657757" s="25"/>
    </row>
    <row r="657779" spans="21:21" x14ac:dyDescent="0.3">
      <c r="U657779" s="25"/>
    </row>
    <row r="657801" spans="21:21" x14ac:dyDescent="0.3">
      <c r="U657801" s="25"/>
    </row>
    <row r="657823" spans="21:21" x14ac:dyDescent="0.3">
      <c r="U657823" s="25"/>
    </row>
    <row r="657845" spans="21:21" x14ac:dyDescent="0.3">
      <c r="U657845" s="25"/>
    </row>
    <row r="657867" spans="21:21" x14ac:dyDescent="0.3">
      <c r="U657867" s="25"/>
    </row>
    <row r="657889" spans="21:21" x14ac:dyDescent="0.3">
      <c r="U657889" s="25"/>
    </row>
    <row r="657911" spans="21:21" x14ac:dyDescent="0.3">
      <c r="U657911" s="25"/>
    </row>
    <row r="657933" spans="21:21" x14ac:dyDescent="0.3">
      <c r="U657933" s="25"/>
    </row>
    <row r="657955" spans="21:21" x14ac:dyDescent="0.3">
      <c r="U657955" s="25"/>
    </row>
    <row r="657977" spans="21:21" x14ac:dyDescent="0.3">
      <c r="U657977" s="25"/>
    </row>
    <row r="657999" spans="21:21" x14ac:dyDescent="0.3">
      <c r="U657999" s="25"/>
    </row>
    <row r="658021" spans="21:21" x14ac:dyDescent="0.3">
      <c r="U658021" s="25"/>
    </row>
    <row r="658043" spans="21:21" x14ac:dyDescent="0.3">
      <c r="U658043" s="25"/>
    </row>
    <row r="658065" spans="21:21" x14ac:dyDescent="0.3">
      <c r="U658065" s="25"/>
    </row>
    <row r="658087" spans="21:21" x14ac:dyDescent="0.3">
      <c r="U658087" s="25"/>
    </row>
    <row r="658109" spans="21:21" x14ac:dyDescent="0.3">
      <c r="U658109" s="25"/>
    </row>
    <row r="658131" spans="21:21" x14ac:dyDescent="0.3">
      <c r="U658131" s="25"/>
    </row>
    <row r="658153" spans="21:21" x14ac:dyDescent="0.3">
      <c r="U658153" s="25"/>
    </row>
    <row r="658175" spans="21:21" x14ac:dyDescent="0.3">
      <c r="U658175" s="25"/>
    </row>
    <row r="658197" spans="21:21" x14ac:dyDescent="0.3">
      <c r="U658197" s="25"/>
    </row>
    <row r="658219" spans="21:21" x14ac:dyDescent="0.3">
      <c r="U658219" s="25"/>
    </row>
    <row r="658241" spans="21:21" x14ac:dyDescent="0.3">
      <c r="U658241" s="25"/>
    </row>
    <row r="658263" spans="21:21" x14ac:dyDescent="0.3">
      <c r="U658263" s="25"/>
    </row>
    <row r="658285" spans="21:21" x14ac:dyDescent="0.3">
      <c r="U658285" s="25"/>
    </row>
    <row r="658307" spans="21:21" x14ac:dyDescent="0.3">
      <c r="U658307" s="25"/>
    </row>
    <row r="658329" spans="21:21" x14ac:dyDescent="0.3">
      <c r="U658329" s="25"/>
    </row>
    <row r="658351" spans="21:21" x14ac:dyDescent="0.3">
      <c r="U658351" s="25"/>
    </row>
    <row r="658373" spans="21:21" x14ac:dyDescent="0.3">
      <c r="U658373" s="25"/>
    </row>
    <row r="658395" spans="21:21" x14ac:dyDescent="0.3">
      <c r="U658395" s="25"/>
    </row>
    <row r="658417" spans="21:21" x14ac:dyDescent="0.3">
      <c r="U658417" s="25"/>
    </row>
    <row r="658439" spans="21:21" x14ac:dyDescent="0.3">
      <c r="U658439" s="25"/>
    </row>
    <row r="658461" spans="21:21" x14ac:dyDescent="0.3">
      <c r="U658461" s="25"/>
    </row>
    <row r="658483" spans="21:21" x14ac:dyDescent="0.3">
      <c r="U658483" s="25"/>
    </row>
    <row r="658505" spans="21:21" x14ac:dyDescent="0.3">
      <c r="U658505" s="25"/>
    </row>
    <row r="658527" spans="21:21" x14ac:dyDescent="0.3">
      <c r="U658527" s="25"/>
    </row>
    <row r="658549" spans="21:21" x14ac:dyDescent="0.3">
      <c r="U658549" s="25"/>
    </row>
    <row r="658571" spans="21:21" x14ac:dyDescent="0.3">
      <c r="U658571" s="25"/>
    </row>
    <row r="658593" spans="21:21" x14ac:dyDescent="0.3">
      <c r="U658593" s="25"/>
    </row>
    <row r="658615" spans="21:21" x14ac:dyDescent="0.3">
      <c r="U658615" s="25"/>
    </row>
    <row r="658637" spans="21:21" x14ac:dyDescent="0.3">
      <c r="U658637" s="25"/>
    </row>
    <row r="658659" spans="21:21" x14ac:dyDescent="0.3">
      <c r="U658659" s="25"/>
    </row>
    <row r="658681" spans="21:21" x14ac:dyDescent="0.3">
      <c r="U658681" s="25"/>
    </row>
    <row r="658703" spans="21:21" x14ac:dyDescent="0.3">
      <c r="U658703" s="25"/>
    </row>
    <row r="658725" spans="21:21" x14ac:dyDescent="0.3">
      <c r="U658725" s="25"/>
    </row>
    <row r="658747" spans="21:21" x14ac:dyDescent="0.3">
      <c r="U658747" s="25"/>
    </row>
    <row r="658769" spans="21:21" x14ac:dyDescent="0.3">
      <c r="U658769" s="25"/>
    </row>
    <row r="658791" spans="21:21" x14ac:dyDescent="0.3">
      <c r="U658791" s="25"/>
    </row>
    <row r="658813" spans="21:21" x14ac:dyDescent="0.3">
      <c r="U658813" s="25"/>
    </row>
    <row r="658835" spans="21:21" x14ac:dyDescent="0.3">
      <c r="U658835" s="25"/>
    </row>
    <row r="658857" spans="21:21" x14ac:dyDescent="0.3">
      <c r="U658857" s="25"/>
    </row>
    <row r="658879" spans="21:21" x14ac:dyDescent="0.3">
      <c r="U658879" s="25"/>
    </row>
    <row r="658901" spans="21:21" x14ac:dyDescent="0.3">
      <c r="U658901" s="25"/>
    </row>
    <row r="658923" spans="21:21" x14ac:dyDescent="0.3">
      <c r="U658923" s="25"/>
    </row>
    <row r="658945" spans="21:21" x14ac:dyDescent="0.3">
      <c r="U658945" s="25"/>
    </row>
    <row r="658967" spans="21:21" x14ac:dyDescent="0.3">
      <c r="U658967" s="25"/>
    </row>
    <row r="658989" spans="21:21" x14ac:dyDescent="0.3">
      <c r="U658989" s="25"/>
    </row>
    <row r="659011" spans="21:21" x14ac:dyDescent="0.3">
      <c r="U659011" s="25"/>
    </row>
    <row r="659033" spans="21:21" x14ac:dyDescent="0.3">
      <c r="U659033" s="25"/>
    </row>
    <row r="659055" spans="21:21" x14ac:dyDescent="0.3">
      <c r="U659055" s="25"/>
    </row>
    <row r="659077" spans="21:21" x14ac:dyDescent="0.3">
      <c r="U659077" s="25"/>
    </row>
    <row r="659099" spans="21:21" x14ac:dyDescent="0.3">
      <c r="U659099" s="25"/>
    </row>
    <row r="659121" spans="21:21" x14ac:dyDescent="0.3">
      <c r="U659121" s="25"/>
    </row>
    <row r="659143" spans="21:21" x14ac:dyDescent="0.3">
      <c r="U659143" s="25"/>
    </row>
    <row r="659165" spans="21:21" x14ac:dyDescent="0.3">
      <c r="U659165" s="25"/>
    </row>
    <row r="659187" spans="21:21" x14ac:dyDescent="0.3">
      <c r="U659187" s="25"/>
    </row>
    <row r="659209" spans="21:21" x14ac:dyDescent="0.3">
      <c r="U659209" s="25"/>
    </row>
    <row r="659231" spans="21:21" x14ac:dyDescent="0.3">
      <c r="U659231" s="25"/>
    </row>
    <row r="659253" spans="21:21" x14ac:dyDescent="0.3">
      <c r="U659253" s="25"/>
    </row>
    <row r="659275" spans="21:21" x14ac:dyDescent="0.3">
      <c r="U659275" s="25"/>
    </row>
    <row r="659297" spans="21:21" x14ac:dyDescent="0.3">
      <c r="U659297" s="25"/>
    </row>
    <row r="659319" spans="21:21" x14ac:dyDescent="0.3">
      <c r="U659319" s="25"/>
    </row>
    <row r="659341" spans="21:21" x14ac:dyDescent="0.3">
      <c r="U659341" s="25"/>
    </row>
    <row r="659363" spans="21:21" x14ac:dyDescent="0.3">
      <c r="U659363" s="25"/>
    </row>
    <row r="659385" spans="21:21" x14ac:dyDescent="0.3">
      <c r="U659385" s="25"/>
    </row>
    <row r="659407" spans="21:21" x14ac:dyDescent="0.3">
      <c r="U659407" s="25"/>
    </row>
    <row r="659429" spans="21:21" x14ac:dyDescent="0.3">
      <c r="U659429" s="25"/>
    </row>
    <row r="659451" spans="21:21" x14ac:dyDescent="0.3">
      <c r="U659451" s="25"/>
    </row>
    <row r="659473" spans="21:21" x14ac:dyDescent="0.3">
      <c r="U659473" s="25"/>
    </row>
    <row r="659495" spans="21:21" x14ac:dyDescent="0.3">
      <c r="U659495" s="25"/>
    </row>
    <row r="659517" spans="21:21" x14ac:dyDescent="0.3">
      <c r="U659517" s="25"/>
    </row>
    <row r="659539" spans="21:21" x14ac:dyDescent="0.3">
      <c r="U659539" s="25"/>
    </row>
    <row r="659561" spans="21:21" x14ac:dyDescent="0.3">
      <c r="U659561" s="25"/>
    </row>
    <row r="659583" spans="21:21" x14ac:dyDescent="0.3">
      <c r="U659583" s="25"/>
    </row>
    <row r="659605" spans="21:21" x14ac:dyDescent="0.3">
      <c r="U659605" s="25"/>
    </row>
    <row r="659627" spans="21:21" x14ac:dyDescent="0.3">
      <c r="U659627" s="25"/>
    </row>
    <row r="659649" spans="21:21" x14ac:dyDescent="0.3">
      <c r="U659649" s="25"/>
    </row>
    <row r="659671" spans="21:21" x14ac:dyDescent="0.3">
      <c r="U659671" s="25"/>
    </row>
    <row r="659693" spans="21:21" x14ac:dyDescent="0.3">
      <c r="U659693" s="25"/>
    </row>
    <row r="659715" spans="21:21" x14ac:dyDescent="0.3">
      <c r="U659715" s="25"/>
    </row>
    <row r="659737" spans="21:21" x14ac:dyDescent="0.3">
      <c r="U659737" s="25"/>
    </row>
    <row r="659759" spans="21:21" x14ac:dyDescent="0.3">
      <c r="U659759" s="25"/>
    </row>
    <row r="659781" spans="21:21" x14ac:dyDescent="0.3">
      <c r="U659781" s="25"/>
    </row>
    <row r="659803" spans="21:21" x14ac:dyDescent="0.3">
      <c r="U659803" s="25"/>
    </row>
    <row r="659825" spans="21:21" x14ac:dyDescent="0.3">
      <c r="U659825" s="25"/>
    </row>
    <row r="659847" spans="21:21" x14ac:dyDescent="0.3">
      <c r="U659847" s="25"/>
    </row>
    <row r="659869" spans="21:21" x14ac:dyDescent="0.3">
      <c r="U659869" s="25"/>
    </row>
    <row r="659891" spans="21:21" x14ac:dyDescent="0.3">
      <c r="U659891" s="25"/>
    </row>
    <row r="659913" spans="21:21" x14ac:dyDescent="0.3">
      <c r="U659913" s="25"/>
    </row>
    <row r="659935" spans="21:21" x14ac:dyDescent="0.3">
      <c r="U659935" s="25"/>
    </row>
    <row r="659957" spans="21:21" x14ac:dyDescent="0.3">
      <c r="U659957" s="25"/>
    </row>
    <row r="659979" spans="21:21" x14ac:dyDescent="0.3">
      <c r="U659979" s="25"/>
    </row>
    <row r="660001" spans="21:21" x14ac:dyDescent="0.3">
      <c r="U660001" s="25"/>
    </row>
    <row r="660023" spans="21:21" x14ac:dyDescent="0.3">
      <c r="U660023" s="25"/>
    </row>
    <row r="660045" spans="21:21" x14ac:dyDescent="0.3">
      <c r="U660045" s="25"/>
    </row>
    <row r="660067" spans="21:21" x14ac:dyDescent="0.3">
      <c r="U660067" s="25"/>
    </row>
    <row r="660089" spans="21:21" x14ac:dyDescent="0.3">
      <c r="U660089" s="25"/>
    </row>
    <row r="660111" spans="21:21" x14ac:dyDescent="0.3">
      <c r="U660111" s="25"/>
    </row>
    <row r="660133" spans="21:21" x14ac:dyDescent="0.3">
      <c r="U660133" s="25"/>
    </row>
    <row r="660155" spans="21:21" x14ac:dyDescent="0.3">
      <c r="U660155" s="25"/>
    </row>
    <row r="660177" spans="21:21" x14ac:dyDescent="0.3">
      <c r="U660177" s="25"/>
    </row>
    <row r="660199" spans="21:21" x14ac:dyDescent="0.3">
      <c r="U660199" s="25"/>
    </row>
    <row r="660221" spans="21:21" x14ac:dyDescent="0.3">
      <c r="U660221" s="25"/>
    </row>
    <row r="660243" spans="21:21" x14ac:dyDescent="0.3">
      <c r="U660243" s="25"/>
    </row>
    <row r="660265" spans="21:21" x14ac:dyDescent="0.3">
      <c r="U660265" s="25"/>
    </row>
    <row r="660287" spans="21:21" x14ac:dyDescent="0.3">
      <c r="U660287" s="25"/>
    </row>
    <row r="660309" spans="21:21" x14ac:dyDescent="0.3">
      <c r="U660309" s="25"/>
    </row>
    <row r="660331" spans="21:21" x14ac:dyDescent="0.3">
      <c r="U660331" s="25"/>
    </row>
    <row r="660353" spans="21:21" x14ac:dyDescent="0.3">
      <c r="U660353" s="25"/>
    </row>
    <row r="660375" spans="21:21" x14ac:dyDescent="0.3">
      <c r="U660375" s="25"/>
    </row>
    <row r="660397" spans="21:21" x14ac:dyDescent="0.3">
      <c r="U660397" s="25"/>
    </row>
    <row r="660419" spans="21:21" x14ac:dyDescent="0.3">
      <c r="U660419" s="25"/>
    </row>
    <row r="660441" spans="21:21" x14ac:dyDescent="0.3">
      <c r="U660441" s="25"/>
    </row>
    <row r="660463" spans="21:21" x14ac:dyDescent="0.3">
      <c r="U660463" s="25"/>
    </row>
    <row r="660485" spans="21:21" x14ac:dyDescent="0.3">
      <c r="U660485" s="25"/>
    </row>
    <row r="660507" spans="21:21" x14ac:dyDescent="0.3">
      <c r="U660507" s="25"/>
    </row>
    <row r="660529" spans="21:21" x14ac:dyDescent="0.3">
      <c r="U660529" s="25"/>
    </row>
    <row r="660551" spans="21:21" x14ac:dyDescent="0.3">
      <c r="U660551" s="25"/>
    </row>
    <row r="660573" spans="21:21" x14ac:dyDescent="0.3">
      <c r="U660573" s="25"/>
    </row>
    <row r="660595" spans="21:21" x14ac:dyDescent="0.3">
      <c r="U660595" s="25"/>
    </row>
    <row r="660617" spans="21:21" x14ac:dyDescent="0.3">
      <c r="U660617" s="25"/>
    </row>
    <row r="660639" spans="21:21" x14ac:dyDescent="0.3">
      <c r="U660639" s="25"/>
    </row>
    <row r="660661" spans="21:21" x14ac:dyDescent="0.3">
      <c r="U660661" s="25"/>
    </row>
    <row r="660683" spans="21:21" x14ac:dyDescent="0.3">
      <c r="U660683" s="25"/>
    </row>
    <row r="660705" spans="21:21" x14ac:dyDescent="0.3">
      <c r="U660705" s="25"/>
    </row>
    <row r="660727" spans="21:21" x14ac:dyDescent="0.3">
      <c r="U660727" s="25"/>
    </row>
    <row r="660749" spans="21:21" x14ac:dyDescent="0.3">
      <c r="U660749" s="25"/>
    </row>
    <row r="660771" spans="21:21" x14ac:dyDescent="0.3">
      <c r="U660771" s="25"/>
    </row>
    <row r="660793" spans="21:21" x14ac:dyDescent="0.3">
      <c r="U660793" s="25"/>
    </row>
    <row r="660815" spans="21:21" x14ac:dyDescent="0.3">
      <c r="U660815" s="25"/>
    </row>
    <row r="660837" spans="21:21" x14ac:dyDescent="0.3">
      <c r="U660837" s="25"/>
    </row>
    <row r="660859" spans="21:21" x14ac:dyDescent="0.3">
      <c r="U660859" s="25"/>
    </row>
    <row r="660881" spans="21:21" x14ac:dyDescent="0.3">
      <c r="U660881" s="25"/>
    </row>
    <row r="660903" spans="21:21" x14ac:dyDescent="0.3">
      <c r="U660903" s="25"/>
    </row>
    <row r="660925" spans="21:21" x14ac:dyDescent="0.3">
      <c r="U660925" s="25"/>
    </row>
    <row r="660947" spans="21:21" x14ac:dyDescent="0.3">
      <c r="U660947" s="25"/>
    </row>
    <row r="660969" spans="21:21" x14ac:dyDescent="0.3">
      <c r="U660969" s="25"/>
    </row>
    <row r="660991" spans="21:21" x14ac:dyDescent="0.3">
      <c r="U660991" s="25"/>
    </row>
    <row r="661013" spans="21:21" x14ac:dyDescent="0.3">
      <c r="U661013" s="25"/>
    </row>
    <row r="661035" spans="21:21" x14ac:dyDescent="0.3">
      <c r="U661035" s="25"/>
    </row>
    <row r="661057" spans="21:21" x14ac:dyDescent="0.3">
      <c r="U661057" s="25"/>
    </row>
    <row r="661079" spans="21:21" x14ac:dyDescent="0.3">
      <c r="U661079" s="25"/>
    </row>
    <row r="661101" spans="21:21" x14ac:dyDescent="0.3">
      <c r="U661101" s="25"/>
    </row>
    <row r="661123" spans="21:21" x14ac:dyDescent="0.3">
      <c r="U661123" s="25"/>
    </row>
    <row r="661145" spans="21:21" x14ac:dyDescent="0.3">
      <c r="U661145" s="25"/>
    </row>
    <row r="661167" spans="21:21" x14ac:dyDescent="0.3">
      <c r="U661167" s="25"/>
    </row>
    <row r="661189" spans="21:21" x14ac:dyDescent="0.3">
      <c r="U661189" s="25"/>
    </row>
    <row r="661211" spans="21:21" x14ac:dyDescent="0.3">
      <c r="U661211" s="25"/>
    </row>
    <row r="661233" spans="21:21" x14ac:dyDescent="0.3">
      <c r="U661233" s="25"/>
    </row>
    <row r="661255" spans="21:21" x14ac:dyDescent="0.3">
      <c r="U661255" s="25"/>
    </row>
    <row r="661277" spans="21:21" x14ac:dyDescent="0.3">
      <c r="U661277" s="25"/>
    </row>
    <row r="661299" spans="21:21" x14ac:dyDescent="0.3">
      <c r="U661299" s="25"/>
    </row>
    <row r="661321" spans="21:21" x14ac:dyDescent="0.3">
      <c r="U661321" s="25"/>
    </row>
    <row r="661343" spans="21:21" x14ac:dyDescent="0.3">
      <c r="U661343" s="25"/>
    </row>
    <row r="661365" spans="21:21" x14ac:dyDescent="0.3">
      <c r="U661365" s="25"/>
    </row>
    <row r="661387" spans="21:21" x14ac:dyDescent="0.3">
      <c r="U661387" s="25"/>
    </row>
    <row r="661409" spans="21:21" x14ac:dyDescent="0.3">
      <c r="U661409" s="25"/>
    </row>
    <row r="661431" spans="21:21" x14ac:dyDescent="0.3">
      <c r="U661431" s="25"/>
    </row>
    <row r="661453" spans="21:21" x14ac:dyDescent="0.3">
      <c r="U661453" s="25"/>
    </row>
    <row r="661475" spans="21:21" x14ac:dyDescent="0.3">
      <c r="U661475" s="25"/>
    </row>
    <row r="661497" spans="21:21" x14ac:dyDescent="0.3">
      <c r="U661497" s="25"/>
    </row>
    <row r="661519" spans="21:21" x14ac:dyDescent="0.3">
      <c r="U661519" s="25"/>
    </row>
    <row r="661541" spans="21:21" x14ac:dyDescent="0.3">
      <c r="U661541" s="25"/>
    </row>
    <row r="661563" spans="21:21" x14ac:dyDescent="0.3">
      <c r="U661563" s="25"/>
    </row>
    <row r="661585" spans="21:21" x14ac:dyDescent="0.3">
      <c r="U661585" s="25"/>
    </row>
    <row r="661607" spans="21:21" x14ac:dyDescent="0.3">
      <c r="U661607" s="25"/>
    </row>
    <row r="661629" spans="21:21" x14ac:dyDescent="0.3">
      <c r="U661629" s="25"/>
    </row>
    <row r="661651" spans="21:21" x14ac:dyDescent="0.3">
      <c r="U661651" s="25"/>
    </row>
    <row r="661673" spans="21:21" x14ac:dyDescent="0.3">
      <c r="U661673" s="25"/>
    </row>
    <row r="661695" spans="21:21" x14ac:dyDescent="0.3">
      <c r="U661695" s="25"/>
    </row>
    <row r="661717" spans="21:21" x14ac:dyDescent="0.3">
      <c r="U661717" s="25"/>
    </row>
    <row r="661739" spans="21:21" x14ac:dyDescent="0.3">
      <c r="U661739" s="25"/>
    </row>
    <row r="661761" spans="21:21" x14ac:dyDescent="0.3">
      <c r="U661761" s="25"/>
    </row>
    <row r="661783" spans="21:21" x14ac:dyDescent="0.3">
      <c r="U661783" s="25"/>
    </row>
    <row r="661805" spans="21:21" x14ac:dyDescent="0.3">
      <c r="U661805" s="25"/>
    </row>
    <row r="661827" spans="21:21" x14ac:dyDescent="0.3">
      <c r="U661827" s="25"/>
    </row>
    <row r="661849" spans="21:21" x14ac:dyDescent="0.3">
      <c r="U661849" s="25"/>
    </row>
    <row r="661871" spans="21:21" x14ac:dyDescent="0.3">
      <c r="U661871" s="25"/>
    </row>
    <row r="661893" spans="21:21" x14ac:dyDescent="0.3">
      <c r="U661893" s="25"/>
    </row>
    <row r="661915" spans="21:21" x14ac:dyDescent="0.3">
      <c r="U661915" s="25"/>
    </row>
    <row r="661937" spans="21:21" x14ac:dyDescent="0.3">
      <c r="U661937" s="25"/>
    </row>
    <row r="661959" spans="21:21" x14ac:dyDescent="0.3">
      <c r="U661959" s="25"/>
    </row>
    <row r="661981" spans="21:21" x14ac:dyDescent="0.3">
      <c r="U661981" s="25"/>
    </row>
    <row r="662003" spans="21:21" x14ac:dyDescent="0.3">
      <c r="U662003" s="25"/>
    </row>
    <row r="662025" spans="21:21" x14ac:dyDescent="0.3">
      <c r="U662025" s="25"/>
    </row>
    <row r="662047" spans="21:21" x14ac:dyDescent="0.3">
      <c r="U662047" s="25"/>
    </row>
    <row r="662069" spans="21:21" x14ac:dyDescent="0.3">
      <c r="U662069" s="25"/>
    </row>
    <row r="662091" spans="21:21" x14ac:dyDescent="0.3">
      <c r="U662091" s="25"/>
    </row>
    <row r="662113" spans="21:21" x14ac:dyDescent="0.3">
      <c r="U662113" s="25"/>
    </row>
    <row r="662135" spans="21:21" x14ac:dyDescent="0.3">
      <c r="U662135" s="25"/>
    </row>
    <row r="662157" spans="21:21" x14ac:dyDescent="0.3">
      <c r="U662157" s="25"/>
    </row>
    <row r="662179" spans="21:21" x14ac:dyDescent="0.3">
      <c r="U662179" s="25"/>
    </row>
    <row r="662201" spans="21:21" x14ac:dyDescent="0.3">
      <c r="U662201" s="25"/>
    </row>
    <row r="662223" spans="21:21" x14ac:dyDescent="0.3">
      <c r="U662223" s="25"/>
    </row>
    <row r="662245" spans="21:21" x14ac:dyDescent="0.3">
      <c r="U662245" s="25"/>
    </row>
    <row r="662267" spans="21:21" x14ac:dyDescent="0.3">
      <c r="U662267" s="25"/>
    </row>
    <row r="662289" spans="21:21" x14ac:dyDescent="0.3">
      <c r="U662289" s="25"/>
    </row>
    <row r="662311" spans="21:21" x14ac:dyDescent="0.3">
      <c r="U662311" s="25"/>
    </row>
    <row r="662333" spans="21:21" x14ac:dyDescent="0.3">
      <c r="U662333" s="25"/>
    </row>
    <row r="662355" spans="21:21" x14ac:dyDescent="0.3">
      <c r="U662355" s="25"/>
    </row>
    <row r="662377" spans="21:21" x14ac:dyDescent="0.3">
      <c r="U662377" s="25"/>
    </row>
    <row r="662399" spans="21:21" x14ac:dyDescent="0.3">
      <c r="U662399" s="25"/>
    </row>
    <row r="662421" spans="21:21" x14ac:dyDescent="0.3">
      <c r="U662421" s="25"/>
    </row>
    <row r="662443" spans="21:21" x14ac:dyDescent="0.3">
      <c r="U662443" s="25"/>
    </row>
    <row r="662465" spans="21:21" x14ac:dyDescent="0.3">
      <c r="U662465" s="25"/>
    </row>
    <row r="662487" spans="21:21" x14ac:dyDescent="0.3">
      <c r="U662487" s="25"/>
    </row>
    <row r="662509" spans="21:21" x14ac:dyDescent="0.3">
      <c r="U662509" s="25"/>
    </row>
    <row r="662531" spans="21:21" x14ac:dyDescent="0.3">
      <c r="U662531" s="25"/>
    </row>
    <row r="662553" spans="21:21" x14ac:dyDescent="0.3">
      <c r="U662553" s="25"/>
    </row>
    <row r="662575" spans="21:21" x14ac:dyDescent="0.3">
      <c r="U662575" s="25"/>
    </row>
    <row r="662597" spans="21:21" x14ac:dyDescent="0.3">
      <c r="U662597" s="25"/>
    </row>
    <row r="662619" spans="21:21" x14ac:dyDescent="0.3">
      <c r="U662619" s="25"/>
    </row>
    <row r="662641" spans="21:21" x14ac:dyDescent="0.3">
      <c r="U662641" s="25"/>
    </row>
    <row r="662663" spans="21:21" x14ac:dyDescent="0.3">
      <c r="U662663" s="25"/>
    </row>
    <row r="662685" spans="21:21" x14ac:dyDescent="0.3">
      <c r="U662685" s="25"/>
    </row>
    <row r="662707" spans="21:21" x14ac:dyDescent="0.3">
      <c r="U662707" s="25"/>
    </row>
    <row r="662729" spans="21:21" x14ac:dyDescent="0.3">
      <c r="U662729" s="25"/>
    </row>
    <row r="662751" spans="21:21" x14ac:dyDescent="0.3">
      <c r="U662751" s="25"/>
    </row>
    <row r="662773" spans="21:21" x14ac:dyDescent="0.3">
      <c r="U662773" s="25"/>
    </row>
    <row r="662795" spans="21:21" x14ac:dyDescent="0.3">
      <c r="U662795" s="25"/>
    </row>
    <row r="662817" spans="21:21" x14ac:dyDescent="0.3">
      <c r="U662817" s="25"/>
    </row>
    <row r="662839" spans="21:21" x14ac:dyDescent="0.3">
      <c r="U662839" s="25"/>
    </row>
    <row r="662861" spans="21:21" x14ac:dyDescent="0.3">
      <c r="U662861" s="25"/>
    </row>
    <row r="662883" spans="21:21" x14ac:dyDescent="0.3">
      <c r="U662883" s="25"/>
    </row>
    <row r="662905" spans="21:21" x14ac:dyDescent="0.3">
      <c r="U662905" s="25"/>
    </row>
    <row r="662927" spans="21:21" x14ac:dyDescent="0.3">
      <c r="U662927" s="25"/>
    </row>
    <row r="662949" spans="21:21" x14ac:dyDescent="0.3">
      <c r="U662949" s="25"/>
    </row>
    <row r="662971" spans="21:21" x14ac:dyDescent="0.3">
      <c r="U662971" s="25"/>
    </row>
    <row r="662993" spans="21:21" x14ac:dyDescent="0.3">
      <c r="U662993" s="25"/>
    </row>
    <row r="663015" spans="21:21" x14ac:dyDescent="0.3">
      <c r="U663015" s="25"/>
    </row>
    <row r="663037" spans="21:21" x14ac:dyDescent="0.3">
      <c r="U663037" s="25"/>
    </row>
    <row r="663059" spans="21:21" x14ac:dyDescent="0.3">
      <c r="U663059" s="25"/>
    </row>
    <row r="663081" spans="21:21" x14ac:dyDescent="0.3">
      <c r="U663081" s="25"/>
    </row>
    <row r="663103" spans="21:21" x14ac:dyDescent="0.3">
      <c r="U663103" s="25"/>
    </row>
    <row r="663125" spans="21:21" x14ac:dyDescent="0.3">
      <c r="U663125" s="25"/>
    </row>
    <row r="663147" spans="21:21" x14ac:dyDescent="0.3">
      <c r="U663147" s="25"/>
    </row>
    <row r="663169" spans="21:21" x14ac:dyDescent="0.3">
      <c r="U663169" s="25"/>
    </row>
    <row r="663191" spans="21:21" x14ac:dyDescent="0.3">
      <c r="U663191" s="25"/>
    </row>
    <row r="663213" spans="21:21" x14ac:dyDescent="0.3">
      <c r="U663213" s="25"/>
    </row>
    <row r="663235" spans="21:21" x14ac:dyDescent="0.3">
      <c r="U663235" s="25"/>
    </row>
    <row r="663257" spans="21:21" x14ac:dyDescent="0.3">
      <c r="U663257" s="25"/>
    </row>
    <row r="663279" spans="21:21" x14ac:dyDescent="0.3">
      <c r="U663279" s="25"/>
    </row>
    <row r="663301" spans="21:21" x14ac:dyDescent="0.3">
      <c r="U663301" s="25"/>
    </row>
    <row r="663323" spans="21:21" x14ac:dyDescent="0.3">
      <c r="U663323" s="25"/>
    </row>
    <row r="663345" spans="21:21" x14ac:dyDescent="0.3">
      <c r="U663345" s="25"/>
    </row>
    <row r="663367" spans="21:21" x14ac:dyDescent="0.3">
      <c r="U663367" s="25"/>
    </row>
    <row r="663389" spans="21:21" x14ac:dyDescent="0.3">
      <c r="U663389" s="25"/>
    </row>
    <row r="663411" spans="21:21" x14ac:dyDescent="0.3">
      <c r="U663411" s="25"/>
    </row>
    <row r="663433" spans="21:21" x14ac:dyDescent="0.3">
      <c r="U663433" s="25"/>
    </row>
    <row r="663455" spans="21:21" x14ac:dyDescent="0.3">
      <c r="U663455" s="25"/>
    </row>
    <row r="663477" spans="21:21" x14ac:dyDescent="0.3">
      <c r="U663477" s="25"/>
    </row>
    <row r="663499" spans="21:21" x14ac:dyDescent="0.3">
      <c r="U663499" s="25"/>
    </row>
    <row r="663521" spans="21:21" x14ac:dyDescent="0.3">
      <c r="U663521" s="25"/>
    </row>
    <row r="663543" spans="21:21" x14ac:dyDescent="0.3">
      <c r="U663543" s="25"/>
    </row>
    <row r="663565" spans="21:21" x14ac:dyDescent="0.3">
      <c r="U663565" s="25"/>
    </row>
    <row r="663587" spans="21:21" x14ac:dyDescent="0.3">
      <c r="U663587" s="25"/>
    </row>
    <row r="663609" spans="21:21" x14ac:dyDescent="0.3">
      <c r="U663609" s="25"/>
    </row>
    <row r="663631" spans="21:21" x14ac:dyDescent="0.3">
      <c r="U663631" s="25"/>
    </row>
    <row r="663653" spans="21:21" x14ac:dyDescent="0.3">
      <c r="U663653" s="25"/>
    </row>
    <row r="663675" spans="21:21" x14ac:dyDescent="0.3">
      <c r="U663675" s="25"/>
    </row>
    <row r="663697" spans="21:21" x14ac:dyDescent="0.3">
      <c r="U663697" s="25"/>
    </row>
    <row r="663719" spans="21:21" x14ac:dyDescent="0.3">
      <c r="U663719" s="25"/>
    </row>
    <row r="663741" spans="21:21" x14ac:dyDescent="0.3">
      <c r="U663741" s="25"/>
    </row>
    <row r="663763" spans="21:21" x14ac:dyDescent="0.3">
      <c r="U663763" s="25"/>
    </row>
    <row r="663785" spans="21:21" x14ac:dyDescent="0.3">
      <c r="U663785" s="25"/>
    </row>
    <row r="663807" spans="21:21" x14ac:dyDescent="0.3">
      <c r="U663807" s="25"/>
    </row>
    <row r="663829" spans="21:21" x14ac:dyDescent="0.3">
      <c r="U663829" s="25"/>
    </row>
    <row r="663851" spans="21:21" x14ac:dyDescent="0.3">
      <c r="U663851" s="25"/>
    </row>
    <row r="663873" spans="21:21" x14ac:dyDescent="0.3">
      <c r="U663873" s="25"/>
    </row>
    <row r="663895" spans="21:21" x14ac:dyDescent="0.3">
      <c r="U663895" s="25"/>
    </row>
    <row r="663917" spans="21:21" x14ac:dyDescent="0.3">
      <c r="U663917" s="25"/>
    </row>
    <row r="663939" spans="21:21" x14ac:dyDescent="0.3">
      <c r="U663939" s="25"/>
    </row>
    <row r="663961" spans="21:21" x14ac:dyDescent="0.3">
      <c r="U663961" s="25"/>
    </row>
    <row r="663983" spans="21:21" x14ac:dyDescent="0.3">
      <c r="U663983" s="25"/>
    </row>
    <row r="664005" spans="21:21" x14ac:dyDescent="0.3">
      <c r="U664005" s="25"/>
    </row>
    <row r="664027" spans="21:21" x14ac:dyDescent="0.3">
      <c r="U664027" s="25"/>
    </row>
    <row r="664049" spans="21:21" x14ac:dyDescent="0.3">
      <c r="U664049" s="25"/>
    </row>
    <row r="664071" spans="21:21" x14ac:dyDescent="0.3">
      <c r="U664071" s="25"/>
    </row>
    <row r="664093" spans="21:21" x14ac:dyDescent="0.3">
      <c r="U664093" s="25"/>
    </row>
    <row r="664115" spans="21:21" x14ac:dyDescent="0.3">
      <c r="U664115" s="25"/>
    </row>
    <row r="664137" spans="21:21" x14ac:dyDescent="0.3">
      <c r="U664137" s="25"/>
    </row>
    <row r="664159" spans="21:21" x14ac:dyDescent="0.3">
      <c r="U664159" s="25"/>
    </row>
    <row r="664181" spans="21:21" x14ac:dyDescent="0.3">
      <c r="U664181" s="25"/>
    </row>
    <row r="664203" spans="21:21" x14ac:dyDescent="0.3">
      <c r="U664203" s="25"/>
    </row>
    <row r="664225" spans="21:21" x14ac:dyDescent="0.3">
      <c r="U664225" s="25"/>
    </row>
    <row r="664247" spans="21:21" x14ac:dyDescent="0.3">
      <c r="U664247" s="25"/>
    </row>
    <row r="664269" spans="21:21" x14ac:dyDescent="0.3">
      <c r="U664269" s="25"/>
    </row>
    <row r="664291" spans="21:21" x14ac:dyDescent="0.3">
      <c r="U664291" s="25"/>
    </row>
    <row r="664313" spans="21:21" x14ac:dyDescent="0.3">
      <c r="U664313" s="25"/>
    </row>
    <row r="664335" spans="21:21" x14ac:dyDescent="0.3">
      <c r="U664335" s="25"/>
    </row>
    <row r="664357" spans="21:21" x14ac:dyDescent="0.3">
      <c r="U664357" s="25"/>
    </row>
    <row r="664379" spans="21:21" x14ac:dyDescent="0.3">
      <c r="U664379" s="25"/>
    </row>
    <row r="664401" spans="21:21" x14ac:dyDescent="0.3">
      <c r="U664401" s="25"/>
    </row>
    <row r="664423" spans="21:21" x14ac:dyDescent="0.3">
      <c r="U664423" s="25"/>
    </row>
    <row r="664445" spans="21:21" x14ac:dyDescent="0.3">
      <c r="U664445" s="25"/>
    </row>
    <row r="664467" spans="21:21" x14ac:dyDescent="0.3">
      <c r="U664467" s="25"/>
    </row>
    <row r="664489" spans="21:21" x14ac:dyDescent="0.3">
      <c r="U664489" s="25"/>
    </row>
    <row r="664511" spans="21:21" x14ac:dyDescent="0.3">
      <c r="U664511" s="25"/>
    </row>
    <row r="664533" spans="21:21" x14ac:dyDescent="0.3">
      <c r="U664533" s="25"/>
    </row>
    <row r="664555" spans="21:21" x14ac:dyDescent="0.3">
      <c r="U664555" s="25"/>
    </row>
    <row r="664577" spans="21:21" x14ac:dyDescent="0.3">
      <c r="U664577" s="25"/>
    </row>
    <row r="664599" spans="21:21" x14ac:dyDescent="0.3">
      <c r="U664599" s="25"/>
    </row>
    <row r="664621" spans="21:21" x14ac:dyDescent="0.3">
      <c r="U664621" s="25"/>
    </row>
    <row r="664643" spans="21:21" x14ac:dyDescent="0.3">
      <c r="U664643" s="25"/>
    </row>
    <row r="664665" spans="21:21" x14ac:dyDescent="0.3">
      <c r="U664665" s="25"/>
    </row>
    <row r="664687" spans="21:21" x14ac:dyDescent="0.3">
      <c r="U664687" s="25"/>
    </row>
    <row r="664709" spans="21:21" x14ac:dyDescent="0.3">
      <c r="U664709" s="25"/>
    </row>
    <row r="664731" spans="21:21" x14ac:dyDescent="0.3">
      <c r="U664731" s="25"/>
    </row>
    <row r="664753" spans="21:21" x14ac:dyDescent="0.3">
      <c r="U664753" s="25"/>
    </row>
    <row r="664775" spans="21:21" x14ac:dyDescent="0.3">
      <c r="U664775" s="25"/>
    </row>
    <row r="664797" spans="21:21" x14ac:dyDescent="0.3">
      <c r="U664797" s="25"/>
    </row>
    <row r="664819" spans="21:21" x14ac:dyDescent="0.3">
      <c r="U664819" s="25"/>
    </row>
    <row r="664841" spans="21:21" x14ac:dyDescent="0.3">
      <c r="U664841" s="25"/>
    </row>
    <row r="664863" spans="21:21" x14ac:dyDescent="0.3">
      <c r="U664863" s="25"/>
    </row>
    <row r="664885" spans="21:21" x14ac:dyDescent="0.3">
      <c r="U664885" s="25"/>
    </row>
    <row r="664907" spans="21:21" x14ac:dyDescent="0.3">
      <c r="U664907" s="25"/>
    </row>
    <row r="664929" spans="21:21" x14ac:dyDescent="0.3">
      <c r="U664929" s="25"/>
    </row>
    <row r="664951" spans="21:21" x14ac:dyDescent="0.3">
      <c r="U664951" s="25"/>
    </row>
    <row r="664973" spans="21:21" x14ac:dyDescent="0.3">
      <c r="U664973" s="25"/>
    </row>
    <row r="664995" spans="21:21" x14ac:dyDescent="0.3">
      <c r="U664995" s="25"/>
    </row>
    <row r="665017" spans="21:21" x14ac:dyDescent="0.3">
      <c r="U665017" s="25"/>
    </row>
    <row r="665039" spans="21:21" x14ac:dyDescent="0.3">
      <c r="U665039" s="25"/>
    </row>
    <row r="665061" spans="21:21" x14ac:dyDescent="0.3">
      <c r="U665061" s="25"/>
    </row>
    <row r="665083" spans="21:21" x14ac:dyDescent="0.3">
      <c r="U665083" s="25"/>
    </row>
    <row r="665105" spans="21:21" x14ac:dyDescent="0.3">
      <c r="U665105" s="25"/>
    </row>
    <row r="665127" spans="21:21" x14ac:dyDescent="0.3">
      <c r="U665127" s="25"/>
    </row>
    <row r="665149" spans="21:21" x14ac:dyDescent="0.3">
      <c r="U665149" s="25"/>
    </row>
    <row r="665171" spans="21:21" x14ac:dyDescent="0.3">
      <c r="U665171" s="25"/>
    </row>
    <row r="665193" spans="21:21" x14ac:dyDescent="0.3">
      <c r="U665193" s="25"/>
    </row>
    <row r="665215" spans="21:21" x14ac:dyDescent="0.3">
      <c r="U665215" s="25"/>
    </row>
    <row r="665237" spans="21:21" x14ac:dyDescent="0.3">
      <c r="U665237" s="25"/>
    </row>
    <row r="665259" spans="21:21" x14ac:dyDescent="0.3">
      <c r="U665259" s="25"/>
    </row>
    <row r="665281" spans="21:21" x14ac:dyDescent="0.3">
      <c r="U665281" s="25"/>
    </row>
    <row r="665303" spans="21:21" x14ac:dyDescent="0.3">
      <c r="U665303" s="25"/>
    </row>
    <row r="665325" spans="21:21" x14ac:dyDescent="0.3">
      <c r="U665325" s="25"/>
    </row>
    <row r="665347" spans="21:21" x14ac:dyDescent="0.3">
      <c r="U665347" s="25"/>
    </row>
    <row r="665369" spans="21:21" x14ac:dyDescent="0.3">
      <c r="U665369" s="25"/>
    </row>
    <row r="665391" spans="21:21" x14ac:dyDescent="0.3">
      <c r="U665391" s="25"/>
    </row>
    <row r="665413" spans="21:21" x14ac:dyDescent="0.3">
      <c r="U665413" s="25"/>
    </row>
    <row r="665435" spans="21:21" x14ac:dyDescent="0.3">
      <c r="U665435" s="25"/>
    </row>
    <row r="665457" spans="21:21" x14ac:dyDescent="0.3">
      <c r="U665457" s="25"/>
    </row>
    <row r="665479" spans="21:21" x14ac:dyDescent="0.3">
      <c r="U665479" s="25"/>
    </row>
    <row r="665501" spans="21:21" x14ac:dyDescent="0.3">
      <c r="U665501" s="25"/>
    </row>
    <row r="665523" spans="21:21" x14ac:dyDescent="0.3">
      <c r="U665523" s="25"/>
    </row>
    <row r="665545" spans="21:21" x14ac:dyDescent="0.3">
      <c r="U665545" s="25"/>
    </row>
    <row r="665567" spans="21:21" x14ac:dyDescent="0.3">
      <c r="U665567" s="25"/>
    </row>
    <row r="665589" spans="21:21" x14ac:dyDescent="0.3">
      <c r="U665589" s="25"/>
    </row>
    <row r="665611" spans="21:21" x14ac:dyDescent="0.3">
      <c r="U665611" s="25"/>
    </row>
    <row r="665633" spans="21:21" x14ac:dyDescent="0.3">
      <c r="U665633" s="25"/>
    </row>
    <row r="665655" spans="21:21" x14ac:dyDescent="0.3">
      <c r="U665655" s="25"/>
    </row>
    <row r="665677" spans="21:21" x14ac:dyDescent="0.3">
      <c r="U665677" s="25"/>
    </row>
    <row r="665699" spans="21:21" x14ac:dyDescent="0.3">
      <c r="U665699" s="25"/>
    </row>
    <row r="665721" spans="21:21" x14ac:dyDescent="0.3">
      <c r="U665721" s="25"/>
    </row>
    <row r="665743" spans="21:21" x14ac:dyDescent="0.3">
      <c r="U665743" s="25"/>
    </row>
    <row r="665765" spans="21:21" x14ac:dyDescent="0.3">
      <c r="U665765" s="25"/>
    </row>
    <row r="665787" spans="21:21" x14ac:dyDescent="0.3">
      <c r="U665787" s="25"/>
    </row>
    <row r="665809" spans="21:21" x14ac:dyDescent="0.3">
      <c r="U665809" s="25"/>
    </row>
    <row r="665831" spans="21:21" x14ac:dyDescent="0.3">
      <c r="U665831" s="25"/>
    </row>
    <row r="665853" spans="21:21" x14ac:dyDescent="0.3">
      <c r="U665853" s="25"/>
    </row>
    <row r="665875" spans="21:21" x14ac:dyDescent="0.3">
      <c r="U665875" s="25"/>
    </row>
    <row r="665897" spans="21:21" x14ac:dyDescent="0.3">
      <c r="U665897" s="25"/>
    </row>
    <row r="665919" spans="21:21" x14ac:dyDescent="0.3">
      <c r="U665919" s="25"/>
    </row>
    <row r="665941" spans="21:21" x14ac:dyDescent="0.3">
      <c r="U665941" s="25"/>
    </row>
    <row r="665963" spans="21:21" x14ac:dyDescent="0.3">
      <c r="U665963" s="25"/>
    </row>
    <row r="665985" spans="21:21" x14ac:dyDescent="0.3">
      <c r="U665985" s="25"/>
    </row>
    <row r="666007" spans="21:21" x14ac:dyDescent="0.3">
      <c r="U666007" s="25"/>
    </row>
    <row r="666029" spans="21:21" x14ac:dyDescent="0.3">
      <c r="U666029" s="25"/>
    </row>
    <row r="666051" spans="21:21" x14ac:dyDescent="0.3">
      <c r="U666051" s="25"/>
    </row>
    <row r="666073" spans="21:21" x14ac:dyDescent="0.3">
      <c r="U666073" s="25"/>
    </row>
    <row r="666095" spans="21:21" x14ac:dyDescent="0.3">
      <c r="U666095" s="25"/>
    </row>
    <row r="666117" spans="21:21" x14ac:dyDescent="0.3">
      <c r="U666117" s="25"/>
    </row>
    <row r="666139" spans="21:21" x14ac:dyDescent="0.3">
      <c r="U666139" s="25"/>
    </row>
    <row r="666161" spans="21:21" x14ac:dyDescent="0.3">
      <c r="U666161" s="25"/>
    </row>
    <row r="666183" spans="21:21" x14ac:dyDescent="0.3">
      <c r="U666183" s="25"/>
    </row>
    <row r="666205" spans="21:21" x14ac:dyDescent="0.3">
      <c r="U666205" s="25"/>
    </row>
    <row r="666227" spans="21:21" x14ac:dyDescent="0.3">
      <c r="U666227" s="25"/>
    </row>
    <row r="666249" spans="21:21" x14ac:dyDescent="0.3">
      <c r="U666249" s="25"/>
    </row>
    <row r="666271" spans="21:21" x14ac:dyDescent="0.3">
      <c r="U666271" s="25"/>
    </row>
    <row r="666293" spans="21:21" x14ac:dyDescent="0.3">
      <c r="U666293" s="25"/>
    </row>
    <row r="666315" spans="21:21" x14ac:dyDescent="0.3">
      <c r="U666315" s="25"/>
    </row>
    <row r="666337" spans="21:21" x14ac:dyDescent="0.3">
      <c r="U666337" s="25"/>
    </row>
    <row r="666359" spans="21:21" x14ac:dyDescent="0.3">
      <c r="U666359" s="25"/>
    </row>
    <row r="666381" spans="21:21" x14ac:dyDescent="0.3">
      <c r="U666381" s="25"/>
    </row>
    <row r="666403" spans="21:21" x14ac:dyDescent="0.3">
      <c r="U666403" s="25"/>
    </row>
    <row r="666425" spans="21:21" x14ac:dyDescent="0.3">
      <c r="U666425" s="25"/>
    </row>
    <row r="666447" spans="21:21" x14ac:dyDescent="0.3">
      <c r="U666447" s="25"/>
    </row>
    <row r="666469" spans="21:21" x14ac:dyDescent="0.3">
      <c r="U666469" s="25"/>
    </row>
    <row r="666491" spans="21:21" x14ac:dyDescent="0.3">
      <c r="U666491" s="25"/>
    </row>
    <row r="666513" spans="21:21" x14ac:dyDescent="0.3">
      <c r="U666513" s="25"/>
    </row>
    <row r="666535" spans="21:21" x14ac:dyDescent="0.3">
      <c r="U666535" s="25"/>
    </row>
    <row r="666557" spans="21:21" x14ac:dyDescent="0.3">
      <c r="U666557" s="25"/>
    </row>
    <row r="666579" spans="21:21" x14ac:dyDescent="0.3">
      <c r="U666579" s="25"/>
    </row>
    <row r="666601" spans="21:21" x14ac:dyDescent="0.3">
      <c r="U666601" s="25"/>
    </row>
    <row r="666623" spans="21:21" x14ac:dyDescent="0.3">
      <c r="U666623" s="25"/>
    </row>
    <row r="666645" spans="21:21" x14ac:dyDescent="0.3">
      <c r="U666645" s="25"/>
    </row>
    <row r="666667" spans="21:21" x14ac:dyDescent="0.3">
      <c r="U666667" s="25"/>
    </row>
    <row r="666689" spans="21:21" x14ac:dyDescent="0.3">
      <c r="U666689" s="25"/>
    </row>
    <row r="666711" spans="21:21" x14ac:dyDescent="0.3">
      <c r="U666711" s="25"/>
    </row>
    <row r="666733" spans="21:21" x14ac:dyDescent="0.3">
      <c r="U666733" s="25"/>
    </row>
    <row r="666755" spans="21:21" x14ac:dyDescent="0.3">
      <c r="U666755" s="25"/>
    </row>
    <row r="666777" spans="21:21" x14ac:dyDescent="0.3">
      <c r="U666777" s="25"/>
    </row>
    <row r="666799" spans="21:21" x14ac:dyDescent="0.3">
      <c r="U666799" s="25"/>
    </row>
    <row r="666821" spans="21:21" x14ac:dyDescent="0.3">
      <c r="U666821" s="25"/>
    </row>
    <row r="666843" spans="21:21" x14ac:dyDescent="0.3">
      <c r="U666843" s="25"/>
    </row>
    <row r="666865" spans="21:21" x14ac:dyDescent="0.3">
      <c r="U666865" s="25"/>
    </row>
    <row r="666887" spans="21:21" x14ac:dyDescent="0.3">
      <c r="U666887" s="25"/>
    </row>
    <row r="666909" spans="21:21" x14ac:dyDescent="0.3">
      <c r="U666909" s="25"/>
    </row>
    <row r="666931" spans="21:21" x14ac:dyDescent="0.3">
      <c r="U666931" s="25"/>
    </row>
    <row r="666953" spans="21:21" x14ac:dyDescent="0.3">
      <c r="U666953" s="25"/>
    </row>
    <row r="666975" spans="21:21" x14ac:dyDescent="0.3">
      <c r="U666975" s="25"/>
    </row>
    <row r="666997" spans="21:21" x14ac:dyDescent="0.3">
      <c r="U666997" s="25"/>
    </row>
    <row r="667019" spans="21:21" x14ac:dyDescent="0.3">
      <c r="U667019" s="25"/>
    </row>
    <row r="667041" spans="21:21" x14ac:dyDescent="0.3">
      <c r="U667041" s="25"/>
    </row>
    <row r="667063" spans="21:21" x14ac:dyDescent="0.3">
      <c r="U667063" s="25"/>
    </row>
    <row r="667085" spans="21:21" x14ac:dyDescent="0.3">
      <c r="U667085" s="25"/>
    </row>
    <row r="667107" spans="21:21" x14ac:dyDescent="0.3">
      <c r="U667107" s="25"/>
    </row>
    <row r="667129" spans="21:21" x14ac:dyDescent="0.3">
      <c r="U667129" s="25"/>
    </row>
    <row r="667151" spans="21:21" x14ac:dyDescent="0.3">
      <c r="U667151" s="25"/>
    </row>
    <row r="667173" spans="21:21" x14ac:dyDescent="0.3">
      <c r="U667173" s="25"/>
    </row>
    <row r="667195" spans="21:21" x14ac:dyDescent="0.3">
      <c r="U667195" s="25"/>
    </row>
    <row r="667217" spans="21:21" x14ac:dyDescent="0.3">
      <c r="U667217" s="25"/>
    </row>
    <row r="667239" spans="21:21" x14ac:dyDescent="0.3">
      <c r="U667239" s="25"/>
    </row>
    <row r="667261" spans="21:21" x14ac:dyDescent="0.3">
      <c r="U667261" s="25"/>
    </row>
    <row r="667283" spans="21:21" x14ac:dyDescent="0.3">
      <c r="U667283" s="25"/>
    </row>
    <row r="667305" spans="21:21" x14ac:dyDescent="0.3">
      <c r="U667305" s="25"/>
    </row>
    <row r="667327" spans="21:21" x14ac:dyDescent="0.3">
      <c r="U667327" s="25"/>
    </row>
    <row r="667349" spans="21:21" x14ac:dyDescent="0.3">
      <c r="U667349" s="25"/>
    </row>
    <row r="667371" spans="21:21" x14ac:dyDescent="0.3">
      <c r="U667371" s="25"/>
    </row>
    <row r="667393" spans="21:21" x14ac:dyDescent="0.3">
      <c r="U667393" s="25"/>
    </row>
    <row r="667415" spans="21:21" x14ac:dyDescent="0.3">
      <c r="U667415" s="25"/>
    </row>
    <row r="667437" spans="21:21" x14ac:dyDescent="0.3">
      <c r="U667437" s="25"/>
    </row>
    <row r="667459" spans="21:21" x14ac:dyDescent="0.3">
      <c r="U667459" s="25"/>
    </row>
    <row r="667481" spans="21:21" x14ac:dyDescent="0.3">
      <c r="U667481" s="25"/>
    </row>
    <row r="667503" spans="21:21" x14ac:dyDescent="0.3">
      <c r="U667503" s="25"/>
    </row>
    <row r="667525" spans="21:21" x14ac:dyDescent="0.3">
      <c r="U667525" s="25"/>
    </row>
    <row r="667547" spans="21:21" x14ac:dyDescent="0.3">
      <c r="U667547" s="25"/>
    </row>
    <row r="667569" spans="21:21" x14ac:dyDescent="0.3">
      <c r="U667569" s="25"/>
    </row>
    <row r="667591" spans="21:21" x14ac:dyDescent="0.3">
      <c r="U667591" s="25"/>
    </row>
    <row r="667613" spans="21:21" x14ac:dyDescent="0.3">
      <c r="U667613" s="25"/>
    </row>
    <row r="667635" spans="21:21" x14ac:dyDescent="0.3">
      <c r="U667635" s="25"/>
    </row>
    <row r="667657" spans="21:21" x14ac:dyDescent="0.3">
      <c r="U667657" s="25"/>
    </row>
    <row r="667679" spans="21:21" x14ac:dyDescent="0.3">
      <c r="U667679" s="25"/>
    </row>
    <row r="667701" spans="21:21" x14ac:dyDescent="0.3">
      <c r="U667701" s="25"/>
    </row>
    <row r="667723" spans="21:21" x14ac:dyDescent="0.3">
      <c r="U667723" s="25"/>
    </row>
    <row r="667745" spans="21:21" x14ac:dyDescent="0.3">
      <c r="U667745" s="25"/>
    </row>
    <row r="667767" spans="21:21" x14ac:dyDescent="0.3">
      <c r="U667767" s="25"/>
    </row>
    <row r="667789" spans="21:21" x14ac:dyDescent="0.3">
      <c r="U667789" s="25"/>
    </row>
    <row r="667811" spans="21:21" x14ac:dyDescent="0.3">
      <c r="U667811" s="25"/>
    </row>
    <row r="667833" spans="21:21" x14ac:dyDescent="0.3">
      <c r="U667833" s="25"/>
    </row>
    <row r="667855" spans="21:21" x14ac:dyDescent="0.3">
      <c r="U667855" s="25"/>
    </row>
    <row r="667877" spans="21:21" x14ac:dyDescent="0.3">
      <c r="U667877" s="25"/>
    </row>
    <row r="667899" spans="21:21" x14ac:dyDescent="0.3">
      <c r="U667899" s="25"/>
    </row>
    <row r="667921" spans="21:21" x14ac:dyDescent="0.3">
      <c r="U667921" s="25"/>
    </row>
    <row r="667943" spans="21:21" x14ac:dyDescent="0.3">
      <c r="U667943" s="25"/>
    </row>
    <row r="667965" spans="21:21" x14ac:dyDescent="0.3">
      <c r="U667965" s="25"/>
    </row>
    <row r="667987" spans="21:21" x14ac:dyDescent="0.3">
      <c r="U667987" s="25"/>
    </row>
    <row r="668009" spans="21:21" x14ac:dyDescent="0.3">
      <c r="U668009" s="25"/>
    </row>
    <row r="668031" spans="21:21" x14ac:dyDescent="0.3">
      <c r="U668031" s="25"/>
    </row>
    <row r="668053" spans="21:21" x14ac:dyDescent="0.3">
      <c r="U668053" s="25"/>
    </row>
    <row r="668075" spans="21:21" x14ac:dyDescent="0.3">
      <c r="U668075" s="25"/>
    </row>
    <row r="668097" spans="21:21" x14ac:dyDescent="0.3">
      <c r="U668097" s="25"/>
    </row>
    <row r="668119" spans="21:21" x14ac:dyDescent="0.3">
      <c r="U668119" s="25"/>
    </row>
    <row r="668141" spans="21:21" x14ac:dyDescent="0.3">
      <c r="U668141" s="25"/>
    </row>
    <row r="668163" spans="21:21" x14ac:dyDescent="0.3">
      <c r="U668163" s="25"/>
    </row>
    <row r="668185" spans="21:21" x14ac:dyDescent="0.3">
      <c r="U668185" s="25"/>
    </row>
    <row r="668207" spans="21:21" x14ac:dyDescent="0.3">
      <c r="U668207" s="25"/>
    </row>
    <row r="668229" spans="21:21" x14ac:dyDescent="0.3">
      <c r="U668229" s="25"/>
    </row>
    <row r="668251" spans="21:21" x14ac:dyDescent="0.3">
      <c r="U668251" s="25"/>
    </row>
    <row r="668273" spans="21:21" x14ac:dyDescent="0.3">
      <c r="U668273" s="25"/>
    </row>
    <row r="668295" spans="21:21" x14ac:dyDescent="0.3">
      <c r="U668295" s="25"/>
    </row>
    <row r="668317" spans="21:21" x14ac:dyDescent="0.3">
      <c r="U668317" s="25"/>
    </row>
    <row r="668339" spans="21:21" x14ac:dyDescent="0.3">
      <c r="U668339" s="25"/>
    </row>
    <row r="668361" spans="21:21" x14ac:dyDescent="0.3">
      <c r="U668361" s="25"/>
    </row>
    <row r="668383" spans="21:21" x14ac:dyDescent="0.3">
      <c r="U668383" s="25"/>
    </row>
    <row r="668405" spans="21:21" x14ac:dyDescent="0.3">
      <c r="U668405" s="25"/>
    </row>
    <row r="668427" spans="21:21" x14ac:dyDescent="0.3">
      <c r="U668427" s="25"/>
    </row>
    <row r="668449" spans="21:21" x14ac:dyDescent="0.3">
      <c r="U668449" s="25"/>
    </row>
    <row r="668471" spans="21:21" x14ac:dyDescent="0.3">
      <c r="U668471" s="25"/>
    </row>
    <row r="668493" spans="21:21" x14ac:dyDescent="0.3">
      <c r="U668493" s="25"/>
    </row>
    <row r="668515" spans="21:21" x14ac:dyDescent="0.3">
      <c r="U668515" s="25"/>
    </row>
    <row r="668537" spans="21:21" x14ac:dyDescent="0.3">
      <c r="U668537" s="25"/>
    </row>
    <row r="668559" spans="21:21" x14ac:dyDescent="0.3">
      <c r="U668559" s="25"/>
    </row>
    <row r="668581" spans="21:21" x14ac:dyDescent="0.3">
      <c r="U668581" s="25"/>
    </row>
    <row r="668603" spans="21:21" x14ac:dyDescent="0.3">
      <c r="U668603" s="25"/>
    </row>
    <row r="668625" spans="21:21" x14ac:dyDescent="0.3">
      <c r="U668625" s="25"/>
    </row>
    <row r="668647" spans="21:21" x14ac:dyDescent="0.3">
      <c r="U668647" s="25"/>
    </row>
    <row r="668669" spans="21:21" x14ac:dyDescent="0.3">
      <c r="U668669" s="25"/>
    </row>
    <row r="668691" spans="21:21" x14ac:dyDescent="0.3">
      <c r="U668691" s="25"/>
    </row>
    <row r="668713" spans="21:21" x14ac:dyDescent="0.3">
      <c r="U668713" s="25"/>
    </row>
    <row r="668735" spans="21:21" x14ac:dyDescent="0.3">
      <c r="U668735" s="25"/>
    </row>
    <row r="668757" spans="21:21" x14ac:dyDescent="0.3">
      <c r="U668757" s="25"/>
    </row>
    <row r="668779" spans="21:21" x14ac:dyDescent="0.3">
      <c r="U668779" s="25"/>
    </row>
    <row r="668801" spans="21:21" x14ac:dyDescent="0.3">
      <c r="U668801" s="25"/>
    </row>
    <row r="668823" spans="21:21" x14ac:dyDescent="0.3">
      <c r="U668823" s="25"/>
    </row>
    <row r="668845" spans="21:21" x14ac:dyDescent="0.3">
      <c r="U668845" s="25"/>
    </row>
    <row r="668867" spans="21:21" x14ac:dyDescent="0.3">
      <c r="U668867" s="25"/>
    </row>
    <row r="668889" spans="21:21" x14ac:dyDescent="0.3">
      <c r="U668889" s="25"/>
    </row>
    <row r="668911" spans="21:21" x14ac:dyDescent="0.3">
      <c r="U668911" s="25"/>
    </row>
    <row r="668933" spans="21:21" x14ac:dyDescent="0.3">
      <c r="U668933" s="25"/>
    </row>
    <row r="668955" spans="21:21" x14ac:dyDescent="0.3">
      <c r="U668955" s="25"/>
    </row>
    <row r="668977" spans="21:21" x14ac:dyDescent="0.3">
      <c r="U668977" s="25"/>
    </row>
    <row r="668999" spans="21:21" x14ac:dyDescent="0.3">
      <c r="U668999" s="25"/>
    </row>
    <row r="669021" spans="21:21" x14ac:dyDescent="0.3">
      <c r="U669021" s="25"/>
    </row>
    <row r="669043" spans="21:21" x14ac:dyDescent="0.3">
      <c r="U669043" s="25"/>
    </row>
    <row r="669065" spans="21:21" x14ac:dyDescent="0.3">
      <c r="U669065" s="25"/>
    </row>
    <row r="669087" spans="21:21" x14ac:dyDescent="0.3">
      <c r="U669087" s="25"/>
    </row>
    <row r="669109" spans="21:21" x14ac:dyDescent="0.3">
      <c r="U669109" s="25"/>
    </row>
    <row r="669131" spans="21:21" x14ac:dyDescent="0.3">
      <c r="U669131" s="25"/>
    </row>
    <row r="669153" spans="21:21" x14ac:dyDescent="0.3">
      <c r="U669153" s="25"/>
    </row>
    <row r="669175" spans="21:21" x14ac:dyDescent="0.3">
      <c r="U669175" s="25"/>
    </row>
    <row r="669197" spans="21:21" x14ac:dyDescent="0.3">
      <c r="U669197" s="25"/>
    </row>
    <row r="669219" spans="21:21" x14ac:dyDescent="0.3">
      <c r="U669219" s="25"/>
    </row>
    <row r="669241" spans="21:21" x14ac:dyDescent="0.3">
      <c r="U669241" s="25"/>
    </row>
    <row r="669263" spans="21:21" x14ac:dyDescent="0.3">
      <c r="U669263" s="25"/>
    </row>
    <row r="669285" spans="21:21" x14ac:dyDescent="0.3">
      <c r="U669285" s="25"/>
    </row>
    <row r="669307" spans="21:21" x14ac:dyDescent="0.3">
      <c r="U669307" s="25"/>
    </row>
    <row r="669329" spans="21:21" x14ac:dyDescent="0.3">
      <c r="U669329" s="25"/>
    </row>
    <row r="669351" spans="21:21" x14ac:dyDescent="0.3">
      <c r="U669351" s="25"/>
    </row>
    <row r="669373" spans="21:21" x14ac:dyDescent="0.3">
      <c r="U669373" s="25"/>
    </row>
    <row r="669395" spans="21:21" x14ac:dyDescent="0.3">
      <c r="U669395" s="25"/>
    </row>
    <row r="669417" spans="21:21" x14ac:dyDescent="0.3">
      <c r="U669417" s="25"/>
    </row>
    <row r="669439" spans="21:21" x14ac:dyDescent="0.3">
      <c r="U669439" s="25"/>
    </row>
    <row r="669461" spans="21:21" x14ac:dyDescent="0.3">
      <c r="U669461" s="25"/>
    </row>
    <row r="669483" spans="21:21" x14ac:dyDescent="0.3">
      <c r="U669483" s="25"/>
    </row>
    <row r="669505" spans="21:21" x14ac:dyDescent="0.3">
      <c r="U669505" s="25"/>
    </row>
    <row r="669527" spans="21:21" x14ac:dyDescent="0.3">
      <c r="U669527" s="25"/>
    </row>
    <row r="669549" spans="21:21" x14ac:dyDescent="0.3">
      <c r="U669549" s="25"/>
    </row>
    <row r="669571" spans="21:21" x14ac:dyDescent="0.3">
      <c r="U669571" s="25"/>
    </row>
    <row r="669593" spans="21:21" x14ac:dyDescent="0.3">
      <c r="U669593" s="25"/>
    </row>
    <row r="669615" spans="21:21" x14ac:dyDescent="0.3">
      <c r="U669615" s="25"/>
    </row>
    <row r="669637" spans="21:21" x14ac:dyDescent="0.3">
      <c r="U669637" s="25"/>
    </row>
    <row r="669659" spans="21:21" x14ac:dyDescent="0.3">
      <c r="U669659" s="25"/>
    </row>
    <row r="669681" spans="21:21" x14ac:dyDescent="0.3">
      <c r="U669681" s="25"/>
    </row>
    <row r="669703" spans="21:21" x14ac:dyDescent="0.3">
      <c r="U669703" s="25"/>
    </row>
    <row r="669725" spans="21:21" x14ac:dyDescent="0.3">
      <c r="U669725" s="25"/>
    </row>
    <row r="669747" spans="21:21" x14ac:dyDescent="0.3">
      <c r="U669747" s="25"/>
    </row>
    <row r="669769" spans="21:21" x14ac:dyDescent="0.3">
      <c r="U669769" s="25"/>
    </row>
    <row r="669791" spans="21:21" x14ac:dyDescent="0.3">
      <c r="U669791" s="25"/>
    </row>
    <row r="669813" spans="21:21" x14ac:dyDescent="0.3">
      <c r="U669813" s="25"/>
    </row>
    <row r="669835" spans="21:21" x14ac:dyDescent="0.3">
      <c r="U669835" s="25"/>
    </row>
    <row r="669857" spans="21:21" x14ac:dyDescent="0.3">
      <c r="U669857" s="25"/>
    </row>
    <row r="669879" spans="21:21" x14ac:dyDescent="0.3">
      <c r="U669879" s="25"/>
    </row>
    <row r="669901" spans="21:21" x14ac:dyDescent="0.3">
      <c r="U669901" s="25"/>
    </row>
    <row r="669923" spans="21:21" x14ac:dyDescent="0.3">
      <c r="U669923" s="25"/>
    </row>
    <row r="669945" spans="21:21" x14ac:dyDescent="0.3">
      <c r="U669945" s="25"/>
    </row>
    <row r="669967" spans="21:21" x14ac:dyDescent="0.3">
      <c r="U669967" s="25"/>
    </row>
    <row r="669989" spans="21:21" x14ac:dyDescent="0.3">
      <c r="U669989" s="25"/>
    </row>
    <row r="670011" spans="21:21" x14ac:dyDescent="0.3">
      <c r="U670011" s="25"/>
    </row>
    <row r="670033" spans="21:21" x14ac:dyDescent="0.3">
      <c r="U670033" s="25"/>
    </row>
    <row r="670055" spans="21:21" x14ac:dyDescent="0.3">
      <c r="U670055" s="25"/>
    </row>
    <row r="670077" spans="21:21" x14ac:dyDescent="0.3">
      <c r="U670077" s="25"/>
    </row>
    <row r="670099" spans="21:21" x14ac:dyDescent="0.3">
      <c r="U670099" s="25"/>
    </row>
    <row r="670121" spans="21:21" x14ac:dyDescent="0.3">
      <c r="U670121" s="25"/>
    </row>
    <row r="670143" spans="21:21" x14ac:dyDescent="0.3">
      <c r="U670143" s="25"/>
    </row>
    <row r="670165" spans="21:21" x14ac:dyDescent="0.3">
      <c r="U670165" s="25"/>
    </row>
    <row r="670187" spans="21:21" x14ac:dyDescent="0.3">
      <c r="U670187" s="25"/>
    </row>
    <row r="670209" spans="21:21" x14ac:dyDescent="0.3">
      <c r="U670209" s="25"/>
    </row>
    <row r="670231" spans="21:21" x14ac:dyDescent="0.3">
      <c r="U670231" s="25"/>
    </row>
    <row r="670253" spans="21:21" x14ac:dyDescent="0.3">
      <c r="U670253" s="25"/>
    </row>
    <row r="670275" spans="21:21" x14ac:dyDescent="0.3">
      <c r="U670275" s="25"/>
    </row>
    <row r="670297" spans="21:21" x14ac:dyDescent="0.3">
      <c r="U670297" s="25"/>
    </row>
    <row r="670319" spans="21:21" x14ac:dyDescent="0.3">
      <c r="U670319" s="25"/>
    </row>
    <row r="670341" spans="21:21" x14ac:dyDescent="0.3">
      <c r="U670341" s="25"/>
    </row>
    <row r="670363" spans="21:21" x14ac:dyDescent="0.3">
      <c r="U670363" s="25"/>
    </row>
    <row r="670385" spans="21:21" x14ac:dyDescent="0.3">
      <c r="U670385" s="25"/>
    </row>
    <row r="670407" spans="21:21" x14ac:dyDescent="0.3">
      <c r="U670407" s="25"/>
    </row>
    <row r="670429" spans="21:21" x14ac:dyDescent="0.3">
      <c r="U670429" s="25"/>
    </row>
    <row r="670451" spans="21:21" x14ac:dyDescent="0.3">
      <c r="U670451" s="25"/>
    </row>
    <row r="670473" spans="21:21" x14ac:dyDescent="0.3">
      <c r="U670473" s="25"/>
    </row>
    <row r="670495" spans="21:21" x14ac:dyDescent="0.3">
      <c r="U670495" s="25"/>
    </row>
    <row r="670517" spans="21:21" x14ac:dyDescent="0.3">
      <c r="U670517" s="25"/>
    </row>
    <row r="670539" spans="21:21" x14ac:dyDescent="0.3">
      <c r="U670539" s="25"/>
    </row>
    <row r="670561" spans="21:21" x14ac:dyDescent="0.3">
      <c r="U670561" s="25"/>
    </row>
    <row r="670583" spans="21:21" x14ac:dyDescent="0.3">
      <c r="U670583" s="25"/>
    </row>
    <row r="670605" spans="21:21" x14ac:dyDescent="0.3">
      <c r="U670605" s="25"/>
    </row>
    <row r="670627" spans="21:21" x14ac:dyDescent="0.3">
      <c r="U670627" s="25"/>
    </row>
    <row r="670649" spans="21:21" x14ac:dyDescent="0.3">
      <c r="U670649" s="25"/>
    </row>
    <row r="670671" spans="21:21" x14ac:dyDescent="0.3">
      <c r="U670671" s="25"/>
    </row>
    <row r="670693" spans="21:21" x14ac:dyDescent="0.3">
      <c r="U670693" s="25"/>
    </row>
    <row r="670715" spans="21:21" x14ac:dyDescent="0.3">
      <c r="U670715" s="25"/>
    </row>
    <row r="670737" spans="21:21" x14ac:dyDescent="0.3">
      <c r="U670737" s="25"/>
    </row>
    <row r="670759" spans="21:21" x14ac:dyDescent="0.3">
      <c r="U670759" s="25"/>
    </row>
    <row r="670781" spans="21:21" x14ac:dyDescent="0.3">
      <c r="U670781" s="25"/>
    </row>
    <row r="670803" spans="21:21" x14ac:dyDescent="0.3">
      <c r="U670803" s="25"/>
    </row>
    <row r="670825" spans="21:21" x14ac:dyDescent="0.3">
      <c r="U670825" s="25"/>
    </row>
    <row r="670847" spans="21:21" x14ac:dyDescent="0.3">
      <c r="U670847" s="25"/>
    </row>
    <row r="670869" spans="21:21" x14ac:dyDescent="0.3">
      <c r="U670869" s="25"/>
    </row>
    <row r="670891" spans="21:21" x14ac:dyDescent="0.3">
      <c r="U670891" s="25"/>
    </row>
    <row r="670913" spans="21:21" x14ac:dyDescent="0.3">
      <c r="U670913" s="25"/>
    </row>
    <row r="670935" spans="21:21" x14ac:dyDescent="0.3">
      <c r="U670935" s="25"/>
    </row>
    <row r="670957" spans="21:21" x14ac:dyDescent="0.3">
      <c r="U670957" s="25"/>
    </row>
    <row r="670979" spans="21:21" x14ac:dyDescent="0.3">
      <c r="U670979" s="25"/>
    </row>
    <row r="671001" spans="21:21" x14ac:dyDescent="0.3">
      <c r="U671001" s="25"/>
    </row>
    <row r="671023" spans="21:21" x14ac:dyDescent="0.3">
      <c r="U671023" s="25"/>
    </row>
    <row r="671045" spans="21:21" x14ac:dyDescent="0.3">
      <c r="U671045" s="25"/>
    </row>
    <row r="671067" spans="21:21" x14ac:dyDescent="0.3">
      <c r="U671067" s="25"/>
    </row>
    <row r="671089" spans="21:21" x14ac:dyDescent="0.3">
      <c r="U671089" s="25"/>
    </row>
    <row r="671111" spans="21:21" x14ac:dyDescent="0.3">
      <c r="U671111" s="25"/>
    </row>
    <row r="671133" spans="21:21" x14ac:dyDescent="0.3">
      <c r="U671133" s="25"/>
    </row>
    <row r="671155" spans="21:21" x14ac:dyDescent="0.3">
      <c r="U671155" s="25"/>
    </row>
    <row r="671177" spans="21:21" x14ac:dyDescent="0.3">
      <c r="U671177" s="25"/>
    </row>
    <row r="671199" spans="21:21" x14ac:dyDescent="0.3">
      <c r="U671199" s="25"/>
    </row>
    <row r="671221" spans="21:21" x14ac:dyDescent="0.3">
      <c r="U671221" s="25"/>
    </row>
    <row r="671243" spans="21:21" x14ac:dyDescent="0.3">
      <c r="U671243" s="25"/>
    </row>
    <row r="671265" spans="21:21" x14ac:dyDescent="0.3">
      <c r="U671265" s="25"/>
    </row>
    <row r="671287" spans="21:21" x14ac:dyDescent="0.3">
      <c r="U671287" s="25"/>
    </row>
    <row r="671309" spans="21:21" x14ac:dyDescent="0.3">
      <c r="U671309" s="25"/>
    </row>
    <row r="671331" spans="21:21" x14ac:dyDescent="0.3">
      <c r="U671331" s="25"/>
    </row>
    <row r="671353" spans="21:21" x14ac:dyDescent="0.3">
      <c r="U671353" s="25"/>
    </row>
    <row r="671375" spans="21:21" x14ac:dyDescent="0.3">
      <c r="U671375" s="25"/>
    </row>
    <row r="671397" spans="21:21" x14ac:dyDescent="0.3">
      <c r="U671397" s="25"/>
    </row>
    <row r="671419" spans="21:21" x14ac:dyDescent="0.3">
      <c r="U671419" s="25"/>
    </row>
    <row r="671441" spans="21:21" x14ac:dyDescent="0.3">
      <c r="U671441" s="25"/>
    </row>
    <row r="671463" spans="21:21" x14ac:dyDescent="0.3">
      <c r="U671463" s="25"/>
    </row>
    <row r="671485" spans="21:21" x14ac:dyDescent="0.3">
      <c r="U671485" s="25"/>
    </row>
    <row r="671507" spans="21:21" x14ac:dyDescent="0.3">
      <c r="U671507" s="25"/>
    </row>
    <row r="671529" spans="21:21" x14ac:dyDescent="0.3">
      <c r="U671529" s="25"/>
    </row>
    <row r="671551" spans="21:21" x14ac:dyDescent="0.3">
      <c r="U671551" s="25"/>
    </row>
    <row r="671573" spans="21:21" x14ac:dyDescent="0.3">
      <c r="U671573" s="25"/>
    </row>
    <row r="671595" spans="21:21" x14ac:dyDescent="0.3">
      <c r="U671595" s="25"/>
    </row>
    <row r="671617" spans="21:21" x14ac:dyDescent="0.3">
      <c r="U671617" s="25"/>
    </row>
    <row r="671639" spans="21:21" x14ac:dyDescent="0.3">
      <c r="U671639" s="25"/>
    </row>
    <row r="671661" spans="21:21" x14ac:dyDescent="0.3">
      <c r="U671661" s="25"/>
    </row>
    <row r="671683" spans="21:21" x14ac:dyDescent="0.3">
      <c r="U671683" s="25"/>
    </row>
    <row r="671705" spans="21:21" x14ac:dyDescent="0.3">
      <c r="U671705" s="25"/>
    </row>
    <row r="671727" spans="21:21" x14ac:dyDescent="0.3">
      <c r="U671727" s="25"/>
    </row>
    <row r="671749" spans="21:21" x14ac:dyDescent="0.3">
      <c r="U671749" s="25"/>
    </row>
    <row r="671771" spans="21:21" x14ac:dyDescent="0.3">
      <c r="U671771" s="25"/>
    </row>
    <row r="671793" spans="21:21" x14ac:dyDescent="0.3">
      <c r="U671793" s="25"/>
    </row>
    <row r="671815" spans="21:21" x14ac:dyDescent="0.3">
      <c r="U671815" s="25"/>
    </row>
    <row r="671837" spans="21:21" x14ac:dyDescent="0.3">
      <c r="U671837" s="25"/>
    </row>
    <row r="671859" spans="21:21" x14ac:dyDescent="0.3">
      <c r="U671859" s="25"/>
    </row>
    <row r="671881" spans="21:21" x14ac:dyDescent="0.3">
      <c r="U671881" s="25"/>
    </row>
    <row r="671903" spans="21:21" x14ac:dyDescent="0.3">
      <c r="U671903" s="25"/>
    </row>
    <row r="671925" spans="21:21" x14ac:dyDescent="0.3">
      <c r="U671925" s="25"/>
    </row>
    <row r="671947" spans="21:21" x14ac:dyDescent="0.3">
      <c r="U671947" s="25"/>
    </row>
    <row r="671969" spans="21:21" x14ac:dyDescent="0.3">
      <c r="U671969" s="25"/>
    </row>
    <row r="671991" spans="21:21" x14ac:dyDescent="0.3">
      <c r="U671991" s="25"/>
    </row>
    <row r="672013" spans="21:21" x14ac:dyDescent="0.3">
      <c r="U672013" s="25"/>
    </row>
    <row r="672035" spans="21:21" x14ac:dyDescent="0.3">
      <c r="U672035" s="25"/>
    </row>
    <row r="672057" spans="21:21" x14ac:dyDescent="0.3">
      <c r="U672057" s="25"/>
    </row>
    <row r="672079" spans="21:21" x14ac:dyDescent="0.3">
      <c r="U672079" s="25"/>
    </row>
    <row r="672101" spans="21:21" x14ac:dyDescent="0.3">
      <c r="U672101" s="25"/>
    </row>
    <row r="672123" spans="21:21" x14ac:dyDescent="0.3">
      <c r="U672123" s="25"/>
    </row>
    <row r="672145" spans="21:21" x14ac:dyDescent="0.3">
      <c r="U672145" s="25"/>
    </row>
    <row r="672167" spans="21:21" x14ac:dyDescent="0.3">
      <c r="U672167" s="25"/>
    </row>
    <row r="672189" spans="21:21" x14ac:dyDescent="0.3">
      <c r="U672189" s="25"/>
    </row>
    <row r="672211" spans="21:21" x14ac:dyDescent="0.3">
      <c r="U672211" s="25"/>
    </row>
    <row r="672233" spans="21:21" x14ac:dyDescent="0.3">
      <c r="U672233" s="25"/>
    </row>
    <row r="672255" spans="21:21" x14ac:dyDescent="0.3">
      <c r="U672255" s="25"/>
    </row>
    <row r="672277" spans="21:21" x14ac:dyDescent="0.3">
      <c r="U672277" s="25"/>
    </row>
    <row r="672299" spans="21:21" x14ac:dyDescent="0.3">
      <c r="U672299" s="25"/>
    </row>
    <row r="672321" spans="21:21" x14ac:dyDescent="0.3">
      <c r="U672321" s="25"/>
    </row>
    <row r="672343" spans="21:21" x14ac:dyDescent="0.3">
      <c r="U672343" s="25"/>
    </row>
    <row r="672365" spans="21:21" x14ac:dyDescent="0.3">
      <c r="U672365" s="25"/>
    </row>
    <row r="672387" spans="21:21" x14ac:dyDescent="0.3">
      <c r="U672387" s="25"/>
    </row>
    <row r="672409" spans="21:21" x14ac:dyDescent="0.3">
      <c r="U672409" s="25"/>
    </row>
    <row r="672431" spans="21:21" x14ac:dyDescent="0.3">
      <c r="U672431" s="25"/>
    </row>
    <row r="672453" spans="21:21" x14ac:dyDescent="0.3">
      <c r="U672453" s="25"/>
    </row>
    <row r="672475" spans="21:21" x14ac:dyDescent="0.3">
      <c r="U672475" s="25"/>
    </row>
    <row r="672497" spans="21:21" x14ac:dyDescent="0.3">
      <c r="U672497" s="25"/>
    </row>
    <row r="672519" spans="21:21" x14ac:dyDescent="0.3">
      <c r="U672519" s="25"/>
    </row>
    <row r="672541" spans="21:21" x14ac:dyDescent="0.3">
      <c r="U672541" s="25"/>
    </row>
    <row r="672563" spans="21:21" x14ac:dyDescent="0.3">
      <c r="U672563" s="25"/>
    </row>
    <row r="672585" spans="21:21" x14ac:dyDescent="0.3">
      <c r="U672585" s="25"/>
    </row>
    <row r="672607" spans="21:21" x14ac:dyDescent="0.3">
      <c r="U672607" s="25"/>
    </row>
    <row r="672629" spans="21:21" x14ac:dyDescent="0.3">
      <c r="U672629" s="25"/>
    </row>
    <row r="672651" spans="21:21" x14ac:dyDescent="0.3">
      <c r="U672651" s="25"/>
    </row>
    <row r="672673" spans="21:21" x14ac:dyDescent="0.3">
      <c r="U672673" s="25"/>
    </row>
    <row r="672695" spans="21:21" x14ac:dyDescent="0.3">
      <c r="U672695" s="25"/>
    </row>
    <row r="672717" spans="21:21" x14ac:dyDescent="0.3">
      <c r="U672717" s="25"/>
    </row>
    <row r="672739" spans="21:21" x14ac:dyDescent="0.3">
      <c r="U672739" s="25"/>
    </row>
    <row r="672761" spans="21:21" x14ac:dyDescent="0.3">
      <c r="U672761" s="25"/>
    </row>
    <row r="672783" spans="21:21" x14ac:dyDescent="0.3">
      <c r="U672783" s="25"/>
    </row>
    <row r="672805" spans="21:21" x14ac:dyDescent="0.3">
      <c r="U672805" s="25"/>
    </row>
    <row r="672827" spans="21:21" x14ac:dyDescent="0.3">
      <c r="U672827" s="25"/>
    </row>
    <row r="672849" spans="21:21" x14ac:dyDescent="0.3">
      <c r="U672849" s="25"/>
    </row>
    <row r="672871" spans="21:21" x14ac:dyDescent="0.3">
      <c r="U672871" s="25"/>
    </row>
    <row r="672893" spans="21:21" x14ac:dyDescent="0.3">
      <c r="U672893" s="25"/>
    </row>
    <row r="672915" spans="21:21" x14ac:dyDescent="0.3">
      <c r="U672915" s="25"/>
    </row>
    <row r="672937" spans="21:21" x14ac:dyDescent="0.3">
      <c r="U672937" s="25"/>
    </row>
    <row r="672959" spans="21:21" x14ac:dyDescent="0.3">
      <c r="U672959" s="25"/>
    </row>
    <row r="672981" spans="21:21" x14ac:dyDescent="0.3">
      <c r="U672981" s="25"/>
    </row>
    <row r="673003" spans="21:21" x14ac:dyDescent="0.3">
      <c r="U673003" s="25"/>
    </row>
    <row r="673025" spans="21:21" x14ac:dyDescent="0.3">
      <c r="U673025" s="25"/>
    </row>
    <row r="673047" spans="21:21" x14ac:dyDescent="0.3">
      <c r="U673047" s="25"/>
    </row>
    <row r="673069" spans="21:21" x14ac:dyDescent="0.3">
      <c r="U673069" s="25"/>
    </row>
    <row r="673091" spans="21:21" x14ac:dyDescent="0.3">
      <c r="U673091" s="25"/>
    </row>
    <row r="673113" spans="21:21" x14ac:dyDescent="0.3">
      <c r="U673113" s="25"/>
    </row>
    <row r="673135" spans="21:21" x14ac:dyDescent="0.3">
      <c r="U673135" s="25"/>
    </row>
    <row r="673157" spans="21:21" x14ac:dyDescent="0.3">
      <c r="U673157" s="25"/>
    </row>
    <row r="673179" spans="21:21" x14ac:dyDescent="0.3">
      <c r="U673179" s="25"/>
    </row>
    <row r="673201" spans="21:21" x14ac:dyDescent="0.3">
      <c r="U673201" s="25"/>
    </row>
    <row r="673223" spans="21:21" x14ac:dyDescent="0.3">
      <c r="U673223" s="25"/>
    </row>
    <row r="673245" spans="21:21" x14ac:dyDescent="0.3">
      <c r="U673245" s="25"/>
    </row>
    <row r="673267" spans="21:21" x14ac:dyDescent="0.3">
      <c r="U673267" s="25"/>
    </row>
    <row r="673289" spans="21:21" x14ac:dyDescent="0.3">
      <c r="U673289" s="25"/>
    </row>
    <row r="673311" spans="21:21" x14ac:dyDescent="0.3">
      <c r="U673311" s="25"/>
    </row>
    <row r="673333" spans="21:21" x14ac:dyDescent="0.3">
      <c r="U673333" s="25"/>
    </row>
    <row r="673355" spans="21:21" x14ac:dyDescent="0.3">
      <c r="U673355" s="25"/>
    </row>
    <row r="673377" spans="21:21" x14ac:dyDescent="0.3">
      <c r="U673377" s="25"/>
    </row>
    <row r="673399" spans="21:21" x14ac:dyDescent="0.3">
      <c r="U673399" s="25"/>
    </row>
    <row r="673421" spans="21:21" x14ac:dyDescent="0.3">
      <c r="U673421" s="25"/>
    </row>
    <row r="673443" spans="21:21" x14ac:dyDescent="0.3">
      <c r="U673443" s="25"/>
    </row>
    <row r="673465" spans="21:21" x14ac:dyDescent="0.3">
      <c r="U673465" s="25"/>
    </row>
    <row r="673487" spans="21:21" x14ac:dyDescent="0.3">
      <c r="U673487" s="25"/>
    </row>
    <row r="673509" spans="21:21" x14ac:dyDescent="0.3">
      <c r="U673509" s="25"/>
    </row>
    <row r="673531" spans="21:21" x14ac:dyDescent="0.3">
      <c r="U673531" s="25"/>
    </row>
    <row r="673553" spans="21:21" x14ac:dyDescent="0.3">
      <c r="U673553" s="25"/>
    </row>
    <row r="673575" spans="21:21" x14ac:dyDescent="0.3">
      <c r="U673575" s="25"/>
    </row>
    <row r="673597" spans="21:21" x14ac:dyDescent="0.3">
      <c r="U673597" s="25"/>
    </row>
    <row r="673619" spans="21:21" x14ac:dyDescent="0.3">
      <c r="U673619" s="25"/>
    </row>
    <row r="673641" spans="21:21" x14ac:dyDescent="0.3">
      <c r="U673641" s="25"/>
    </row>
    <row r="673663" spans="21:21" x14ac:dyDescent="0.3">
      <c r="U673663" s="25"/>
    </row>
    <row r="673685" spans="21:21" x14ac:dyDescent="0.3">
      <c r="U673685" s="25"/>
    </row>
    <row r="673707" spans="21:21" x14ac:dyDescent="0.3">
      <c r="U673707" s="25"/>
    </row>
    <row r="673729" spans="21:21" x14ac:dyDescent="0.3">
      <c r="U673729" s="25"/>
    </row>
    <row r="673751" spans="21:21" x14ac:dyDescent="0.3">
      <c r="U673751" s="25"/>
    </row>
    <row r="673773" spans="21:21" x14ac:dyDescent="0.3">
      <c r="U673773" s="25"/>
    </row>
    <row r="673795" spans="21:21" x14ac:dyDescent="0.3">
      <c r="U673795" s="25"/>
    </row>
    <row r="673817" spans="21:21" x14ac:dyDescent="0.3">
      <c r="U673817" s="25"/>
    </row>
    <row r="673839" spans="21:21" x14ac:dyDescent="0.3">
      <c r="U673839" s="25"/>
    </row>
    <row r="673861" spans="21:21" x14ac:dyDescent="0.3">
      <c r="U673861" s="25"/>
    </row>
    <row r="673883" spans="21:21" x14ac:dyDescent="0.3">
      <c r="U673883" s="25"/>
    </row>
    <row r="673905" spans="21:21" x14ac:dyDescent="0.3">
      <c r="U673905" s="25"/>
    </row>
    <row r="673927" spans="21:21" x14ac:dyDescent="0.3">
      <c r="U673927" s="25"/>
    </row>
    <row r="673949" spans="21:21" x14ac:dyDescent="0.3">
      <c r="U673949" s="25"/>
    </row>
    <row r="673971" spans="21:21" x14ac:dyDescent="0.3">
      <c r="U673971" s="25"/>
    </row>
    <row r="673993" spans="21:21" x14ac:dyDescent="0.3">
      <c r="U673993" s="25"/>
    </row>
    <row r="674015" spans="21:21" x14ac:dyDescent="0.3">
      <c r="U674015" s="25"/>
    </row>
    <row r="674037" spans="21:21" x14ac:dyDescent="0.3">
      <c r="U674037" s="25"/>
    </row>
    <row r="674059" spans="21:21" x14ac:dyDescent="0.3">
      <c r="U674059" s="25"/>
    </row>
    <row r="674081" spans="21:21" x14ac:dyDescent="0.3">
      <c r="U674081" s="25"/>
    </row>
    <row r="674103" spans="21:21" x14ac:dyDescent="0.3">
      <c r="U674103" s="25"/>
    </row>
    <row r="674125" spans="21:21" x14ac:dyDescent="0.3">
      <c r="U674125" s="25"/>
    </row>
    <row r="674147" spans="21:21" x14ac:dyDescent="0.3">
      <c r="U674147" s="25"/>
    </row>
    <row r="674169" spans="21:21" x14ac:dyDescent="0.3">
      <c r="U674169" s="25"/>
    </row>
    <row r="674191" spans="21:21" x14ac:dyDescent="0.3">
      <c r="U674191" s="25"/>
    </row>
    <row r="674213" spans="21:21" x14ac:dyDescent="0.3">
      <c r="U674213" s="25"/>
    </row>
    <row r="674235" spans="21:21" x14ac:dyDescent="0.3">
      <c r="U674235" s="25"/>
    </row>
    <row r="674257" spans="21:21" x14ac:dyDescent="0.3">
      <c r="U674257" s="25"/>
    </row>
    <row r="674279" spans="21:21" x14ac:dyDescent="0.3">
      <c r="U674279" s="25"/>
    </row>
    <row r="674301" spans="21:21" x14ac:dyDescent="0.3">
      <c r="U674301" s="25"/>
    </row>
    <row r="674323" spans="21:21" x14ac:dyDescent="0.3">
      <c r="U674323" s="25"/>
    </row>
    <row r="674345" spans="21:21" x14ac:dyDescent="0.3">
      <c r="U674345" s="25"/>
    </row>
    <row r="674367" spans="21:21" x14ac:dyDescent="0.3">
      <c r="U674367" s="25"/>
    </row>
    <row r="674389" spans="21:21" x14ac:dyDescent="0.3">
      <c r="U674389" s="25"/>
    </row>
    <row r="674411" spans="21:21" x14ac:dyDescent="0.3">
      <c r="U674411" s="25"/>
    </row>
    <row r="674433" spans="21:21" x14ac:dyDescent="0.3">
      <c r="U674433" s="25"/>
    </row>
    <row r="674455" spans="21:21" x14ac:dyDescent="0.3">
      <c r="U674455" s="25"/>
    </row>
    <row r="674477" spans="21:21" x14ac:dyDescent="0.3">
      <c r="U674477" s="25"/>
    </row>
    <row r="674499" spans="21:21" x14ac:dyDescent="0.3">
      <c r="U674499" s="25"/>
    </row>
    <row r="674521" spans="21:21" x14ac:dyDescent="0.3">
      <c r="U674521" s="25"/>
    </row>
    <row r="674543" spans="21:21" x14ac:dyDescent="0.3">
      <c r="U674543" s="25"/>
    </row>
    <row r="674565" spans="21:21" x14ac:dyDescent="0.3">
      <c r="U674565" s="25"/>
    </row>
    <row r="674587" spans="21:21" x14ac:dyDescent="0.3">
      <c r="U674587" s="25"/>
    </row>
    <row r="674609" spans="21:21" x14ac:dyDescent="0.3">
      <c r="U674609" s="25"/>
    </row>
    <row r="674631" spans="21:21" x14ac:dyDescent="0.3">
      <c r="U674631" s="25"/>
    </row>
    <row r="674653" spans="21:21" x14ac:dyDescent="0.3">
      <c r="U674653" s="25"/>
    </row>
    <row r="674675" spans="21:21" x14ac:dyDescent="0.3">
      <c r="U674675" s="25"/>
    </row>
    <row r="674697" spans="21:21" x14ac:dyDescent="0.3">
      <c r="U674697" s="25"/>
    </row>
    <row r="674719" spans="21:21" x14ac:dyDescent="0.3">
      <c r="U674719" s="25"/>
    </row>
    <row r="674741" spans="21:21" x14ac:dyDescent="0.3">
      <c r="U674741" s="25"/>
    </row>
    <row r="674763" spans="21:21" x14ac:dyDescent="0.3">
      <c r="U674763" s="25"/>
    </row>
    <row r="674785" spans="21:21" x14ac:dyDescent="0.3">
      <c r="U674785" s="25"/>
    </row>
    <row r="674807" spans="21:21" x14ac:dyDescent="0.3">
      <c r="U674807" s="25"/>
    </row>
    <row r="674829" spans="21:21" x14ac:dyDescent="0.3">
      <c r="U674829" s="25"/>
    </row>
    <row r="674851" spans="21:21" x14ac:dyDescent="0.3">
      <c r="U674851" s="25"/>
    </row>
    <row r="674873" spans="21:21" x14ac:dyDescent="0.3">
      <c r="U674873" s="25"/>
    </row>
    <row r="674895" spans="21:21" x14ac:dyDescent="0.3">
      <c r="U674895" s="25"/>
    </row>
    <row r="674917" spans="21:21" x14ac:dyDescent="0.3">
      <c r="U674917" s="25"/>
    </row>
    <row r="674939" spans="21:21" x14ac:dyDescent="0.3">
      <c r="U674939" s="25"/>
    </row>
    <row r="674961" spans="21:21" x14ac:dyDescent="0.3">
      <c r="U674961" s="25"/>
    </row>
    <row r="674983" spans="21:21" x14ac:dyDescent="0.3">
      <c r="U674983" s="25"/>
    </row>
    <row r="675005" spans="21:21" x14ac:dyDescent="0.3">
      <c r="U675005" s="25"/>
    </row>
    <row r="675027" spans="21:21" x14ac:dyDescent="0.3">
      <c r="U675027" s="25"/>
    </row>
    <row r="675049" spans="21:21" x14ac:dyDescent="0.3">
      <c r="U675049" s="25"/>
    </row>
    <row r="675071" spans="21:21" x14ac:dyDescent="0.3">
      <c r="U675071" s="25"/>
    </row>
    <row r="675093" spans="21:21" x14ac:dyDescent="0.3">
      <c r="U675093" s="25"/>
    </row>
    <row r="675115" spans="21:21" x14ac:dyDescent="0.3">
      <c r="U675115" s="25"/>
    </row>
    <row r="675137" spans="21:21" x14ac:dyDescent="0.3">
      <c r="U675137" s="25"/>
    </row>
    <row r="675159" spans="21:21" x14ac:dyDescent="0.3">
      <c r="U675159" s="25"/>
    </row>
    <row r="675181" spans="21:21" x14ac:dyDescent="0.3">
      <c r="U675181" s="25"/>
    </row>
    <row r="675203" spans="21:21" x14ac:dyDescent="0.3">
      <c r="U675203" s="25"/>
    </row>
    <row r="675225" spans="21:21" x14ac:dyDescent="0.3">
      <c r="U675225" s="25"/>
    </row>
    <row r="675247" spans="21:21" x14ac:dyDescent="0.3">
      <c r="U675247" s="25"/>
    </row>
    <row r="675269" spans="21:21" x14ac:dyDescent="0.3">
      <c r="U675269" s="25"/>
    </row>
    <row r="675291" spans="21:21" x14ac:dyDescent="0.3">
      <c r="U675291" s="25"/>
    </row>
    <row r="675313" spans="21:21" x14ac:dyDescent="0.3">
      <c r="U675313" s="25"/>
    </row>
    <row r="675335" spans="21:21" x14ac:dyDescent="0.3">
      <c r="U675335" s="25"/>
    </row>
    <row r="675357" spans="21:21" x14ac:dyDescent="0.3">
      <c r="U675357" s="25"/>
    </row>
    <row r="675379" spans="21:21" x14ac:dyDescent="0.3">
      <c r="U675379" s="25"/>
    </row>
    <row r="675401" spans="21:21" x14ac:dyDescent="0.3">
      <c r="U675401" s="25"/>
    </row>
    <row r="675423" spans="21:21" x14ac:dyDescent="0.3">
      <c r="U675423" s="25"/>
    </row>
    <row r="675445" spans="21:21" x14ac:dyDescent="0.3">
      <c r="U675445" s="25"/>
    </row>
    <row r="675467" spans="21:21" x14ac:dyDescent="0.3">
      <c r="U675467" s="25"/>
    </row>
    <row r="675489" spans="21:21" x14ac:dyDescent="0.3">
      <c r="U675489" s="25"/>
    </row>
    <row r="675511" spans="21:21" x14ac:dyDescent="0.3">
      <c r="U675511" s="25"/>
    </row>
    <row r="675533" spans="21:21" x14ac:dyDescent="0.3">
      <c r="U675533" s="25"/>
    </row>
    <row r="675555" spans="21:21" x14ac:dyDescent="0.3">
      <c r="U675555" s="25"/>
    </row>
    <row r="675577" spans="21:21" x14ac:dyDescent="0.3">
      <c r="U675577" s="25"/>
    </row>
    <row r="675599" spans="21:21" x14ac:dyDescent="0.3">
      <c r="U675599" s="25"/>
    </row>
    <row r="675621" spans="21:21" x14ac:dyDescent="0.3">
      <c r="U675621" s="25"/>
    </row>
    <row r="675643" spans="21:21" x14ac:dyDescent="0.3">
      <c r="U675643" s="25"/>
    </row>
    <row r="675665" spans="21:21" x14ac:dyDescent="0.3">
      <c r="U675665" s="25"/>
    </row>
    <row r="675687" spans="21:21" x14ac:dyDescent="0.3">
      <c r="U675687" s="25"/>
    </row>
    <row r="675709" spans="21:21" x14ac:dyDescent="0.3">
      <c r="U675709" s="25"/>
    </row>
    <row r="675731" spans="21:21" x14ac:dyDescent="0.3">
      <c r="U675731" s="25"/>
    </row>
    <row r="675753" spans="21:21" x14ac:dyDescent="0.3">
      <c r="U675753" s="25"/>
    </row>
    <row r="675775" spans="21:21" x14ac:dyDescent="0.3">
      <c r="U675775" s="25"/>
    </row>
    <row r="675797" spans="21:21" x14ac:dyDescent="0.3">
      <c r="U675797" s="25"/>
    </row>
    <row r="675819" spans="21:21" x14ac:dyDescent="0.3">
      <c r="U675819" s="25"/>
    </row>
    <row r="675841" spans="21:21" x14ac:dyDescent="0.3">
      <c r="U675841" s="25"/>
    </row>
    <row r="675863" spans="21:21" x14ac:dyDescent="0.3">
      <c r="U675863" s="25"/>
    </row>
    <row r="675885" spans="21:21" x14ac:dyDescent="0.3">
      <c r="U675885" s="25"/>
    </row>
    <row r="675907" spans="21:21" x14ac:dyDescent="0.3">
      <c r="U675907" s="25"/>
    </row>
    <row r="675929" spans="21:21" x14ac:dyDescent="0.3">
      <c r="U675929" s="25"/>
    </row>
    <row r="675951" spans="21:21" x14ac:dyDescent="0.3">
      <c r="U675951" s="25"/>
    </row>
    <row r="675973" spans="21:21" x14ac:dyDescent="0.3">
      <c r="U675973" s="25"/>
    </row>
    <row r="675995" spans="21:21" x14ac:dyDescent="0.3">
      <c r="U675995" s="25"/>
    </row>
    <row r="676017" spans="21:21" x14ac:dyDescent="0.3">
      <c r="U676017" s="25"/>
    </row>
    <row r="676039" spans="21:21" x14ac:dyDescent="0.3">
      <c r="U676039" s="25"/>
    </row>
    <row r="676061" spans="21:21" x14ac:dyDescent="0.3">
      <c r="U676061" s="25"/>
    </row>
    <row r="676083" spans="21:21" x14ac:dyDescent="0.3">
      <c r="U676083" s="25"/>
    </row>
    <row r="676105" spans="21:21" x14ac:dyDescent="0.3">
      <c r="U676105" s="25"/>
    </row>
    <row r="676127" spans="21:21" x14ac:dyDescent="0.3">
      <c r="U676127" s="25"/>
    </row>
    <row r="676149" spans="21:21" x14ac:dyDescent="0.3">
      <c r="U676149" s="25"/>
    </row>
    <row r="676171" spans="21:21" x14ac:dyDescent="0.3">
      <c r="U676171" s="25"/>
    </row>
    <row r="676193" spans="21:21" x14ac:dyDescent="0.3">
      <c r="U676193" s="25"/>
    </row>
    <row r="676215" spans="21:21" x14ac:dyDescent="0.3">
      <c r="U676215" s="25"/>
    </row>
    <row r="676237" spans="21:21" x14ac:dyDescent="0.3">
      <c r="U676237" s="25"/>
    </row>
    <row r="676259" spans="21:21" x14ac:dyDescent="0.3">
      <c r="U676259" s="25"/>
    </row>
    <row r="676281" spans="21:21" x14ac:dyDescent="0.3">
      <c r="U676281" s="25"/>
    </row>
    <row r="676303" spans="21:21" x14ac:dyDescent="0.3">
      <c r="U676303" s="25"/>
    </row>
    <row r="676325" spans="21:21" x14ac:dyDescent="0.3">
      <c r="U676325" s="25"/>
    </row>
    <row r="676347" spans="21:21" x14ac:dyDescent="0.3">
      <c r="U676347" s="25"/>
    </row>
    <row r="676369" spans="21:21" x14ac:dyDescent="0.3">
      <c r="U676369" s="25"/>
    </row>
    <row r="676391" spans="21:21" x14ac:dyDescent="0.3">
      <c r="U676391" s="25"/>
    </row>
    <row r="676413" spans="21:21" x14ac:dyDescent="0.3">
      <c r="U676413" s="25"/>
    </row>
    <row r="676435" spans="21:21" x14ac:dyDescent="0.3">
      <c r="U676435" s="25"/>
    </row>
    <row r="676457" spans="21:21" x14ac:dyDescent="0.3">
      <c r="U676457" s="25"/>
    </row>
    <row r="676479" spans="21:21" x14ac:dyDescent="0.3">
      <c r="U676479" s="25"/>
    </row>
    <row r="676501" spans="21:21" x14ac:dyDescent="0.3">
      <c r="U676501" s="25"/>
    </row>
    <row r="676523" spans="21:21" x14ac:dyDescent="0.3">
      <c r="U676523" s="25"/>
    </row>
    <row r="676545" spans="21:21" x14ac:dyDescent="0.3">
      <c r="U676545" s="25"/>
    </row>
    <row r="676567" spans="21:21" x14ac:dyDescent="0.3">
      <c r="U676567" s="25"/>
    </row>
    <row r="676589" spans="21:21" x14ac:dyDescent="0.3">
      <c r="U676589" s="25"/>
    </row>
    <row r="676611" spans="21:21" x14ac:dyDescent="0.3">
      <c r="U676611" s="25"/>
    </row>
    <row r="676633" spans="21:21" x14ac:dyDescent="0.3">
      <c r="U676633" s="25"/>
    </row>
    <row r="676655" spans="21:21" x14ac:dyDescent="0.3">
      <c r="U676655" s="25"/>
    </row>
    <row r="676677" spans="21:21" x14ac:dyDescent="0.3">
      <c r="U676677" s="25"/>
    </row>
    <row r="676699" spans="21:21" x14ac:dyDescent="0.3">
      <c r="U676699" s="25"/>
    </row>
    <row r="676721" spans="21:21" x14ac:dyDescent="0.3">
      <c r="U676721" s="25"/>
    </row>
    <row r="676743" spans="21:21" x14ac:dyDescent="0.3">
      <c r="U676743" s="25"/>
    </row>
    <row r="676765" spans="21:21" x14ac:dyDescent="0.3">
      <c r="U676765" s="25"/>
    </row>
    <row r="676787" spans="21:21" x14ac:dyDescent="0.3">
      <c r="U676787" s="25"/>
    </row>
    <row r="676809" spans="21:21" x14ac:dyDescent="0.3">
      <c r="U676809" s="25"/>
    </row>
    <row r="676831" spans="21:21" x14ac:dyDescent="0.3">
      <c r="U676831" s="25"/>
    </row>
    <row r="676853" spans="21:21" x14ac:dyDescent="0.3">
      <c r="U676853" s="25"/>
    </row>
    <row r="676875" spans="21:21" x14ac:dyDescent="0.3">
      <c r="U676875" s="25"/>
    </row>
    <row r="676897" spans="21:21" x14ac:dyDescent="0.3">
      <c r="U676897" s="25"/>
    </row>
    <row r="676919" spans="21:21" x14ac:dyDescent="0.3">
      <c r="U676919" s="25"/>
    </row>
    <row r="676941" spans="21:21" x14ac:dyDescent="0.3">
      <c r="U676941" s="25"/>
    </row>
    <row r="676963" spans="21:21" x14ac:dyDescent="0.3">
      <c r="U676963" s="25"/>
    </row>
    <row r="676985" spans="21:21" x14ac:dyDescent="0.3">
      <c r="U676985" s="25"/>
    </row>
    <row r="677007" spans="21:21" x14ac:dyDescent="0.3">
      <c r="U677007" s="25"/>
    </row>
    <row r="677029" spans="21:21" x14ac:dyDescent="0.3">
      <c r="U677029" s="25"/>
    </row>
    <row r="677051" spans="21:21" x14ac:dyDescent="0.3">
      <c r="U677051" s="25"/>
    </row>
    <row r="677073" spans="21:21" x14ac:dyDescent="0.3">
      <c r="U677073" s="25"/>
    </row>
    <row r="677095" spans="21:21" x14ac:dyDescent="0.3">
      <c r="U677095" s="25"/>
    </row>
    <row r="677117" spans="21:21" x14ac:dyDescent="0.3">
      <c r="U677117" s="25"/>
    </row>
    <row r="677139" spans="21:21" x14ac:dyDescent="0.3">
      <c r="U677139" s="25"/>
    </row>
    <row r="677161" spans="21:21" x14ac:dyDescent="0.3">
      <c r="U677161" s="25"/>
    </row>
    <row r="677183" spans="21:21" x14ac:dyDescent="0.3">
      <c r="U677183" s="25"/>
    </row>
    <row r="677205" spans="21:21" x14ac:dyDescent="0.3">
      <c r="U677205" s="25"/>
    </row>
    <row r="677227" spans="21:21" x14ac:dyDescent="0.3">
      <c r="U677227" s="25"/>
    </row>
    <row r="677249" spans="21:21" x14ac:dyDescent="0.3">
      <c r="U677249" s="25"/>
    </row>
    <row r="677271" spans="21:21" x14ac:dyDescent="0.3">
      <c r="U677271" s="25"/>
    </row>
    <row r="677293" spans="21:21" x14ac:dyDescent="0.3">
      <c r="U677293" s="25"/>
    </row>
    <row r="677315" spans="21:21" x14ac:dyDescent="0.3">
      <c r="U677315" s="25"/>
    </row>
    <row r="677337" spans="21:21" x14ac:dyDescent="0.3">
      <c r="U677337" s="25"/>
    </row>
    <row r="677359" spans="21:21" x14ac:dyDescent="0.3">
      <c r="U677359" s="25"/>
    </row>
    <row r="677381" spans="21:21" x14ac:dyDescent="0.3">
      <c r="U677381" s="25"/>
    </row>
    <row r="677403" spans="21:21" x14ac:dyDescent="0.3">
      <c r="U677403" s="25"/>
    </row>
    <row r="677425" spans="21:21" x14ac:dyDescent="0.3">
      <c r="U677425" s="25"/>
    </row>
    <row r="677447" spans="21:21" x14ac:dyDescent="0.3">
      <c r="U677447" s="25"/>
    </row>
    <row r="677469" spans="21:21" x14ac:dyDescent="0.3">
      <c r="U677469" s="25"/>
    </row>
    <row r="677491" spans="21:21" x14ac:dyDescent="0.3">
      <c r="U677491" s="25"/>
    </row>
    <row r="677513" spans="21:21" x14ac:dyDescent="0.3">
      <c r="U677513" s="25"/>
    </row>
    <row r="677535" spans="21:21" x14ac:dyDescent="0.3">
      <c r="U677535" s="25"/>
    </row>
    <row r="677557" spans="21:21" x14ac:dyDescent="0.3">
      <c r="U677557" s="25"/>
    </row>
    <row r="677579" spans="21:21" x14ac:dyDescent="0.3">
      <c r="U677579" s="25"/>
    </row>
    <row r="677601" spans="21:21" x14ac:dyDescent="0.3">
      <c r="U677601" s="25"/>
    </row>
    <row r="677623" spans="21:21" x14ac:dyDescent="0.3">
      <c r="U677623" s="25"/>
    </row>
    <row r="677645" spans="21:21" x14ac:dyDescent="0.3">
      <c r="U677645" s="25"/>
    </row>
    <row r="677667" spans="21:21" x14ac:dyDescent="0.3">
      <c r="U677667" s="25"/>
    </row>
    <row r="677689" spans="21:21" x14ac:dyDescent="0.3">
      <c r="U677689" s="25"/>
    </row>
    <row r="677711" spans="21:21" x14ac:dyDescent="0.3">
      <c r="U677711" s="25"/>
    </row>
    <row r="677733" spans="21:21" x14ac:dyDescent="0.3">
      <c r="U677733" s="25"/>
    </row>
    <row r="677755" spans="21:21" x14ac:dyDescent="0.3">
      <c r="U677755" s="25"/>
    </row>
    <row r="677777" spans="21:21" x14ac:dyDescent="0.3">
      <c r="U677777" s="25"/>
    </row>
    <row r="677799" spans="21:21" x14ac:dyDescent="0.3">
      <c r="U677799" s="25"/>
    </row>
    <row r="677821" spans="21:21" x14ac:dyDescent="0.3">
      <c r="U677821" s="25"/>
    </row>
    <row r="677843" spans="21:21" x14ac:dyDescent="0.3">
      <c r="U677843" s="25"/>
    </row>
    <row r="677865" spans="21:21" x14ac:dyDescent="0.3">
      <c r="U677865" s="25"/>
    </row>
    <row r="677887" spans="21:21" x14ac:dyDescent="0.3">
      <c r="U677887" s="25"/>
    </row>
    <row r="677909" spans="21:21" x14ac:dyDescent="0.3">
      <c r="U677909" s="25"/>
    </row>
    <row r="677931" spans="21:21" x14ac:dyDescent="0.3">
      <c r="U677931" s="25"/>
    </row>
    <row r="677953" spans="21:21" x14ac:dyDescent="0.3">
      <c r="U677953" s="25"/>
    </row>
    <row r="677975" spans="21:21" x14ac:dyDescent="0.3">
      <c r="U677975" s="25"/>
    </row>
    <row r="677997" spans="21:21" x14ac:dyDescent="0.3">
      <c r="U677997" s="25"/>
    </row>
    <row r="678019" spans="21:21" x14ac:dyDescent="0.3">
      <c r="U678019" s="25"/>
    </row>
    <row r="678041" spans="21:21" x14ac:dyDescent="0.3">
      <c r="U678041" s="25"/>
    </row>
    <row r="678063" spans="21:21" x14ac:dyDescent="0.3">
      <c r="U678063" s="25"/>
    </row>
    <row r="678085" spans="21:21" x14ac:dyDescent="0.3">
      <c r="U678085" s="25"/>
    </row>
    <row r="678107" spans="21:21" x14ac:dyDescent="0.3">
      <c r="U678107" s="25"/>
    </row>
    <row r="678129" spans="21:21" x14ac:dyDescent="0.3">
      <c r="U678129" s="25"/>
    </row>
    <row r="678151" spans="21:21" x14ac:dyDescent="0.3">
      <c r="U678151" s="25"/>
    </row>
    <row r="678173" spans="21:21" x14ac:dyDescent="0.3">
      <c r="U678173" s="25"/>
    </row>
    <row r="678195" spans="21:21" x14ac:dyDescent="0.3">
      <c r="U678195" s="25"/>
    </row>
    <row r="678217" spans="21:21" x14ac:dyDescent="0.3">
      <c r="U678217" s="25"/>
    </row>
    <row r="678239" spans="21:21" x14ac:dyDescent="0.3">
      <c r="U678239" s="25"/>
    </row>
    <row r="678261" spans="21:21" x14ac:dyDescent="0.3">
      <c r="U678261" s="25"/>
    </row>
    <row r="678283" spans="21:21" x14ac:dyDescent="0.3">
      <c r="U678283" s="25"/>
    </row>
    <row r="678305" spans="21:21" x14ac:dyDescent="0.3">
      <c r="U678305" s="25"/>
    </row>
    <row r="678327" spans="21:21" x14ac:dyDescent="0.3">
      <c r="U678327" s="25"/>
    </row>
    <row r="678349" spans="21:21" x14ac:dyDescent="0.3">
      <c r="U678349" s="25"/>
    </row>
    <row r="678371" spans="21:21" x14ac:dyDescent="0.3">
      <c r="U678371" s="25"/>
    </row>
    <row r="678393" spans="21:21" x14ac:dyDescent="0.3">
      <c r="U678393" s="25"/>
    </row>
    <row r="678415" spans="21:21" x14ac:dyDescent="0.3">
      <c r="U678415" s="25"/>
    </row>
    <row r="678437" spans="21:21" x14ac:dyDescent="0.3">
      <c r="U678437" s="25"/>
    </row>
    <row r="678459" spans="21:21" x14ac:dyDescent="0.3">
      <c r="U678459" s="25"/>
    </row>
    <row r="678481" spans="21:21" x14ac:dyDescent="0.3">
      <c r="U678481" s="25"/>
    </row>
    <row r="678503" spans="21:21" x14ac:dyDescent="0.3">
      <c r="U678503" s="25"/>
    </row>
    <row r="678525" spans="21:21" x14ac:dyDescent="0.3">
      <c r="U678525" s="25"/>
    </row>
    <row r="678547" spans="21:21" x14ac:dyDescent="0.3">
      <c r="U678547" s="25"/>
    </row>
    <row r="678569" spans="21:21" x14ac:dyDescent="0.3">
      <c r="U678569" s="25"/>
    </row>
    <row r="678591" spans="21:21" x14ac:dyDescent="0.3">
      <c r="U678591" s="25"/>
    </row>
    <row r="678613" spans="21:21" x14ac:dyDescent="0.3">
      <c r="U678613" s="25"/>
    </row>
    <row r="678635" spans="21:21" x14ac:dyDescent="0.3">
      <c r="U678635" s="25"/>
    </row>
    <row r="678657" spans="21:21" x14ac:dyDescent="0.3">
      <c r="U678657" s="25"/>
    </row>
    <row r="678679" spans="21:21" x14ac:dyDescent="0.3">
      <c r="U678679" s="25"/>
    </row>
    <row r="678701" spans="21:21" x14ac:dyDescent="0.3">
      <c r="U678701" s="25"/>
    </row>
    <row r="678723" spans="21:21" x14ac:dyDescent="0.3">
      <c r="U678723" s="25"/>
    </row>
    <row r="678745" spans="21:21" x14ac:dyDescent="0.3">
      <c r="U678745" s="25"/>
    </row>
    <row r="678767" spans="21:21" x14ac:dyDescent="0.3">
      <c r="U678767" s="25"/>
    </row>
    <row r="678789" spans="21:21" x14ac:dyDescent="0.3">
      <c r="U678789" s="25"/>
    </row>
    <row r="678811" spans="21:21" x14ac:dyDescent="0.3">
      <c r="U678811" s="25"/>
    </row>
    <row r="678833" spans="21:21" x14ac:dyDescent="0.3">
      <c r="U678833" s="25"/>
    </row>
    <row r="678855" spans="21:21" x14ac:dyDescent="0.3">
      <c r="U678855" s="25"/>
    </row>
    <row r="678877" spans="21:21" x14ac:dyDescent="0.3">
      <c r="U678877" s="25"/>
    </row>
    <row r="678899" spans="21:21" x14ac:dyDescent="0.3">
      <c r="U678899" s="25"/>
    </row>
    <row r="678921" spans="21:21" x14ac:dyDescent="0.3">
      <c r="U678921" s="25"/>
    </row>
    <row r="678943" spans="21:21" x14ac:dyDescent="0.3">
      <c r="U678943" s="25"/>
    </row>
    <row r="678965" spans="21:21" x14ac:dyDescent="0.3">
      <c r="U678965" s="25"/>
    </row>
    <row r="678987" spans="21:21" x14ac:dyDescent="0.3">
      <c r="U678987" s="25"/>
    </row>
    <row r="679009" spans="21:21" x14ac:dyDescent="0.3">
      <c r="U679009" s="25"/>
    </row>
    <row r="679031" spans="21:21" x14ac:dyDescent="0.3">
      <c r="U679031" s="25"/>
    </row>
    <row r="679053" spans="21:21" x14ac:dyDescent="0.3">
      <c r="U679053" s="25"/>
    </row>
    <row r="679075" spans="21:21" x14ac:dyDescent="0.3">
      <c r="U679075" s="25"/>
    </row>
    <row r="679097" spans="21:21" x14ac:dyDescent="0.3">
      <c r="U679097" s="25"/>
    </row>
    <row r="679119" spans="21:21" x14ac:dyDescent="0.3">
      <c r="U679119" s="25"/>
    </row>
    <row r="679141" spans="21:21" x14ac:dyDescent="0.3">
      <c r="U679141" s="25"/>
    </row>
    <row r="679163" spans="21:21" x14ac:dyDescent="0.3">
      <c r="U679163" s="25"/>
    </row>
    <row r="679185" spans="21:21" x14ac:dyDescent="0.3">
      <c r="U679185" s="25"/>
    </row>
    <row r="679207" spans="21:21" x14ac:dyDescent="0.3">
      <c r="U679207" s="25"/>
    </row>
    <row r="679229" spans="21:21" x14ac:dyDescent="0.3">
      <c r="U679229" s="25"/>
    </row>
    <row r="679251" spans="21:21" x14ac:dyDescent="0.3">
      <c r="U679251" s="25"/>
    </row>
    <row r="679273" spans="21:21" x14ac:dyDescent="0.3">
      <c r="U679273" s="25"/>
    </row>
    <row r="679295" spans="21:21" x14ac:dyDescent="0.3">
      <c r="U679295" s="25"/>
    </row>
    <row r="679317" spans="21:21" x14ac:dyDescent="0.3">
      <c r="U679317" s="25"/>
    </row>
    <row r="679339" spans="21:21" x14ac:dyDescent="0.3">
      <c r="U679339" s="25"/>
    </row>
    <row r="679361" spans="21:21" x14ac:dyDescent="0.3">
      <c r="U679361" s="25"/>
    </row>
    <row r="679383" spans="21:21" x14ac:dyDescent="0.3">
      <c r="U679383" s="25"/>
    </row>
    <row r="679405" spans="21:21" x14ac:dyDescent="0.3">
      <c r="U679405" s="25"/>
    </row>
    <row r="679427" spans="21:21" x14ac:dyDescent="0.3">
      <c r="U679427" s="25"/>
    </row>
    <row r="679449" spans="21:21" x14ac:dyDescent="0.3">
      <c r="U679449" s="25"/>
    </row>
    <row r="679471" spans="21:21" x14ac:dyDescent="0.3">
      <c r="U679471" s="25"/>
    </row>
    <row r="679493" spans="21:21" x14ac:dyDescent="0.3">
      <c r="U679493" s="25"/>
    </row>
    <row r="679515" spans="21:21" x14ac:dyDescent="0.3">
      <c r="U679515" s="25"/>
    </row>
    <row r="679537" spans="21:21" x14ac:dyDescent="0.3">
      <c r="U679537" s="25"/>
    </row>
    <row r="679559" spans="21:21" x14ac:dyDescent="0.3">
      <c r="U679559" s="25"/>
    </row>
    <row r="679581" spans="21:21" x14ac:dyDescent="0.3">
      <c r="U679581" s="25"/>
    </row>
    <row r="679603" spans="21:21" x14ac:dyDescent="0.3">
      <c r="U679603" s="25"/>
    </row>
    <row r="679625" spans="21:21" x14ac:dyDescent="0.3">
      <c r="U679625" s="25"/>
    </row>
    <row r="679647" spans="21:21" x14ac:dyDescent="0.3">
      <c r="U679647" s="25"/>
    </row>
    <row r="679669" spans="21:21" x14ac:dyDescent="0.3">
      <c r="U679669" s="25"/>
    </row>
    <row r="679691" spans="21:21" x14ac:dyDescent="0.3">
      <c r="U679691" s="25"/>
    </row>
    <row r="679713" spans="21:21" x14ac:dyDescent="0.3">
      <c r="U679713" s="25"/>
    </row>
    <row r="679735" spans="21:21" x14ac:dyDescent="0.3">
      <c r="U679735" s="25"/>
    </row>
    <row r="679757" spans="21:21" x14ac:dyDescent="0.3">
      <c r="U679757" s="25"/>
    </row>
    <row r="679779" spans="21:21" x14ac:dyDescent="0.3">
      <c r="U679779" s="25"/>
    </row>
    <row r="679801" spans="21:21" x14ac:dyDescent="0.3">
      <c r="U679801" s="25"/>
    </row>
    <row r="679823" spans="21:21" x14ac:dyDescent="0.3">
      <c r="U679823" s="25"/>
    </row>
    <row r="679845" spans="21:21" x14ac:dyDescent="0.3">
      <c r="U679845" s="25"/>
    </row>
    <row r="679867" spans="21:21" x14ac:dyDescent="0.3">
      <c r="U679867" s="25"/>
    </row>
    <row r="679889" spans="21:21" x14ac:dyDescent="0.3">
      <c r="U679889" s="25"/>
    </row>
    <row r="679911" spans="21:21" x14ac:dyDescent="0.3">
      <c r="U679911" s="25"/>
    </row>
    <row r="679933" spans="21:21" x14ac:dyDescent="0.3">
      <c r="U679933" s="25"/>
    </row>
    <row r="679955" spans="21:21" x14ac:dyDescent="0.3">
      <c r="U679955" s="25"/>
    </row>
    <row r="679977" spans="21:21" x14ac:dyDescent="0.3">
      <c r="U679977" s="25"/>
    </row>
    <row r="679999" spans="21:21" x14ac:dyDescent="0.3">
      <c r="U679999" s="25"/>
    </row>
    <row r="680021" spans="21:21" x14ac:dyDescent="0.3">
      <c r="U680021" s="25"/>
    </row>
    <row r="680043" spans="21:21" x14ac:dyDescent="0.3">
      <c r="U680043" s="25"/>
    </row>
    <row r="680065" spans="21:21" x14ac:dyDescent="0.3">
      <c r="U680065" s="25"/>
    </row>
    <row r="680087" spans="21:21" x14ac:dyDescent="0.3">
      <c r="U680087" s="25"/>
    </row>
    <row r="680109" spans="21:21" x14ac:dyDescent="0.3">
      <c r="U680109" s="25"/>
    </row>
    <row r="680131" spans="21:21" x14ac:dyDescent="0.3">
      <c r="U680131" s="25"/>
    </row>
    <row r="680153" spans="21:21" x14ac:dyDescent="0.3">
      <c r="U680153" s="25"/>
    </row>
    <row r="680175" spans="21:21" x14ac:dyDescent="0.3">
      <c r="U680175" s="25"/>
    </row>
    <row r="680197" spans="21:21" x14ac:dyDescent="0.3">
      <c r="U680197" s="25"/>
    </row>
    <row r="680219" spans="21:21" x14ac:dyDescent="0.3">
      <c r="U680219" s="25"/>
    </row>
    <row r="680241" spans="21:21" x14ac:dyDescent="0.3">
      <c r="U680241" s="25"/>
    </row>
    <row r="680263" spans="21:21" x14ac:dyDescent="0.3">
      <c r="U680263" s="25"/>
    </row>
    <row r="680285" spans="21:21" x14ac:dyDescent="0.3">
      <c r="U680285" s="25"/>
    </row>
    <row r="680307" spans="21:21" x14ac:dyDescent="0.3">
      <c r="U680307" s="25"/>
    </row>
    <row r="680329" spans="21:21" x14ac:dyDescent="0.3">
      <c r="U680329" s="25"/>
    </row>
    <row r="680351" spans="21:21" x14ac:dyDescent="0.3">
      <c r="U680351" s="25"/>
    </row>
    <row r="680373" spans="21:21" x14ac:dyDescent="0.3">
      <c r="U680373" s="25"/>
    </row>
    <row r="680395" spans="21:21" x14ac:dyDescent="0.3">
      <c r="U680395" s="25"/>
    </row>
    <row r="680417" spans="21:21" x14ac:dyDescent="0.3">
      <c r="U680417" s="25"/>
    </row>
    <row r="680439" spans="21:21" x14ac:dyDescent="0.3">
      <c r="U680439" s="25"/>
    </row>
    <row r="680461" spans="21:21" x14ac:dyDescent="0.3">
      <c r="U680461" s="25"/>
    </row>
    <row r="680483" spans="21:21" x14ac:dyDescent="0.3">
      <c r="U680483" s="25"/>
    </row>
    <row r="680505" spans="21:21" x14ac:dyDescent="0.3">
      <c r="U680505" s="25"/>
    </row>
    <row r="680527" spans="21:21" x14ac:dyDescent="0.3">
      <c r="U680527" s="25"/>
    </row>
    <row r="680549" spans="21:21" x14ac:dyDescent="0.3">
      <c r="U680549" s="25"/>
    </row>
    <row r="680571" spans="21:21" x14ac:dyDescent="0.3">
      <c r="U680571" s="25"/>
    </row>
    <row r="680593" spans="21:21" x14ac:dyDescent="0.3">
      <c r="U680593" s="25"/>
    </row>
    <row r="680615" spans="21:21" x14ac:dyDescent="0.3">
      <c r="U680615" s="25"/>
    </row>
    <row r="680637" spans="21:21" x14ac:dyDescent="0.3">
      <c r="U680637" s="25"/>
    </row>
    <row r="680659" spans="21:21" x14ac:dyDescent="0.3">
      <c r="U680659" s="25"/>
    </row>
    <row r="680681" spans="21:21" x14ac:dyDescent="0.3">
      <c r="U680681" s="25"/>
    </row>
    <row r="680703" spans="21:21" x14ac:dyDescent="0.3">
      <c r="U680703" s="25"/>
    </row>
    <row r="680725" spans="21:21" x14ac:dyDescent="0.3">
      <c r="U680725" s="25"/>
    </row>
    <row r="680747" spans="21:21" x14ac:dyDescent="0.3">
      <c r="U680747" s="25"/>
    </row>
    <row r="680769" spans="21:21" x14ac:dyDescent="0.3">
      <c r="U680769" s="25"/>
    </row>
    <row r="680791" spans="21:21" x14ac:dyDescent="0.3">
      <c r="U680791" s="25"/>
    </row>
    <row r="680813" spans="21:21" x14ac:dyDescent="0.3">
      <c r="U680813" s="25"/>
    </row>
    <row r="680835" spans="21:21" x14ac:dyDescent="0.3">
      <c r="U680835" s="25"/>
    </row>
    <row r="680857" spans="21:21" x14ac:dyDescent="0.3">
      <c r="U680857" s="25"/>
    </row>
    <row r="680879" spans="21:21" x14ac:dyDescent="0.3">
      <c r="U680879" s="25"/>
    </row>
    <row r="680901" spans="21:21" x14ac:dyDescent="0.3">
      <c r="U680901" s="25"/>
    </row>
    <row r="680923" spans="21:21" x14ac:dyDescent="0.3">
      <c r="U680923" s="25"/>
    </row>
    <row r="680945" spans="21:21" x14ac:dyDescent="0.3">
      <c r="U680945" s="25"/>
    </row>
    <row r="680967" spans="21:21" x14ac:dyDescent="0.3">
      <c r="U680967" s="25"/>
    </row>
    <row r="680989" spans="21:21" x14ac:dyDescent="0.3">
      <c r="U680989" s="25"/>
    </row>
    <row r="681011" spans="21:21" x14ac:dyDescent="0.3">
      <c r="U681011" s="25"/>
    </row>
    <row r="681033" spans="21:21" x14ac:dyDescent="0.3">
      <c r="U681033" s="25"/>
    </row>
    <row r="681055" spans="21:21" x14ac:dyDescent="0.3">
      <c r="U681055" s="25"/>
    </row>
    <row r="681077" spans="21:21" x14ac:dyDescent="0.3">
      <c r="U681077" s="25"/>
    </row>
    <row r="681099" spans="21:21" x14ac:dyDescent="0.3">
      <c r="U681099" s="25"/>
    </row>
    <row r="681121" spans="21:21" x14ac:dyDescent="0.3">
      <c r="U681121" s="25"/>
    </row>
    <row r="681143" spans="21:21" x14ac:dyDescent="0.3">
      <c r="U681143" s="25"/>
    </row>
    <row r="681165" spans="21:21" x14ac:dyDescent="0.3">
      <c r="U681165" s="25"/>
    </row>
    <row r="681187" spans="21:21" x14ac:dyDescent="0.3">
      <c r="U681187" s="25"/>
    </row>
    <row r="681209" spans="21:21" x14ac:dyDescent="0.3">
      <c r="U681209" s="25"/>
    </row>
    <row r="681231" spans="21:21" x14ac:dyDescent="0.3">
      <c r="U681231" s="25"/>
    </row>
    <row r="681253" spans="21:21" x14ac:dyDescent="0.3">
      <c r="U681253" s="25"/>
    </row>
    <row r="681275" spans="21:21" x14ac:dyDescent="0.3">
      <c r="U681275" s="25"/>
    </row>
    <row r="681297" spans="21:21" x14ac:dyDescent="0.3">
      <c r="U681297" s="25"/>
    </row>
    <row r="681319" spans="21:21" x14ac:dyDescent="0.3">
      <c r="U681319" s="25"/>
    </row>
    <row r="681341" spans="21:21" x14ac:dyDescent="0.3">
      <c r="U681341" s="25"/>
    </row>
    <row r="681363" spans="21:21" x14ac:dyDescent="0.3">
      <c r="U681363" s="25"/>
    </row>
    <row r="681385" spans="21:21" x14ac:dyDescent="0.3">
      <c r="U681385" s="25"/>
    </row>
    <row r="681407" spans="21:21" x14ac:dyDescent="0.3">
      <c r="U681407" s="25"/>
    </row>
    <row r="681429" spans="21:21" x14ac:dyDescent="0.3">
      <c r="U681429" s="25"/>
    </row>
    <row r="681451" spans="21:21" x14ac:dyDescent="0.3">
      <c r="U681451" s="25"/>
    </row>
    <row r="681473" spans="21:21" x14ac:dyDescent="0.3">
      <c r="U681473" s="25"/>
    </row>
    <row r="681495" spans="21:21" x14ac:dyDescent="0.3">
      <c r="U681495" s="25"/>
    </row>
    <row r="681517" spans="21:21" x14ac:dyDescent="0.3">
      <c r="U681517" s="25"/>
    </row>
    <row r="681539" spans="21:21" x14ac:dyDescent="0.3">
      <c r="U681539" s="25"/>
    </row>
    <row r="681561" spans="21:21" x14ac:dyDescent="0.3">
      <c r="U681561" s="25"/>
    </row>
    <row r="681583" spans="21:21" x14ac:dyDescent="0.3">
      <c r="U681583" s="25"/>
    </row>
    <row r="681605" spans="21:21" x14ac:dyDescent="0.3">
      <c r="U681605" s="25"/>
    </row>
    <row r="681627" spans="21:21" x14ac:dyDescent="0.3">
      <c r="U681627" s="25"/>
    </row>
    <row r="681649" spans="21:21" x14ac:dyDescent="0.3">
      <c r="U681649" s="25"/>
    </row>
    <row r="681671" spans="21:21" x14ac:dyDescent="0.3">
      <c r="U681671" s="25"/>
    </row>
    <row r="681693" spans="21:21" x14ac:dyDescent="0.3">
      <c r="U681693" s="25"/>
    </row>
    <row r="681715" spans="21:21" x14ac:dyDescent="0.3">
      <c r="U681715" s="25"/>
    </row>
    <row r="681737" spans="21:21" x14ac:dyDescent="0.3">
      <c r="U681737" s="25"/>
    </row>
    <row r="681759" spans="21:21" x14ac:dyDescent="0.3">
      <c r="U681759" s="25"/>
    </row>
    <row r="681781" spans="21:21" x14ac:dyDescent="0.3">
      <c r="U681781" s="25"/>
    </row>
    <row r="681803" spans="21:21" x14ac:dyDescent="0.3">
      <c r="U681803" s="25"/>
    </row>
    <row r="681825" spans="21:21" x14ac:dyDescent="0.3">
      <c r="U681825" s="25"/>
    </row>
    <row r="681847" spans="21:21" x14ac:dyDescent="0.3">
      <c r="U681847" s="25"/>
    </row>
    <row r="681869" spans="21:21" x14ac:dyDescent="0.3">
      <c r="U681869" s="25"/>
    </row>
    <row r="681891" spans="21:21" x14ac:dyDescent="0.3">
      <c r="U681891" s="25"/>
    </row>
    <row r="681913" spans="21:21" x14ac:dyDescent="0.3">
      <c r="U681913" s="25"/>
    </row>
    <row r="681935" spans="21:21" x14ac:dyDescent="0.3">
      <c r="U681935" s="25"/>
    </row>
    <row r="681957" spans="21:21" x14ac:dyDescent="0.3">
      <c r="U681957" s="25"/>
    </row>
    <row r="681979" spans="21:21" x14ac:dyDescent="0.3">
      <c r="U681979" s="25"/>
    </row>
    <row r="682001" spans="21:21" x14ac:dyDescent="0.3">
      <c r="U682001" s="25"/>
    </row>
    <row r="682023" spans="21:21" x14ac:dyDescent="0.3">
      <c r="U682023" s="25"/>
    </row>
    <row r="682045" spans="21:21" x14ac:dyDescent="0.3">
      <c r="U682045" s="25"/>
    </row>
    <row r="682067" spans="21:21" x14ac:dyDescent="0.3">
      <c r="U682067" s="25"/>
    </row>
    <row r="682089" spans="21:21" x14ac:dyDescent="0.3">
      <c r="U682089" s="25"/>
    </row>
    <row r="682111" spans="21:21" x14ac:dyDescent="0.3">
      <c r="U682111" s="25"/>
    </row>
    <row r="682133" spans="21:21" x14ac:dyDescent="0.3">
      <c r="U682133" s="25"/>
    </row>
    <row r="682155" spans="21:21" x14ac:dyDescent="0.3">
      <c r="U682155" s="25"/>
    </row>
    <row r="682177" spans="21:21" x14ac:dyDescent="0.3">
      <c r="U682177" s="25"/>
    </row>
    <row r="682199" spans="21:21" x14ac:dyDescent="0.3">
      <c r="U682199" s="25"/>
    </row>
    <row r="682221" spans="21:21" x14ac:dyDescent="0.3">
      <c r="U682221" s="25"/>
    </row>
    <row r="682243" spans="21:21" x14ac:dyDescent="0.3">
      <c r="U682243" s="25"/>
    </row>
    <row r="682265" spans="21:21" x14ac:dyDescent="0.3">
      <c r="U682265" s="25"/>
    </row>
    <row r="682287" spans="21:21" x14ac:dyDescent="0.3">
      <c r="U682287" s="25"/>
    </row>
    <row r="682309" spans="21:21" x14ac:dyDescent="0.3">
      <c r="U682309" s="25"/>
    </row>
    <row r="682331" spans="21:21" x14ac:dyDescent="0.3">
      <c r="U682331" s="25"/>
    </row>
    <row r="682353" spans="21:21" x14ac:dyDescent="0.3">
      <c r="U682353" s="25"/>
    </row>
    <row r="682375" spans="21:21" x14ac:dyDescent="0.3">
      <c r="U682375" s="25"/>
    </row>
    <row r="682397" spans="21:21" x14ac:dyDescent="0.3">
      <c r="U682397" s="25"/>
    </row>
    <row r="682419" spans="21:21" x14ac:dyDescent="0.3">
      <c r="U682419" s="25"/>
    </row>
    <row r="682441" spans="21:21" x14ac:dyDescent="0.3">
      <c r="U682441" s="25"/>
    </row>
    <row r="682463" spans="21:21" x14ac:dyDescent="0.3">
      <c r="U682463" s="25"/>
    </row>
    <row r="682485" spans="21:21" x14ac:dyDescent="0.3">
      <c r="U682485" s="25"/>
    </row>
    <row r="682507" spans="21:21" x14ac:dyDescent="0.3">
      <c r="U682507" s="25"/>
    </row>
    <row r="682529" spans="21:21" x14ac:dyDescent="0.3">
      <c r="U682529" s="25"/>
    </row>
    <row r="682551" spans="21:21" x14ac:dyDescent="0.3">
      <c r="U682551" s="25"/>
    </row>
    <row r="682573" spans="21:21" x14ac:dyDescent="0.3">
      <c r="U682573" s="25"/>
    </row>
    <row r="682595" spans="21:21" x14ac:dyDescent="0.3">
      <c r="U682595" s="25"/>
    </row>
    <row r="682617" spans="21:21" x14ac:dyDescent="0.3">
      <c r="U682617" s="25"/>
    </row>
    <row r="682639" spans="21:21" x14ac:dyDescent="0.3">
      <c r="U682639" s="25"/>
    </row>
    <row r="682661" spans="21:21" x14ac:dyDescent="0.3">
      <c r="U682661" s="25"/>
    </row>
    <row r="682683" spans="21:21" x14ac:dyDescent="0.3">
      <c r="U682683" s="25"/>
    </row>
    <row r="682705" spans="21:21" x14ac:dyDescent="0.3">
      <c r="U682705" s="25"/>
    </row>
    <row r="682727" spans="21:21" x14ac:dyDescent="0.3">
      <c r="U682727" s="25"/>
    </row>
    <row r="682749" spans="21:21" x14ac:dyDescent="0.3">
      <c r="U682749" s="25"/>
    </row>
    <row r="682771" spans="21:21" x14ac:dyDescent="0.3">
      <c r="U682771" s="25"/>
    </row>
    <row r="682793" spans="21:21" x14ac:dyDescent="0.3">
      <c r="U682793" s="25"/>
    </row>
    <row r="682815" spans="21:21" x14ac:dyDescent="0.3">
      <c r="U682815" s="25"/>
    </row>
    <row r="682837" spans="21:21" x14ac:dyDescent="0.3">
      <c r="U682837" s="25"/>
    </row>
    <row r="682859" spans="21:21" x14ac:dyDescent="0.3">
      <c r="U682859" s="25"/>
    </row>
    <row r="682881" spans="21:21" x14ac:dyDescent="0.3">
      <c r="U682881" s="25"/>
    </row>
    <row r="682903" spans="21:21" x14ac:dyDescent="0.3">
      <c r="U682903" s="25"/>
    </row>
    <row r="682925" spans="21:21" x14ac:dyDescent="0.3">
      <c r="U682925" s="25"/>
    </row>
    <row r="682947" spans="21:21" x14ac:dyDescent="0.3">
      <c r="U682947" s="25"/>
    </row>
    <row r="682969" spans="21:21" x14ac:dyDescent="0.3">
      <c r="U682969" s="25"/>
    </row>
    <row r="682991" spans="21:21" x14ac:dyDescent="0.3">
      <c r="U682991" s="25"/>
    </row>
    <row r="683013" spans="21:21" x14ac:dyDescent="0.3">
      <c r="U683013" s="25"/>
    </row>
    <row r="683035" spans="21:21" x14ac:dyDescent="0.3">
      <c r="U683035" s="25"/>
    </row>
    <row r="683057" spans="21:21" x14ac:dyDescent="0.3">
      <c r="U683057" s="25"/>
    </row>
    <row r="683079" spans="21:21" x14ac:dyDescent="0.3">
      <c r="U683079" s="25"/>
    </row>
    <row r="683101" spans="21:21" x14ac:dyDescent="0.3">
      <c r="U683101" s="25"/>
    </row>
    <row r="683123" spans="21:21" x14ac:dyDescent="0.3">
      <c r="U683123" s="25"/>
    </row>
    <row r="683145" spans="21:21" x14ac:dyDescent="0.3">
      <c r="U683145" s="25"/>
    </row>
    <row r="683167" spans="21:21" x14ac:dyDescent="0.3">
      <c r="U683167" s="25"/>
    </row>
    <row r="683189" spans="21:21" x14ac:dyDescent="0.3">
      <c r="U683189" s="25"/>
    </row>
    <row r="683211" spans="21:21" x14ac:dyDescent="0.3">
      <c r="U683211" s="25"/>
    </row>
    <row r="683233" spans="21:21" x14ac:dyDescent="0.3">
      <c r="U683233" s="25"/>
    </row>
    <row r="683255" spans="21:21" x14ac:dyDescent="0.3">
      <c r="U683255" s="25"/>
    </row>
    <row r="683277" spans="21:21" x14ac:dyDescent="0.3">
      <c r="U683277" s="25"/>
    </row>
    <row r="683299" spans="21:21" x14ac:dyDescent="0.3">
      <c r="U683299" s="25"/>
    </row>
    <row r="683321" spans="21:21" x14ac:dyDescent="0.3">
      <c r="U683321" s="25"/>
    </row>
    <row r="683343" spans="21:21" x14ac:dyDescent="0.3">
      <c r="U683343" s="25"/>
    </row>
    <row r="683365" spans="21:21" x14ac:dyDescent="0.3">
      <c r="U683365" s="25"/>
    </row>
    <row r="683387" spans="21:21" x14ac:dyDescent="0.3">
      <c r="U683387" s="25"/>
    </row>
    <row r="683409" spans="21:21" x14ac:dyDescent="0.3">
      <c r="U683409" s="25"/>
    </row>
    <row r="683431" spans="21:21" x14ac:dyDescent="0.3">
      <c r="U683431" s="25"/>
    </row>
    <row r="683453" spans="21:21" x14ac:dyDescent="0.3">
      <c r="U683453" s="25"/>
    </row>
    <row r="683475" spans="21:21" x14ac:dyDescent="0.3">
      <c r="U683475" s="25"/>
    </row>
    <row r="683497" spans="21:21" x14ac:dyDescent="0.3">
      <c r="U683497" s="25"/>
    </row>
    <row r="683519" spans="21:21" x14ac:dyDescent="0.3">
      <c r="U683519" s="25"/>
    </row>
    <row r="683541" spans="21:21" x14ac:dyDescent="0.3">
      <c r="U683541" s="25"/>
    </row>
    <row r="683563" spans="21:21" x14ac:dyDescent="0.3">
      <c r="U683563" s="25"/>
    </row>
    <row r="683585" spans="21:21" x14ac:dyDescent="0.3">
      <c r="U683585" s="25"/>
    </row>
    <row r="683607" spans="21:21" x14ac:dyDescent="0.3">
      <c r="U683607" s="25"/>
    </row>
    <row r="683629" spans="21:21" x14ac:dyDescent="0.3">
      <c r="U683629" s="25"/>
    </row>
    <row r="683651" spans="21:21" x14ac:dyDescent="0.3">
      <c r="U683651" s="25"/>
    </row>
    <row r="683673" spans="21:21" x14ac:dyDescent="0.3">
      <c r="U683673" s="25"/>
    </row>
    <row r="683695" spans="21:21" x14ac:dyDescent="0.3">
      <c r="U683695" s="25"/>
    </row>
    <row r="683717" spans="21:21" x14ac:dyDescent="0.3">
      <c r="U683717" s="25"/>
    </row>
    <row r="683739" spans="21:21" x14ac:dyDescent="0.3">
      <c r="U683739" s="25"/>
    </row>
    <row r="683761" spans="21:21" x14ac:dyDescent="0.3">
      <c r="U683761" s="25"/>
    </row>
    <row r="683783" spans="21:21" x14ac:dyDescent="0.3">
      <c r="U683783" s="25"/>
    </row>
    <row r="683805" spans="21:21" x14ac:dyDescent="0.3">
      <c r="U683805" s="25"/>
    </row>
    <row r="683827" spans="21:21" x14ac:dyDescent="0.3">
      <c r="U683827" s="25"/>
    </row>
    <row r="683849" spans="21:21" x14ac:dyDescent="0.3">
      <c r="U683849" s="25"/>
    </row>
    <row r="683871" spans="21:21" x14ac:dyDescent="0.3">
      <c r="U683871" s="25"/>
    </row>
    <row r="683893" spans="21:21" x14ac:dyDescent="0.3">
      <c r="U683893" s="25"/>
    </row>
    <row r="683915" spans="21:21" x14ac:dyDescent="0.3">
      <c r="U683915" s="25"/>
    </row>
    <row r="683937" spans="21:21" x14ac:dyDescent="0.3">
      <c r="U683937" s="25"/>
    </row>
    <row r="683959" spans="21:21" x14ac:dyDescent="0.3">
      <c r="U683959" s="25"/>
    </row>
    <row r="683981" spans="21:21" x14ac:dyDescent="0.3">
      <c r="U683981" s="25"/>
    </row>
    <row r="684003" spans="21:21" x14ac:dyDescent="0.3">
      <c r="U684003" s="25"/>
    </row>
    <row r="684025" spans="21:21" x14ac:dyDescent="0.3">
      <c r="U684025" s="25"/>
    </row>
    <row r="684047" spans="21:21" x14ac:dyDescent="0.3">
      <c r="U684047" s="25"/>
    </row>
    <row r="684069" spans="21:21" x14ac:dyDescent="0.3">
      <c r="U684069" s="25"/>
    </row>
    <row r="684091" spans="21:21" x14ac:dyDescent="0.3">
      <c r="U684091" s="25"/>
    </row>
    <row r="684113" spans="21:21" x14ac:dyDescent="0.3">
      <c r="U684113" s="25"/>
    </row>
    <row r="684135" spans="21:21" x14ac:dyDescent="0.3">
      <c r="U684135" s="25"/>
    </row>
    <row r="684157" spans="21:21" x14ac:dyDescent="0.3">
      <c r="U684157" s="25"/>
    </row>
    <row r="684179" spans="21:21" x14ac:dyDescent="0.3">
      <c r="U684179" s="25"/>
    </row>
    <row r="684201" spans="21:21" x14ac:dyDescent="0.3">
      <c r="U684201" s="25"/>
    </row>
    <row r="684223" spans="21:21" x14ac:dyDescent="0.3">
      <c r="U684223" s="25"/>
    </row>
    <row r="684245" spans="21:21" x14ac:dyDescent="0.3">
      <c r="U684245" s="25"/>
    </row>
    <row r="684267" spans="21:21" x14ac:dyDescent="0.3">
      <c r="U684267" s="25"/>
    </row>
    <row r="684289" spans="21:21" x14ac:dyDescent="0.3">
      <c r="U684289" s="25"/>
    </row>
    <row r="684311" spans="21:21" x14ac:dyDescent="0.3">
      <c r="U684311" s="25"/>
    </row>
    <row r="684333" spans="21:21" x14ac:dyDescent="0.3">
      <c r="U684333" s="25"/>
    </row>
    <row r="684355" spans="21:21" x14ac:dyDescent="0.3">
      <c r="U684355" s="25"/>
    </row>
    <row r="684377" spans="21:21" x14ac:dyDescent="0.3">
      <c r="U684377" s="25"/>
    </row>
    <row r="684399" spans="21:21" x14ac:dyDescent="0.3">
      <c r="U684399" s="25"/>
    </row>
    <row r="684421" spans="21:21" x14ac:dyDescent="0.3">
      <c r="U684421" s="25"/>
    </row>
    <row r="684443" spans="21:21" x14ac:dyDescent="0.3">
      <c r="U684443" s="25"/>
    </row>
    <row r="684465" spans="21:21" x14ac:dyDescent="0.3">
      <c r="U684465" s="25"/>
    </row>
    <row r="684487" spans="21:21" x14ac:dyDescent="0.3">
      <c r="U684487" s="25"/>
    </row>
    <row r="684509" spans="21:21" x14ac:dyDescent="0.3">
      <c r="U684509" s="25"/>
    </row>
    <row r="684531" spans="21:21" x14ac:dyDescent="0.3">
      <c r="U684531" s="25"/>
    </row>
    <row r="684553" spans="21:21" x14ac:dyDescent="0.3">
      <c r="U684553" s="25"/>
    </row>
    <row r="684575" spans="21:21" x14ac:dyDescent="0.3">
      <c r="U684575" s="25"/>
    </row>
    <row r="684597" spans="21:21" x14ac:dyDescent="0.3">
      <c r="U684597" s="25"/>
    </row>
    <row r="684619" spans="21:21" x14ac:dyDescent="0.3">
      <c r="U684619" s="25"/>
    </row>
    <row r="684641" spans="21:21" x14ac:dyDescent="0.3">
      <c r="U684641" s="25"/>
    </row>
    <row r="684663" spans="21:21" x14ac:dyDescent="0.3">
      <c r="U684663" s="25"/>
    </row>
    <row r="684685" spans="21:21" x14ac:dyDescent="0.3">
      <c r="U684685" s="25"/>
    </row>
    <row r="684707" spans="21:21" x14ac:dyDescent="0.3">
      <c r="U684707" s="25"/>
    </row>
    <row r="684729" spans="21:21" x14ac:dyDescent="0.3">
      <c r="U684729" s="25"/>
    </row>
    <row r="684751" spans="21:21" x14ac:dyDescent="0.3">
      <c r="U684751" s="25"/>
    </row>
    <row r="684773" spans="21:21" x14ac:dyDescent="0.3">
      <c r="U684773" s="25"/>
    </row>
    <row r="684795" spans="21:21" x14ac:dyDescent="0.3">
      <c r="U684795" s="25"/>
    </row>
    <row r="684817" spans="21:21" x14ac:dyDescent="0.3">
      <c r="U684817" s="25"/>
    </row>
    <row r="684839" spans="21:21" x14ac:dyDescent="0.3">
      <c r="U684839" s="25"/>
    </row>
    <row r="684861" spans="21:21" x14ac:dyDescent="0.3">
      <c r="U684861" s="25"/>
    </row>
    <row r="684883" spans="21:21" x14ac:dyDescent="0.3">
      <c r="U684883" s="25"/>
    </row>
    <row r="684905" spans="21:21" x14ac:dyDescent="0.3">
      <c r="U684905" s="25"/>
    </row>
    <row r="684927" spans="21:21" x14ac:dyDescent="0.3">
      <c r="U684927" s="25"/>
    </row>
    <row r="684949" spans="21:21" x14ac:dyDescent="0.3">
      <c r="U684949" s="25"/>
    </row>
    <row r="684971" spans="21:21" x14ac:dyDescent="0.3">
      <c r="U684971" s="25"/>
    </row>
    <row r="684993" spans="21:21" x14ac:dyDescent="0.3">
      <c r="U684993" s="25"/>
    </row>
    <row r="685015" spans="21:21" x14ac:dyDescent="0.3">
      <c r="U685015" s="25"/>
    </row>
    <row r="685037" spans="21:21" x14ac:dyDescent="0.3">
      <c r="U685037" s="25"/>
    </row>
    <row r="685059" spans="21:21" x14ac:dyDescent="0.3">
      <c r="U685059" s="25"/>
    </row>
    <row r="685081" spans="21:21" x14ac:dyDescent="0.3">
      <c r="U685081" s="25"/>
    </row>
    <row r="685103" spans="21:21" x14ac:dyDescent="0.3">
      <c r="U685103" s="25"/>
    </row>
    <row r="685125" spans="21:21" x14ac:dyDescent="0.3">
      <c r="U685125" s="25"/>
    </row>
    <row r="685147" spans="21:21" x14ac:dyDescent="0.3">
      <c r="U685147" s="25"/>
    </row>
    <row r="685169" spans="21:21" x14ac:dyDescent="0.3">
      <c r="U685169" s="25"/>
    </row>
    <row r="685191" spans="21:21" x14ac:dyDescent="0.3">
      <c r="U685191" s="25"/>
    </row>
    <row r="685213" spans="21:21" x14ac:dyDescent="0.3">
      <c r="U685213" s="25"/>
    </row>
    <row r="685235" spans="21:21" x14ac:dyDescent="0.3">
      <c r="U685235" s="25"/>
    </row>
    <row r="685257" spans="21:21" x14ac:dyDescent="0.3">
      <c r="U685257" s="25"/>
    </row>
    <row r="685279" spans="21:21" x14ac:dyDescent="0.3">
      <c r="U685279" s="25"/>
    </row>
    <row r="685301" spans="21:21" x14ac:dyDescent="0.3">
      <c r="U685301" s="25"/>
    </row>
    <row r="685323" spans="21:21" x14ac:dyDescent="0.3">
      <c r="U685323" s="25"/>
    </row>
    <row r="685345" spans="21:21" x14ac:dyDescent="0.3">
      <c r="U685345" s="25"/>
    </row>
    <row r="685367" spans="21:21" x14ac:dyDescent="0.3">
      <c r="U685367" s="25"/>
    </row>
    <row r="685389" spans="21:21" x14ac:dyDescent="0.3">
      <c r="U685389" s="25"/>
    </row>
    <row r="685411" spans="21:21" x14ac:dyDescent="0.3">
      <c r="U685411" s="25"/>
    </row>
    <row r="685433" spans="21:21" x14ac:dyDescent="0.3">
      <c r="U685433" s="25"/>
    </row>
    <row r="685455" spans="21:21" x14ac:dyDescent="0.3">
      <c r="U685455" s="25"/>
    </row>
    <row r="685477" spans="21:21" x14ac:dyDescent="0.3">
      <c r="U685477" s="25"/>
    </row>
    <row r="685499" spans="21:21" x14ac:dyDescent="0.3">
      <c r="U685499" s="25"/>
    </row>
    <row r="685521" spans="21:21" x14ac:dyDescent="0.3">
      <c r="U685521" s="25"/>
    </row>
    <row r="685543" spans="21:21" x14ac:dyDescent="0.3">
      <c r="U685543" s="25"/>
    </row>
    <row r="685565" spans="21:21" x14ac:dyDescent="0.3">
      <c r="U685565" s="25"/>
    </row>
    <row r="685587" spans="21:21" x14ac:dyDescent="0.3">
      <c r="U685587" s="25"/>
    </row>
    <row r="685609" spans="21:21" x14ac:dyDescent="0.3">
      <c r="U685609" s="25"/>
    </row>
    <row r="685631" spans="21:21" x14ac:dyDescent="0.3">
      <c r="U685631" s="25"/>
    </row>
    <row r="685653" spans="21:21" x14ac:dyDescent="0.3">
      <c r="U685653" s="25"/>
    </row>
    <row r="685675" spans="21:21" x14ac:dyDescent="0.3">
      <c r="U685675" s="25"/>
    </row>
    <row r="685697" spans="21:21" x14ac:dyDescent="0.3">
      <c r="U685697" s="25"/>
    </row>
    <row r="685719" spans="21:21" x14ac:dyDescent="0.3">
      <c r="U685719" s="25"/>
    </row>
    <row r="685741" spans="21:21" x14ac:dyDescent="0.3">
      <c r="U685741" s="25"/>
    </row>
    <row r="685763" spans="21:21" x14ac:dyDescent="0.3">
      <c r="U685763" s="25"/>
    </row>
    <row r="685785" spans="21:21" x14ac:dyDescent="0.3">
      <c r="U685785" s="25"/>
    </row>
    <row r="685807" spans="21:21" x14ac:dyDescent="0.3">
      <c r="U685807" s="25"/>
    </row>
    <row r="685829" spans="21:21" x14ac:dyDescent="0.3">
      <c r="U685829" s="25"/>
    </row>
    <row r="685851" spans="21:21" x14ac:dyDescent="0.3">
      <c r="U685851" s="25"/>
    </row>
    <row r="685873" spans="21:21" x14ac:dyDescent="0.3">
      <c r="U685873" s="25"/>
    </row>
    <row r="685895" spans="21:21" x14ac:dyDescent="0.3">
      <c r="U685895" s="25"/>
    </row>
    <row r="685917" spans="21:21" x14ac:dyDescent="0.3">
      <c r="U685917" s="25"/>
    </row>
    <row r="685939" spans="21:21" x14ac:dyDescent="0.3">
      <c r="U685939" s="25"/>
    </row>
    <row r="685961" spans="21:21" x14ac:dyDescent="0.3">
      <c r="U685961" s="25"/>
    </row>
    <row r="685983" spans="21:21" x14ac:dyDescent="0.3">
      <c r="U685983" s="25"/>
    </row>
    <row r="686005" spans="21:21" x14ac:dyDescent="0.3">
      <c r="U686005" s="25"/>
    </row>
    <row r="686027" spans="21:21" x14ac:dyDescent="0.3">
      <c r="U686027" s="25"/>
    </row>
    <row r="686049" spans="21:21" x14ac:dyDescent="0.3">
      <c r="U686049" s="25"/>
    </row>
    <row r="686071" spans="21:21" x14ac:dyDescent="0.3">
      <c r="U686071" s="25"/>
    </row>
    <row r="686093" spans="21:21" x14ac:dyDescent="0.3">
      <c r="U686093" s="25"/>
    </row>
    <row r="686115" spans="21:21" x14ac:dyDescent="0.3">
      <c r="U686115" s="25"/>
    </row>
    <row r="686137" spans="21:21" x14ac:dyDescent="0.3">
      <c r="U686137" s="25"/>
    </row>
    <row r="686159" spans="21:21" x14ac:dyDescent="0.3">
      <c r="U686159" s="25"/>
    </row>
    <row r="686181" spans="21:21" x14ac:dyDescent="0.3">
      <c r="U686181" s="25"/>
    </row>
    <row r="686203" spans="21:21" x14ac:dyDescent="0.3">
      <c r="U686203" s="25"/>
    </row>
    <row r="686225" spans="21:21" x14ac:dyDescent="0.3">
      <c r="U686225" s="25"/>
    </row>
    <row r="686247" spans="21:21" x14ac:dyDescent="0.3">
      <c r="U686247" s="25"/>
    </row>
    <row r="686269" spans="21:21" x14ac:dyDescent="0.3">
      <c r="U686269" s="25"/>
    </row>
    <row r="686291" spans="21:21" x14ac:dyDescent="0.3">
      <c r="U686291" s="25"/>
    </row>
    <row r="686313" spans="21:21" x14ac:dyDescent="0.3">
      <c r="U686313" s="25"/>
    </row>
    <row r="686335" spans="21:21" x14ac:dyDescent="0.3">
      <c r="U686335" s="25"/>
    </row>
    <row r="686357" spans="21:21" x14ac:dyDescent="0.3">
      <c r="U686357" s="25"/>
    </row>
    <row r="686379" spans="21:21" x14ac:dyDescent="0.3">
      <c r="U686379" s="25"/>
    </row>
    <row r="686401" spans="21:21" x14ac:dyDescent="0.3">
      <c r="U686401" s="25"/>
    </row>
    <row r="686423" spans="21:21" x14ac:dyDescent="0.3">
      <c r="U686423" s="25"/>
    </row>
    <row r="686445" spans="21:21" x14ac:dyDescent="0.3">
      <c r="U686445" s="25"/>
    </row>
    <row r="686467" spans="21:21" x14ac:dyDescent="0.3">
      <c r="U686467" s="25"/>
    </row>
    <row r="686489" spans="21:21" x14ac:dyDescent="0.3">
      <c r="U686489" s="25"/>
    </row>
    <row r="686511" spans="21:21" x14ac:dyDescent="0.3">
      <c r="U686511" s="25"/>
    </row>
    <row r="686533" spans="21:21" x14ac:dyDescent="0.3">
      <c r="U686533" s="25"/>
    </row>
    <row r="686555" spans="21:21" x14ac:dyDescent="0.3">
      <c r="U686555" s="25"/>
    </row>
    <row r="686577" spans="21:21" x14ac:dyDescent="0.3">
      <c r="U686577" s="25"/>
    </row>
    <row r="686599" spans="21:21" x14ac:dyDescent="0.3">
      <c r="U686599" s="25"/>
    </row>
    <row r="686621" spans="21:21" x14ac:dyDescent="0.3">
      <c r="U686621" s="25"/>
    </row>
    <row r="686643" spans="21:21" x14ac:dyDescent="0.3">
      <c r="U686643" s="25"/>
    </row>
    <row r="686665" spans="21:21" x14ac:dyDescent="0.3">
      <c r="U686665" s="25"/>
    </row>
    <row r="686687" spans="21:21" x14ac:dyDescent="0.3">
      <c r="U686687" s="25"/>
    </row>
    <row r="686709" spans="21:21" x14ac:dyDescent="0.3">
      <c r="U686709" s="25"/>
    </row>
    <row r="686731" spans="21:21" x14ac:dyDescent="0.3">
      <c r="U686731" s="25"/>
    </row>
    <row r="686753" spans="21:21" x14ac:dyDescent="0.3">
      <c r="U686753" s="25"/>
    </row>
    <row r="686775" spans="21:21" x14ac:dyDescent="0.3">
      <c r="U686775" s="25"/>
    </row>
    <row r="686797" spans="21:21" x14ac:dyDescent="0.3">
      <c r="U686797" s="25"/>
    </row>
    <row r="686819" spans="21:21" x14ac:dyDescent="0.3">
      <c r="U686819" s="25"/>
    </row>
    <row r="686841" spans="21:21" x14ac:dyDescent="0.3">
      <c r="U686841" s="25"/>
    </row>
    <row r="686863" spans="21:21" x14ac:dyDescent="0.3">
      <c r="U686863" s="25"/>
    </row>
    <row r="686885" spans="21:21" x14ac:dyDescent="0.3">
      <c r="U686885" s="25"/>
    </row>
    <row r="686907" spans="21:21" x14ac:dyDescent="0.3">
      <c r="U686907" s="25"/>
    </row>
    <row r="686929" spans="21:21" x14ac:dyDescent="0.3">
      <c r="U686929" s="25"/>
    </row>
    <row r="686951" spans="21:21" x14ac:dyDescent="0.3">
      <c r="U686951" s="25"/>
    </row>
    <row r="686973" spans="21:21" x14ac:dyDescent="0.3">
      <c r="U686973" s="25"/>
    </row>
    <row r="686995" spans="21:21" x14ac:dyDescent="0.3">
      <c r="U686995" s="25"/>
    </row>
    <row r="687017" spans="21:21" x14ac:dyDescent="0.3">
      <c r="U687017" s="25"/>
    </row>
    <row r="687039" spans="21:21" x14ac:dyDescent="0.3">
      <c r="U687039" s="25"/>
    </row>
    <row r="687061" spans="21:21" x14ac:dyDescent="0.3">
      <c r="U687061" s="25"/>
    </row>
    <row r="687083" spans="21:21" x14ac:dyDescent="0.3">
      <c r="U687083" s="25"/>
    </row>
    <row r="687105" spans="21:21" x14ac:dyDescent="0.3">
      <c r="U687105" s="25"/>
    </row>
    <row r="687127" spans="21:21" x14ac:dyDescent="0.3">
      <c r="U687127" s="25"/>
    </row>
    <row r="687149" spans="21:21" x14ac:dyDescent="0.3">
      <c r="U687149" s="25"/>
    </row>
    <row r="687171" spans="21:21" x14ac:dyDescent="0.3">
      <c r="U687171" s="25"/>
    </row>
    <row r="687193" spans="21:21" x14ac:dyDescent="0.3">
      <c r="U687193" s="25"/>
    </row>
    <row r="687215" spans="21:21" x14ac:dyDescent="0.3">
      <c r="U687215" s="25"/>
    </row>
    <row r="687237" spans="21:21" x14ac:dyDescent="0.3">
      <c r="U687237" s="25"/>
    </row>
    <row r="687259" spans="21:21" x14ac:dyDescent="0.3">
      <c r="U687259" s="25"/>
    </row>
    <row r="687281" spans="21:21" x14ac:dyDescent="0.3">
      <c r="U687281" s="25"/>
    </row>
    <row r="687303" spans="21:21" x14ac:dyDescent="0.3">
      <c r="U687303" s="25"/>
    </row>
    <row r="687325" spans="21:21" x14ac:dyDescent="0.3">
      <c r="U687325" s="25"/>
    </row>
    <row r="687347" spans="21:21" x14ac:dyDescent="0.3">
      <c r="U687347" s="25"/>
    </row>
    <row r="687369" spans="21:21" x14ac:dyDescent="0.3">
      <c r="U687369" s="25"/>
    </row>
    <row r="687391" spans="21:21" x14ac:dyDescent="0.3">
      <c r="U687391" s="25"/>
    </row>
    <row r="687413" spans="21:21" x14ac:dyDescent="0.3">
      <c r="U687413" s="25"/>
    </row>
    <row r="687435" spans="21:21" x14ac:dyDescent="0.3">
      <c r="U687435" s="25"/>
    </row>
    <row r="687457" spans="21:21" x14ac:dyDescent="0.3">
      <c r="U687457" s="25"/>
    </row>
    <row r="687479" spans="21:21" x14ac:dyDescent="0.3">
      <c r="U687479" s="25"/>
    </row>
    <row r="687501" spans="21:21" x14ac:dyDescent="0.3">
      <c r="U687501" s="25"/>
    </row>
    <row r="687523" spans="21:21" x14ac:dyDescent="0.3">
      <c r="U687523" s="25"/>
    </row>
    <row r="687545" spans="21:21" x14ac:dyDescent="0.3">
      <c r="U687545" s="25"/>
    </row>
    <row r="687567" spans="21:21" x14ac:dyDescent="0.3">
      <c r="U687567" s="25"/>
    </row>
    <row r="687589" spans="21:21" x14ac:dyDescent="0.3">
      <c r="U687589" s="25"/>
    </row>
    <row r="687611" spans="21:21" x14ac:dyDescent="0.3">
      <c r="U687611" s="25"/>
    </row>
    <row r="687633" spans="21:21" x14ac:dyDescent="0.3">
      <c r="U687633" s="25"/>
    </row>
    <row r="687655" spans="21:21" x14ac:dyDescent="0.3">
      <c r="U687655" s="25"/>
    </row>
    <row r="687677" spans="21:21" x14ac:dyDescent="0.3">
      <c r="U687677" s="25"/>
    </row>
    <row r="687699" spans="21:21" x14ac:dyDescent="0.3">
      <c r="U687699" s="25"/>
    </row>
    <row r="687721" spans="21:21" x14ac:dyDescent="0.3">
      <c r="U687721" s="25"/>
    </row>
    <row r="687743" spans="21:21" x14ac:dyDescent="0.3">
      <c r="U687743" s="25"/>
    </row>
    <row r="687765" spans="21:21" x14ac:dyDescent="0.3">
      <c r="U687765" s="25"/>
    </row>
    <row r="687787" spans="21:21" x14ac:dyDescent="0.3">
      <c r="U687787" s="25"/>
    </row>
    <row r="687809" spans="21:21" x14ac:dyDescent="0.3">
      <c r="U687809" s="25"/>
    </row>
    <row r="687831" spans="21:21" x14ac:dyDescent="0.3">
      <c r="U687831" s="25"/>
    </row>
    <row r="687853" spans="21:21" x14ac:dyDescent="0.3">
      <c r="U687853" s="25"/>
    </row>
    <row r="687875" spans="21:21" x14ac:dyDescent="0.3">
      <c r="U687875" s="25"/>
    </row>
    <row r="687897" spans="21:21" x14ac:dyDescent="0.3">
      <c r="U687897" s="25"/>
    </row>
    <row r="687919" spans="21:21" x14ac:dyDescent="0.3">
      <c r="U687919" s="25"/>
    </row>
    <row r="687941" spans="21:21" x14ac:dyDescent="0.3">
      <c r="U687941" s="25"/>
    </row>
    <row r="687963" spans="21:21" x14ac:dyDescent="0.3">
      <c r="U687963" s="25"/>
    </row>
    <row r="687985" spans="21:21" x14ac:dyDescent="0.3">
      <c r="U687985" s="25"/>
    </row>
    <row r="688007" spans="21:21" x14ac:dyDescent="0.3">
      <c r="U688007" s="25"/>
    </row>
    <row r="688029" spans="21:21" x14ac:dyDescent="0.3">
      <c r="U688029" s="25"/>
    </row>
    <row r="688051" spans="21:21" x14ac:dyDescent="0.3">
      <c r="U688051" s="25"/>
    </row>
    <row r="688073" spans="21:21" x14ac:dyDescent="0.3">
      <c r="U688073" s="25"/>
    </row>
    <row r="688095" spans="21:21" x14ac:dyDescent="0.3">
      <c r="U688095" s="25"/>
    </row>
    <row r="688117" spans="21:21" x14ac:dyDescent="0.3">
      <c r="U688117" s="25"/>
    </row>
    <row r="688139" spans="21:21" x14ac:dyDescent="0.3">
      <c r="U688139" s="25"/>
    </row>
    <row r="688161" spans="21:21" x14ac:dyDescent="0.3">
      <c r="U688161" s="25"/>
    </row>
    <row r="688183" spans="21:21" x14ac:dyDescent="0.3">
      <c r="U688183" s="25"/>
    </row>
    <row r="688205" spans="21:21" x14ac:dyDescent="0.3">
      <c r="U688205" s="25"/>
    </row>
    <row r="688227" spans="21:21" x14ac:dyDescent="0.3">
      <c r="U688227" s="25"/>
    </row>
    <row r="688249" spans="21:21" x14ac:dyDescent="0.3">
      <c r="U688249" s="25"/>
    </row>
    <row r="688271" spans="21:21" x14ac:dyDescent="0.3">
      <c r="U688271" s="25"/>
    </row>
    <row r="688293" spans="21:21" x14ac:dyDescent="0.3">
      <c r="U688293" s="25"/>
    </row>
    <row r="688315" spans="21:21" x14ac:dyDescent="0.3">
      <c r="U688315" s="25"/>
    </row>
    <row r="688337" spans="21:21" x14ac:dyDescent="0.3">
      <c r="U688337" s="25"/>
    </row>
    <row r="688359" spans="21:21" x14ac:dyDescent="0.3">
      <c r="U688359" s="25"/>
    </row>
    <row r="688381" spans="21:21" x14ac:dyDescent="0.3">
      <c r="U688381" s="25"/>
    </row>
    <row r="688403" spans="21:21" x14ac:dyDescent="0.3">
      <c r="U688403" s="25"/>
    </row>
    <row r="688425" spans="21:21" x14ac:dyDescent="0.3">
      <c r="U688425" s="25"/>
    </row>
    <row r="688447" spans="21:21" x14ac:dyDescent="0.3">
      <c r="U688447" s="25"/>
    </row>
    <row r="688469" spans="21:21" x14ac:dyDescent="0.3">
      <c r="U688469" s="25"/>
    </row>
    <row r="688491" spans="21:21" x14ac:dyDescent="0.3">
      <c r="U688491" s="25"/>
    </row>
    <row r="688513" spans="21:21" x14ac:dyDescent="0.3">
      <c r="U688513" s="25"/>
    </row>
    <row r="688535" spans="21:21" x14ac:dyDescent="0.3">
      <c r="U688535" s="25"/>
    </row>
    <row r="688557" spans="21:21" x14ac:dyDescent="0.3">
      <c r="U688557" s="25"/>
    </row>
    <row r="688579" spans="21:21" x14ac:dyDescent="0.3">
      <c r="U688579" s="25"/>
    </row>
    <row r="688601" spans="21:21" x14ac:dyDescent="0.3">
      <c r="U688601" s="25"/>
    </row>
    <row r="688623" spans="21:21" x14ac:dyDescent="0.3">
      <c r="U688623" s="25"/>
    </row>
    <row r="688645" spans="21:21" x14ac:dyDescent="0.3">
      <c r="U688645" s="25"/>
    </row>
    <row r="688667" spans="21:21" x14ac:dyDescent="0.3">
      <c r="U688667" s="25"/>
    </row>
    <row r="688689" spans="21:21" x14ac:dyDescent="0.3">
      <c r="U688689" s="25"/>
    </row>
    <row r="688711" spans="21:21" x14ac:dyDescent="0.3">
      <c r="U688711" s="25"/>
    </row>
    <row r="688733" spans="21:21" x14ac:dyDescent="0.3">
      <c r="U688733" s="25"/>
    </row>
    <row r="688755" spans="21:21" x14ac:dyDescent="0.3">
      <c r="U688755" s="25"/>
    </row>
    <row r="688777" spans="21:21" x14ac:dyDescent="0.3">
      <c r="U688777" s="25"/>
    </row>
    <row r="688799" spans="21:21" x14ac:dyDescent="0.3">
      <c r="U688799" s="25"/>
    </row>
    <row r="688821" spans="21:21" x14ac:dyDescent="0.3">
      <c r="U688821" s="25"/>
    </row>
    <row r="688843" spans="21:21" x14ac:dyDescent="0.3">
      <c r="U688843" s="25"/>
    </row>
    <row r="688865" spans="21:21" x14ac:dyDescent="0.3">
      <c r="U688865" s="25"/>
    </row>
    <row r="688887" spans="21:21" x14ac:dyDescent="0.3">
      <c r="U688887" s="25"/>
    </row>
    <row r="688909" spans="21:21" x14ac:dyDescent="0.3">
      <c r="U688909" s="25"/>
    </row>
    <row r="688931" spans="21:21" x14ac:dyDescent="0.3">
      <c r="U688931" s="25"/>
    </row>
    <row r="688953" spans="21:21" x14ac:dyDescent="0.3">
      <c r="U688953" s="25"/>
    </row>
    <row r="688975" spans="21:21" x14ac:dyDescent="0.3">
      <c r="U688975" s="25"/>
    </row>
    <row r="688997" spans="21:21" x14ac:dyDescent="0.3">
      <c r="U688997" s="25"/>
    </row>
    <row r="689019" spans="21:21" x14ac:dyDescent="0.3">
      <c r="U689019" s="25"/>
    </row>
    <row r="689041" spans="21:21" x14ac:dyDescent="0.3">
      <c r="U689041" s="25"/>
    </row>
    <row r="689063" spans="21:21" x14ac:dyDescent="0.3">
      <c r="U689063" s="25"/>
    </row>
    <row r="689085" spans="21:21" x14ac:dyDescent="0.3">
      <c r="U689085" s="25"/>
    </row>
    <row r="689107" spans="21:21" x14ac:dyDescent="0.3">
      <c r="U689107" s="25"/>
    </row>
    <row r="689129" spans="21:21" x14ac:dyDescent="0.3">
      <c r="U689129" s="25"/>
    </row>
    <row r="689151" spans="21:21" x14ac:dyDescent="0.3">
      <c r="U689151" s="25"/>
    </row>
    <row r="689173" spans="21:21" x14ac:dyDescent="0.3">
      <c r="U689173" s="25"/>
    </row>
    <row r="689195" spans="21:21" x14ac:dyDescent="0.3">
      <c r="U689195" s="25"/>
    </row>
    <row r="689217" spans="21:21" x14ac:dyDescent="0.3">
      <c r="U689217" s="25"/>
    </row>
    <row r="689239" spans="21:21" x14ac:dyDescent="0.3">
      <c r="U689239" s="25"/>
    </row>
    <row r="689261" spans="21:21" x14ac:dyDescent="0.3">
      <c r="U689261" s="25"/>
    </row>
    <row r="689283" spans="21:21" x14ac:dyDescent="0.3">
      <c r="U689283" s="25"/>
    </row>
    <row r="689305" spans="21:21" x14ac:dyDescent="0.3">
      <c r="U689305" s="25"/>
    </row>
    <row r="689327" spans="21:21" x14ac:dyDescent="0.3">
      <c r="U689327" s="25"/>
    </row>
    <row r="689349" spans="21:21" x14ac:dyDescent="0.3">
      <c r="U689349" s="25"/>
    </row>
    <row r="689371" spans="21:21" x14ac:dyDescent="0.3">
      <c r="U689371" s="25"/>
    </row>
    <row r="689393" spans="21:21" x14ac:dyDescent="0.3">
      <c r="U689393" s="25"/>
    </row>
    <row r="689415" spans="21:21" x14ac:dyDescent="0.3">
      <c r="U689415" s="25"/>
    </row>
    <row r="689437" spans="21:21" x14ac:dyDescent="0.3">
      <c r="U689437" s="25"/>
    </row>
    <row r="689459" spans="21:21" x14ac:dyDescent="0.3">
      <c r="U689459" s="25"/>
    </row>
    <row r="689481" spans="21:21" x14ac:dyDescent="0.3">
      <c r="U689481" s="25"/>
    </row>
    <row r="689503" spans="21:21" x14ac:dyDescent="0.3">
      <c r="U689503" s="25"/>
    </row>
    <row r="689525" spans="21:21" x14ac:dyDescent="0.3">
      <c r="U689525" s="25"/>
    </row>
    <row r="689547" spans="21:21" x14ac:dyDescent="0.3">
      <c r="U689547" s="25"/>
    </row>
    <row r="689569" spans="21:21" x14ac:dyDescent="0.3">
      <c r="U689569" s="25"/>
    </row>
    <row r="689591" spans="21:21" x14ac:dyDescent="0.3">
      <c r="U689591" s="25"/>
    </row>
    <row r="689613" spans="21:21" x14ac:dyDescent="0.3">
      <c r="U689613" s="25"/>
    </row>
    <row r="689635" spans="21:21" x14ac:dyDescent="0.3">
      <c r="U689635" s="25"/>
    </row>
    <row r="689657" spans="21:21" x14ac:dyDescent="0.3">
      <c r="U689657" s="25"/>
    </row>
    <row r="689679" spans="21:21" x14ac:dyDescent="0.3">
      <c r="U689679" s="25"/>
    </row>
    <row r="689701" spans="21:21" x14ac:dyDescent="0.3">
      <c r="U689701" s="25"/>
    </row>
    <row r="689723" spans="21:21" x14ac:dyDescent="0.3">
      <c r="U689723" s="25"/>
    </row>
    <row r="689745" spans="21:21" x14ac:dyDescent="0.3">
      <c r="U689745" s="25"/>
    </row>
    <row r="689767" spans="21:21" x14ac:dyDescent="0.3">
      <c r="U689767" s="25"/>
    </row>
    <row r="689789" spans="21:21" x14ac:dyDescent="0.3">
      <c r="U689789" s="25"/>
    </row>
    <row r="689811" spans="21:21" x14ac:dyDescent="0.3">
      <c r="U689811" s="25"/>
    </row>
    <row r="689833" spans="21:21" x14ac:dyDescent="0.3">
      <c r="U689833" s="25"/>
    </row>
    <row r="689855" spans="21:21" x14ac:dyDescent="0.3">
      <c r="U689855" s="25"/>
    </row>
    <row r="689877" spans="21:21" x14ac:dyDescent="0.3">
      <c r="U689877" s="25"/>
    </row>
    <row r="689899" spans="21:21" x14ac:dyDescent="0.3">
      <c r="U689899" s="25"/>
    </row>
    <row r="689921" spans="21:21" x14ac:dyDescent="0.3">
      <c r="U689921" s="25"/>
    </row>
    <row r="689943" spans="21:21" x14ac:dyDescent="0.3">
      <c r="U689943" s="25"/>
    </row>
    <row r="689965" spans="21:21" x14ac:dyDescent="0.3">
      <c r="U689965" s="25"/>
    </row>
    <row r="689987" spans="21:21" x14ac:dyDescent="0.3">
      <c r="U689987" s="25"/>
    </row>
    <row r="690009" spans="21:21" x14ac:dyDescent="0.3">
      <c r="U690009" s="25"/>
    </row>
    <row r="690031" spans="21:21" x14ac:dyDescent="0.3">
      <c r="U690031" s="25"/>
    </row>
    <row r="690053" spans="21:21" x14ac:dyDescent="0.3">
      <c r="U690053" s="25"/>
    </row>
    <row r="690075" spans="21:21" x14ac:dyDescent="0.3">
      <c r="U690075" s="25"/>
    </row>
    <row r="690097" spans="21:21" x14ac:dyDescent="0.3">
      <c r="U690097" s="25"/>
    </row>
    <row r="690119" spans="21:21" x14ac:dyDescent="0.3">
      <c r="U690119" s="25"/>
    </row>
    <row r="690141" spans="21:21" x14ac:dyDescent="0.3">
      <c r="U690141" s="25"/>
    </row>
    <row r="690163" spans="21:21" x14ac:dyDescent="0.3">
      <c r="U690163" s="25"/>
    </row>
    <row r="690185" spans="21:21" x14ac:dyDescent="0.3">
      <c r="U690185" s="25"/>
    </row>
    <row r="690207" spans="21:21" x14ac:dyDescent="0.3">
      <c r="U690207" s="25"/>
    </row>
    <row r="690229" spans="21:21" x14ac:dyDescent="0.3">
      <c r="U690229" s="25"/>
    </row>
    <row r="690251" spans="21:21" x14ac:dyDescent="0.3">
      <c r="U690251" s="25"/>
    </row>
    <row r="690273" spans="21:21" x14ac:dyDescent="0.3">
      <c r="U690273" s="25"/>
    </row>
    <row r="690295" spans="21:21" x14ac:dyDescent="0.3">
      <c r="U690295" s="25"/>
    </row>
    <row r="690317" spans="21:21" x14ac:dyDescent="0.3">
      <c r="U690317" s="25"/>
    </row>
    <row r="690339" spans="21:21" x14ac:dyDescent="0.3">
      <c r="U690339" s="25"/>
    </row>
    <row r="690361" spans="21:21" x14ac:dyDescent="0.3">
      <c r="U690361" s="25"/>
    </row>
    <row r="690383" spans="21:21" x14ac:dyDescent="0.3">
      <c r="U690383" s="25"/>
    </row>
    <row r="690405" spans="21:21" x14ac:dyDescent="0.3">
      <c r="U690405" s="25"/>
    </row>
    <row r="690427" spans="21:21" x14ac:dyDescent="0.3">
      <c r="U690427" s="25"/>
    </row>
    <row r="690449" spans="21:21" x14ac:dyDescent="0.3">
      <c r="U690449" s="25"/>
    </row>
    <row r="690471" spans="21:21" x14ac:dyDescent="0.3">
      <c r="U690471" s="25"/>
    </row>
    <row r="690493" spans="21:21" x14ac:dyDescent="0.3">
      <c r="U690493" s="25"/>
    </row>
    <row r="690515" spans="21:21" x14ac:dyDescent="0.3">
      <c r="U690515" s="25"/>
    </row>
    <row r="690537" spans="21:21" x14ac:dyDescent="0.3">
      <c r="U690537" s="25"/>
    </row>
    <row r="690559" spans="21:21" x14ac:dyDescent="0.3">
      <c r="U690559" s="25"/>
    </row>
    <row r="690581" spans="21:21" x14ac:dyDescent="0.3">
      <c r="U690581" s="25"/>
    </row>
    <row r="690603" spans="21:21" x14ac:dyDescent="0.3">
      <c r="U690603" s="25"/>
    </row>
    <row r="690625" spans="21:21" x14ac:dyDescent="0.3">
      <c r="U690625" s="25"/>
    </row>
    <row r="690647" spans="21:21" x14ac:dyDescent="0.3">
      <c r="U690647" s="25"/>
    </row>
    <row r="690669" spans="21:21" x14ac:dyDescent="0.3">
      <c r="U690669" s="25"/>
    </row>
    <row r="690691" spans="21:21" x14ac:dyDescent="0.3">
      <c r="U690691" s="25"/>
    </row>
    <row r="690713" spans="21:21" x14ac:dyDescent="0.3">
      <c r="U690713" s="25"/>
    </row>
    <row r="690735" spans="21:21" x14ac:dyDescent="0.3">
      <c r="U690735" s="25"/>
    </row>
    <row r="690757" spans="21:21" x14ac:dyDescent="0.3">
      <c r="U690757" s="25"/>
    </row>
    <row r="690779" spans="21:21" x14ac:dyDescent="0.3">
      <c r="U690779" s="25"/>
    </row>
    <row r="690801" spans="21:21" x14ac:dyDescent="0.3">
      <c r="U690801" s="25"/>
    </row>
    <row r="690823" spans="21:21" x14ac:dyDescent="0.3">
      <c r="U690823" s="25"/>
    </row>
    <row r="690845" spans="21:21" x14ac:dyDescent="0.3">
      <c r="U690845" s="25"/>
    </row>
    <row r="690867" spans="21:21" x14ac:dyDescent="0.3">
      <c r="U690867" s="25"/>
    </row>
    <row r="690889" spans="21:21" x14ac:dyDescent="0.3">
      <c r="U690889" s="25"/>
    </row>
    <row r="690911" spans="21:21" x14ac:dyDescent="0.3">
      <c r="U690911" s="25"/>
    </row>
    <row r="690933" spans="21:21" x14ac:dyDescent="0.3">
      <c r="U690933" s="25"/>
    </row>
    <row r="690955" spans="21:21" x14ac:dyDescent="0.3">
      <c r="U690955" s="25"/>
    </row>
    <row r="690977" spans="21:21" x14ac:dyDescent="0.3">
      <c r="U690977" s="25"/>
    </row>
    <row r="690999" spans="21:21" x14ac:dyDescent="0.3">
      <c r="U690999" s="25"/>
    </row>
    <row r="691021" spans="21:21" x14ac:dyDescent="0.3">
      <c r="U691021" s="25"/>
    </row>
    <row r="691043" spans="21:21" x14ac:dyDescent="0.3">
      <c r="U691043" s="25"/>
    </row>
    <row r="691065" spans="21:21" x14ac:dyDescent="0.3">
      <c r="U691065" s="25"/>
    </row>
    <row r="691087" spans="21:21" x14ac:dyDescent="0.3">
      <c r="U691087" s="25"/>
    </row>
    <row r="691109" spans="21:21" x14ac:dyDescent="0.3">
      <c r="U691109" s="25"/>
    </row>
    <row r="691131" spans="21:21" x14ac:dyDescent="0.3">
      <c r="U691131" s="25"/>
    </row>
    <row r="691153" spans="21:21" x14ac:dyDescent="0.3">
      <c r="U691153" s="25"/>
    </row>
    <row r="691175" spans="21:21" x14ac:dyDescent="0.3">
      <c r="U691175" s="25"/>
    </row>
    <row r="691197" spans="21:21" x14ac:dyDescent="0.3">
      <c r="U691197" s="25"/>
    </row>
    <row r="691219" spans="21:21" x14ac:dyDescent="0.3">
      <c r="U691219" s="25"/>
    </row>
    <row r="691241" spans="21:21" x14ac:dyDescent="0.3">
      <c r="U691241" s="25"/>
    </row>
    <row r="691263" spans="21:21" x14ac:dyDescent="0.3">
      <c r="U691263" s="25"/>
    </row>
    <row r="691285" spans="21:21" x14ac:dyDescent="0.3">
      <c r="U691285" s="25"/>
    </row>
    <row r="691307" spans="21:21" x14ac:dyDescent="0.3">
      <c r="U691307" s="25"/>
    </row>
    <row r="691329" spans="21:21" x14ac:dyDescent="0.3">
      <c r="U691329" s="25"/>
    </row>
    <row r="691351" spans="21:21" x14ac:dyDescent="0.3">
      <c r="U691351" s="25"/>
    </row>
    <row r="691373" spans="21:21" x14ac:dyDescent="0.3">
      <c r="U691373" s="25"/>
    </row>
    <row r="691395" spans="21:21" x14ac:dyDescent="0.3">
      <c r="U691395" s="25"/>
    </row>
    <row r="691417" spans="21:21" x14ac:dyDescent="0.3">
      <c r="U691417" s="25"/>
    </row>
    <row r="691439" spans="21:21" x14ac:dyDescent="0.3">
      <c r="U691439" s="25"/>
    </row>
    <row r="691461" spans="21:21" x14ac:dyDescent="0.3">
      <c r="U691461" s="25"/>
    </row>
    <row r="691483" spans="21:21" x14ac:dyDescent="0.3">
      <c r="U691483" s="25"/>
    </row>
    <row r="691505" spans="21:21" x14ac:dyDescent="0.3">
      <c r="U691505" s="25"/>
    </row>
    <row r="691527" spans="21:21" x14ac:dyDescent="0.3">
      <c r="U691527" s="25"/>
    </row>
    <row r="691549" spans="21:21" x14ac:dyDescent="0.3">
      <c r="U691549" s="25"/>
    </row>
    <row r="691571" spans="21:21" x14ac:dyDescent="0.3">
      <c r="U691571" s="25"/>
    </row>
    <row r="691593" spans="21:21" x14ac:dyDescent="0.3">
      <c r="U691593" s="25"/>
    </row>
    <row r="691615" spans="21:21" x14ac:dyDescent="0.3">
      <c r="U691615" s="25"/>
    </row>
    <row r="691637" spans="21:21" x14ac:dyDescent="0.3">
      <c r="U691637" s="25"/>
    </row>
    <row r="691659" spans="21:21" x14ac:dyDescent="0.3">
      <c r="U691659" s="25"/>
    </row>
    <row r="691681" spans="21:21" x14ac:dyDescent="0.3">
      <c r="U691681" s="25"/>
    </row>
    <row r="691703" spans="21:21" x14ac:dyDescent="0.3">
      <c r="U691703" s="25"/>
    </row>
    <row r="691725" spans="21:21" x14ac:dyDescent="0.3">
      <c r="U691725" s="25"/>
    </row>
    <row r="691747" spans="21:21" x14ac:dyDescent="0.3">
      <c r="U691747" s="25"/>
    </row>
    <row r="691769" spans="21:21" x14ac:dyDescent="0.3">
      <c r="U691769" s="25"/>
    </row>
    <row r="691791" spans="21:21" x14ac:dyDescent="0.3">
      <c r="U691791" s="25"/>
    </row>
    <row r="691813" spans="21:21" x14ac:dyDescent="0.3">
      <c r="U691813" s="25"/>
    </row>
    <row r="691835" spans="21:21" x14ac:dyDescent="0.3">
      <c r="U691835" s="25"/>
    </row>
    <row r="691857" spans="21:21" x14ac:dyDescent="0.3">
      <c r="U691857" s="25"/>
    </row>
    <row r="691879" spans="21:21" x14ac:dyDescent="0.3">
      <c r="U691879" s="25"/>
    </row>
    <row r="691901" spans="21:21" x14ac:dyDescent="0.3">
      <c r="U691901" s="25"/>
    </row>
    <row r="691923" spans="21:21" x14ac:dyDescent="0.3">
      <c r="U691923" s="25"/>
    </row>
    <row r="691945" spans="21:21" x14ac:dyDescent="0.3">
      <c r="U691945" s="25"/>
    </row>
    <row r="691967" spans="21:21" x14ac:dyDescent="0.3">
      <c r="U691967" s="25"/>
    </row>
    <row r="691989" spans="21:21" x14ac:dyDescent="0.3">
      <c r="U691989" s="25"/>
    </row>
    <row r="692011" spans="21:21" x14ac:dyDescent="0.3">
      <c r="U692011" s="25"/>
    </row>
    <row r="692033" spans="21:21" x14ac:dyDescent="0.3">
      <c r="U692033" s="25"/>
    </row>
    <row r="692055" spans="21:21" x14ac:dyDescent="0.3">
      <c r="U692055" s="25"/>
    </row>
    <row r="692077" spans="21:21" x14ac:dyDescent="0.3">
      <c r="U692077" s="25"/>
    </row>
    <row r="692099" spans="21:21" x14ac:dyDescent="0.3">
      <c r="U692099" s="25"/>
    </row>
    <row r="692121" spans="21:21" x14ac:dyDescent="0.3">
      <c r="U692121" s="25"/>
    </row>
    <row r="692143" spans="21:21" x14ac:dyDescent="0.3">
      <c r="U692143" s="25"/>
    </row>
    <row r="692165" spans="21:21" x14ac:dyDescent="0.3">
      <c r="U692165" s="25"/>
    </row>
    <row r="692187" spans="21:21" x14ac:dyDescent="0.3">
      <c r="U692187" s="25"/>
    </row>
    <row r="692209" spans="21:21" x14ac:dyDescent="0.3">
      <c r="U692209" s="25"/>
    </row>
    <row r="692231" spans="21:21" x14ac:dyDescent="0.3">
      <c r="U692231" s="25"/>
    </row>
    <row r="692253" spans="21:21" x14ac:dyDescent="0.3">
      <c r="U692253" s="25"/>
    </row>
    <row r="692275" spans="21:21" x14ac:dyDescent="0.3">
      <c r="U692275" s="25"/>
    </row>
    <row r="692297" spans="21:21" x14ac:dyDescent="0.3">
      <c r="U692297" s="25"/>
    </row>
    <row r="692319" spans="21:21" x14ac:dyDescent="0.3">
      <c r="U692319" s="25"/>
    </row>
    <row r="692341" spans="21:21" x14ac:dyDescent="0.3">
      <c r="U692341" s="25"/>
    </row>
    <row r="692363" spans="21:21" x14ac:dyDescent="0.3">
      <c r="U692363" s="25"/>
    </row>
    <row r="692385" spans="21:21" x14ac:dyDescent="0.3">
      <c r="U692385" s="25"/>
    </row>
    <row r="692407" spans="21:21" x14ac:dyDescent="0.3">
      <c r="U692407" s="25"/>
    </row>
    <row r="692429" spans="21:21" x14ac:dyDescent="0.3">
      <c r="U692429" s="25"/>
    </row>
    <row r="692451" spans="21:21" x14ac:dyDescent="0.3">
      <c r="U692451" s="25"/>
    </row>
    <row r="692473" spans="21:21" x14ac:dyDescent="0.3">
      <c r="U692473" s="25"/>
    </row>
    <row r="692495" spans="21:21" x14ac:dyDescent="0.3">
      <c r="U692495" s="25"/>
    </row>
    <row r="692517" spans="21:21" x14ac:dyDescent="0.3">
      <c r="U692517" s="25"/>
    </row>
    <row r="692539" spans="21:21" x14ac:dyDescent="0.3">
      <c r="U692539" s="25"/>
    </row>
    <row r="692561" spans="21:21" x14ac:dyDescent="0.3">
      <c r="U692561" s="25"/>
    </row>
    <row r="692583" spans="21:21" x14ac:dyDescent="0.3">
      <c r="U692583" s="25"/>
    </row>
    <row r="692605" spans="21:21" x14ac:dyDescent="0.3">
      <c r="U692605" s="25"/>
    </row>
    <row r="692627" spans="21:21" x14ac:dyDescent="0.3">
      <c r="U692627" s="25"/>
    </row>
    <row r="692649" spans="21:21" x14ac:dyDescent="0.3">
      <c r="U692649" s="25"/>
    </row>
    <row r="692671" spans="21:21" x14ac:dyDescent="0.3">
      <c r="U692671" s="25"/>
    </row>
    <row r="692693" spans="21:21" x14ac:dyDescent="0.3">
      <c r="U692693" s="25"/>
    </row>
    <row r="692715" spans="21:21" x14ac:dyDescent="0.3">
      <c r="U692715" s="25"/>
    </row>
    <row r="692737" spans="21:21" x14ac:dyDescent="0.3">
      <c r="U692737" s="25"/>
    </row>
    <row r="692759" spans="21:21" x14ac:dyDescent="0.3">
      <c r="U692759" s="25"/>
    </row>
    <row r="692781" spans="21:21" x14ac:dyDescent="0.3">
      <c r="U692781" s="25"/>
    </row>
    <row r="692803" spans="21:21" x14ac:dyDescent="0.3">
      <c r="U692803" s="25"/>
    </row>
    <row r="692825" spans="21:21" x14ac:dyDescent="0.3">
      <c r="U692825" s="25"/>
    </row>
    <row r="692847" spans="21:21" x14ac:dyDescent="0.3">
      <c r="U692847" s="25"/>
    </row>
    <row r="692869" spans="21:21" x14ac:dyDescent="0.3">
      <c r="U692869" s="25"/>
    </row>
    <row r="692891" spans="21:21" x14ac:dyDescent="0.3">
      <c r="U692891" s="25"/>
    </row>
    <row r="692913" spans="21:21" x14ac:dyDescent="0.3">
      <c r="U692913" s="25"/>
    </row>
    <row r="692935" spans="21:21" x14ac:dyDescent="0.3">
      <c r="U692935" s="25"/>
    </row>
    <row r="692957" spans="21:21" x14ac:dyDescent="0.3">
      <c r="U692957" s="25"/>
    </row>
    <row r="692979" spans="21:21" x14ac:dyDescent="0.3">
      <c r="U692979" s="25"/>
    </row>
    <row r="693001" spans="21:21" x14ac:dyDescent="0.3">
      <c r="U693001" s="25"/>
    </row>
    <row r="693023" spans="21:21" x14ac:dyDescent="0.3">
      <c r="U693023" s="25"/>
    </row>
    <row r="693045" spans="21:21" x14ac:dyDescent="0.3">
      <c r="U693045" s="25"/>
    </row>
    <row r="693067" spans="21:21" x14ac:dyDescent="0.3">
      <c r="U693067" s="25"/>
    </row>
    <row r="693089" spans="21:21" x14ac:dyDescent="0.3">
      <c r="U693089" s="25"/>
    </row>
    <row r="693111" spans="21:21" x14ac:dyDescent="0.3">
      <c r="U693111" s="25"/>
    </row>
    <row r="693133" spans="21:21" x14ac:dyDescent="0.3">
      <c r="U693133" s="25"/>
    </row>
    <row r="693155" spans="21:21" x14ac:dyDescent="0.3">
      <c r="U693155" s="25"/>
    </row>
    <row r="693177" spans="21:21" x14ac:dyDescent="0.3">
      <c r="U693177" s="25"/>
    </row>
    <row r="693199" spans="21:21" x14ac:dyDescent="0.3">
      <c r="U693199" s="25"/>
    </row>
    <row r="693221" spans="21:21" x14ac:dyDescent="0.3">
      <c r="U693221" s="25"/>
    </row>
    <row r="693243" spans="21:21" x14ac:dyDescent="0.3">
      <c r="U693243" s="25"/>
    </row>
    <row r="693265" spans="21:21" x14ac:dyDescent="0.3">
      <c r="U693265" s="25"/>
    </row>
    <row r="693287" spans="21:21" x14ac:dyDescent="0.3">
      <c r="U693287" s="25"/>
    </row>
    <row r="693309" spans="21:21" x14ac:dyDescent="0.3">
      <c r="U693309" s="25"/>
    </row>
    <row r="693331" spans="21:21" x14ac:dyDescent="0.3">
      <c r="U693331" s="25"/>
    </row>
    <row r="693353" spans="21:21" x14ac:dyDescent="0.3">
      <c r="U693353" s="25"/>
    </row>
    <row r="693375" spans="21:21" x14ac:dyDescent="0.3">
      <c r="U693375" s="25"/>
    </row>
    <row r="693397" spans="21:21" x14ac:dyDescent="0.3">
      <c r="U693397" s="25"/>
    </row>
    <row r="693419" spans="21:21" x14ac:dyDescent="0.3">
      <c r="U693419" s="25"/>
    </row>
    <row r="693441" spans="21:21" x14ac:dyDescent="0.3">
      <c r="U693441" s="25"/>
    </row>
    <row r="693463" spans="21:21" x14ac:dyDescent="0.3">
      <c r="U693463" s="25"/>
    </row>
    <row r="693485" spans="21:21" x14ac:dyDescent="0.3">
      <c r="U693485" s="25"/>
    </row>
    <row r="693507" spans="21:21" x14ac:dyDescent="0.3">
      <c r="U693507" s="25"/>
    </row>
    <row r="693529" spans="21:21" x14ac:dyDescent="0.3">
      <c r="U693529" s="25"/>
    </row>
    <row r="693551" spans="21:21" x14ac:dyDescent="0.3">
      <c r="U693551" s="25"/>
    </row>
    <row r="693573" spans="21:21" x14ac:dyDescent="0.3">
      <c r="U693573" s="25"/>
    </row>
    <row r="693595" spans="21:21" x14ac:dyDescent="0.3">
      <c r="U693595" s="25"/>
    </row>
    <row r="693617" spans="21:21" x14ac:dyDescent="0.3">
      <c r="U693617" s="25"/>
    </row>
    <row r="693639" spans="21:21" x14ac:dyDescent="0.3">
      <c r="U693639" s="25"/>
    </row>
    <row r="693661" spans="21:21" x14ac:dyDescent="0.3">
      <c r="U693661" s="25"/>
    </row>
    <row r="693683" spans="21:21" x14ac:dyDescent="0.3">
      <c r="U693683" s="25"/>
    </row>
    <row r="693705" spans="21:21" x14ac:dyDescent="0.3">
      <c r="U693705" s="25"/>
    </row>
    <row r="693727" spans="21:21" x14ac:dyDescent="0.3">
      <c r="U693727" s="25"/>
    </row>
    <row r="693749" spans="21:21" x14ac:dyDescent="0.3">
      <c r="U693749" s="25"/>
    </row>
    <row r="693771" spans="21:21" x14ac:dyDescent="0.3">
      <c r="U693771" s="25"/>
    </row>
    <row r="693793" spans="21:21" x14ac:dyDescent="0.3">
      <c r="U693793" s="25"/>
    </row>
    <row r="693815" spans="21:21" x14ac:dyDescent="0.3">
      <c r="U693815" s="25"/>
    </row>
    <row r="693837" spans="21:21" x14ac:dyDescent="0.3">
      <c r="U693837" s="25"/>
    </row>
    <row r="693859" spans="21:21" x14ac:dyDescent="0.3">
      <c r="U693859" s="25"/>
    </row>
    <row r="693881" spans="21:21" x14ac:dyDescent="0.3">
      <c r="U693881" s="25"/>
    </row>
    <row r="693903" spans="21:21" x14ac:dyDescent="0.3">
      <c r="U693903" s="25"/>
    </row>
    <row r="693925" spans="21:21" x14ac:dyDescent="0.3">
      <c r="U693925" s="25"/>
    </row>
    <row r="693947" spans="21:21" x14ac:dyDescent="0.3">
      <c r="U693947" s="25"/>
    </row>
    <row r="693969" spans="21:21" x14ac:dyDescent="0.3">
      <c r="U693969" s="25"/>
    </row>
    <row r="693991" spans="21:21" x14ac:dyDescent="0.3">
      <c r="U693991" s="25"/>
    </row>
    <row r="694013" spans="21:21" x14ac:dyDescent="0.3">
      <c r="U694013" s="25"/>
    </row>
    <row r="694035" spans="21:21" x14ac:dyDescent="0.3">
      <c r="U694035" s="25"/>
    </row>
    <row r="694057" spans="21:21" x14ac:dyDescent="0.3">
      <c r="U694057" s="25"/>
    </row>
    <row r="694079" spans="21:21" x14ac:dyDescent="0.3">
      <c r="U694079" s="25"/>
    </row>
    <row r="694101" spans="21:21" x14ac:dyDescent="0.3">
      <c r="U694101" s="25"/>
    </row>
    <row r="694123" spans="21:21" x14ac:dyDescent="0.3">
      <c r="U694123" s="25"/>
    </row>
    <row r="694145" spans="21:21" x14ac:dyDescent="0.3">
      <c r="U694145" s="25"/>
    </row>
    <row r="694167" spans="21:21" x14ac:dyDescent="0.3">
      <c r="U694167" s="25"/>
    </row>
    <row r="694189" spans="21:21" x14ac:dyDescent="0.3">
      <c r="U694189" s="25"/>
    </row>
    <row r="694211" spans="21:21" x14ac:dyDescent="0.3">
      <c r="U694211" s="25"/>
    </row>
    <row r="694233" spans="21:21" x14ac:dyDescent="0.3">
      <c r="U694233" s="25"/>
    </row>
    <row r="694255" spans="21:21" x14ac:dyDescent="0.3">
      <c r="U694255" s="25"/>
    </row>
    <row r="694277" spans="21:21" x14ac:dyDescent="0.3">
      <c r="U694277" s="25"/>
    </row>
    <row r="694299" spans="21:21" x14ac:dyDescent="0.3">
      <c r="U694299" s="25"/>
    </row>
    <row r="694321" spans="21:21" x14ac:dyDescent="0.3">
      <c r="U694321" s="25"/>
    </row>
    <row r="694343" spans="21:21" x14ac:dyDescent="0.3">
      <c r="U694343" s="25"/>
    </row>
    <row r="694365" spans="21:21" x14ac:dyDescent="0.3">
      <c r="U694365" s="25"/>
    </row>
    <row r="694387" spans="21:21" x14ac:dyDescent="0.3">
      <c r="U694387" s="25"/>
    </row>
    <row r="694409" spans="21:21" x14ac:dyDescent="0.3">
      <c r="U694409" s="25"/>
    </row>
    <row r="694431" spans="21:21" x14ac:dyDescent="0.3">
      <c r="U694431" s="25"/>
    </row>
    <row r="694453" spans="21:21" x14ac:dyDescent="0.3">
      <c r="U694453" s="25"/>
    </row>
    <row r="694475" spans="21:21" x14ac:dyDescent="0.3">
      <c r="U694475" s="25"/>
    </row>
    <row r="694497" spans="21:21" x14ac:dyDescent="0.3">
      <c r="U694497" s="25"/>
    </row>
    <row r="694519" spans="21:21" x14ac:dyDescent="0.3">
      <c r="U694519" s="25"/>
    </row>
    <row r="694541" spans="21:21" x14ac:dyDescent="0.3">
      <c r="U694541" s="25"/>
    </row>
    <row r="694563" spans="21:21" x14ac:dyDescent="0.3">
      <c r="U694563" s="25"/>
    </row>
    <row r="694585" spans="21:21" x14ac:dyDescent="0.3">
      <c r="U694585" s="25"/>
    </row>
    <row r="694607" spans="21:21" x14ac:dyDescent="0.3">
      <c r="U694607" s="25"/>
    </row>
    <row r="694629" spans="21:21" x14ac:dyDescent="0.3">
      <c r="U694629" s="25"/>
    </row>
    <row r="694651" spans="21:21" x14ac:dyDescent="0.3">
      <c r="U694651" s="25"/>
    </row>
    <row r="694673" spans="21:21" x14ac:dyDescent="0.3">
      <c r="U694673" s="25"/>
    </row>
    <row r="694695" spans="21:21" x14ac:dyDescent="0.3">
      <c r="U694695" s="25"/>
    </row>
    <row r="694717" spans="21:21" x14ac:dyDescent="0.3">
      <c r="U694717" s="25"/>
    </row>
    <row r="694739" spans="21:21" x14ac:dyDescent="0.3">
      <c r="U694739" s="25"/>
    </row>
    <row r="694761" spans="21:21" x14ac:dyDescent="0.3">
      <c r="U694761" s="25"/>
    </row>
    <row r="694783" spans="21:21" x14ac:dyDescent="0.3">
      <c r="U694783" s="25"/>
    </row>
    <row r="694805" spans="21:21" x14ac:dyDescent="0.3">
      <c r="U694805" s="25"/>
    </row>
    <row r="694827" spans="21:21" x14ac:dyDescent="0.3">
      <c r="U694827" s="25"/>
    </row>
    <row r="694849" spans="21:21" x14ac:dyDescent="0.3">
      <c r="U694849" s="25"/>
    </row>
    <row r="694871" spans="21:21" x14ac:dyDescent="0.3">
      <c r="U694871" s="25"/>
    </row>
    <row r="694893" spans="21:21" x14ac:dyDescent="0.3">
      <c r="U694893" s="25"/>
    </row>
    <row r="694915" spans="21:21" x14ac:dyDescent="0.3">
      <c r="U694915" s="25"/>
    </row>
    <row r="694937" spans="21:21" x14ac:dyDescent="0.3">
      <c r="U694937" s="25"/>
    </row>
    <row r="694959" spans="21:21" x14ac:dyDescent="0.3">
      <c r="U694959" s="25"/>
    </row>
    <row r="694981" spans="21:21" x14ac:dyDescent="0.3">
      <c r="U694981" s="25"/>
    </row>
    <row r="695003" spans="21:21" x14ac:dyDescent="0.3">
      <c r="U695003" s="25"/>
    </row>
    <row r="695025" spans="21:21" x14ac:dyDescent="0.3">
      <c r="U695025" s="25"/>
    </row>
    <row r="695047" spans="21:21" x14ac:dyDescent="0.3">
      <c r="U695047" s="25"/>
    </row>
    <row r="695069" spans="21:21" x14ac:dyDescent="0.3">
      <c r="U695069" s="25"/>
    </row>
    <row r="695091" spans="21:21" x14ac:dyDescent="0.3">
      <c r="U695091" s="25"/>
    </row>
    <row r="695113" spans="21:21" x14ac:dyDescent="0.3">
      <c r="U695113" s="25"/>
    </row>
    <row r="695135" spans="21:21" x14ac:dyDescent="0.3">
      <c r="U695135" s="25"/>
    </row>
    <row r="695157" spans="21:21" x14ac:dyDescent="0.3">
      <c r="U695157" s="25"/>
    </row>
    <row r="695179" spans="21:21" x14ac:dyDescent="0.3">
      <c r="U695179" s="25"/>
    </row>
    <row r="695201" spans="21:21" x14ac:dyDescent="0.3">
      <c r="U695201" s="25"/>
    </row>
    <row r="695223" spans="21:21" x14ac:dyDescent="0.3">
      <c r="U695223" s="25"/>
    </row>
    <row r="695245" spans="21:21" x14ac:dyDescent="0.3">
      <c r="U695245" s="25"/>
    </row>
    <row r="695267" spans="21:21" x14ac:dyDescent="0.3">
      <c r="U695267" s="25"/>
    </row>
    <row r="695289" spans="21:21" x14ac:dyDescent="0.3">
      <c r="U695289" s="25"/>
    </row>
    <row r="695311" spans="21:21" x14ac:dyDescent="0.3">
      <c r="U695311" s="25"/>
    </row>
    <row r="695333" spans="21:21" x14ac:dyDescent="0.3">
      <c r="U695333" s="25"/>
    </row>
    <row r="695355" spans="21:21" x14ac:dyDescent="0.3">
      <c r="U695355" s="25"/>
    </row>
    <row r="695377" spans="21:21" x14ac:dyDescent="0.3">
      <c r="U695377" s="25"/>
    </row>
    <row r="695399" spans="21:21" x14ac:dyDescent="0.3">
      <c r="U695399" s="25"/>
    </row>
    <row r="695421" spans="21:21" x14ac:dyDescent="0.3">
      <c r="U695421" s="25"/>
    </row>
    <row r="695443" spans="21:21" x14ac:dyDescent="0.3">
      <c r="U695443" s="25"/>
    </row>
    <row r="695465" spans="21:21" x14ac:dyDescent="0.3">
      <c r="U695465" s="25"/>
    </row>
    <row r="695487" spans="21:21" x14ac:dyDescent="0.3">
      <c r="U695487" s="25"/>
    </row>
    <row r="695509" spans="21:21" x14ac:dyDescent="0.3">
      <c r="U695509" s="25"/>
    </row>
    <row r="695531" spans="21:21" x14ac:dyDescent="0.3">
      <c r="U695531" s="25"/>
    </row>
    <row r="695553" spans="21:21" x14ac:dyDescent="0.3">
      <c r="U695553" s="25"/>
    </row>
    <row r="695575" spans="21:21" x14ac:dyDescent="0.3">
      <c r="U695575" s="25"/>
    </row>
    <row r="695597" spans="21:21" x14ac:dyDescent="0.3">
      <c r="U695597" s="25"/>
    </row>
    <row r="695619" spans="21:21" x14ac:dyDescent="0.3">
      <c r="U695619" s="25"/>
    </row>
    <row r="695641" spans="21:21" x14ac:dyDescent="0.3">
      <c r="U695641" s="25"/>
    </row>
    <row r="695663" spans="21:21" x14ac:dyDescent="0.3">
      <c r="U695663" s="25"/>
    </row>
    <row r="695685" spans="21:21" x14ac:dyDescent="0.3">
      <c r="U695685" s="25"/>
    </row>
    <row r="695707" spans="21:21" x14ac:dyDescent="0.3">
      <c r="U695707" s="25"/>
    </row>
    <row r="695729" spans="21:21" x14ac:dyDescent="0.3">
      <c r="U695729" s="25"/>
    </row>
    <row r="695751" spans="21:21" x14ac:dyDescent="0.3">
      <c r="U695751" s="25"/>
    </row>
    <row r="695773" spans="21:21" x14ac:dyDescent="0.3">
      <c r="U695773" s="25"/>
    </row>
    <row r="695795" spans="21:21" x14ac:dyDescent="0.3">
      <c r="U695795" s="25"/>
    </row>
    <row r="695817" spans="21:21" x14ac:dyDescent="0.3">
      <c r="U695817" s="25"/>
    </row>
    <row r="695839" spans="21:21" x14ac:dyDescent="0.3">
      <c r="U695839" s="25"/>
    </row>
    <row r="695861" spans="21:21" x14ac:dyDescent="0.3">
      <c r="U695861" s="25"/>
    </row>
    <row r="695883" spans="21:21" x14ac:dyDescent="0.3">
      <c r="U695883" s="25"/>
    </row>
    <row r="695905" spans="21:21" x14ac:dyDescent="0.3">
      <c r="U695905" s="25"/>
    </row>
    <row r="695927" spans="21:21" x14ac:dyDescent="0.3">
      <c r="U695927" s="25"/>
    </row>
    <row r="695949" spans="21:21" x14ac:dyDescent="0.3">
      <c r="U695949" s="25"/>
    </row>
    <row r="695971" spans="21:21" x14ac:dyDescent="0.3">
      <c r="U695971" s="25"/>
    </row>
    <row r="695993" spans="21:21" x14ac:dyDescent="0.3">
      <c r="U695993" s="25"/>
    </row>
    <row r="696015" spans="21:21" x14ac:dyDescent="0.3">
      <c r="U696015" s="25"/>
    </row>
    <row r="696037" spans="21:21" x14ac:dyDescent="0.3">
      <c r="U696037" s="25"/>
    </row>
    <row r="696059" spans="21:21" x14ac:dyDescent="0.3">
      <c r="U696059" s="25"/>
    </row>
    <row r="696081" spans="21:21" x14ac:dyDescent="0.3">
      <c r="U696081" s="25"/>
    </row>
    <row r="696103" spans="21:21" x14ac:dyDescent="0.3">
      <c r="U696103" s="25"/>
    </row>
    <row r="696125" spans="21:21" x14ac:dyDescent="0.3">
      <c r="U696125" s="25"/>
    </row>
    <row r="696147" spans="21:21" x14ac:dyDescent="0.3">
      <c r="U696147" s="25"/>
    </row>
    <row r="696169" spans="21:21" x14ac:dyDescent="0.3">
      <c r="U696169" s="25"/>
    </row>
    <row r="696191" spans="21:21" x14ac:dyDescent="0.3">
      <c r="U696191" s="25"/>
    </row>
    <row r="696213" spans="21:21" x14ac:dyDescent="0.3">
      <c r="U696213" s="25"/>
    </row>
    <row r="696235" spans="21:21" x14ac:dyDescent="0.3">
      <c r="U696235" s="25"/>
    </row>
    <row r="696257" spans="21:21" x14ac:dyDescent="0.3">
      <c r="U696257" s="25"/>
    </row>
    <row r="696279" spans="21:21" x14ac:dyDescent="0.3">
      <c r="U696279" s="25"/>
    </row>
    <row r="696301" spans="21:21" x14ac:dyDescent="0.3">
      <c r="U696301" s="25"/>
    </row>
    <row r="696323" spans="21:21" x14ac:dyDescent="0.3">
      <c r="U696323" s="25"/>
    </row>
    <row r="696345" spans="21:21" x14ac:dyDescent="0.3">
      <c r="U696345" s="25"/>
    </row>
    <row r="696367" spans="21:21" x14ac:dyDescent="0.3">
      <c r="U696367" s="25"/>
    </row>
    <row r="696389" spans="21:21" x14ac:dyDescent="0.3">
      <c r="U696389" s="25"/>
    </row>
    <row r="696411" spans="21:21" x14ac:dyDescent="0.3">
      <c r="U696411" s="25"/>
    </row>
    <row r="696433" spans="21:21" x14ac:dyDescent="0.3">
      <c r="U696433" s="25"/>
    </row>
    <row r="696455" spans="21:21" x14ac:dyDescent="0.3">
      <c r="U696455" s="25"/>
    </row>
    <row r="696477" spans="21:21" x14ac:dyDescent="0.3">
      <c r="U696477" s="25"/>
    </row>
    <row r="696499" spans="21:21" x14ac:dyDescent="0.3">
      <c r="U696499" s="25"/>
    </row>
    <row r="696521" spans="21:21" x14ac:dyDescent="0.3">
      <c r="U696521" s="25"/>
    </row>
    <row r="696543" spans="21:21" x14ac:dyDescent="0.3">
      <c r="U696543" s="25"/>
    </row>
    <row r="696565" spans="21:21" x14ac:dyDescent="0.3">
      <c r="U696565" s="25"/>
    </row>
    <row r="696587" spans="21:21" x14ac:dyDescent="0.3">
      <c r="U696587" s="25"/>
    </row>
    <row r="696609" spans="21:21" x14ac:dyDescent="0.3">
      <c r="U696609" s="25"/>
    </row>
    <row r="696631" spans="21:21" x14ac:dyDescent="0.3">
      <c r="U696631" s="25"/>
    </row>
    <row r="696653" spans="21:21" x14ac:dyDescent="0.3">
      <c r="U696653" s="25"/>
    </row>
    <row r="696675" spans="21:21" x14ac:dyDescent="0.3">
      <c r="U696675" s="25"/>
    </row>
    <row r="696697" spans="21:21" x14ac:dyDescent="0.3">
      <c r="U696697" s="25"/>
    </row>
    <row r="696719" spans="21:21" x14ac:dyDescent="0.3">
      <c r="U696719" s="25"/>
    </row>
    <row r="696741" spans="21:21" x14ac:dyDescent="0.3">
      <c r="U696741" s="25"/>
    </row>
    <row r="696763" spans="21:21" x14ac:dyDescent="0.3">
      <c r="U696763" s="25"/>
    </row>
    <row r="696785" spans="21:21" x14ac:dyDescent="0.3">
      <c r="U696785" s="25"/>
    </row>
    <row r="696807" spans="21:21" x14ac:dyDescent="0.3">
      <c r="U696807" s="25"/>
    </row>
    <row r="696829" spans="21:21" x14ac:dyDescent="0.3">
      <c r="U696829" s="25"/>
    </row>
    <row r="696851" spans="21:21" x14ac:dyDescent="0.3">
      <c r="U696851" s="25"/>
    </row>
    <row r="696873" spans="21:21" x14ac:dyDescent="0.3">
      <c r="U696873" s="25"/>
    </row>
    <row r="696895" spans="21:21" x14ac:dyDescent="0.3">
      <c r="U696895" s="25"/>
    </row>
    <row r="696917" spans="21:21" x14ac:dyDescent="0.3">
      <c r="U696917" s="25"/>
    </row>
    <row r="696939" spans="21:21" x14ac:dyDescent="0.3">
      <c r="U696939" s="25"/>
    </row>
    <row r="696961" spans="21:21" x14ac:dyDescent="0.3">
      <c r="U696961" s="25"/>
    </row>
    <row r="696983" spans="21:21" x14ac:dyDescent="0.3">
      <c r="U696983" s="25"/>
    </row>
    <row r="697005" spans="21:21" x14ac:dyDescent="0.3">
      <c r="U697005" s="25"/>
    </row>
    <row r="697027" spans="21:21" x14ac:dyDescent="0.3">
      <c r="U697027" s="25"/>
    </row>
    <row r="697049" spans="21:21" x14ac:dyDescent="0.3">
      <c r="U697049" s="25"/>
    </row>
    <row r="697071" spans="21:21" x14ac:dyDescent="0.3">
      <c r="U697071" s="25"/>
    </row>
    <row r="697093" spans="21:21" x14ac:dyDescent="0.3">
      <c r="U697093" s="25"/>
    </row>
    <row r="697115" spans="21:21" x14ac:dyDescent="0.3">
      <c r="U697115" s="25"/>
    </row>
    <row r="697137" spans="21:21" x14ac:dyDescent="0.3">
      <c r="U697137" s="25"/>
    </row>
    <row r="697159" spans="21:21" x14ac:dyDescent="0.3">
      <c r="U697159" s="25"/>
    </row>
    <row r="697181" spans="21:21" x14ac:dyDescent="0.3">
      <c r="U697181" s="25"/>
    </row>
    <row r="697203" spans="21:21" x14ac:dyDescent="0.3">
      <c r="U697203" s="25"/>
    </row>
    <row r="697225" spans="21:21" x14ac:dyDescent="0.3">
      <c r="U697225" s="25"/>
    </row>
    <row r="697247" spans="21:21" x14ac:dyDescent="0.3">
      <c r="U697247" s="25"/>
    </row>
    <row r="697269" spans="21:21" x14ac:dyDescent="0.3">
      <c r="U697269" s="25"/>
    </row>
    <row r="697291" spans="21:21" x14ac:dyDescent="0.3">
      <c r="U697291" s="25"/>
    </row>
    <row r="697313" spans="21:21" x14ac:dyDescent="0.3">
      <c r="U697313" s="25"/>
    </row>
    <row r="697335" spans="21:21" x14ac:dyDescent="0.3">
      <c r="U697335" s="25"/>
    </row>
    <row r="697357" spans="21:21" x14ac:dyDescent="0.3">
      <c r="U697357" s="25"/>
    </row>
    <row r="697379" spans="21:21" x14ac:dyDescent="0.3">
      <c r="U697379" s="25"/>
    </row>
    <row r="697401" spans="21:21" x14ac:dyDescent="0.3">
      <c r="U697401" s="25"/>
    </row>
    <row r="697423" spans="21:21" x14ac:dyDescent="0.3">
      <c r="U697423" s="25"/>
    </row>
    <row r="697445" spans="21:21" x14ac:dyDescent="0.3">
      <c r="U697445" s="25"/>
    </row>
    <row r="697467" spans="21:21" x14ac:dyDescent="0.3">
      <c r="U697467" s="25"/>
    </row>
    <row r="697489" spans="21:21" x14ac:dyDescent="0.3">
      <c r="U697489" s="25"/>
    </row>
    <row r="697511" spans="21:21" x14ac:dyDescent="0.3">
      <c r="U697511" s="25"/>
    </row>
    <row r="697533" spans="21:21" x14ac:dyDescent="0.3">
      <c r="U697533" s="25"/>
    </row>
    <row r="697555" spans="21:21" x14ac:dyDescent="0.3">
      <c r="U697555" s="25"/>
    </row>
    <row r="697577" spans="21:21" x14ac:dyDescent="0.3">
      <c r="U697577" s="25"/>
    </row>
    <row r="697599" spans="21:21" x14ac:dyDescent="0.3">
      <c r="U697599" s="25"/>
    </row>
    <row r="697621" spans="21:21" x14ac:dyDescent="0.3">
      <c r="U697621" s="25"/>
    </row>
    <row r="697643" spans="21:21" x14ac:dyDescent="0.3">
      <c r="U697643" s="25"/>
    </row>
    <row r="697665" spans="21:21" x14ac:dyDescent="0.3">
      <c r="U697665" s="25"/>
    </row>
    <row r="697687" spans="21:21" x14ac:dyDescent="0.3">
      <c r="U697687" s="25"/>
    </row>
    <row r="697709" spans="21:21" x14ac:dyDescent="0.3">
      <c r="U697709" s="25"/>
    </row>
    <row r="697731" spans="21:21" x14ac:dyDescent="0.3">
      <c r="U697731" s="25"/>
    </row>
    <row r="697753" spans="21:21" x14ac:dyDescent="0.3">
      <c r="U697753" s="25"/>
    </row>
    <row r="697775" spans="21:21" x14ac:dyDescent="0.3">
      <c r="U697775" s="25"/>
    </row>
    <row r="697797" spans="21:21" x14ac:dyDescent="0.3">
      <c r="U697797" s="25"/>
    </row>
    <row r="697819" spans="21:21" x14ac:dyDescent="0.3">
      <c r="U697819" s="25"/>
    </row>
    <row r="697841" spans="21:21" x14ac:dyDescent="0.3">
      <c r="U697841" s="25"/>
    </row>
    <row r="697863" spans="21:21" x14ac:dyDescent="0.3">
      <c r="U697863" s="25"/>
    </row>
    <row r="697885" spans="21:21" x14ac:dyDescent="0.3">
      <c r="U697885" s="25"/>
    </row>
    <row r="697907" spans="21:21" x14ac:dyDescent="0.3">
      <c r="U697907" s="25"/>
    </row>
    <row r="697929" spans="21:21" x14ac:dyDescent="0.3">
      <c r="U697929" s="25"/>
    </row>
    <row r="697951" spans="21:21" x14ac:dyDescent="0.3">
      <c r="U697951" s="25"/>
    </row>
    <row r="697973" spans="21:21" x14ac:dyDescent="0.3">
      <c r="U697973" s="25"/>
    </row>
    <row r="697995" spans="21:21" x14ac:dyDescent="0.3">
      <c r="U697995" s="25"/>
    </row>
    <row r="698017" spans="21:21" x14ac:dyDescent="0.3">
      <c r="U698017" s="25"/>
    </row>
    <row r="698039" spans="21:21" x14ac:dyDescent="0.3">
      <c r="U698039" s="25"/>
    </row>
    <row r="698061" spans="21:21" x14ac:dyDescent="0.3">
      <c r="U698061" s="25"/>
    </row>
    <row r="698083" spans="21:21" x14ac:dyDescent="0.3">
      <c r="U698083" s="25"/>
    </row>
    <row r="698105" spans="21:21" x14ac:dyDescent="0.3">
      <c r="U698105" s="25"/>
    </row>
    <row r="698127" spans="21:21" x14ac:dyDescent="0.3">
      <c r="U698127" s="25"/>
    </row>
    <row r="698149" spans="21:21" x14ac:dyDescent="0.3">
      <c r="U698149" s="25"/>
    </row>
    <row r="698171" spans="21:21" x14ac:dyDescent="0.3">
      <c r="U698171" s="25"/>
    </row>
    <row r="698193" spans="21:21" x14ac:dyDescent="0.3">
      <c r="U698193" s="25"/>
    </row>
    <row r="698215" spans="21:21" x14ac:dyDescent="0.3">
      <c r="U698215" s="25"/>
    </row>
    <row r="698237" spans="21:21" x14ac:dyDescent="0.3">
      <c r="U698237" s="25"/>
    </row>
    <row r="698259" spans="21:21" x14ac:dyDescent="0.3">
      <c r="U698259" s="25"/>
    </row>
    <row r="698281" spans="21:21" x14ac:dyDescent="0.3">
      <c r="U698281" s="25"/>
    </row>
    <row r="698303" spans="21:21" x14ac:dyDescent="0.3">
      <c r="U698303" s="25"/>
    </row>
    <row r="698325" spans="21:21" x14ac:dyDescent="0.3">
      <c r="U698325" s="25"/>
    </row>
    <row r="698347" spans="21:21" x14ac:dyDescent="0.3">
      <c r="U698347" s="25"/>
    </row>
    <row r="698369" spans="21:21" x14ac:dyDescent="0.3">
      <c r="U698369" s="25"/>
    </row>
    <row r="698391" spans="21:21" x14ac:dyDescent="0.3">
      <c r="U698391" s="25"/>
    </row>
    <row r="698413" spans="21:21" x14ac:dyDescent="0.3">
      <c r="U698413" s="25"/>
    </row>
    <row r="698435" spans="21:21" x14ac:dyDescent="0.3">
      <c r="U698435" s="25"/>
    </row>
    <row r="698457" spans="21:21" x14ac:dyDescent="0.3">
      <c r="U698457" s="25"/>
    </row>
    <row r="698479" spans="21:21" x14ac:dyDescent="0.3">
      <c r="U698479" s="25"/>
    </row>
    <row r="698501" spans="21:21" x14ac:dyDescent="0.3">
      <c r="U698501" s="25"/>
    </row>
    <row r="698523" spans="21:21" x14ac:dyDescent="0.3">
      <c r="U698523" s="25"/>
    </row>
    <row r="698545" spans="21:21" x14ac:dyDescent="0.3">
      <c r="U698545" s="25"/>
    </row>
    <row r="698567" spans="21:21" x14ac:dyDescent="0.3">
      <c r="U698567" s="25"/>
    </row>
    <row r="698589" spans="21:21" x14ac:dyDescent="0.3">
      <c r="U698589" s="25"/>
    </row>
    <row r="698611" spans="21:21" x14ac:dyDescent="0.3">
      <c r="U698611" s="25"/>
    </row>
    <row r="698633" spans="21:21" x14ac:dyDescent="0.3">
      <c r="U698633" s="25"/>
    </row>
    <row r="698655" spans="21:21" x14ac:dyDescent="0.3">
      <c r="U698655" s="25"/>
    </row>
    <row r="698677" spans="21:21" x14ac:dyDescent="0.3">
      <c r="U698677" s="25"/>
    </row>
    <row r="698699" spans="21:21" x14ac:dyDescent="0.3">
      <c r="U698699" s="25"/>
    </row>
    <row r="698721" spans="21:21" x14ac:dyDescent="0.3">
      <c r="U698721" s="25"/>
    </row>
    <row r="698743" spans="21:21" x14ac:dyDescent="0.3">
      <c r="U698743" s="25"/>
    </row>
    <row r="698765" spans="21:21" x14ac:dyDescent="0.3">
      <c r="U698765" s="25"/>
    </row>
    <row r="698787" spans="21:21" x14ac:dyDescent="0.3">
      <c r="U698787" s="25"/>
    </row>
    <row r="698809" spans="21:21" x14ac:dyDescent="0.3">
      <c r="U698809" s="25"/>
    </row>
    <row r="698831" spans="21:21" x14ac:dyDescent="0.3">
      <c r="U698831" s="25"/>
    </row>
    <row r="698853" spans="21:21" x14ac:dyDescent="0.3">
      <c r="U698853" s="25"/>
    </row>
    <row r="698875" spans="21:21" x14ac:dyDescent="0.3">
      <c r="U698875" s="25"/>
    </row>
    <row r="698897" spans="21:21" x14ac:dyDescent="0.3">
      <c r="U698897" s="25"/>
    </row>
    <row r="698919" spans="21:21" x14ac:dyDescent="0.3">
      <c r="U698919" s="25"/>
    </row>
    <row r="698941" spans="21:21" x14ac:dyDescent="0.3">
      <c r="U698941" s="25"/>
    </row>
    <row r="698963" spans="21:21" x14ac:dyDescent="0.3">
      <c r="U698963" s="25"/>
    </row>
    <row r="698985" spans="21:21" x14ac:dyDescent="0.3">
      <c r="U698985" s="25"/>
    </row>
    <row r="699007" spans="21:21" x14ac:dyDescent="0.3">
      <c r="U699007" s="25"/>
    </row>
    <row r="699029" spans="21:21" x14ac:dyDescent="0.3">
      <c r="U699029" s="25"/>
    </row>
    <row r="699051" spans="21:21" x14ac:dyDescent="0.3">
      <c r="U699051" s="25"/>
    </row>
    <row r="699073" spans="21:21" x14ac:dyDescent="0.3">
      <c r="U699073" s="25"/>
    </row>
    <row r="699095" spans="21:21" x14ac:dyDescent="0.3">
      <c r="U699095" s="25"/>
    </row>
    <row r="699117" spans="21:21" x14ac:dyDescent="0.3">
      <c r="U699117" s="25"/>
    </row>
    <row r="699139" spans="21:21" x14ac:dyDescent="0.3">
      <c r="U699139" s="25"/>
    </row>
    <row r="699161" spans="21:21" x14ac:dyDescent="0.3">
      <c r="U699161" s="25"/>
    </row>
    <row r="699183" spans="21:21" x14ac:dyDescent="0.3">
      <c r="U699183" s="25"/>
    </row>
    <row r="699205" spans="21:21" x14ac:dyDescent="0.3">
      <c r="U699205" s="25"/>
    </row>
    <row r="699227" spans="21:21" x14ac:dyDescent="0.3">
      <c r="U699227" s="25"/>
    </row>
    <row r="699249" spans="21:21" x14ac:dyDescent="0.3">
      <c r="U699249" s="25"/>
    </row>
    <row r="699271" spans="21:21" x14ac:dyDescent="0.3">
      <c r="U699271" s="25"/>
    </row>
    <row r="699293" spans="21:21" x14ac:dyDescent="0.3">
      <c r="U699293" s="25"/>
    </row>
    <row r="699315" spans="21:21" x14ac:dyDescent="0.3">
      <c r="U699315" s="25"/>
    </row>
    <row r="699337" spans="21:21" x14ac:dyDescent="0.3">
      <c r="U699337" s="25"/>
    </row>
    <row r="699359" spans="21:21" x14ac:dyDescent="0.3">
      <c r="U699359" s="25"/>
    </row>
    <row r="699381" spans="21:21" x14ac:dyDescent="0.3">
      <c r="U699381" s="25"/>
    </row>
    <row r="699403" spans="21:21" x14ac:dyDescent="0.3">
      <c r="U699403" s="25"/>
    </row>
    <row r="699425" spans="21:21" x14ac:dyDescent="0.3">
      <c r="U699425" s="25"/>
    </row>
    <row r="699447" spans="21:21" x14ac:dyDescent="0.3">
      <c r="U699447" s="25"/>
    </row>
    <row r="699469" spans="21:21" x14ac:dyDescent="0.3">
      <c r="U699469" s="25"/>
    </row>
    <row r="699491" spans="21:21" x14ac:dyDescent="0.3">
      <c r="U699491" s="25"/>
    </row>
    <row r="699513" spans="21:21" x14ac:dyDescent="0.3">
      <c r="U699513" s="25"/>
    </row>
    <row r="699535" spans="21:21" x14ac:dyDescent="0.3">
      <c r="U699535" s="25"/>
    </row>
    <row r="699557" spans="21:21" x14ac:dyDescent="0.3">
      <c r="U699557" s="25"/>
    </row>
    <row r="699579" spans="21:21" x14ac:dyDescent="0.3">
      <c r="U699579" s="25"/>
    </row>
    <row r="699601" spans="21:21" x14ac:dyDescent="0.3">
      <c r="U699601" s="25"/>
    </row>
    <row r="699623" spans="21:21" x14ac:dyDescent="0.3">
      <c r="U699623" s="25"/>
    </row>
    <row r="699645" spans="21:21" x14ac:dyDescent="0.3">
      <c r="U699645" s="25"/>
    </row>
    <row r="699667" spans="21:21" x14ac:dyDescent="0.3">
      <c r="U699667" s="25"/>
    </row>
    <row r="699689" spans="21:21" x14ac:dyDescent="0.3">
      <c r="U699689" s="25"/>
    </row>
    <row r="699711" spans="21:21" x14ac:dyDescent="0.3">
      <c r="U699711" s="25"/>
    </row>
    <row r="699733" spans="21:21" x14ac:dyDescent="0.3">
      <c r="U699733" s="25"/>
    </row>
    <row r="699755" spans="21:21" x14ac:dyDescent="0.3">
      <c r="U699755" s="25"/>
    </row>
    <row r="699777" spans="21:21" x14ac:dyDescent="0.3">
      <c r="U699777" s="25"/>
    </row>
    <row r="699799" spans="21:21" x14ac:dyDescent="0.3">
      <c r="U699799" s="25"/>
    </row>
    <row r="699821" spans="21:21" x14ac:dyDescent="0.3">
      <c r="U699821" s="25"/>
    </row>
    <row r="699843" spans="21:21" x14ac:dyDescent="0.3">
      <c r="U699843" s="25"/>
    </row>
    <row r="699865" spans="21:21" x14ac:dyDescent="0.3">
      <c r="U699865" s="25"/>
    </row>
    <row r="699887" spans="21:21" x14ac:dyDescent="0.3">
      <c r="U699887" s="25"/>
    </row>
    <row r="699909" spans="21:21" x14ac:dyDescent="0.3">
      <c r="U699909" s="25"/>
    </row>
    <row r="699931" spans="21:21" x14ac:dyDescent="0.3">
      <c r="U699931" s="25"/>
    </row>
    <row r="699953" spans="21:21" x14ac:dyDescent="0.3">
      <c r="U699953" s="25"/>
    </row>
    <row r="699975" spans="21:21" x14ac:dyDescent="0.3">
      <c r="U699975" s="25"/>
    </row>
    <row r="699997" spans="21:21" x14ac:dyDescent="0.3">
      <c r="U699997" s="25"/>
    </row>
    <row r="700019" spans="21:21" x14ac:dyDescent="0.3">
      <c r="U700019" s="25"/>
    </row>
    <row r="700041" spans="21:21" x14ac:dyDescent="0.3">
      <c r="U700041" s="25"/>
    </row>
    <row r="700063" spans="21:21" x14ac:dyDescent="0.3">
      <c r="U700063" s="25"/>
    </row>
    <row r="700085" spans="21:21" x14ac:dyDescent="0.3">
      <c r="U700085" s="25"/>
    </row>
    <row r="700107" spans="21:21" x14ac:dyDescent="0.3">
      <c r="U700107" s="25"/>
    </row>
    <row r="700129" spans="21:21" x14ac:dyDescent="0.3">
      <c r="U700129" s="25"/>
    </row>
    <row r="700151" spans="21:21" x14ac:dyDescent="0.3">
      <c r="U700151" s="25"/>
    </row>
    <row r="700173" spans="21:21" x14ac:dyDescent="0.3">
      <c r="U700173" s="25"/>
    </row>
    <row r="700195" spans="21:21" x14ac:dyDescent="0.3">
      <c r="U700195" s="25"/>
    </row>
    <row r="700217" spans="21:21" x14ac:dyDescent="0.3">
      <c r="U700217" s="25"/>
    </row>
    <row r="700239" spans="21:21" x14ac:dyDescent="0.3">
      <c r="U700239" s="25"/>
    </row>
    <row r="700261" spans="21:21" x14ac:dyDescent="0.3">
      <c r="U700261" s="25"/>
    </row>
    <row r="700283" spans="21:21" x14ac:dyDescent="0.3">
      <c r="U700283" s="25"/>
    </row>
    <row r="700305" spans="21:21" x14ac:dyDescent="0.3">
      <c r="U700305" s="25"/>
    </row>
    <row r="700327" spans="21:21" x14ac:dyDescent="0.3">
      <c r="U700327" s="25"/>
    </row>
    <row r="700349" spans="21:21" x14ac:dyDescent="0.3">
      <c r="U700349" s="25"/>
    </row>
    <row r="700371" spans="21:21" x14ac:dyDescent="0.3">
      <c r="U700371" s="25"/>
    </row>
    <row r="700393" spans="21:21" x14ac:dyDescent="0.3">
      <c r="U700393" s="25"/>
    </row>
    <row r="700415" spans="21:21" x14ac:dyDescent="0.3">
      <c r="U700415" s="25"/>
    </row>
    <row r="700437" spans="21:21" x14ac:dyDescent="0.3">
      <c r="U700437" s="25"/>
    </row>
    <row r="700459" spans="21:21" x14ac:dyDescent="0.3">
      <c r="U700459" s="25"/>
    </row>
    <row r="700481" spans="21:21" x14ac:dyDescent="0.3">
      <c r="U700481" s="25"/>
    </row>
    <row r="700503" spans="21:21" x14ac:dyDescent="0.3">
      <c r="U700503" s="25"/>
    </row>
    <row r="700525" spans="21:21" x14ac:dyDescent="0.3">
      <c r="U700525" s="25"/>
    </row>
    <row r="700547" spans="21:21" x14ac:dyDescent="0.3">
      <c r="U700547" s="25"/>
    </row>
    <row r="700569" spans="21:21" x14ac:dyDescent="0.3">
      <c r="U700569" s="25"/>
    </row>
    <row r="700591" spans="21:21" x14ac:dyDescent="0.3">
      <c r="U700591" s="25"/>
    </row>
    <row r="700613" spans="21:21" x14ac:dyDescent="0.3">
      <c r="U700613" s="25"/>
    </row>
    <row r="700635" spans="21:21" x14ac:dyDescent="0.3">
      <c r="U700635" s="25"/>
    </row>
    <row r="700657" spans="21:21" x14ac:dyDescent="0.3">
      <c r="U700657" s="25"/>
    </row>
    <row r="700679" spans="21:21" x14ac:dyDescent="0.3">
      <c r="U700679" s="25"/>
    </row>
    <row r="700701" spans="21:21" x14ac:dyDescent="0.3">
      <c r="U700701" s="25"/>
    </row>
    <row r="700723" spans="21:21" x14ac:dyDescent="0.3">
      <c r="U700723" s="25"/>
    </row>
    <row r="700745" spans="21:21" x14ac:dyDescent="0.3">
      <c r="U700745" s="25"/>
    </row>
    <row r="700767" spans="21:21" x14ac:dyDescent="0.3">
      <c r="U700767" s="25"/>
    </row>
    <row r="700789" spans="21:21" x14ac:dyDescent="0.3">
      <c r="U700789" s="25"/>
    </row>
    <row r="700811" spans="21:21" x14ac:dyDescent="0.3">
      <c r="U700811" s="25"/>
    </row>
    <row r="700833" spans="21:21" x14ac:dyDescent="0.3">
      <c r="U700833" s="25"/>
    </row>
    <row r="700855" spans="21:21" x14ac:dyDescent="0.3">
      <c r="U700855" s="25"/>
    </row>
    <row r="700877" spans="21:21" x14ac:dyDescent="0.3">
      <c r="U700877" s="25"/>
    </row>
    <row r="700899" spans="21:21" x14ac:dyDescent="0.3">
      <c r="U700899" s="25"/>
    </row>
    <row r="700921" spans="21:21" x14ac:dyDescent="0.3">
      <c r="U700921" s="25"/>
    </row>
    <row r="700943" spans="21:21" x14ac:dyDescent="0.3">
      <c r="U700943" s="25"/>
    </row>
    <row r="700965" spans="21:21" x14ac:dyDescent="0.3">
      <c r="U700965" s="25"/>
    </row>
    <row r="700987" spans="21:21" x14ac:dyDescent="0.3">
      <c r="U700987" s="25"/>
    </row>
    <row r="701009" spans="21:21" x14ac:dyDescent="0.3">
      <c r="U701009" s="25"/>
    </row>
    <row r="701031" spans="21:21" x14ac:dyDescent="0.3">
      <c r="U701031" s="25"/>
    </row>
    <row r="701053" spans="21:21" x14ac:dyDescent="0.3">
      <c r="U701053" s="25"/>
    </row>
    <row r="701075" spans="21:21" x14ac:dyDescent="0.3">
      <c r="U701075" s="25"/>
    </row>
    <row r="701097" spans="21:21" x14ac:dyDescent="0.3">
      <c r="U701097" s="25"/>
    </row>
    <row r="701119" spans="21:21" x14ac:dyDescent="0.3">
      <c r="U701119" s="25"/>
    </row>
    <row r="701141" spans="21:21" x14ac:dyDescent="0.3">
      <c r="U701141" s="25"/>
    </row>
    <row r="701163" spans="21:21" x14ac:dyDescent="0.3">
      <c r="U701163" s="25"/>
    </row>
    <row r="701185" spans="21:21" x14ac:dyDescent="0.3">
      <c r="U701185" s="25"/>
    </row>
    <row r="701207" spans="21:21" x14ac:dyDescent="0.3">
      <c r="U701207" s="25"/>
    </row>
    <row r="701229" spans="21:21" x14ac:dyDescent="0.3">
      <c r="U701229" s="25"/>
    </row>
    <row r="701251" spans="21:21" x14ac:dyDescent="0.3">
      <c r="U701251" s="25"/>
    </row>
    <row r="701273" spans="21:21" x14ac:dyDescent="0.3">
      <c r="U701273" s="25"/>
    </row>
    <row r="701295" spans="21:21" x14ac:dyDescent="0.3">
      <c r="U701295" s="25"/>
    </row>
    <row r="701317" spans="21:21" x14ac:dyDescent="0.3">
      <c r="U701317" s="25"/>
    </row>
    <row r="701339" spans="21:21" x14ac:dyDescent="0.3">
      <c r="U701339" s="25"/>
    </row>
    <row r="701361" spans="21:21" x14ac:dyDescent="0.3">
      <c r="U701361" s="25"/>
    </row>
    <row r="701383" spans="21:21" x14ac:dyDescent="0.3">
      <c r="U701383" s="25"/>
    </row>
    <row r="701405" spans="21:21" x14ac:dyDescent="0.3">
      <c r="U701405" s="25"/>
    </row>
    <row r="701427" spans="21:21" x14ac:dyDescent="0.3">
      <c r="U701427" s="25"/>
    </row>
    <row r="701449" spans="21:21" x14ac:dyDescent="0.3">
      <c r="U701449" s="25"/>
    </row>
    <row r="701471" spans="21:21" x14ac:dyDescent="0.3">
      <c r="U701471" s="25"/>
    </row>
    <row r="701493" spans="21:21" x14ac:dyDescent="0.3">
      <c r="U701493" s="25"/>
    </row>
    <row r="701515" spans="21:21" x14ac:dyDescent="0.3">
      <c r="U701515" s="25"/>
    </row>
    <row r="701537" spans="21:21" x14ac:dyDescent="0.3">
      <c r="U701537" s="25"/>
    </row>
    <row r="701559" spans="21:21" x14ac:dyDescent="0.3">
      <c r="U701559" s="25"/>
    </row>
    <row r="701581" spans="21:21" x14ac:dyDescent="0.3">
      <c r="U701581" s="25"/>
    </row>
    <row r="701603" spans="21:21" x14ac:dyDescent="0.3">
      <c r="U701603" s="25"/>
    </row>
    <row r="701625" spans="21:21" x14ac:dyDescent="0.3">
      <c r="U701625" s="25"/>
    </row>
    <row r="701647" spans="21:21" x14ac:dyDescent="0.3">
      <c r="U701647" s="25"/>
    </row>
    <row r="701669" spans="21:21" x14ac:dyDescent="0.3">
      <c r="U701669" s="25"/>
    </row>
    <row r="701691" spans="21:21" x14ac:dyDescent="0.3">
      <c r="U701691" s="25"/>
    </row>
    <row r="701713" spans="21:21" x14ac:dyDescent="0.3">
      <c r="U701713" s="25"/>
    </row>
    <row r="701735" spans="21:21" x14ac:dyDescent="0.3">
      <c r="U701735" s="25"/>
    </row>
    <row r="701757" spans="21:21" x14ac:dyDescent="0.3">
      <c r="U701757" s="25"/>
    </row>
    <row r="701779" spans="21:21" x14ac:dyDescent="0.3">
      <c r="U701779" s="25"/>
    </row>
    <row r="701801" spans="21:21" x14ac:dyDescent="0.3">
      <c r="U701801" s="25"/>
    </row>
    <row r="701823" spans="21:21" x14ac:dyDescent="0.3">
      <c r="U701823" s="25"/>
    </row>
    <row r="701845" spans="21:21" x14ac:dyDescent="0.3">
      <c r="U701845" s="25"/>
    </row>
    <row r="701867" spans="21:21" x14ac:dyDescent="0.3">
      <c r="U701867" s="25"/>
    </row>
    <row r="701889" spans="21:21" x14ac:dyDescent="0.3">
      <c r="U701889" s="25"/>
    </row>
    <row r="701911" spans="21:21" x14ac:dyDescent="0.3">
      <c r="U701911" s="25"/>
    </row>
    <row r="701933" spans="21:21" x14ac:dyDescent="0.3">
      <c r="U701933" s="25"/>
    </row>
    <row r="701955" spans="21:21" x14ac:dyDescent="0.3">
      <c r="U701955" s="25"/>
    </row>
    <row r="701977" spans="21:21" x14ac:dyDescent="0.3">
      <c r="U701977" s="25"/>
    </row>
    <row r="701999" spans="21:21" x14ac:dyDescent="0.3">
      <c r="U701999" s="25"/>
    </row>
    <row r="702021" spans="21:21" x14ac:dyDescent="0.3">
      <c r="U702021" s="25"/>
    </row>
    <row r="702043" spans="21:21" x14ac:dyDescent="0.3">
      <c r="U702043" s="25"/>
    </row>
    <row r="702065" spans="21:21" x14ac:dyDescent="0.3">
      <c r="U702065" s="25"/>
    </row>
    <row r="702087" spans="21:21" x14ac:dyDescent="0.3">
      <c r="U702087" s="25"/>
    </row>
    <row r="702109" spans="21:21" x14ac:dyDescent="0.3">
      <c r="U702109" s="25"/>
    </row>
    <row r="702131" spans="21:21" x14ac:dyDescent="0.3">
      <c r="U702131" s="25"/>
    </row>
    <row r="702153" spans="21:21" x14ac:dyDescent="0.3">
      <c r="U702153" s="25"/>
    </row>
    <row r="702175" spans="21:21" x14ac:dyDescent="0.3">
      <c r="U702175" s="25"/>
    </row>
    <row r="702197" spans="21:21" x14ac:dyDescent="0.3">
      <c r="U702197" s="25"/>
    </row>
    <row r="702219" spans="21:21" x14ac:dyDescent="0.3">
      <c r="U702219" s="25"/>
    </row>
    <row r="702241" spans="21:21" x14ac:dyDescent="0.3">
      <c r="U702241" s="25"/>
    </row>
    <row r="702263" spans="21:21" x14ac:dyDescent="0.3">
      <c r="U702263" s="25"/>
    </row>
    <row r="702285" spans="21:21" x14ac:dyDescent="0.3">
      <c r="U702285" s="25"/>
    </row>
    <row r="702307" spans="21:21" x14ac:dyDescent="0.3">
      <c r="U702307" s="25"/>
    </row>
    <row r="702329" spans="21:21" x14ac:dyDescent="0.3">
      <c r="U702329" s="25"/>
    </row>
    <row r="702351" spans="21:21" x14ac:dyDescent="0.3">
      <c r="U702351" s="25"/>
    </row>
    <row r="702373" spans="21:21" x14ac:dyDescent="0.3">
      <c r="U702373" s="25"/>
    </row>
    <row r="702395" spans="21:21" x14ac:dyDescent="0.3">
      <c r="U702395" s="25"/>
    </row>
    <row r="702417" spans="21:21" x14ac:dyDescent="0.3">
      <c r="U702417" s="25"/>
    </row>
    <row r="702439" spans="21:21" x14ac:dyDescent="0.3">
      <c r="U702439" s="25"/>
    </row>
    <row r="702461" spans="21:21" x14ac:dyDescent="0.3">
      <c r="U702461" s="25"/>
    </row>
    <row r="702483" spans="21:21" x14ac:dyDescent="0.3">
      <c r="U702483" s="25"/>
    </row>
    <row r="702505" spans="21:21" x14ac:dyDescent="0.3">
      <c r="U702505" s="25"/>
    </row>
    <row r="702527" spans="21:21" x14ac:dyDescent="0.3">
      <c r="U702527" s="25"/>
    </row>
    <row r="702549" spans="21:21" x14ac:dyDescent="0.3">
      <c r="U702549" s="25"/>
    </row>
    <row r="702571" spans="21:21" x14ac:dyDescent="0.3">
      <c r="U702571" s="25"/>
    </row>
    <row r="702593" spans="21:21" x14ac:dyDescent="0.3">
      <c r="U702593" s="25"/>
    </row>
    <row r="702615" spans="21:21" x14ac:dyDescent="0.3">
      <c r="U702615" s="25"/>
    </row>
    <row r="702637" spans="21:21" x14ac:dyDescent="0.3">
      <c r="U702637" s="25"/>
    </row>
    <row r="702659" spans="21:21" x14ac:dyDescent="0.3">
      <c r="U702659" s="25"/>
    </row>
    <row r="702681" spans="21:21" x14ac:dyDescent="0.3">
      <c r="U702681" s="25"/>
    </row>
    <row r="702703" spans="21:21" x14ac:dyDescent="0.3">
      <c r="U702703" s="25"/>
    </row>
    <row r="702725" spans="21:21" x14ac:dyDescent="0.3">
      <c r="U702725" s="25"/>
    </row>
    <row r="702747" spans="21:21" x14ac:dyDescent="0.3">
      <c r="U702747" s="25"/>
    </row>
    <row r="702769" spans="21:21" x14ac:dyDescent="0.3">
      <c r="U702769" s="25"/>
    </row>
    <row r="702791" spans="21:21" x14ac:dyDescent="0.3">
      <c r="U702791" s="25"/>
    </row>
    <row r="702813" spans="21:21" x14ac:dyDescent="0.3">
      <c r="U702813" s="25"/>
    </row>
    <row r="702835" spans="21:21" x14ac:dyDescent="0.3">
      <c r="U702835" s="25"/>
    </row>
    <row r="702857" spans="21:21" x14ac:dyDescent="0.3">
      <c r="U702857" s="25"/>
    </row>
    <row r="702879" spans="21:21" x14ac:dyDescent="0.3">
      <c r="U702879" s="25"/>
    </row>
    <row r="702901" spans="21:21" x14ac:dyDescent="0.3">
      <c r="U702901" s="25"/>
    </row>
    <row r="702923" spans="21:21" x14ac:dyDescent="0.3">
      <c r="U702923" s="25"/>
    </row>
    <row r="702945" spans="21:21" x14ac:dyDescent="0.3">
      <c r="U702945" s="25"/>
    </row>
    <row r="702967" spans="21:21" x14ac:dyDescent="0.3">
      <c r="U702967" s="25"/>
    </row>
    <row r="702989" spans="21:21" x14ac:dyDescent="0.3">
      <c r="U702989" s="25"/>
    </row>
    <row r="703011" spans="21:21" x14ac:dyDescent="0.3">
      <c r="U703011" s="25"/>
    </row>
    <row r="703033" spans="21:21" x14ac:dyDescent="0.3">
      <c r="U703033" s="25"/>
    </row>
    <row r="703055" spans="21:21" x14ac:dyDescent="0.3">
      <c r="U703055" s="25"/>
    </row>
    <row r="703077" spans="21:21" x14ac:dyDescent="0.3">
      <c r="U703077" s="25"/>
    </row>
    <row r="703099" spans="21:21" x14ac:dyDescent="0.3">
      <c r="U703099" s="25"/>
    </row>
    <row r="703121" spans="21:21" x14ac:dyDescent="0.3">
      <c r="U703121" s="25"/>
    </row>
    <row r="703143" spans="21:21" x14ac:dyDescent="0.3">
      <c r="U703143" s="25"/>
    </row>
    <row r="703165" spans="21:21" x14ac:dyDescent="0.3">
      <c r="U703165" s="25"/>
    </row>
    <row r="703187" spans="21:21" x14ac:dyDescent="0.3">
      <c r="U703187" s="25"/>
    </row>
    <row r="703209" spans="21:21" x14ac:dyDescent="0.3">
      <c r="U703209" s="25"/>
    </row>
    <row r="703231" spans="21:21" x14ac:dyDescent="0.3">
      <c r="U703231" s="25"/>
    </row>
    <row r="703253" spans="21:21" x14ac:dyDescent="0.3">
      <c r="U703253" s="25"/>
    </row>
    <row r="703275" spans="21:21" x14ac:dyDescent="0.3">
      <c r="U703275" s="25"/>
    </row>
    <row r="703297" spans="21:21" x14ac:dyDescent="0.3">
      <c r="U703297" s="25"/>
    </row>
    <row r="703319" spans="21:21" x14ac:dyDescent="0.3">
      <c r="U703319" s="25"/>
    </row>
    <row r="703341" spans="21:21" x14ac:dyDescent="0.3">
      <c r="U703341" s="25"/>
    </row>
    <row r="703363" spans="21:21" x14ac:dyDescent="0.3">
      <c r="U703363" s="25"/>
    </row>
    <row r="703385" spans="21:21" x14ac:dyDescent="0.3">
      <c r="U703385" s="25"/>
    </row>
    <row r="703407" spans="21:21" x14ac:dyDescent="0.3">
      <c r="U703407" s="25"/>
    </row>
    <row r="703429" spans="21:21" x14ac:dyDescent="0.3">
      <c r="U703429" s="25"/>
    </row>
    <row r="703451" spans="21:21" x14ac:dyDescent="0.3">
      <c r="U703451" s="25"/>
    </row>
    <row r="703473" spans="21:21" x14ac:dyDescent="0.3">
      <c r="U703473" s="25"/>
    </row>
    <row r="703495" spans="21:21" x14ac:dyDescent="0.3">
      <c r="U703495" s="25"/>
    </row>
    <row r="703517" spans="21:21" x14ac:dyDescent="0.3">
      <c r="U703517" s="25"/>
    </row>
    <row r="703539" spans="21:21" x14ac:dyDescent="0.3">
      <c r="U703539" s="25"/>
    </row>
    <row r="703561" spans="21:21" x14ac:dyDescent="0.3">
      <c r="U703561" s="25"/>
    </row>
    <row r="703583" spans="21:21" x14ac:dyDescent="0.3">
      <c r="U703583" s="25"/>
    </row>
    <row r="703605" spans="21:21" x14ac:dyDescent="0.3">
      <c r="U703605" s="25"/>
    </row>
    <row r="703627" spans="21:21" x14ac:dyDescent="0.3">
      <c r="U703627" s="25"/>
    </row>
    <row r="703649" spans="21:21" x14ac:dyDescent="0.3">
      <c r="U703649" s="25"/>
    </row>
    <row r="703671" spans="21:21" x14ac:dyDescent="0.3">
      <c r="U703671" s="25"/>
    </row>
    <row r="703693" spans="21:21" x14ac:dyDescent="0.3">
      <c r="U703693" s="25"/>
    </row>
    <row r="703715" spans="21:21" x14ac:dyDescent="0.3">
      <c r="U703715" s="25"/>
    </row>
    <row r="703737" spans="21:21" x14ac:dyDescent="0.3">
      <c r="U703737" s="25"/>
    </row>
    <row r="703759" spans="21:21" x14ac:dyDescent="0.3">
      <c r="U703759" s="25"/>
    </row>
    <row r="703781" spans="21:21" x14ac:dyDescent="0.3">
      <c r="U703781" s="25"/>
    </row>
    <row r="703803" spans="21:21" x14ac:dyDescent="0.3">
      <c r="U703803" s="25"/>
    </row>
    <row r="703825" spans="21:21" x14ac:dyDescent="0.3">
      <c r="U703825" s="25"/>
    </row>
    <row r="703847" spans="21:21" x14ac:dyDescent="0.3">
      <c r="U703847" s="25"/>
    </row>
    <row r="703869" spans="21:21" x14ac:dyDescent="0.3">
      <c r="U703869" s="25"/>
    </row>
    <row r="703891" spans="21:21" x14ac:dyDescent="0.3">
      <c r="U703891" s="25"/>
    </row>
    <row r="703913" spans="21:21" x14ac:dyDescent="0.3">
      <c r="U703913" s="25"/>
    </row>
    <row r="703935" spans="21:21" x14ac:dyDescent="0.3">
      <c r="U703935" s="25"/>
    </row>
    <row r="703957" spans="21:21" x14ac:dyDescent="0.3">
      <c r="U703957" s="25"/>
    </row>
    <row r="703979" spans="21:21" x14ac:dyDescent="0.3">
      <c r="U703979" s="25"/>
    </row>
    <row r="704001" spans="21:21" x14ac:dyDescent="0.3">
      <c r="U704001" s="25"/>
    </row>
    <row r="704023" spans="21:21" x14ac:dyDescent="0.3">
      <c r="U704023" s="25"/>
    </row>
    <row r="704045" spans="21:21" x14ac:dyDescent="0.3">
      <c r="U704045" s="25"/>
    </row>
    <row r="704067" spans="21:21" x14ac:dyDescent="0.3">
      <c r="U704067" s="25"/>
    </row>
    <row r="704089" spans="21:21" x14ac:dyDescent="0.3">
      <c r="U704089" s="25"/>
    </row>
    <row r="704111" spans="21:21" x14ac:dyDescent="0.3">
      <c r="U704111" s="25"/>
    </row>
    <row r="704133" spans="21:21" x14ac:dyDescent="0.3">
      <c r="U704133" s="25"/>
    </row>
    <row r="704155" spans="21:21" x14ac:dyDescent="0.3">
      <c r="U704155" s="25"/>
    </row>
    <row r="704177" spans="21:21" x14ac:dyDescent="0.3">
      <c r="U704177" s="25"/>
    </row>
    <row r="704199" spans="21:21" x14ac:dyDescent="0.3">
      <c r="U704199" s="25"/>
    </row>
    <row r="704221" spans="21:21" x14ac:dyDescent="0.3">
      <c r="U704221" s="25"/>
    </row>
    <row r="704243" spans="21:21" x14ac:dyDescent="0.3">
      <c r="U704243" s="25"/>
    </row>
    <row r="704265" spans="21:21" x14ac:dyDescent="0.3">
      <c r="U704265" s="25"/>
    </row>
    <row r="704287" spans="21:21" x14ac:dyDescent="0.3">
      <c r="U704287" s="25"/>
    </row>
    <row r="704309" spans="21:21" x14ac:dyDescent="0.3">
      <c r="U704309" s="25"/>
    </row>
    <row r="704331" spans="21:21" x14ac:dyDescent="0.3">
      <c r="U704331" s="25"/>
    </row>
    <row r="704353" spans="21:21" x14ac:dyDescent="0.3">
      <c r="U704353" s="25"/>
    </row>
    <row r="704375" spans="21:21" x14ac:dyDescent="0.3">
      <c r="U704375" s="25"/>
    </row>
    <row r="704397" spans="21:21" x14ac:dyDescent="0.3">
      <c r="U704397" s="25"/>
    </row>
    <row r="704419" spans="21:21" x14ac:dyDescent="0.3">
      <c r="U704419" s="25"/>
    </row>
    <row r="704441" spans="21:21" x14ac:dyDescent="0.3">
      <c r="U704441" s="25"/>
    </row>
    <row r="704463" spans="21:21" x14ac:dyDescent="0.3">
      <c r="U704463" s="25"/>
    </row>
    <row r="704485" spans="21:21" x14ac:dyDescent="0.3">
      <c r="U704485" s="25"/>
    </row>
    <row r="704507" spans="21:21" x14ac:dyDescent="0.3">
      <c r="U704507" s="25"/>
    </row>
    <row r="704529" spans="21:21" x14ac:dyDescent="0.3">
      <c r="U704529" s="25"/>
    </row>
    <row r="704551" spans="21:21" x14ac:dyDescent="0.3">
      <c r="U704551" s="25"/>
    </row>
    <row r="704573" spans="21:21" x14ac:dyDescent="0.3">
      <c r="U704573" s="25"/>
    </row>
    <row r="704595" spans="21:21" x14ac:dyDescent="0.3">
      <c r="U704595" s="25"/>
    </row>
    <row r="704617" spans="21:21" x14ac:dyDescent="0.3">
      <c r="U704617" s="25"/>
    </row>
    <row r="704639" spans="21:21" x14ac:dyDescent="0.3">
      <c r="U704639" s="25"/>
    </row>
    <row r="704661" spans="21:21" x14ac:dyDescent="0.3">
      <c r="U704661" s="25"/>
    </row>
    <row r="704683" spans="21:21" x14ac:dyDescent="0.3">
      <c r="U704683" s="25"/>
    </row>
    <row r="704705" spans="21:21" x14ac:dyDescent="0.3">
      <c r="U704705" s="25"/>
    </row>
    <row r="704727" spans="21:21" x14ac:dyDescent="0.3">
      <c r="U704727" s="25"/>
    </row>
    <row r="704749" spans="21:21" x14ac:dyDescent="0.3">
      <c r="U704749" s="25"/>
    </row>
    <row r="704771" spans="21:21" x14ac:dyDescent="0.3">
      <c r="U704771" s="25"/>
    </row>
    <row r="704793" spans="21:21" x14ac:dyDescent="0.3">
      <c r="U704793" s="25"/>
    </row>
    <row r="704815" spans="21:21" x14ac:dyDescent="0.3">
      <c r="U704815" s="25"/>
    </row>
    <row r="704837" spans="21:21" x14ac:dyDescent="0.3">
      <c r="U704837" s="25"/>
    </row>
    <row r="704859" spans="21:21" x14ac:dyDescent="0.3">
      <c r="U704859" s="25"/>
    </row>
    <row r="704881" spans="21:21" x14ac:dyDescent="0.3">
      <c r="U704881" s="25"/>
    </row>
    <row r="704903" spans="21:21" x14ac:dyDescent="0.3">
      <c r="U704903" s="25"/>
    </row>
    <row r="704925" spans="21:21" x14ac:dyDescent="0.3">
      <c r="U704925" s="25"/>
    </row>
    <row r="704947" spans="21:21" x14ac:dyDescent="0.3">
      <c r="U704947" s="25"/>
    </row>
    <row r="704969" spans="21:21" x14ac:dyDescent="0.3">
      <c r="U704969" s="25"/>
    </row>
    <row r="704991" spans="21:21" x14ac:dyDescent="0.3">
      <c r="U704991" s="25"/>
    </row>
    <row r="705013" spans="21:21" x14ac:dyDescent="0.3">
      <c r="U705013" s="25"/>
    </row>
    <row r="705035" spans="21:21" x14ac:dyDescent="0.3">
      <c r="U705035" s="25"/>
    </row>
    <row r="705057" spans="21:21" x14ac:dyDescent="0.3">
      <c r="U705057" s="25"/>
    </row>
    <row r="705079" spans="21:21" x14ac:dyDescent="0.3">
      <c r="U705079" s="25"/>
    </row>
    <row r="705101" spans="21:21" x14ac:dyDescent="0.3">
      <c r="U705101" s="25"/>
    </row>
    <row r="705123" spans="21:21" x14ac:dyDescent="0.3">
      <c r="U705123" s="25"/>
    </row>
    <row r="705145" spans="21:21" x14ac:dyDescent="0.3">
      <c r="U705145" s="25"/>
    </row>
    <row r="705167" spans="21:21" x14ac:dyDescent="0.3">
      <c r="U705167" s="25"/>
    </row>
    <row r="705189" spans="21:21" x14ac:dyDescent="0.3">
      <c r="U705189" s="25"/>
    </row>
    <row r="705211" spans="21:21" x14ac:dyDescent="0.3">
      <c r="U705211" s="25"/>
    </row>
    <row r="705233" spans="21:21" x14ac:dyDescent="0.3">
      <c r="U705233" s="25"/>
    </row>
    <row r="705255" spans="21:21" x14ac:dyDescent="0.3">
      <c r="U705255" s="25"/>
    </row>
    <row r="705277" spans="21:21" x14ac:dyDescent="0.3">
      <c r="U705277" s="25"/>
    </row>
    <row r="705299" spans="21:21" x14ac:dyDescent="0.3">
      <c r="U705299" s="25"/>
    </row>
    <row r="705321" spans="21:21" x14ac:dyDescent="0.3">
      <c r="U705321" s="25"/>
    </row>
    <row r="705343" spans="21:21" x14ac:dyDescent="0.3">
      <c r="U705343" s="25"/>
    </row>
    <row r="705365" spans="21:21" x14ac:dyDescent="0.3">
      <c r="U705365" s="25"/>
    </row>
    <row r="705387" spans="21:21" x14ac:dyDescent="0.3">
      <c r="U705387" s="25"/>
    </row>
    <row r="705409" spans="21:21" x14ac:dyDescent="0.3">
      <c r="U705409" s="25"/>
    </row>
    <row r="705431" spans="21:21" x14ac:dyDescent="0.3">
      <c r="U705431" s="25"/>
    </row>
    <row r="705453" spans="21:21" x14ac:dyDescent="0.3">
      <c r="U705453" s="25"/>
    </row>
    <row r="705475" spans="21:21" x14ac:dyDescent="0.3">
      <c r="U705475" s="25"/>
    </row>
    <row r="705497" spans="21:21" x14ac:dyDescent="0.3">
      <c r="U705497" s="25"/>
    </row>
    <row r="705519" spans="21:21" x14ac:dyDescent="0.3">
      <c r="U705519" s="25"/>
    </row>
    <row r="705541" spans="21:21" x14ac:dyDescent="0.3">
      <c r="U705541" s="25"/>
    </row>
    <row r="705563" spans="21:21" x14ac:dyDescent="0.3">
      <c r="U705563" s="25"/>
    </row>
    <row r="705585" spans="21:21" x14ac:dyDescent="0.3">
      <c r="U705585" s="25"/>
    </row>
    <row r="705607" spans="21:21" x14ac:dyDescent="0.3">
      <c r="U705607" s="25"/>
    </row>
    <row r="705629" spans="21:21" x14ac:dyDescent="0.3">
      <c r="U705629" s="25"/>
    </row>
    <row r="705651" spans="21:21" x14ac:dyDescent="0.3">
      <c r="U705651" s="25"/>
    </row>
    <row r="705673" spans="21:21" x14ac:dyDescent="0.3">
      <c r="U705673" s="25"/>
    </row>
    <row r="705695" spans="21:21" x14ac:dyDescent="0.3">
      <c r="U705695" s="25"/>
    </row>
    <row r="705717" spans="21:21" x14ac:dyDescent="0.3">
      <c r="U705717" s="25"/>
    </row>
    <row r="705739" spans="21:21" x14ac:dyDescent="0.3">
      <c r="U705739" s="25"/>
    </row>
    <row r="705761" spans="21:21" x14ac:dyDescent="0.3">
      <c r="U705761" s="25"/>
    </row>
    <row r="705783" spans="21:21" x14ac:dyDescent="0.3">
      <c r="U705783" s="25"/>
    </row>
    <row r="705805" spans="21:21" x14ac:dyDescent="0.3">
      <c r="U705805" s="25"/>
    </row>
    <row r="705827" spans="21:21" x14ac:dyDescent="0.3">
      <c r="U705827" s="25"/>
    </row>
    <row r="705849" spans="21:21" x14ac:dyDescent="0.3">
      <c r="U705849" s="25"/>
    </row>
    <row r="705871" spans="21:21" x14ac:dyDescent="0.3">
      <c r="U705871" s="25"/>
    </row>
    <row r="705893" spans="21:21" x14ac:dyDescent="0.3">
      <c r="U705893" s="25"/>
    </row>
    <row r="705915" spans="21:21" x14ac:dyDescent="0.3">
      <c r="U705915" s="25"/>
    </row>
    <row r="705937" spans="21:21" x14ac:dyDescent="0.3">
      <c r="U705937" s="25"/>
    </row>
    <row r="705959" spans="21:21" x14ac:dyDescent="0.3">
      <c r="U705959" s="25"/>
    </row>
    <row r="705981" spans="21:21" x14ac:dyDescent="0.3">
      <c r="U705981" s="25"/>
    </row>
    <row r="706003" spans="21:21" x14ac:dyDescent="0.3">
      <c r="U706003" s="25"/>
    </row>
    <row r="706025" spans="21:21" x14ac:dyDescent="0.3">
      <c r="U706025" s="25"/>
    </row>
    <row r="706047" spans="21:21" x14ac:dyDescent="0.3">
      <c r="U706047" s="25"/>
    </row>
    <row r="706069" spans="21:21" x14ac:dyDescent="0.3">
      <c r="U706069" s="25"/>
    </row>
    <row r="706091" spans="21:21" x14ac:dyDescent="0.3">
      <c r="U706091" s="25"/>
    </row>
    <row r="706113" spans="21:21" x14ac:dyDescent="0.3">
      <c r="U706113" s="25"/>
    </row>
    <row r="706135" spans="21:21" x14ac:dyDescent="0.3">
      <c r="U706135" s="25"/>
    </row>
    <row r="706157" spans="21:21" x14ac:dyDescent="0.3">
      <c r="U706157" s="25"/>
    </row>
    <row r="706179" spans="21:21" x14ac:dyDescent="0.3">
      <c r="U706179" s="25"/>
    </row>
    <row r="706201" spans="21:21" x14ac:dyDescent="0.3">
      <c r="U706201" s="25"/>
    </row>
    <row r="706223" spans="21:21" x14ac:dyDescent="0.3">
      <c r="U706223" s="25"/>
    </row>
    <row r="706245" spans="21:21" x14ac:dyDescent="0.3">
      <c r="U706245" s="25"/>
    </row>
    <row r="706267" spans="21:21" x14ac:dyDescent="0.3">
      <c r="U706267" s="25"/>
    </row>
    <row r="706289" spans="21:21" x14ac:dyDescent="0.3">
      <c r="U706289" s="25"/>
    </row>
    <row r="706311" spans="21:21" x14ac:dyDescent="0.3">
      <c r="U706311" s="25"/>
    </row>
    <row r="706333" spans="21:21" x14ac:dyDescent="0.3">
      <c r="U706333" s="25"/>
    </row>
    <row r="706355" spans="21:21" x14ac:dyDescent="0.3">
      <c r="U706355" s="25"/>
    </row>
    <row r="706377" spans="21:21" x14ac:dyDescent="0.3">
      <c r="U706377" s="25"/>
    </row>
    <row r="706399" spans="21:21" x14ac:dyDescent="0.3">
      <c r="U706399" s="25"/>
    </row>
    <row r="706421" spans="21:21" x14ac:dyDescent="0.3">
      <c r="U706421" s="25"/>
    </row>
    <row r="706443" spans="21:21" x14ac:dyDescent="0.3">
      <c r="U706443" s="25"/>
    </row>
    <row r="706465" spans="21:21" x14ac:dyDescent="0.3">
      <c r="U706465" s="25"/>
    </row>
    <row r="706487" spans="21:21" x14ac:dyDescent="0.3">
      <c r="U706487" s="25"/>
    </row>
    <row r="706509" spans="21:21" x14ac:dyDescent="0.3">
      <c r="U706509" s="25"/>
    </row>
    <row r="706531" spans="21:21" x14ac:dyDescent="0.3">
      <c r="U706531" s="25"/>
    </row>
    <row r="706553" spans="21:21" x14ac:dyDescent="0.3">
      <c r="U706553" s="25"/>
    </row>
    <row r="706575" spans="21:21" x14ac:dyDescent="0.3">
      <c r="U706575" s="25"/>
    </row>
    <row r="706597" spans="21:21" x14ac:dyDescent="0.3">
      <c r="U706597" s="25"/>
    </row>
    <row r="706619" spans="21:21" x14ac:dyDescent="0.3">
      <c r="U706619" s="25"/>
    </row>
    <row r="706641" spans="21:21" x14ac:dyDescent="0.3">
      <c r="U706641" s="25"/>
    </row>
    <row r="706663" spans="21:21" x14ac:dyDescent="0.3">
      <c r="U706663" s="25"/>
    </row>
    <row r="706685" spans="21:21" x14ac:dyDescent="0.3">
      <c r="U706685" s="25"/>
    </row>
    <row r="706707" spans="21:21" x14ac:dyDescent="0.3">
      <c r="U706707" s="25"/>
    </row>
    <row r="706729" spans="21:21" x14ac:dyDescent="0.3">
      <c r="U706729" s="25"/>
    </row>
    <row r="706751" spans="21:21" x14ac:dyDescent="0.3">
      <c r="U706751" s="25"/>
    </row>
    <row r="706773" spans="21:21" x14ac:dyDescent="0.3">
      <c r="U706773" s="25"/>
    </row>
    <row r="706795" spans="21:21" x14ac:dyDescent="0.3">
      <c r="U706795" s="25"/>
    </row>
    <row r="706817" spans="21:21" x14ac:dyDescent="0.3">
      <c r="U706817" s="25"/>
    </row>
    <row r="706839" spans="21:21" x14ac:dyDescent="0.3">
      <c r="U706839" s="25"/>
    </row>
    <row r="706861" spans="21:21" x14ac:dyDescent="0.3">
      <c r="U706861" s="25"/>
    </row>
    <row r="706883" spans="21:21" x14ac:dyDescent="0.3">
      <c r="U706883" s="25"/>
    </row>
    <row r="706905" spans="21:21" x14ac:dyDescent="0.3">
      <c r="U706905" s="25"/>
    </row>
    <row r="706927" spans="21:21" x14ac:dyDescent="0.3">
      <c r="U706927" s="25"/>
    </row>
    <row r="706949" spans="21:21" x14ac:dyDescent="0.3">
      <c r="U706949" s="25"/>
    </row>
    <row r="706971" spans="21:21" x14ac:dyDescent="0.3">
      <c r="U706971" s="25"/>
    </row>
    <row r="706993" spans="21:21" x14ac:dyDescent="0.3">
      <c r="U706993" s="25"/>
    </row>
    <row r="707015" spans="21:21" x14ac:dyDescent="0.3">
      <c r="U707015" s="25"/>
    </row>
    <row r="707037" spans="21:21" x14ac:dyDescent="0.3">
      <c r="U707037" s="25"/>
    </row>
    <row r="707059" spans="21:21" x14ac:dyDescent="0.3">
      <c r="U707059" s="25"/>
    </row>
    <row r="707081" spans="21:21" x14ac:dyDescent="0.3">
      <c r="U707081" s="25"/>
    </row>
    <row r="707103" spans="21:21" x14ac:dyDescent="0.3">
      <c r="U707103" s="25"/>
    </row>
    <row r="707125" spans="21:21" x14ac:dyDescent="0.3">
      <c r="U707125" s="25"/>
    </row>
    <row r="707147" spans="21:21" x14ac:dyDescent="0.3">
      <c r="U707147" s="25"/>
    </row>
    <row r="707169" spans="21:21" x14ac:dyDescent="0.3">
      <c r="U707169" s="25"/>
    </row>
    <row r="707191" spans="21:21" x14ac:dyDescent="0.3">
      <c r="U707191" s="25"/>
    </row>
    <row r="707213" spans="21:21" x14ac:dyDescent="0.3">
      <c r="U707213" s="25"/>
    </row>
    <row r="707235" spans="21:21" x14ac:dyDescent="0.3">
      <c r="U707235" s="25"/>
    </row>
    <row r="707257" spans="21:21" x14ac:dyDescent="0.3">
      <c r="U707257" s="25"/>
    </row>
    <row r="707279" spans="21:21" x14ac:dyDescent="0.3">
      <c r="U707279" s="25"/>
    </row>
    <row r="707301" spans="21:21" x14ac:dyDescent="0.3">
      <c r="U707301" s="25"/>
    </row>
    <row r="707323" spans="21:21" x14ac:dyDescent="0.3">
      <c r="U707323" s="25"/>
    </row>
    <row r="707345" spans="21:21" x14ac:dyDescent="0.3">
      <c r="U707345" s="25"/>
    </row>
    <row r="707367" spans="21:21" x14ac:dyDescent="0.3">
      <c r="U707367" s="25"/>
    </row>
    <row r="707389" spans="21:21" x14ac:dyDescent="0.3">
      <c r="U707389" s="25"/>
    </row>
    <row r="707411" spans="21:21" x14ac:dyDescent="0.3">
      <c r="U707411" s="25"/>
    </row>
    <row r="707433" spans="21:21" x14ac:dyDescent="0.3">
      <c r="U707433" s="25"/>
    </row>
    <row r="707455" spans="21:21" x14ac:dyDescent="0.3">
      <c r="U707455" s="25"/>
    </row>
    <row r="707477" spans="21:21" x14ac:dyDescent="0.3">
      <c r="U707477" s="25"/>
    </row>
    <row r="707499" spans="21:21" x14ac:dyDescent="0.3">
      <c r="U707499" s="25"/>
    </row>
    <row r="707521" spans="21:21" x14ac:dyDescent="0.3">
      <c r="U707521" s="25"/>
    </row>
    <row r="707543" spans="21:21" x14ac:dyDescent="0.3">
      <c r="U707543" s="25"/>
    </row>
    <row r="707565" spans="21:21" x14ac:dyDescent="0.3">
      <c r="U707565" s="25"/>
    </row>
    <row r="707587" spans="21:21" x14ac:dyDescent="0.3">
      <c r="U707587" s="25"/>
    </row>
    <row r="707609" spans="21:21" x14ac:dyDescent="0.3">
      <c r="U707609" s="25"/>
    </row>
    <row r="707631" spans="21:21" x14ac:dyDescent="0.3">
      <c r="U707631" s="25"/>
    </row>
    <row r="707653" spans="21:21" x14ac:dyDescent="0.3">
      <c r="U707653" s="25"/>
    </row>
    <row r="707675" spans="21:21" x14ac:dyDescent="0.3">
      <c r="U707675" s="25"/>
    </row>
    <row r="707697" spans="21:21" x14ac:dyDescent="0.3">
      <c r="U707697" s="25"/>
    </row>
    <row r="707719" spans="21:21" x14ac:dyDescent="0.3">
      <c r="U707719" s="25"/>
    </row>
    <row r="707741" spans="21:21" x14ac:dyDescent="0.3">
      <c r="U707741" s="25"/>
    </row>
    <row r="707763" spans="21:21" x14ac:dyDescent="0.3">
      <c r="U707763" s="25"/>
    </row>
    <row r="707785" spans="21:21" x14ac:dyDescent="0.3">
      <c r="U707785" s="25"/>
    </row>
    <row r="707807" spans="21:21" x14ac:dyDescent="0.3">
      <c r="U707807" s="25"/>
    </row>
    <row r="707829" spans="21:21" x14ac:dyDescent="0.3">
      <c r="U707829" s="25"/>
    </row>
    <row r="707851" spans="21:21" x14ac:dyDescent="0.3">
      <c r="U707851" s="25"/>
    </row>
    <row r="707873" spans="21:21" x14ac:dyDescent="0.3">
      <c r="U707873" s="25"/>
    </row>
    <row r="707895" spans="21:21" x14ac:dyDescent="0.3">
      <c r="U707895" s="25"/>
    </row>
    <row r="707917" spans="21:21" x14ac:dyDescent="0.3">
      <c r="U707917" s="25"/>
    </row>
    <row r="707939" spans="21:21" x14ac:dyDescent="0.3">
      <c r="U707939" s="25"/>
    </row>
    <row r="707961" spans="21:21" x14ac:dyDescent="0.3">
      <c r="U707961" s="25"/>
    </row>
    <row r="707983" spans="21:21" x14ac:dyDescent="0.3">
      <c r="U707983" s="25"/>
    </row>
    <row r="708005" spans="21:21" x14ac:dyDescent="0.3">
      <c r="U708005" s="25"/>
    </row>
    <row r="708027" spans="21:21" x14ac:dyDescent="0.3">
      <c r="U708027" s="25"/>
    </row>
    <row r="708049" spans="21:21" x14ac:dyDescent="0.3">
      <c r="U708049" s="25"/>
    </row>
    <row r="708071" spans="21:21" x14ac:dyDescent="0.3">
      <c r="U708071" s="25"/>
    </row>
    <row r="708093" spans="21:21" x14ac:dyDescent="0.3">
      <c r="U708093" s="25"/>
    </row>
    <row r="708115" spans="21:21" x14ac:dyDescent="0.3">
      <c r="U708115" s="25"/>
    </row>
    <row r="708137" spans="21:21" x14ac:dyDescent="0.3">
      <c r="U708137" s="25"/>
    </row>
    <row r="708159" spans="21:21" x14ac:dyDescent="0.3">
      <c r="U708159" s="25"/>
    </row>
    <row r="708181" spans="21:21" x14ac:dyDescent="0.3">
      <c r="U708181" s="25"/>
    </row>
    <row r="708203" spans="21:21" x14ac:dyDescent="0.3">
      <c r="U708203" s="25"/>
    </row>
    <row r="708225" spans="21:21" x14ac:dyDescent="0.3">
      <c r="U708225" s="25"/>
    </row>
    <row r="708247" spans="21:21" x14ac:dyDescent="0.3">
      <c r="U708247" s="25"/>
    </row>
    <row r="708269" spans="21:21" x14ac:dyDescent="0.3">
      <c r="U708269" s="25"/>
    </row>
    <row r="708291" spans="21:21" x14ac:dyDescent="0.3">
      <c r="U708291" s="25"/>
    </row>
    <row r="708313" spans="21:21" x14ac:dyDescent="0.3">
      <c r="U708313" s="25"/>
    </row>
    <row r="708335" spans="21:21" x14ac:dyDescent="0.3">
      <c r="U708335" s="25"/>
    </row>
    <row r="708357" spans="21:21" x14ac:dyDescent="0.3">
      <c r="U708357" s="25"/>
    </row>
    <row r="708379" spans="21:21" x14ac:dyDescent="0.3">
      <c r="U708379" s="25"/>
    </row>
    <row r="708401" spans="21:21" x14ac:dyDescent="0.3">
      <c r="U708401" s="25"/>
    </row>
    <row r="708423" spans="21:21" x14ac:dyDescent="0.3">
      <c r="U708423" s="25"/>
    </row>
    <row r="708445" spans="21:21" x14ac:dyDescent="0.3">
      <c r="U708445" s="25"/>
    </row>
    <row r="708467" spans="21:21" x14ac:dyDescent="0.3">
      <c r="U708467" s="25"/>
    </row>
    <row r="708489" spans="21:21" x14ac:dyDescent="0.3">
      <c r="U708489" s="25"/>
    </row>
    <row r="708511" spans="21:21" x14ac:dyDescent="0.3">
      <c r="U708511" s="25"/>
    </row>
    <row r="708533" spans="21:21" x14ac:dyDescent="0.3">
      <c r="U708533" s="25"/>
    </row>
    <row r="708555" spans="21:21" x14ac:dyDescent="0.3">
      <c r="U708555" s="25"/>
    </row>
    <row r="708577" spans="21:21" x14ac:dyDescent="0.3">
      <c r="U708577" s="25"/>
    </row>
    <row r="708599" spans="21:21" x14ac:dyDescent="0.3">
      <c r="U708599" s="25"/>
    </row>
    <row r="708621" spans="21:21" x14ac:dyDescent="0.3">
      <c r="U708621" s="25"/>
    </row>
    <row r="708643" spans="21:21" x14ac:dyDescent="0.3">
      <c r="U708643" s="25"/>
    </row>
    <row r="708665" spans="21:21" x14ac:dyDescent="0.3">
      <c r="U708665" s="25"/>
    </row>
    <row r="708687" spans="21:21" x14ac:dyDescent="0.3">
      <c r="U708687" s="25"/>
    </row>
    <row r="708709" spans="21:21" x14ac:dyDescent="0.3">
      <c r="U708709" s="25"/>
    </row>
    <row r="708731" spans="21:21" x14ac:dyDescent="0.3">
      <c r="U708731" s="25"/>
    </row>
    <row r="708753" spans="21:21" x14ac:dyDescent="0.3">
      <c r="U708753" s="25"/>
    </row>
    <row r="708775" spans="21:21" x14ac:dyDescent="0.3">
      <c r="U708775" s="25"/>
    </row>
    <row r="708797" spans="21:21" x14ac:dyDescent="0.3">
      <c r="U708797" s="25"/>
    </row>
    <row r="708819" spans="21:21" x14ac:dyDescent="0.3">
      <c r="U708819" s="25"/>
    </row>
    <row r="708841" spans="21:21" x14ac:dyDescent="0.3">
      <c r="U708841" s="25"/>
    </row>
    <row r="708863" spans="21:21" x14ac:dyDescent="0.3">
      <c r="U708863" s="25"/>
    </row>
    <row r="708885" spans="21:21" x14ac:dyDescent="0.3">
      <c r="U708885" s="25"/>
    </row>
    <row r="708907" spans="21:21" x14ac:dyDescent="0.3">
      <c r="U708907" s="25"/>
    </row>
    <row r="708929" spans="21:21" x14ac:dyDescent="0.3">
      <c r="U708929" s="25"/>
    </row>
    <row r="708951" spans="21:21" x14ac:dyDescent="0.3">
      <c r="U708951" s="25"/>
    </row>
    <row r="708973" spans="21:21" x14ac:dyDescent="0.3">
      <c r="U708973" s="25"/>
    </row>
    <row r="708995" spans="21:21" x14ac:dyDescent="0.3">
      <c r="U708995" s="25"/>
    </row>
    <row r="709017" spans="21:21" x14ac:dyDescent="0.3">
      <c r="U709017" s="25"/>
    </row>
    <row r="709039" spans="21:21" x14ac:dyDescent="0.3">
      <c r="U709039" s="25"/>
    </row>
    <row r="709061" spans="21:21" x14ac:dyDescent="0.3">
      <c r="U709061" s="25"/>
    </row>
    <row r="709083" spans="21:21" x14ac:dyDescent="0.3">
      <c r="U709083" s="25"/>
    </row>
    <row r="709105" spans="21:21" x14ac:dyDescent="0.3">
      <c r="U709105" s="25"/>
    </row>
    <row r="709127" spans="21:21" x14ac:dyDescent="0.3">
      <c r="U709127" s="25"/>
    </row>
    <row r="709149" spans="21:21" x14ac:dyDescent="0.3">
      <c r="U709149" s="25"/>
    </row>
    <row r="709171" spans="21:21" x14ac:dyDescent="0.3">
      <c r="U709171" s="25"/>
    </row>
    <row r="709193" spans="21:21" x14ac:dyDescent="0.3">
      <c r="U709193" s="25"/>
    </row>
    <row r="709215" spans="21:21" x14ac:dyDescent="0.3">
      <c r="U709215" s="25"/>
    </row>
    <row r="709237" spans="21:21" x14ac:dyDescent="0.3">
      <c r="U709237" s="25"/>
    </row>
    <row r="709259" spans="21:21" x14ac:dyDescent="0.3">
      <c r="U709259" s="25"/>
    </row>
    <row r="709281" spans="21:21" x14ac:dyDescent="0.3">
      <c r="U709281" s="25"/>
    </row>
    <row r="709303" spans="21:21" x14ac:dyDescent="0.3">
      <c r="U709303" s="25"/>
    </row>
    <row r="709325" spans="21:21" x14ac:dyDescent="0.3">
      <c r="U709325" s="25"/>
    </row>
    <row r="709347" spans="21:21" x14ac:dyDescent="0.3">
      <c r="U709347" s="25"/>
    </row>
    <row r="709369" spans="21:21" x14ac:dyDescent="0.3">
      <c r="U709369" s="25"/>
    </row>
    <row r="709391" spans="21:21" x14ac:dyDescent="0.3">
      <c r="U709391" s="25"/>
    </row>
    <row r="709413" spans="21:21" x14ac:dyDescent="0.3">
      <c r="U709413" s="25"/>
    </row>
    <row r="709435" spans="21:21" x14ac:dyDescent="0.3">
      <c r="U709435" s="25"/>
    </row>
    <row r="709457" spans="21:21" x14ac:dyDescent="0.3">
      <c r="U709457" s="25"/>
    </row>
    <row r="709479" spans="21:21" x14ac:dyDescent="0.3">
      <c r="U709479" s="25"/>
    </row>
    <row r="709501" spans="21:21" x14ac:dyDescent="0.3">
      <c r="U709501" s="25"/>
    </row>
    <row r="709523" spans="21:21" x14ac:dyDescent="0.3">
      <c r="U709523" s="25"/>
    </row>
    <row r="709545" spans="21:21" x14ac:dyDescent="0.3">
      <c r="U709545" s="25"/>
    </row>
    <row r="709567" spans="21:21" x14ac:dyDescent="0.3">
      <c r="U709567" s="25"/>
    </row>
    <row r="709589" spans="21:21" x14ac:dyDescent="0.3">
      <c r="U709589" s="25"/>
    </row>
    <row r="709611" spans="21:21" x14ac:dyDescent="0.3">
      <c r="U709611" s="25"/>
    </row>
    <row r="709633" spans="21:21" x14ac:dyDescent="0.3">
      <c r="U709633" s="25"/>
    </row>
    <row r="709655" spans="21:21" x14ac:dyDescent="0.3">
      <c r="U709655" s="25"/>
    </row>
    <row r="709677" spans="21:21" x14ac:dyDescent="0.3">
      <c r="U709677" s="25"/>
    </row>
    <row r="709699" spans="21:21" x14ac:dyDescent="0.3">
      <c r="U709699" s="25"/>
    </row>
    <row r="709721" spans="21:21" x14ac:dyDescent="0.3">
      <c r="U709721" s="25"/>
    </row>
    <row r="709743" spans="21:21" x14ac:dyDescent="0.3">
      <c r="U709743" s="25"/>
    </row>
    <row r="709765" spans="21:21" x14ac:dyDescent="0.3">
      <c r="U709765" s="25"/>
    </row>
    <row r="709787" spans="21:21" x14ac:dyDescent="0.3">
      <c r="U709787" s="25"/>
    </row>
    <row r="709809" spans="21:21" x14ac:dyDescent="0.3">
      <c r="U709809" s="25"/>
    </row>
    <row r="709831" spans="21:21" x14ac:dyDescent="0.3">
      <c r="U709831" s="25"/>
    </row>
    <row r="709853" spans="21:21" x14ac:dyDescent="0.3">
      <c r="U709853" s="25"/>
    </row>
    <row r="709875" spans="21:21" x14ac:dyDescent="0.3">
      <c r="U709875" s="25"/>
    </row>
    <row r="709897" spans="21:21" x14ac:dyDescent="0.3">
      <c r="U709897" s="25"/>
    </row>
    <row r="709919" spans="21:21" x14ac:dyDescent="0.3">
      <c r="U709919" s="25"/>
    </row>
    <row r="709941" spans="21:21" x14ac:dyDescent="0.3">
      <c r="U709941" s="25"/>
    </row>
    <row r="709963" spans="21:21" x14ac:dyDescent="0.3">
      <c r="U709963" s="25"/>
    </row>
    <row r="709985" spans="21:21" x14ac:dyDescent="0.3">
      <c r="U709985" s="25"/>
    </row>
    <row r="710007" spans="21:21" x14ac:dyDescent="0.3">
      <c r="U710007" s="25"/>
    </row>
    <row r="710029" spans="21:21" x14ac:dyDescent="0.3">
      <c r="U710029" s="25"/>
    </row>
    <row r="710051" spans="21:21" x14ac:dyDescent="0.3">
      <c r="U710051" s="25"/>
    </row>
    <row r="710073" spans="21:21" x14ac:dyDescent="0.3">
      <c r="U710073" s="25"/>
    </row>
    <row r="710095" spans="21:21" x14ac:dyDescent="0.3">
      <c r="U710095" s="25"/>
    </row>
    <row r="710117" spans="21:21" x14ac:dyDescent="0.3">
      <c r="U710117" s="25"/>
    </row>
    <row r="710139" spans="21:21" x14ac:dyDescent="0.3">
      <c r="U710139" s="25"/>
    </row>
    <row r="710161" spans="21:21" x14ac:dyDescent="0.3">
      <c r="U710161" s="25"/>
    </row>
    <row r="710183" spans="21:21" x14ac:dyDescent="0.3">
      <c r="U710183" s="25"/>
    </row>
    <row r="710205" spans="21:21" x14ac:dyDescent="0.3">
      <c r="U710205" s="25"/>
    </row>
    <row r="710227" spans="21:21" x14ac:dyDescent="0.3">
      <c r="U710227" s="25"/>
    </row>
    <row r="710249" spans="21:21" x14ac:dyDescent="0.3">
      <c r="U710249" s="25"/>
    </row>
    <row r="710271" spans="21:21" x14ac:dyDescent="0.3">
      <c r="U710271" s="25"/>
    </row>
    <row r="710293" spans="21:21" x14ac:dyDescent="0.3">
      <c r="U710293" s="25"/>
    </row>
    <row r="710315" spans="21:21" x14ac:dyDescent="0.3">
      <c r="U710315" s="25"/>
    </row>
    <row r="710337" spans="21:21" x14ac:dyDescent="0.3">
      <c r="U710337" s="25"/>
    </row>
    <row r="710359" spans="21:21" x14ac:dyDescent="0.3">
      <c r="U710359" s="25"/>
    </row>
    <row r="710381" spans="21:21" x14ac:dyDescent="0.3">
      <c r="U710381" s="25"/>
    </row>
    <row r="710403" spans="21:21" x14ac:dyDescent="0.3">
      <c r="U710403" s="25"/>
    </row>
    <row r="710425" spans="21:21" x14ac:dyDescent="0.3">
      <c r="U710425" s="25"/>
    </row>
    <row r="710447" spans="21:21" x14ac:dyDescent="0.3">
      <c r="U710447" s="25"/>
    </row>
    <row r="710469" spans="21:21" x14ac:dyDescent="0.3">
      <c r="U710469" s="25"/>
    </row>
    <row r="710491" spans="21:21" x14ac:dyDescent="0.3">
      <c r="U710491" s="25"/>
    </row>
    <row r="710513" spans="21:21" x14ac:dyDescent="0.3">
      <c r="U710513" s="25"/>
    </row>
    <row r="710535" spans="21:21" x14ac:dyDescent="0.3">
      <c r="U710535" s="25"/>
    </row>
    <row r="710557" spans="21:21" x14ac:dyDescent="0.3">
      <c r="U710557" s="25"/>
    </row>
    <row r="710579" spans="21:21" x14ac:dyDescent="0.3">
      <c r="U710579" s="25"/>
    </row>
    <row r="710601" spans="21:21" x14ac:dyDescent="0.3">
      <c r="U710601" s="25"/>
    </row>
    <row r="710623" spans="21:21" x14ac:dyDescent="0.3">
      <c r="U710623" s="25"/>
    </row>
    <row r="710645" spans="21:21" x14ac:dyDescent="0.3">
      <c r="U710645" s="25"/>
    </row>
    <row r="710667" spans="21:21" x14ac:dyDescent="0.3">
      <c r="U710667" s="25"/>
    </row>
    <row r="710689" spans="21:21" x14ac:dyDescent="0.3">
      <c r="U710689" s="25"/>
    </row>
    <row r="710711" spans="21:21" x14ac:dyDescent="0.3">
      <c r="U710711" s="25"/>
    </row>
    <row r="710733" spans="21:21" x14ac:dyDescent="0.3">
      <c r="U710733" s="25"/>
    </row>
    <row r="710755" spans="21:21" x14ac:dyDescent="0.3">
      <c r="U710755" s="25"/>
    </row>
    <row r="710777" spans="21:21" x14ac:dyDescent="0.3">
      <c r="U710777" s="25"/>
    </row>
    <row r="710799" spans="21:21" x14ac:dyDescent="0.3">
      <c r="U710799" s="25"/>
    </row>
    <row r="710821" spans="21:21" x14ac:dyDescent="0.3">
      <c r="U710821" s="25"/>
    </row>
    <row r="710843" spans="21:21" x14ac:dyDescent="0.3">
      <c r="U710843" s="25"/>
    </row>
    <row r="710865" spans="21:21" x14ac:dyDescent="0.3">
      <c r="U710865" s="25"/>
    </row>
    <row r="710887" spans="21:21" x14ac:dyDescent="0.3">
      <c r="U710887" s="25"/>
    </row>
    <row r="710909" spans="21:21" x14ac:dyDescent="0.3">
      <c r="U710909" s="25"/>
    </row>
    <row r="710931" spans="21:21" x14ac:dyDescent="0.3">
      <c r="U710931" s="25"/>
    </row>
    <row r="710953" spans="21:21" x14ac:dyDescent="0.3">
      <c r="U710953" s="25"/>
    </row>
    <row r="710975" spans="21:21" x14ac:dyDescent="0.3">
      <c r="U710975" s="25"/>
    </row>
    <row r="710997" spans="21:21" x14ac:dyDescent="0.3">
      <c r="U710997" s="25"/>
    </row>
    <row r="711019" spans="21:21" x14ac:dyDescent="0.3">
      <c r="U711019" s="25"/>
    </row>
    <row r="711041" spans="21:21" x14ac:dyDescent="0.3">
      <c r="U711041" s="25"/>
    </row>
    <row r="711063" spans="21:21" x14ac:dyDescent="0.3">
      <c r="U711063" s="25"/>
    </row>
    <row r="711085" spans="21:21" x14ac:dyDescent="0.3">
      <c r="U711085" s="25"/>
    </row>
    <row r="711107" spans="21:21" x14ac:dyDescent="0.3">
      <c r="U711107" s="25"/>
    </row>
    <row r="711129" spans="21:21" x14ac:dyDescent="0.3">
      <c r="U711129" s="25"/>
    </row>
    <row r="711151" spans="21:21" x14ac:dyDescent="0.3">
      <c r="U711151" s="25"/>
    </row>
    <row r="711173" spans="21:21" x14ac:dyDescent="0.3">
      <c r="U711173" s="25"/>
    </row>
    <row r="711195" spans="21:21" x14ac:dyDescent="0.3">
      <c r="U711195" s="25"/>
    </row>
    <row r="711217" spans="21:21" x14ac:dyDescent="0.3">
      <c r="U711217" s="25"/>
    </row>
    <row r="711239" spans="21:21" x14ac:dyDescent="0.3">
      <c r="U711239" s="25"/>
    </row>
    <row r="711261" spans="21:21" x14ac:dyDescent="0.3">
      <c r="U711261" s="25"/>
    </row>
    <row r="711283" spans="21:21" x14ac:dyDescent="0.3">
      <c r="U711283" s="25"/>
    </row>
    <row r="711305" spans="21:21" x14ac:dyDescent="0.3">
      <c r="U711305" s="25"/>
    </row>
    <row r="711327" spans="21:21" x14ac:dyDescent="0.3">
      <c r="U711327" s="25"/>
    </row>
    <row r="711349" spans="21:21" x14ac:dyDescent="0.3">
      <c r="U711349" s="25"/>
    </row>
    <row r="711371" spans="21:21" x14ac:dyDescent="0.3">
      <c r="U711371" s="25"/>
    </row>
    <row r="711393" spans="21:21" x14ac:dyDescent="0.3">
      <c r="U711393" s="25"/>
    </row>
    <row r="711415" spans="21:21" x14ac:dyDescent="0.3">
      <c r="U711415" s="25"/>
    </row>
    <row r="711437" spans="21:21" x14ac:dyDescent="0.3">
      <c r="U711437" s="25"/>
    </row>
    <row r="711459" spans="21:21" x14ac:dyDescent="0.3">
      <c r="U711459" s="25"/>
    </row>
    <row r="711481" spans="21:21" x14ac:dyDescent="0.3">
      <c r="U711481" s="25"/>
    </row>
    <row r="711503" spans="21:21" x14ac:dyDescent="0.3">
      <c r="U711503" s="25"/>
    </row>
    <row r="711525" spans="21:21" x14ac:dyDescent="0.3">
      <c r="U711525" s="25"/>
    </row>
    <row r="711547" spans="21:21" x14ac:dyDescent="0.3">
      <c r="U711547" s="25"/>
    </row>
    <row r="711569" spans="21:21" x14ac:dyDescent="0.3">
      <c r="U711569" s="25"/>
    </row>
    <row r="711591" spans="21:21" x14ac:dyDescent="0.3">
      <c r="U711591" s="25"/>
    </row>
    <row r="711613" spans="21:21" x14ac:dyDescent="0.3">
      <c r="U711613" s="25"/>
    </row>
    <row r="711635" spans="21:21" x14ac:dyDescent="0.3">
      <c r="U711635" s="25"/>
    </row>
    <row r="711657" spans="21:21" x14ac:dyDescent="0.3">
      <c r="U711657" s="25"/>
    </row>
    <row r="711679" spans="21:21" x14ac:dyDescent="0.3">
      <c r="U711679" s="25"/>
    </row>
    <row r="711701" spans="21:21" x14ac:dyDescent="0.3">
      <c r="U711701" s="25"/>
    </row>
    <row r="711723" spans="21:21" x14ac:dyDescent="0.3">
      <c r="U711723" s="25"/>
    </row>
    <row r="711745" spans="21:21" x14ac:dyDescent="0.3">
      <c r="U711745" s="25"/>
    </row>
    <row r="711767" spans="21:21" x14ac:dyDescent="0.3">
      <c r="U711767" s="25"/>
    </row>
    <row r="711789" spans="21:21" x14ac:dyDescent="0.3">
      <c r="U711789" s="25"/>
    </row>
    <row r="711811" spans="21:21" x14ac:dyDescent="0.3">
      <c r="U711811" s="25"/>
    </row>
    <row r="711833" spans="21:21" x14ac:dyDescent="0.3">
      <c r="U711833" s="25"/>
    </row>
    <row r="711855" spans="21:21" x14ac:dyDescent="0.3">
      <c r="U711855" s="25"/>
    </row>
    <row r="711877" spans="21:21" x14ac:dyDescent="0.3">
      <c r="U711877" s="25"/>
    </row>
    <row r="711899" spans="21:21" x14ac:dyDescent="0.3">
      <c r="U711899" s="25"/>
    </row>
    <row r="711921" spans="21:21" x14ac:dyDescent="0.3">
      <c r="U711921" s="25"/>
    </row>
    <row r="711943" spans="21:21" x14ac:dyDescent="0.3">
      <c r="U711943" s="25"/>
    </row>
    <row r="711965" spans="21:21" x14ac:dyDescent="0.3">
      <c r="U711965" s="25"/>
    </row>
    <row r="711987" spans="21:21" x14ac:dyDescent="0.3">
      <c r="U711987" s="25"/>
    </row>
    <row r="712009" spans="21:21" x14ac:dyDescent="0.3">
      <c r="U712009" s="25"/>
    </row>
    <row r="712031" spans="21:21" x14ac:dyDescent="0.3">
      <c r="U712031" s="25"/>
    </row>
    <row r="712053" spans="21:21" x14ac:dyDescent="0.3">
      <c r="U712053" s="25"/>
    </row>
    <row r="712075" spans="21:21" x14ac:dyDescent="0.3">
      <c r="U712075" s="25"/>
    </row>
    <row r="712097" spans="21:21" x14ac:dyDescent="0.3">
      <c r="U712097" s="25"/>
    </row>
    <row r="712119" spans="21:21" x14ac:dyDescent="0.3">
      <c r="U712119" s="25"/>
    </row>
    <row r="712141" spans="21:21" x14ac:dyDescent="0.3">
      <c r="U712141" s="25"/>
    </row>
    <row r="712163" spans="21:21" x14ac:dyDescent="0.3">
      <c r="U712163" s="25"/>
    </row>
    <row r="712185" spans="21:21" x14ac:dyDescent="0.3">
      <c r="U712185" s="25"/>
    </row>
    <row r="712207" spans="21:21" x14ac:dyDescent="0.3">
      <c r="U712207" s="25"/>
    </row>
    <row r="712229" spans="21:21" x14ac:dyDescent="0.3">
      <c r="U712229" s="25"/>
    </row>
    <row r="712251" spans="21:21" x14ac:dyDescent="0.3">
      <c r="U712251" s="25"/>
    </row>
    <row r="712273" spans="21:21" x14ac:dyDescent="0.3">
      <c r="U712273" s="25"/>
    </row>
    <row r="712295" spans="21:21" x14ac:dyDescent="0.3">
      <c r="U712295" s="25"/>
    </row>
    <row r="712317" spans="21:21" x14ac:dyDescent="0.3">
      <c r="U712317" s="25"/>
    </row>
    <row r="712339" spans="21:21" x14ac:dyDescent="0.3">
      <c r="U712339" s="25"/>
    </row>
    <row r="712361" spans="21:21" x14ac:dyDescent="0.3">
      <c r="U712361" s="25"/>
    </row>
    <row r="712383" spans="21:21" x14ac:dyDescent="0.3">
      <c r="U712383" s="25"/>
    </row>
    <row r="712405" spans="21:21" x14ac:dyDescent="0.3">
      <c r="U712405" s="25"/>
    </row>
    <row r="712427" spans="21:21" x14ac:dyDescent="0.3">
      <c r="U712427" s="25"/>
    </row>
    <row r="712449" spans="21:21" x14ac:dyDescent="0.3">
      <c r="U712449" s="25"/>
    </row>
    <row r="712471" spans="21:21" x14ac:dyDescent="0.3">
      <c r="U712471" s="25"/>
    </row>
    <row r="712493" spans="21:21" x14ac:dyDescent="0.3">
      <c r="U712493" s="25"/>
    </row>
    <row r="712515" spans="21:21" x14ac:dyDescent="0.3">
      <c r="U712515" s="25"/>
    </row>
    <row r="712537" spans="21:21" x14ac:dyDescent="0.3">
      <c r="U712537" s="25"/>
    </row>
    <row r="712559" spans="21:21" x14ac:dyDescent="0.3">
      <c r="U712559" s="25"/>
    </row>
    <row r="712581" spans="21:21" x14ac:dyDescent="0.3">
      <c r="U712581" s="25"/>
    </row>
    <row r="712603" spans="21:21" x14ac:dyDescent="0.3">
      <c r="U712603" s="25"/>
    </row>
    <row r="712625" spans="21:21" x14ac:dyDescent="0.3">
      <c r="U712625" s="25"/>
    </row>
    <row r="712647" spans="21:21" x14ac:dyDescent="0.3">
      <c r="U712647" s="25"/>
    </row>
    <row r="712669" spans="21:21" x14ac:dyDescent="0.3">
      <c r="U712669" s="25"/>
    </row>
    <row r="712691" spans="21:21" x14ac:dyDescent="0.3">
      <c r="U712691" s="25"/>
    </row>
    <row r="712713" spans="21:21" x14ac:dyDescent="0.3">
      <c r="U712713" s="25"/>
    </row>
    <row r="712735" spans="21:21" x14ac:dyDescent="0.3">
      <c r="U712735" s="25"/>
    </row>
    <row r="712757" spans="21:21" x14ac:dyDescent="0.3">
      <c r="U712757" s="25"/>
    </row>
    <row r="712779" spans="21:21" x14ac:dyDescent="0.3">
      <c r="U712779" s="25"/>
    </row>
    <row r="712801" spans="21:21" x14ac:dyDescent="0.3">
      <c r="U712801" s="25"/>
    </row>
    <row r="712823" spans="21:21" x14ac:dyDescent="0.3">
      <c r="U712823" s="25"/>
    </row>
    <row r="712845" spans="21:21" x14ac:dyDescent="0.3">
      <c r="U712845" s="25"/>
    </row>
    <row r="712867" spans="21:21" x14ac:dyDescent="0.3">
      <c r="U712867" s="25"/>
    </row>
    <row r="712889" spans="21:21" x14ac:dyDescent="0.3">
      <c r="U712889" s="25"/>
    </row>
    <row r="712911" spans="21:21" x14ac:dyDescent="0.3">
      <c r="U712911" s="25"/>
    </row>
    <row r="712933" spans="21:21" x14ac:dyDescent="0.3">
      <c r="U712933" s="25"/>
    </row>
    <row r="712955" spans="21:21" x14ac:dyDescent="0.3">
      <c r="U712955" s="25"/>
    </row>
    <row r="712977" spans="21:21" x14ac:dyDescent="0.3">
      <c r="U712977" s="25"/>
    </row>
    <row r="712999" spans="21:21" x14ac:dyDescent="0.3">
      <c r="U712999" s="25"/>
    </row>
    <row r="713021" spans="21:21" x14ac:dyDescent="0.3">
      <c r="U713021" s="25"/>
    </row>
    <row r="713043" spans="21:21" x14ac:dyDescent="0.3">
      <c r="U713043" s="25"/>
    </row>
    <row r="713065" spans="21:21" x14ac:dyDescent="0.3">
      <c r="U713065" s="25"/>
    </row>
    <row r="713087" spans="21:21" x14ac:dyDescent="0.3">
      <c r="U713087" s="25"/>
    </row>
    <row r="713109" spans="21:21" x14ac:dyDescent="0.3">
      <c r="U713109" s="25"/>
    </row>
    <row r="713131" spans="21:21" x14ac:dyDescent="0.3">
      <c r="U713131" s="25"/>
    </row>
    <row r="713153" spans="21:21" x14ac:dyDescent="0.3">
      <c r="U713153" s="25"/>
    </row>
    <row r="713175" spans="21:21" x14ac:dyDescent="0.3">
      <c r="U713175" s="25"/>
    </row>
    <row r="713197" spans="21:21" x14ac:dyDescent="0.3">
      <c r="U713197" s="25"/>
    </row>
    <row r="713219" spans="21:21" x14ac:dyDescent="0.3">
      <c r="U713219" s="25"/>
    </row>
    <row r="713241" spans="21:21" x14ac:dyDescent="0.3">
      <c r="U713241" s="25"/>
    </row>
    <row r="713263" spans="21:21" x14ac:dyDescent="0.3">
      <c r="U713263" s="25"/>
    </row>
    <row r="713285" spans="21:21" x14ac:dyDescent="0.3">
      <c r="U713285" s="25"/>
    </row>
    <row r="713307" spans="21:21" x14ac:dyDescent="0.3">
      <c r="U713307" s="25"/>
    </row>
    <row r="713329" spans="21:21" x14ac:dyDescent="0.3">
      <c r="U713329" s="25"/>
    </row>
    <row r="713351" spans="21:21" x14ac:dyDescent="0.3">
      <c r="U713351" s="25"/>
    </row>
    <row r="713373" spans="21:21" x14ac:dyDescent="0.3">
      <c r="U713373" s="25"/>
    </row>
    <row r="713395" spans="21:21" x14ac:dyDescent="0.3">
      <c r="U713395" s="25"/>
    </row>
    <row r="713417" spans="21:21" x14ac:dyDescent="0.3">
      <c r="U713417" s="25"/>
    </row>
    <row r="713439" spans="21:21" x14ac:dyDescent="0.3">
      <c r="U713439" s="25"/>
    </row>
    <row r="713461" spans="21:21" x14ac:dyDescent="0.3">
      <c r="U713461" s="25"/>
    </row>
    <row r="713483" spans="21:21" x14ac:dyDescent="0.3">
      <c r="U713483" s="25"/>
    </row>
    <row r="713505" spans="21:21" x14ac:dyDescent="0.3">
      <c r="U713505" s="25"/>
    </row>
    <row r="713527" spans="21:21" x14ac:dyDescent="0.3">
      <c r="U713527" s="25"/>
    </row>
    <row r="713549" spans="21:21" x14ac:dyDescent="0.3">
      <c r="U713549" s="25"/>
    </row>
    <row r="713571" spans="21:21" x14ac:dyDescent="0.3">
      <c r="U713571" s="25"/>
    </row>
    <row r="713593" spans="21:21" x14ac:dyDescent="0.3">
      <c r="U713593" s="25"/>
    </row>
    <row r="713615" spans="21:21" x14ac:dyDescent="0.3">
      <c r="U713615" s="25"/>
    </row>
    <row r="713637" spans="21:21" x14ac:dyDescent="0.3">
      <c r="U713637" s="25"/>
    </row>
    <row r="713659" spans="21:21" x14ac:dyDescent="0.3">
      <c r="U713659" s="25"/>
    </row>
    <row r="713681" spans="21:21" x14ac:dyDescent="0.3">
      <c r="U713681" s="25"/>
    </row>
    <row r="713703" spans="21:21" x14ac:dyDescent="0.3">
      <c r="U713703" s="25"/>
    </row>
    <row r="713725" spans="21:21" x14ac:dyDescent="0.3">
      <c r="U713725" s="25"/>
    </row>
    <row r="713747" spans="21:21" x14ac:dyDescent="0.3">
      <c r="U713747" s="25"/>
    </row>
    <row r="713769" spans="21:21" x14ac:dyDescent="0.3">
      <c r="U713769" s="25"/>
    </row>
    <row r="713791" spans="21:21" x14ac:dyDescent="0.3">
      <c r="U713791" s="25"/>
    </row>
    <row r="713813" spans="21:21" x14ac:dyDescent="0.3">
      <c r="U713813" s="25"/>
    </row>
    <row r="713835" spans="21:21" x14ac:dyDescent="0.3">
      <c r="U713835" s="25"/>
    </row>
    <row r="713857" spans="21:21" x14ac:dyDescent="0.3">
      <c r="U713857" s="25"/>
    </row>
    <row r="713879" spans="21:21" x14ac:dyDescent="0.3">
      <c r="U713879" s="25"/>
    </row>
    <row r="713901" spans="21:21" x14ac:dyDescent="0.3">
      <c r="U713901" s="25"/>
    </row>
    <row r="713923" spans="21:21" x14ac:dyDescent="0.3">
      <c r="U713923" s="25"/>
    </row>
    <row r="713945" spans="21:21" x14ac:dyDescent="0.3">
      <c r="U713945" s="25"/>
    </row>
    <row r="713967" spans="21:21" x14ac:dyDescent="0.3">
      <c r="U713967" s="25"/>
    </row>
    <row r="713989" spans="21:21" x14ac:dyDescent="0.3">
      <c r="U713989" s="25"/>
    </row>
    <row r="714011" spans="21:21" x14ac:dyDescent="0.3">
      <c r="U714011" s="25"/>
    </row>
    <row r="714033" spans="21:21" x14ac:dyDescent="0.3">
      <c r="U714033" s="25"/>
    </row>
    <row r="714055" spans="21:21" x14ac:dyDescent="0.3">
      <c r="U714055" s="25"/>
    </row>
    <row r="714077" spans="21:21" x14ac:dyDescent="0.3">
      <c r="U714077" s="25"/>
    </row>
    <row r="714099" spans="21:21" x14ac:dyDescent="0.3">
      <c r="U714099" s="25"/>
    </row>
    <row r="714121" spans="21:21" x14ac:dyDescent="0.3">
      <c r="U714121" s="25"/>
    </row>
    <row r="714143" spans="21:21" x14ac:dyDescent="0.3">
      <c r="U714143" s="25"/>
    </row>
    <row r="714165" spans="21:21" x14ac:dyDescent="0.3">
      <c r="U714165" s="25"/>
    </row>
    <row r="714187" spans="21:21" x14ac:dyDescent="0.3">
      <c r="U714187" s="25"/>
    </row>
    <row r="714209" spans="21:21" x14ac:dyDescent="0.3">
      <c r="U714209" s="25"/>
    </row>
    <row r="714231" spans="21:21" x14ac:dyDescent="0.3">
      <c r="U714231" s="25"/>
    </row>
    <row r="714253" spans="21:21" x14ac:dyDescent="0.3">
      <c r="U714253" s="25"/>
    </row>
    <row r="714275" spans="21:21" x14ac:dyDescent="0.3">
      <c r="U714275" s="25"/>
    </row>
    <row r="714297" spans="21:21" x14ac:dyDescent="0.3">
      <c r="U714297" s="25"/>
    </row>
    <row r="714319" spans="21:21" x14ac:dyDescent="0.3">
      <c r="U714319" s="25"/>
    </row>
    <row r="714341" spans="21:21" x14ac:dyDescent="0.3">
      <c r="U714341" s="25"/>
    </row>
    <row r="714363" spans="21:21" x14ac:dyDescent="0.3">
      <c r="U714363" s="25"/>
    </row>
    <row r="714385" spans="21:21" x14ac:dyDescent="0.3">
      <c r="U714385" s="25"/>
    </row>
    <row r="714407" spans="21:21" x14ac:dyDescent="0.3">
      <c r="U714407" s="25"/>
    </row>
    <row r="714429" spans="21:21" x14ac:dyDescent="0.3">
      <c r="U714429" s="25"/>
    </row>
    <row r="714451" spans="21:21" x14ac:dyDescent="0.3">
      <c r="U714451" s="25"/>
    </row>
    <row r="714473" spans="21:21" x14ac:dyDescent="0.3">
      <c r="U714473" s="25"/>
    </row>
    <row r="714495" spans="21:21" x14ac:dyDescent="0.3">
      <c r="U714495" s="25"/>
    </row>
    <row r="714517" spans="21:21" x14ac:dyDescent="0.3">
      <c r="U714517" s="25"/>
    </row>
    <row r="714539" spans="21:21" x14ac:dyDescent="0.3">
      <c r="U714539" s="25"/>
    </row>
    <row r="714561" spans="21:21" x14ac:dyDescent="0.3">
      <c r="U714561" s="25"/>
    </row>
    <row r="714583" spans="21:21" x14ac:dyDescent="0.3">
      <c r="U714583" s="25"/>
    </row>
    <row r="714605" spans="21:21" x14ac:dyDescent="0.3">
      <c r="U714605" s="25"/>
    </row>
    <row r="714627" spans="21:21" x14ac:dyDescent="0.3">
      <c r="U714627" s="25"/>
    </row>
    <row r="714649" spans="21:21" x14ac:dyDescent="0.3">
      <c r="U714649" s="25"/>
    </row>
    <row r="714671" spans="21:21" x14ac:dyDescent="0.3">
      <c r="U714671" s="25"/>
    </row>
    <row r="714693" spans="21:21" x14ac:dyDescent="0.3">
      <c r="U714693" s="25"/>
    </row>
    <row r="714715" spans="21:21" x14ac:dyDescent="0.3">
      <c r="U714715" s="25"/>
    </row>
    <row r="714737" spans="21:21" x14ac:dyDescent="0.3">
      <c r="U714737" s="25"/>
    </row>
    <row r="714759" spans="21:21" x14ac:dyDescent="0.3">
      <c r="U714759" s="25"/>
    </row>
    <row r="714781" spans="21:21" x14ac:dyDescent="0.3">
      <c r="U714781" s="25"/>
    </row>
    <row r="714803" spans="21:21" x14ac:dyDescent="0.3">
      <c r="U714803" s="25"/>
    </row>
    <row r="714825" spans="21:21" x14ac:dyDescent="0.3">
      <c r="U714825" s="25"/>
    </row>
    <row r="714847" spans="21:21" x14ac:dyDescent="0.3">
      <c r="U714847" s="25"/>
    </row>
    <row r="714869" spans="21:21" x14ac:dyDescent="0.3">
      <c r="U714869" s="25"/>
    </row>
    <row r="714891" spans="21:21" x14ac:dyDescent="0.3">
      <c r="U714891" s="25"/>
    </row>
    <row r="714913" spans="21:21" x14ac:dyDescent="0.3">
      <c r="U714913" s="25"/>
    </row>
    <row r="714935" spans="21:21" x14ac:dyDescent="0.3">
      <c r="U714935" s="25"/>
    </row>
    <row r="714957" spans="21:21" x14ac:dyDescent="0.3">
      <c r="U714957" s="25"/>
    </row>
    <row r="714979" spans="21:21" x14ac:dyDescent="0.3">
      <c r="U714979" s="25"/>
    </row>
    <row r="715001" spans="21:21" x14ac:dyDescent="0.3">
      <c r="U715001" s="25"/>
    </row>
    <row r="715023" spans="21:21" x14ac:dyDescent="0.3">
      <c r="U715023" s="25"/>
    </row>
    <row r="715045" spans="21:21" x14ac:dyDescent="0.3">
      <c r="U715045" s="25"/>
    </row>
    <row r="715067" spans="21:21" x14ac:dyDescent="0.3">
      <c r="U715067" s="25"/>
    </row>
    <row r="715089" spans="21:21" x14ac:dyDescent="0.3">
      <c r="U715089" s="25"/>
    </row>
    <row r="715111" spans="21:21" x14ac:dyDescent="0.3">
      <c r="U715111" s="25"/>
    </row>
    <row r="715133" spans="21:21" x14ac:dyDescent="0.3">
      <c r="U715133" s="25"/>
    </row>
    <row r="715155" spans="21:21" x14ac:dyDescent="0.3">
      <c r="U715155" s="25"/>
    </row>
    <row r="715177" spans="21:21" x14ac:dyDescent="0.3">
      <c r="U715177" s="25"/>
    </row>
    <row r="715199" spans="21:21" x14ac:dyDescent="0.3">
      <c r="U715199" s="25"/>
    </row>
    <row r="715221" spans="21:21" x14ac:dyDescent="0.3">
      <c r="U715221" s="25"/>
    </row>
    <row r="715243" spans="21:21" x14ac:dyDescent="0.3">
      <c r="U715243" s="25"/>
    </row>
    <row r="715265" spans="21:21" x14ac:dyDescent="0.3">
      <c r="U715265" s="25"/>
    </row>
    <row r="715287" spans="21:21" x14ac:dyDescent="0.3">
      <c r="U715287" s="25"/>
    </row>
    <row r="715309" spans="21:21" x14ac:dyDescent="0.3">
      <c r="U715309" s="25"/>
    </row>
    <row r="715331" spans="21:21" x14ac:dyDescent="0.3">
      <c r="U715331" s="25"/>
    </row>
    <row r="715353" spans="21:21" x14ac:dyDescent="0.3">
      <c r="U715353" s="25"/>
    </row>
    <row r="715375" spans="21:21" x14ac:dyDescent="0.3">
      <c r="U715375" s="25"/>
    </row>
    <row r="715397" spans="21:21" x14ac:dyDescent="0.3">
      <c r="U715397" s="25"/>
    </row>
    <row r="715419" spans="21:21" x14ac:dyDescent="0.3">
      <c r="U715419" s="25"/>
    </row>
    <row r="715441" spans="21:21" x14ac:dyDescent="0.3">
      <c r="U715441" s="25"/>
    </row>
    <row r="715463" spans="21:21" x14ac:dyDescent="0.3">
      <c r="U715463" s="25"/>
    </row>
    <row r="715485" spans="21:21" x14ac:dyDescent="0.3">
      <c r="U715485" s="25"/>
    </row>
    <row r="715507" spans="21:21" x14ac:dyDescent="0.3">
      <c r="U715507" s="25"/>
    </row>
    <row r="715529" spans="21:21" x14ac:dyDescent="0.3">
      <c r="U715529" s="25"/>
    </row>
    <row r="715551" spans="21:21" x14ac:dyDescent="0.3">
      <c r="U715551" s="25"/>
    </row>
    <row r="715573" spans="21:21" x14ac:dyDescent="0.3">
      <c r="U715573" s="25"/>
    </row>
    <row r="715595" spans="21:21" x14ac:dyDescent="0.3">
      <c r="U715595" s="25"/>
    </row>
    <row r="715617" spans="21:21" x14ac:dyDescent="0.3">
      <c r="U715617" s="25"/>
    </row>
    <row r="715639" spans="21:21" x14ac:dyDescent="0.3">
      <c r="U715639" s="25"/>
    </row>
    <row r="715661" spans="21:21" x14ac:dyDescent="0.3">
      <c r="U715661" s="25"/>
    </row>
    <row r="715683" spans="21:21" x14ac:dyDescent="0.3">
      <c r="U715683" s="25"/>
    </row>
    <row r="715705" spans="21:21" x14ac:dyDescent="0.3">
      <c r="U715705" s="25"/>
    </row>
    <row r="715727" spans="21:21" x14ac:dyDescent="0.3">
      <c r="U715727" s="25"/>
    </row>
    <row r="715749" spans="21:21" x14ac:dyDescent="0.3">
      <c r="U715749" s="25"/>
    </row>
    <row r="715771" spans="21:21" x14ac:dyDescent="0.3">
      <c r="U715771" s="25"/>
    </row>
    <row r="715793" spans="21:21" x14ac:dyDescent="0.3">
      <c r="U715793" s="25"/>
    </row>
    <row r="715815" spans="21:21" x14ac:dyDescent="0.3">
      <c r="U715815" s="25"/>
    </row>
    <row r="715837" spans="21:21" x14ac:dyDescent="0.3">
      <c r="U715837" s="25"/>
    </row>
    <row r="715859" spans="21:21" x14ac:dyDescent="0.3">
      <c r="U715859" s="25"/>
    </row>
    <row r="715881" spans="21:21" x14ac:dyDescent="0.3">
      <c r="U715881" s="25"/>
    </row>
    <row r="715903" spans="21:21" x14ac:dyDescent="0.3">
      <c r="U715903" s="25"/>
    </row>
    <row r="715925" spans="21:21" x14ac:dyDescent="0.3">
      <c r="U715925" s="25"/>
    </row>
    <row r="715947" spans="21:21" x14ac:dyDescent="0.3">
      <c r="U715947" s="25"/>
    </row>
    <row r="715969" spans="21:21" x14ac:dyDescent="0.3">
      <c r="U715969" s="25"/>
    </row>
    <row r="715991" spans="21:21" x14ac:dyDescent="0.3">
      <c r="U715991" s="25"/>
    </row>
    <row r="716013" spans="21:21" x14ac:dyDescent="0.3">
      <c r="U716013" s="25"/>
    </row>
    <row r="716035" spans="21:21" x14ac:dyDescent="0.3">
      <c r="U716035" s="25"/>
    </row>
    <row r="716057" spans="21:21" x14ac:dyDescent="0.3">
      <c r="U716057" s="25"/>
    </row>
    <row r="716079" spans="21:21" x14ac:dyDescent="0.3">
      <c r="U716079" s="25"/>
    </row>
    <row r="716101" spans="21:21" x14ac:dyDescent="0.3">
      <c r="U716101" s="25"/>
    </row>
    <row r="716123" spans="21:21" x14ac:dyDescent="0.3">
      <c r="U716123" s="25"/>
    </row>
    <row r="716145" spans="21:21" x14ac:dyDescent="0.3">
      <c r="U716145" s="25"/>
    </row>
    <row r="716167" spans="21:21" x14ac:dyDescent="0.3">
      <c r="U716167" s="25"/>
    </row>
    <row r="716189" spans="21:21" x14ac:dyDescent="0.3">
      <c r="U716189" s="25"/>
    </row>
    <row r="716211" spans="21:21" x14ac:dyDescent="0.3">
      <c r="U716211" s="25"/>
    </row>
    <row r="716233" spans="21:21" x14ac:dyDescent="0.3">
      <c r="U716233" s="25"/>
    </row>
    <row r="716255" spans="21:21" x14ac:dyDescent="0.3">
      <c r="U716255" s="25"/>
    </row>
    <row r="716277" spans="21:21" x14ac:dyDescent="0.3">
      <c r="U716277" s="25"/>
    </row>
    <row r="716299" spans="21:21" x14ac:dyDescent="0.3">
      <c r="U716299" s="25"/>
    </row>
    <row r="716321" spans="21:21" x14ac:dyDescent="0.3">
      <c r="U716321" s="25"/>
    </row>
    <row r="716343" spans="21:21" x14ac:dyDescent="0.3">
      <c r="U716343" s="25"/>
    </row>
    <row r="716365" spans="21:21" x14ac:dyDescent="0.3">
      <c r="U716365" s="25"/>
    </row>
    <row r="716387" spans="21:21" x14ac:dyDescent="0.3">
      <c r="U716387" s="25"/>
    </row>
    <row r="716409" spans="21:21" x14ac:dyDescent="0.3">
      <c r="U716409" s="25"/>
    </row>
    <row r="716431" spans="21:21" x14ac:dyDescent="0.3">
      <c r="U716431" s="25"/>
    </row>
    <row r="716453" spans="21:21" x14ac:dyDescent="0.3">
      <c r="U716453" s="25"/>
    </row>
    <row r="716475" spans="21:21" x14ac:dyDescent="0.3">
      <c r="U716475" s="25"/>
    </row>
    <row r="716497" spans="21:21" x14ac:dyDescent="0.3">
      <c r="U716497" s="25"/>
    </row>
    <row r="716519" spans="21:21" x14ac:dyDescent="0.3">
      <c r="U716519" s="25"/>
    </row>
    <row r="716541" spans="21:21" x14ac:dyDescent="0.3">
      <c r="U716541" s="25"/>
    </row>
    <row r="716563" spans="21:21" x14ac:dyDescent="0.3">
      <c r="U716563" s="25"/>
    </row>
    <row r="716585" spans="21:21" x14ac:dyDescent="0.3">
      <c r="U716585" s="25"/>
    </row>
    <row r="716607" spans="21:21" x14ac:dyDescent="0.3">
      <c r="U716607" s="25"/>
    </row>
    <row r="716629" spans="21:21" x14ac:dyDescent="0.3">
      <c r="U716629" s="25"/>
    </row>
    <row r="716651" spans="21:21" x14ac:dyDescent="0.3">
      <c r="U716651" s="25"/>
    </row>
    <row r="716673" spans="21:21" x14ac:dyDescent="0.3">
      <c r="U716673" s="25"/>
    </row>
    <row r="716695" spans="21:21" x14ac:dyDescent="0.3">
      <c r="U716695" s="25"/>
    </row>
    <row r="716717" spans="21:21" x14ac:dyDescent="0.3">
      <c r="U716717" s="25"/>
    </row>
    <row r="716739" spans="21:21" x14ac:dyDescent="0.3">
      <c r="U716739" s="25"/>
    </row>
    <row r="716761" spans="21:21" x14ac:dyDescent="0.3">
      <c r="U716761" s="25"/>
    </row>
    <row r="716783" spans="21:21" x14ac:dyDescent="0.3">
      <c r="U716783" s="25"/>
    </row>
    <row r="716805" spans="21:21" x14ac:dyDescent="0.3">
      <c r="U716805" s="25"/>
    </row>
    <row r="716827" spans="21:21" x14ac:dyDescent="0.3">
      <c r="U716827" s="25"/>
    </row>
    <row r="716849" spans="21:21" x14ac:dyDescent="0.3">
      <c r="U716849" s="25"/>
    </row>
    <row r="716871" spans="21:21" x14ac:dyDescent="0.3">
      <c r="U716871" s="25"/>
    </row>
    <row r="716893" spans="21:21" x14ac:dyDescent="0.3">
      <c r="U716893" s="25"/>
    </row>
    <row r="716915" spans="21:21" x14ac:dyDescent="0.3">
      <c r="U716915" s="25"/>
    </row>
    <row r="716937" spans="21:21" x14ac:dyDescent="0.3">
      <c r="U716937" s="25"/>
    </row>
    <row r="716959" spans="21:21" x14ac:dyDescent="0.3">
      <c r="U716959" s="25"/>
    </row>
    <row r="716981" spans="21:21" x14ac:dyDescent="0.3">
      <c r="U716981" s="25"/>
    </row>
    <row r="717003" spans="21:21" x14ac:dyDescent="0.3">
      <c r="U717003" s="25"/>
    </row>
    <row r="717025" spans="21:21" x14ac:dyDescent="0.3">
      <c r="U717025" s="25"/>
    </row>
    <row r="717047" spans="21:21" x14ac:dyDescent="0.3">
      <c r="U717047" s="25"/>
    </row>
    <row r="717069" spans="21:21" x14ac:dyDescent="0.3">
      <c r="U717069" s="25"/>
    </row>
    <row r="717091" spans="21:21" x14ac:dyDescent="0.3">
      <c r="U717091" s="25"/>
    </row>
    <row r="717113" spans="21:21" x14ac:dyDescent="0.3">
      <c r="U717113" s="25"/>
    </row>
    <row r="717135" spans="21:21" x14ac:dyDescent="0.3">
      <c r="U717135" s="25"/>
    </row>
    <row r="717157" spans="21:21" x14ac:dyDescent="0.3">
      <c r="U717157" s="25"/>
    </row>
    <row r="717179" spans="21:21" x14ac:dyDescent="0.3">
      <c r="U717179" s="25"/>
    </row>
    <row r="717201" spans="21:21" x14ac:dyDescent="0.3">
      <c r="U717201" s="25"/>
    </row>
    <row r="717223" spans="21:21" x14ac:dyDescent="0.3">
      <c r="U717223" s="25"/>
    </row>
    <row r="717245" spans="21:21" x14ac:dyDescent="0.3">
      <c r="U717245" s="25"/>
    </row>
    <row r="717267" spans="21:21" x14ac:dyDescent="0.3">
      <c r="U717267" s="25"/>
    </row>
    <row r="717289" spans="21:21" x14ac:dyDescent="0.3">
      <c r="U717289" s="25"/>
    </row>
    <row r="717311" spans="21:21" x14ac:dyDescent="0.3">
      <c r="U717311" s="25"/>
    </row>
    <row r="717333" spans="21:21" x14ac:dyDescent="0.3">
      <c r="U717333" s="25"/>
    </row>
    <row r="717355" spans="21:21" x14ac:dyDescent="0.3">
      <c r="U717355" s="25"/>
    </row>
    <row r="717377" spans="21:21" x14ac:dyDescent="0.3">
      <c r="U717377" s="25"/>
    </row>
    <row r="717399" spans="21:21" x14ac:dyDescent="0.3">
      <c r="U717399" s="25"/>
    </row>
    <row r="717421" spans="21:21" x14ac:dyDescent="0.3">
      <c r="U717421" s="25"/>
    </row>
    <row r="717443" spans="21:21" x14ac:dyDescent="0.3">
      <c r="U717443" s="25"/>
    </row>
    <row r="717465" spans="21:21" x14ac:dyDescent="0.3">
      <c r="U717465" s="25"/>
    </row>
    <row r="717487" spans="21:21" x14ac:dyDescent="0.3">
      <c r="U717487" s="25"/>
    </row>
    <row r="717509" spans="21:21" x14ac:dyDescent="0.3">
      <c r="U717509" s="25"/>
    </row>
    <row r="717531" spans="21:21" x14ac:dyDescent="0.3">
      <c r="U717531" s="25"/>
    </row>
    <row r="717553" spans="21:21" x14ac:dyDescent="0.3">
      <c r="U717553" s="25"/>
    </row>
    <row r="717575" spans="21:21" x14ac:dyDescent="0.3">
      <c r="U717575" s="25"/>
    </row>
    <row r="717597" spans="21:21" x14ac:dyDescent="0.3">
      <c r="U717597" s="25"/>
    </row>
    <row r="717619" spans="21:21" x14ac:dyDescent="0.3">
      <c r="U717619" s="25"/>
    </row>
    <row r="717641" spans="21:21" x14ac:dyDescent="0.3">
      <c r="U717641" s="25"/>
    </row>
    <row r="717663" spans="21:21" x14ac:dyDescent="0.3">
      <c r="U717663" s="25"/>
    </row>
    <row r="717685" spans="21:21" x14ac:dyDescent="0.3">
      <c r="U717685" s="25"/>
    </row>
    <row r="717707" spans="21:21" x14ac:dyDescent="0.3">
      <c r="U717707" s="25"/>
    </row>
    <row r="717729" spans="21:21" x14ac:dyDescent="0.3">
      <c r="U717729" s="25"/>
    </row>
    <row r="717751" spans="21:21" x14ac:dyDescent="0.3">
      <c r="U717751" s="25"/>
    </row>
    <row r="717773" spans="21:21" x14ac:dyDescent="0.3">
      <c r="U717773" s="25"/>
    </row>
    <row r="717795" spans="21:21" x14ac:dyDescent="0.3">
      <c r="U717795" s="25"/>
    </row>
    <row r="717817" spans="21:21" x14ac:dyDescent="0.3">
      <c r="U717817" s="25"/>
    </row>
    <row r="717839" spans="21:21" x14ac:dyDescent="0.3">
      <c r="U717839" s="25"/>
    </row>
    <row r="717861" spans="21:21" x14ac:dyDescent="0.3">
      <c r="U717861" s="25"/>
    </row>
    <row r="717883" spans="21:21" x14ac:dyDescent="0.3">
      <c r="U717883" s="25"/>
    </row>
    <row r="717905" spans="21:21" x14ac:dyDescent="0.3">
      <c r="U717905" s="25"/>
    </row>
    <row r="717927" spans="21:21" x14ac:dyDescent="0.3">
      <c r="U717927" s="25"/>
    </row>
    <row r="717949" spans="21:21" x14ac:dyDescent="0.3">
      <c r="U717949" s="25"/>
    </row>
    <row r="717971" spans="21:21" x14ac:dyDescent="0.3">
      <c r="U717971" s="25"/>
    </row>
    <row r="717993" spans="21:21" x14ac:dyDescent="0.3">
      <c r="U717993" s="25"/>
    </row>
    <row r="718015" spans="21:21" x14ac:dyDescent="0.3">
      <c r="U718015" s="25"/>
    </row>
    <row r="718037" spans="21:21" x14ac:dyDescent="0.3">
      <c r="U718037" s="25"/>
    </row>
    <row r="718059" spans="21:21" x14ac:dyDescent="0.3">
      <c r="U718059" s="25"/>
    </row>
    <row r="718081" spans="21:21" x14ac:dyDescent="0.3">
      <c r="U718081" s="25"/>
    </row>
    <row r="718103" spans="21:21" x14ac:dyDescent="0.3">
      <c r="U718103" s="25"/>
    </row>
    <row r="718125" spans="21:21" x14ac:dyDescent="0.3">
      <c r="U718125" s="25"/>
    </row>
    <row r="718147" spans="21:21" x14ac:dyDescent="0.3">
      <c r="U718147" s="25"/>
    </row>
    <row r="718169" spans="21:21" x14ac:dyDescent="0.3">
      <c r="U718169" s="25"/>
    </row>
    <row r="718191" spans="21:21" x14ac:dyDescent="0.3">
      <c r="U718191" s="25"/>
    </row>
    <row r="718213" spans="21:21" x14ac:dyDescent="0.3">
      <c r="U718213" s="25"/>
    </row>
    <row r="718235" spans="21:21" x14ac:dyDescent="0.3">
      <c r="U718235" s="25"/>
    </row>
    <row r="718257" spans="21:21" x14ac:dyDescent="0.3">
      <c r="U718257" s="25"/>
    </row>
    <row r="718279" spans="21:21" x14ac:dyDescent="0.3">
      <c r="U718279" s="25"/>
    </row>
    <row r="718301" spans="21:21" x14ac:dyDescent="0.3">
      <c r="U718301" s="25"/>
    </row>
    <row r="718323" spans="21:21" x14ac:dyDescent="0.3">
      <c r="U718323" s="25"/>
    </row>
    <row r="718345" spans="21:21" x14ac:dyDescent="0.3">
      <c r="U718345" s="25"/>
    </row>
    <row r="718367" spans="21:21" x14ac:dyDescent="0.3">
      <c r="U718367" s="25"/>
    </row>
    <row r="718389" spans="21:21" x14ac:dyDescent="0.3">
      <c r="U718389" s="25"/>
    </row>
    <row r="718411" spans="21:21" x14ac:dyDescent="0.3">
      <c r="U718411" s="25"/>
    </row>
    <row r="718433" spans="21:21" x14ac:dyDescent="0.3">
      <c r="U718433" s="25"/>
    </row>
    <row r="718455" spans="21:21" x14ac:dyDescent="0.3">
      <c r="U718455" s="25"/>
    </row>
    <row r="718477" spans="21:21" x14ac:dyDescent="0.3">
      <c r="U718477" s="25"/>
    </row>
    <row r="718499" spans="21:21" x14ac:dyDescent="0.3">
      <c r="U718499" s="25"/>
    </row>
    <row r="718521" spans="21:21" x14ac:dyDescent="0.3">
      <c r="U718521" s="25"/>
    </row>
    <row r="718543" spans="21:21" x14ac:dyDescent="0.3">
      <c r="U718543" s="25"/>
    </row>
    <row r="718565" spans="21:21" x14ac:dyDescent="0.3">
      <c r="U718565" s="25"/>
    </row>
    <row r="718587" spans="21:21" x14ac:dyDescent="0.3">
      <c r="U718587" s="25"/>
    </row>
    <row r="718609" spans="21:21" x14ac:dyDescent="0.3">
      <c r="U718609" s="25"/>
    </row>
    <row r="718631" spans="21:21" x14ac:dyDescent="0.3">
      <c r="U718631" s="25"/>
    </row>
    <row r="718653" spans="21:21" x14ac:dyDescent="0.3">
      <c r="U718653" s="25"/>
    </row>
    <row r="718675" spans="21:21" x14ac:dyDescent="0.3">
      <c r="U718675" s="25"/>
    </row>
    <row r="718697" spans="21:21" x14ac:dyDescent="0.3">
      <c r="U718697" s="25"/>
    </row>
    <row r="718719" spans="21:21" x14ac:dyDescent="0.3">
      <c r="U718719" s="25"/>
    </row>
    <row r="718741" spans="21:21" x14ac:dyDescent="0.3">
      <c r="U718741" s="25"/>
    </row>
    <row r="718763" spans="21:21" x14ac:dyDescent="0.3">
      <c r="U718763" s="25"/>
    </row>
    <row r="718785" spans="21:21" x14ac:dyDescent="0.3">
      <c r="U718785" s="25"/>
    </row>
    <row r="718807" spans="21:21" x14ac:dyDescent="0.3">
      <c r="U718807" s="25"/>
    </row>
    <row r="718829" spans="21:21" x14ac:dyDescent="0.3">
      <c r="U718829" s="25"/>
    </row>
    <row r="718851" spans="21:21" x14ac:dyDescent="0.3">
      <c r="U718851" s="25"/>
    </row>
    <row r="718873" spans="21:21" x14ac:dyDescent="0.3">
      <c r="U718873" s="25"/>
    </row>
    <row r="718895" spans="21:21" x14ac:dyDescent="0.3">
      <c r="U718895" s="25"/>
    </row>
    <row r="718917" spans="21:21" x14ac:dyDescent="0.3">
      <c r="U718917" s="25"/>
    </row>
    <row r="718939" spans="21:21" x14ac:dyDescent="0.3">
      <c r="U718939" s="25"/>
    </row>
    <row r="718961" spans="21:21" x14ac:dyDescent="0.3">
      <c r="U718961" s="25"/>
    </row>
    <row r="718983" spans="21:21" x14ac:dyDescent="0.3">
      <c r="U718983" s="25"/>
    </row>
    <row r="719005" spans="21:21" x14ac:dyDescent="0.3">
      <c r="U719005" s="25"/>
    </row>
    <row r="719027" spans="21:21" x14ac:dyDescent="0.3">
      <c r="U719027" s="25"/>
    </row>
    <row r="719049" spans="21:21" x14ac:dyDescent="0.3">
      <c r="U719049" s="25"/>
    </row>
    <row r="719071" spans="21:21" x14ac:dyDescent="0.3">
      <c r="U719071" s="25"/>
    </row>
    <row r="719093" spans="21:21" x14ac:dyDescent="0.3">
      <c r="U719093" s="25"/>
    </row>
    <row r="719115" spans="21:21" x14ac:dyDescent="0.3">
      <c r="U719115" s="25"/>
    </row>
    <row r="719137" spans="21:21" x14ac:dyDescent="0.3">
      <c r="U719137" s="25"/>
    </row>
    <row r="719159" spans="21:21" x14ac:dyDescent="0.3">
      <c r="U719159" s="25"/>
    </row>
    <row r="719181" spans="21:21" x14ac:dyDescent="0.3">
      <c r="U719181" s="25"/>
    </row>
    <row r="719203" spans="21:21" x14ac:dyDescent="0.3">
      <c r="U719203" s="25"/>
    </row>
    <row r="719225" spans="21:21" x14ac:dyDescent="0.3">
      <c r="U719225" s="25"/>
    </row>
    <row r="719247" spans="21:21" x14ac:dyDescent="0.3">
      <c r="U719247" s="25"/>
    </row>
    <row r="719269" spans="21:21" x14ac:dyDescent="0.3">
      <c r="U719269" s="25"/>
    </row>
    <row r="719291" spans="21:21" x14ac:dyDescent="0.3">
      <c r="U719291" s="25"/>
    </row>
    <row r="719313" spans="21:21" x14ac:dyDescent="0.3">
      <c r="U719313" s="25"/>
    </row>
    <row r="719335" spans="21:21" x14ac:dyDescent="0.3">
      <c r="U719335" s="25"/>
    </row>
    <row r="719357" spans="21:21" x14ac:dyDescent="0.3">
      <c r="U719357" s="25"/>
    </row>
    <row r="719379" spans="21:21" x14ac:dyDescent="0.3">
      <c r="U719379" s="25"/>
    </row>
    <row r="719401" spans="21:21" x14ac:dyDescent="0.3">
      <c r="U719401" s="25"/>
    </row>
    <row r="719423" spans="21:21" x14ac:dyDescent="0.3">
      <c r="U719423" s="25"/>
    </row>
    <row r="719445" spans="21:21" x14ac:dyDescent="0.3">
      <c r="U719445" s="25"/>
    </row>
    <row r="719467" spans="21:21" x14ac:dyDescent="0.3">
      <c r="U719467" s="25"/>
    </row>
    <row r="719489" spans="21:21" x14ac:dyDescent="0.3">
      <c r="U719489" s="25"/>
    </row>
    <row r="719511" spans="21:21" x14ac:dyDescent="0.3">
      <c r="U719511" s="25"/>
    </row>
    <row r="719533" spans="21:21" x14ac:dyDescent="0.3">
      <c r="U719533" s="25"/>
    </row>
    <row r="719555" spans="21:21" x14ac:dyDescent="0.3">
      <c r="U719555" s="25"/>
    </row>
    <row r="719577" spans="21:21" x14ac:dyDescent="0.3">
      <c r="U719577" s="25"/>
    </row>
    <row r="719599" spans="21:21" x14ac:dyDescent="0.3">
      <c r="U719599" s="25"/>
    </row>
    <row r="719621" spans="21:21" x14ac:dyDescent="0.3">
      <c r="U719621" s="25"/>
    </row>
    <row r="719643" spans="21:21" x14ac:dyDescent="0.3">
      <c r="U719643" s="25"/>
    </row>
    <row r="719665" spans="21:21" x14ac:dyDescent="0.3">
      <c r="U719665" s="25"/>
    </row>
    <row r="719687" spans="21:21" x14ac:dyDescent="0.3">
      <c r="U719687" s="25"/>
    </row>
    <row r="719709" spans="21:21" x14ac:dyDescent="0.3">
      <c r="U719709" s="25"/>
    </row>
    <row r="719731" spans="21:21" x14ac:dyDescent="0.3">
      <c r="U719731" s="25"/>
    </row>
    <row r="719753" spans="21:21" x14ac:dyDescent="0.3">
      <c r="U719753" s="25"/>
    </row>
    <row r="719775" spans="21:21" x14ac:dyDescent="0.3">
      <c r="U719775" s="25"/>
    </row>
    <row r="719797" spans="21:21" x14ac:dyDescent="0.3">
      <c r="U719797" s="25"/>
    </row>
    <row r="719819" spans="21:21" x14ac:dyDescent="0.3">
      <c r="U719819" s="25"/>
    </row>
    <row r="719841" spans="21:21" x14ac:dyDescent="0.3">
      <c r="U719841" s="25"/>
    </row>
    <row r="719863" spans="21:21" x14ac:dyDescent="0.3">
      <c r="U719863" s="25"/>
    </row>
    <row r="719885" spans="21:21" x14ac:dyDescent="0.3">
      <c r="U719885" s="25"/>
    </row>
    <row r="719907" spans="21:21" x14ac:dyDescent="0.3">
      <c r="U719907" s="25"/>
    </row>
    <row r="719929" spans="21:21" x14ac:dyDescent="0.3">
      <c r="U719929" s="25"/>
    </row>
    <row r="719951" spans="21:21" x14ac:dyDescent="0.3">
      <c r="U719951" s="25"/>
    </row>
    <row r="719973" spans="21:21" x14ac:dyDescent="0.3">
      <c r="U719973" s="25"/>
    </row>
    <row r="719995" spans="21:21" x14ac:dyDescent="0.3">
      <c r="U719995" s="25"/>
    </row>
    <row r="720017" spans="21:21" x14ac:dyDescent="0.3">
      <c r="U720017" s="25"/>
    </row>
    <row r="720039" spans="21:21" x14ac:dyDescent="0.3">
      <c r="U720039" s="25"/>
    </row>
    <row r="720061" spans="21:21" x14ac:dyDescent="0.3">
      <c r="U720061" s="25"/>
    </row>
    <row r="720083" spans="21:21" x14ac:dyDescent="0.3">
      <c r="U720083" s="25"/>
    </row>
    <row r="720105" spans="21:21" x14ac:dyDescent="0.3">
      <c r="U720105" s="25"/>
    </row>
    <row r="720127" spans="21:21" x14ac:dyDescent="0.3">
      <c r="U720127" s="25"/>
    </row>
    <row r="720149" spans="21:21" x14ac:dyDescent="0.3">
      <c r="U720149" s="25"/>
    </row>
    <row r="720171" spans="21:21" x14ac:dyDescent="0.3">
      <c r="U720171" s="25"/>
    </row>
    <row r="720193" spans="21:21" x14ac:dyDescent="0.3">
      <c r="U720193" s="25"/>
    </row>
    <row r="720215" spans="21:21" x14ac:dyDescent="0.3">
      <c r="U720215" s="25"/>
    </row>
    <row r="720237" spans="21:21" x14ac:dyDescent="0.3">
      <c r="U720237" s="25"/>
    </row>
    <row r="720259" spans="21:21" x14ac:dyDescent="0.3">
      <c r="U720259" s="25"/>
    </row>
    <row r="720281" spans="21:21" x14ac:dyDescent="0.3">
      <c r="U720281" s="25"/>
    </row>
    <row r="720303" spans="21:21" x14ac:dyDescent="0.3">
      <c r="U720303" s="25"/>
    </row>
    <row r="720325" spans="21:21" x14ac:dyDescent="0.3">
      <c r="U720325" s="25"/>
    </row>
    <row r="720347" spans="21:21" x14ac:dyDescent="0.3">
      <c r="U720347" s="25"/>
    </row>
    <row r="720369" spans="21:21" x14ac:dyDescent="0.3">
      <c r="U720369" s="25"/>
    </row>
    <row r="720391" spans="21:21" x14ac:dyDescent="0.3">
      <c r="U720391" s="25"/>
    </row>
    <row r="720413" spans="21:21" x14ac:dyDescent="0.3">
      <c r="U720413" s="25"/>
    </row>
    <row r="720435" spans="21:21" x14ac:dyDescent="0.3">
      <c r="U720435" s="25"/>
    </row>
    <row r="720457" spans="21:21" x14ac:dyDescent="0.3">
      <c r="U720457" s="25"/>
    </row>
    <row r="720479" spans="21:21" x14ac:dyDescent="0.3">
      <c r="U720479" s="25"/>
    </row>
    <row r="720501" spans="21:21" x14ac:dyDescent="0.3">
      <c r="U720501" s="25"/>
    </row>
    <row r="720523" spans="21:21" x14ac:dyDescent="0.3">
      <c r="U720523" s="25"/>
    </row>
    <row r="720545" spans="21:21" x14ac:dyDescent="0.3">
      <c r="U720545" s="25"/>
    </row>
    <row r="720567" spans="21:21" x14ac:dyDescent="0.3">
      <c r="U720567" s="25"/>
    </row>
    <row r="720589" spans="21:21" x14ac:dyDescent="0.3">
      <c r="U720589" s="25"/>
    </row>
    <row r="720611" spans="21:21" x14ac:dyDescent="0.3">
      <c r="U720611" s="25"/>
    </row>
    <row r="720633" spans="21:21" x14ac:dyDescent="0.3">
      <c r="U720633" s="25"/>
    </row>
    <row r="720655" spans="21:21" x14ac:dyDescent="0.3">
      <c r="U720655" s="25"/>
    </row>
    <row r="720677" spans="21:21" x14ac:dyDescent="0.3">
      <c r="U720677" s="25"/>
    </row>
    <row r="720699" spans="21:21" x14ac:dyDescent="0.3">
      <c r="U720699" s="25"/>
    </row>
    <row r="720721" spans="21:21" x14ac:dyDescent="0.3">
      <c r="U720721" s="25"/>
    </row>
    <row r="720743" spans="21:21" x14ac:dyDescent="0.3">
      <c r="U720743" s="25"/>
    </row>
    <row r="720765" spans="21:21" x14ac:dyDescent="0.3">
      <c r="U720765" s="25"/>
    </row>
    <row r="720787" spans="21:21" x14ac:dyDescent="0.3">
      <c r="U720787" s="25"/>
    </row>
    <row r="720809" spans="21:21" x14ac:dyDescent="0.3">
      <c r="U720809" s="25"/>
    </row>
    <row r="720831" spans="21:21" x14ac:dyDescent="0.3">
      <c r="U720831" s="25"/>
    </row>
    <row r="720853" spans="21:21" x14ac:dyDescent="0.3">
      <c r="U720853" s="25"/>
    </row>
    <row r="720875" spans="21:21" x14ac:dyDescent="0.3">
      <c r="U720875" s="25"/>
    </row>
    <row r="720897" spans="21:21" x14ac:dyDescent="0.3">
      <c r="U720897" s="25"/>
    </row>
    <row r="720919" spans="21:21" x14ac:dyDescent="0.3">
      <c r="U720919" s="25"/>
    </row>
    <row r="720941" spans="21:21" x14ac:dyDescent="0.3">
      <c r="U720941" s="25"/>
    </row>
    <row r="720963" spans="21:21" x14ac:dyDescent="0.3">
      <c r="U720963" s="25"/>
    </row>
    <row r="720985" spans="21:21" x14ac:dyDescent="0.3">
      <c r="U720985" s="25"/>
    </row>
    <row r="721007" spans="21:21" x14ac:dyDescent="0.3">
      <c r="U721007" s="25"/>
    </row>
    <row r="721029" spans="21:21" x14ac:dyDescent="0.3">
      <c r="U721029" s="25"/>
    </row>
    <row r="721051" spans="21:21" x14ac:dyDescent="0.3">
      <c r="U721051" s="25"/>
    </row>
    <row r="721073" spans="21:21" x14ac:dyDescent="0.3">
      <c r="U721073" s="25"/>
    </row>
    <row r="721095" spans="21:21" x14ac:dyDescent="0.3">
      <c r="U721095" s="25"/>
    </row>
    <row r="721117" spans="21:21" x14ac:dyDescent="0.3">
      <c r="U721117" s="25"/>
    </row>
    <row r="721139" spans="21:21" x14ac:dyDescent="0.3">
      <c r="U721139" s="25"/>
    </row>
    <row r="721161" spans="21:21" x14ac:dyDescent="0.3">
      <c r="U721161" s="25"/>
    </row>
    <row r="721183" spans="21:21" x14ac:dyDescent="0.3">
      <c r="U721183" s="25"/>
    </row>
    <row r="721205" spans="21:21" x14ac:dyDescent="0.3">
      <c r="U721205" s="25"/>
    </row>
    <row r="721227" spans="21:21" x14ac:dyDescent="0.3">
      <c r="U721227" s="25"/>
    </row>
    <row r="721249" spans="21:21" x14ac:dyDescent="0.3">
      <c r="U721249" s="25"/>
    </row>
    <row r="721271" spans="21:21" x14ac:dyDescent="0.3">
      <c r="U721271" s="25"/>
    </row>
    <row r="721293" spans="21:21" x14ac:dyDescent="0.3">
      <c r="U721293" s="25"/>
    </row>
    <row r="721315" spans="21:21" x14ac:dyDescent="0.3">
      <c r="U721315" s="25"/>
    </row>
    <row r="721337" spans="21:21" x14ac:dyDescent="0.3">
      <c r="U721337" s="25"/>
    </row>
    <row r="721359" spans="21:21" x14ac:dyDescent="0.3">
      <c r="U721359" s="25"/>
    </row>
    <row r="721381" spans="21:21" x14ac:dyDescent="0.3">
      <c r="U721381" s="25"/>
    </row>
    <row r="721403" spans="21:21" x14ac:dyDescent="0.3">
      <c r="U721403" s="25"/>
    </row>
    <row r="721425" spans="21:21" x14ac:dyDescent="0.3">
      <c r="U721425" s="25"/>
    </row>
    <row r="721447" spans="21:21" x14ac:dyDescent="0.3">
      <c r="U721447" s="25"/>
    </row>
    <row r="721469" spans="21:21" x14ac:dyDescent="0.3">
      <c r="U721469" s="25"/>
    </row>
    <row r="721491" spans="21:21" x14ac:dyDescent="0.3">
      <c r="U721491" s="25"/>
    </row>
    <row r="721513" spans="21:21" x14ac:dyDescent="0.3">
      <c r="U721513" s="25"/>
    </row>
    <row r="721535" spans="21:21" x14ac:dyDescent="0.3">
      <c r="U721535" s="25"/>
    </row>
    <row r="721557" spans="21:21" x14ac:dyDescent="0.3">
      <c r="U721557" s="25"/>
    </row>
    <row r="721579" spans="21:21" x14ac:dyDescent="0.3">
      <c r="U721579" s="25"/>
    </row>
    <row r="721601" spans="21:21" x14ac:dyDescent="0.3">
      <c r="U721601" s="25"/>
    </row>
    <row r="721623" spans="21:21" x14ac:dyDescent="0.3">
      <c r="U721623" s="25"/>
    </row>
    <row r="721645" spans="21:21" x14ac:dyDescent="0.3">
      <c r="U721645" s="25"/>
    </row>
    <row r="721667" spans="21:21" x14ac:dyDescent="0.3">
      <c r="U721667" s="25"/>
    </row>
    <row r="721689" spans="21:21" x14ac:dyDescent="0.3">
      <c r="U721689" s="25"/>
    </row>
    <row r="721711" spans="21:21" x14ac:dyDescent="0.3">
      <c r="U721711" s="25"/>
    </row>
    <row r="721733" spans="21:21" x14ac:dyDescent="0.3">
      <c r="U721733" s="25"/>
    </row>
    <row r="721755" spans="21:21" x14ac:dyDescent="0.3">
      <c r="U721755" s="25"/>
    </row>
    <row r="721777" spans="21:21" x14ac:dyDescent="0.3">
      <c r="U721777" s="25"/>
    </row>
    <row r="721799" spans="21:21" x14ac:dyDescent="0.3">
      <c r="U721799" s="25"/>
    </row>
    <row r="721821" spans="21:21" x14ac:dyDescent="0.3">
      <c r="U721821" s="25"/>
    </row>
    <row r="721843" spans="21:21" x14ac:dyDescent="0.3">
      <c r="U721843" s="25"/>
    </row>
    <row r="721865" spans="21:21" x14ac:dyDescent="0.3">
      <c r="U721865" s="25"/>
    </row>
    <row r="721887" spans="21:21" x14ac:dyDescent="0.3">
      <c r="U721887" s="25"/>
    </row>
    <row r="721909" spans="21:21" x14ac:dyDescent="0.3">
      <c r="U721909" s="25"/>
    </row>
    <row r="721931" spans="21:21" x14ac:dyDescent="0.3">
      <c r="U721931" s="25"/>
    </row>
    <row r="721953" spans="21:21" x14ac:dyDescent="0.3">
      <c r="U721953" s="25"/>
    </row>
    <row r="721975" spans="21:21" x14ac:dyDescent="0.3">
      <c r="U721975" s="25"/>
    </row>
    <row r="721997" spans="21:21" x14ac:dyDescent="0.3">
      <c r="U721997" s="25"/>
    </row>
    <row r="722019" spans="21:21" x14ac:dyDescent="0.3">
      <c r="U722019" s="25"/>
    </row>
    <row r="722041" spans="21:21" x14ac:dyDescent="0.3">
      <c r="U722041" s="25"/>
    </row>
    <row r="722063" spans="21:21" x14ac:dyDescent="0.3">
      <c r="U722063" s="25"/>
    </row>
    <row r="722085" spans="21:21" x14ac:dyDescent="0.3">
      <c r="U722085" s="25"/>
    </row>
    <row r="722107" spans="21:21" x14ac:dyDescent="0.3">
      <c r="U722107" s="25"/>
    </row>
    <row r="722129" spans="21:21" x14ac:dyDescent="0.3">
      <c r="U722129" s="25"/>
    </row>
    <row r="722151" spans="21:21" x14ac:dyDescent="0.3">
      <c r="U722151" s="25"/>
    </row>
    <row r="722173" spans="21:21" x14ac:dyDescent="0.3">
      <c r="U722173" s="25"/>
    </row>
    <row r="722195" spans="21:21" x14ac:dyDescent="0.3">
      <c r="U722195" s="25"/>
    </row>
    <row r="722217" spans="21:21" x14ac:dyDescent="0.3">
      <c r="U722217" s="25"/>
    </row>
    <row r="722239" spans="21:21" x14ac:dyDescent="0.3">
      <c r="U722239" s="25"/>
    </row>
    <row r="722261" spans="21:21" x14ac:dyDescent="0.3">
      <c r="U722261" s="25"/>
    </row>
    <row r="722283" spans="21:21" x14ac:dyDescent="0.3">
      <c r="U722283" s="25"/>
    </row>
    <row r="722305" spans="21:21" x14ac:dyDescent="0.3">
      <c r="U722305" s="25"/>
    </row>
    <row r="722327" spans="21:21" x14ac:dyDescent="0.3">
      <c r="U722327" s="25"/>
    </row>
    <row r="722349" spans="21:21" x14ac:dyDescent="0.3">
      <c r="U722349" s="25"/>
    </row>
    <row r="722371" spans="21:21" x14ac:dyDescent="0.3">
      <c r="U722371" s="25"/>
    </row>
    <row r="722393" spans="21:21" x14ac:dyDescent="0.3">
      <c r="U722393" s="25"/>
    </row>
    <row r="722415" spans="21:21" x14ac:dyDescent="0.3">
      <c r="U722415" s="25"/>
    </row>
    <row r="722437" spans="21:21" x14ac:dyDescent="0.3">
      <c r="U722437" s="25"/>
    </row>
    <row r="722459" spans="21:21" x14ac:dyDescent="0.3">
      <c r="U722459" s="25"/>
    </row>
    <row r="722481" spans="21:21" x14ac:dyDescent="0.3">
      <c r="U722481" s="25"/>
    </row>
    <row r="722503" spans="21:21" x14ac:dyDescent="0.3">
      <c r="U722503" s="25"/>
    </row>
    <row r="722525" spans="21:21" x14ac:dyDescent="0.3">
      <c r="U722525" s="25"/>
    </row>
    <row r="722547" spans="21:21" x14ac:dyDescent="0.3">
      <c r="U722547" s="25"/>
    </row>
    <row r="722569" spans="21:21" x14ac:dyDescent="0.3">
      <c r="U722569" s="25"/>
    </row>
    <row r="722591" spans="21:21" x14ac:dyDescent="0.3">
      <c r="U722591" s="25"/>
    </row>
    <row r="722613" spans="21:21" x14ac:dyDescent="0.3">
      <c r="U722613" s="25"/>
    </row>
    <row r="722635" spans="21:21" x14ac:dyDescent="0.3">
      <c r="U722635" s="25"/>
    </row>
    <row r="722657" spans="21:21" x14ac:dyDescent="0.3">
      <c r="U722657" s="25"/>
    </row>
    <row r="722679" spans="21:21" x14ac:dyDescent="0.3">
      <c r="U722679" s="25"/>
    </row>
    <row r="722701" spans="21:21" x14ac:dyDescent="0.3">
      <c r="U722701" s="25"/>
    </row>
    <row r="722723" spans="21:21" x14ac:dyDescent="0.3">
      <c r="U722723" s="25"/>
    </row>
    <row r="722745" spans="21:21" x14ac:dyDescent="0.3">
      <c r="U722745" s="25"/>
    </row>
    <row r="722767" spans="21:21" x14ac:dyDescent="0.3">
      <c r="U722767" s="25"/>
    </row>
    <row r="722789" spans="21:21" x14ac:dyDescent="0.3">
      <c r="U722789" s="25"/>
    </row>
    <row r="722811" spans="21:21" x14ac:dyDescent="0.3">
      <c r="U722811" s="25"/>
    </row>
    <row r="722833" spans="21:21" x14ac:dyDescent="0.3">
      <c r="U722833" s="25"/>
    </row>
    <row r="722855" spans="21:21" x14ac:dyDescent="0.3">
      <c r="U722855" s="25"/>
    </row>
    <row r="722877" spans="21:21" x14ac:dyDescent="0.3">
      <c r="U722877" s="25"/>
    </row>
    <row r="722899" spans="21:21" x14ac:dyDescent="0.3">
      <c r="U722899" s="25"/>
    </row>
    <row r="722921" spans="21:21" x14ac:dyDescent="0.3">
      <c r="U722921" s="25"/>
    </row>
    <row r="722943" spans="21:21" x14ac:dyDescent="0.3">
      <c r="U722943" s="25"/>
    </row>
    <row r="722965" spans="21:21" x14ac:dyDescent="0.3">
      <c r="U722965" s="25"/>
    </row>
    <row r="722987" spans="21:21" x14ac:dyDescent="0.3">
      <c r="U722987" s="25"/>
    </row>
    <row r="723009" spans="21:21" x14ac:dyDescent="0.3">
      <c r="U723009" s="25"/>
    </row>
    <row r="723031" spans="21:21" x14ac:dyDescent="0.3">
      <c r="U723031" s="25"/>
    </row>
    <row r="723053" spans="21:21" x14ac:dyDescent="0.3">
      <c r="U723053" s="25"/>
    </row>
    <row r="723075" spans="21:21" x14ac:dyDescent="0.3">
      <c r="U723075" s="25"/>
    </row>
    <row r="723097" spans="21:21" x14ac:dyDescent="0.3">
      <c r="U723097" s="25"/>
    </row>
    <row r="723119" spans="21:21" x14ac:dyDescent="0.3">
      <c r="U723119" s="25"/>
    </row>
    <row r="723141" spans="21:21" x14ac:dyDescent="0.3">
      <c r="U723141" s="25"/>
    </row>
    <row r="723163" spans="21:21" x14ac:dyDescent="0.3">
      <c r="U723163" s="25"/>
    </row>
    <row r="723185" spans="21:21" x14ac:dyDescent="0.3">
      <c r="U723185" s="25"/>
    </row>
    <row r="723207" spans="21:21" x14ac:dyDescent="0.3">
      <c r="U723207" s="25"/>
    </row>
    <row r="723229" spans="21:21" x14ac:dyDescent="0.3">
      <c r="U723229" s="25"/>
    </row>
    <row r="723251" spans="21:21" x14ac:dyDescent="0.3">
      <c r="U723251" s="25"/>
    </row>
    <row r="723273" spans="21:21" x14ac:dyDescent="0.3">
      <c r="U723273" s="25"/>
    </row>
    <row r="723295" spans="21:21" x14ac:dyDescent="0.3">
      <c r="U723295" s="25"/>
    </row>
    <row r="723317" spans="21:21" x14ac:dyDescent="0.3">
      <c r="U723317" s="25"/>
    </row>
    <row r="723339" spans="21:21" x14ac:dyDescent="0.3">
      <c r="U723339" s="25"/>
    </row>
    <row r="723361" spans="21:21" x14ac:dyDescent="0.3">
      <c r="U723361" s="25"/>
    </row>
    <row r="723383" spans="21:21" x14ac:dyDescent="0.3">
      <c r="U723383" s="25"/>
    </row>
    <row r="723405" spans="21:21" x14ac:dyDescent="0.3">
      <c r="U723405" s="25"/>
    </row>
    <row r="723427" spans="21:21" x14ac:dyDescent="0.3">
      <c r="U723427" s="25"/>
    </row>
    <row r="723449" spans="21:21" x14ac:dyDescent="0.3">
      <c r="U723449" s="25"/>
    </row>
    <row r="723471" spans="21:21" x14ac:dyDescent="0.3">
      <c r="U723471" s="25"/>
    </row>
    <row r="723493" spans="21:21" x14ac:dyDescent="0.3">
      <c r="U723493" s="25"/>
    </row>
    <row r="723515" spans="21:21" x14ac:dyDescent="0.3">
      <c r="U723515" s="25"/>
    </row>
    <row r="723537" spans="21:21" x14ac:dyDescent="0.3">
      <c r="U723537" s="25"/>
    </row>
    <row r="723559" spans="21:21" x14ac:dyDescent="0.3">
      <c r="U723559" s="25"/>
    </row>
    <row r="723581" spans="21:21" x14ac:dyDescent="0.3">
      <c r="U723581" s="25"/>
    </row>
    <row r="723603" spans="21:21" x14ac:dyDescent="0.3">
      <c r="U723603" s="25"/>
    </row>
    <row r="723625" spans="21:21" x14ac:dyDescent="0.3">
      <c r="U723625" s="25"/>
    </row>
    <row r="723647" spans="21:21" x14ac:dyDescent="0.3">
      <c r="U723647" s="25"/>
    </row>
    <row r="723669" spans="21:21" x14ac:dyDescent="0.3">
      <c r="U723669" s="25"/>
    </row>
    <row r="723691" spans="21:21" x14ac:dyDescent="0.3">
      <c r="U723691" s="25"/>
    </row>
    <row r="723713" spans="21:21" x14ac:dyDescent="0.3">
      <c r="U723713" s="25"/>
    </row>
    <row r="723735" spans="21:21" x14ac:dyDescent="0.3">
      <c r="U723735" s="25"/>
    </row>
    <row r="723757" spans="21:21" x14ac:dyDescent="0.3">
      <c r="U723757" s="25"/>
    </row>
    <row r="723779" spans="21:21" x14ac:dyDescent="0.3">
      <c r="U723779" s="25"/>
    </row>
    <row r="723801" spans="21:21" x14ac:dyDescent="0.3">
      <c r="U723801" s="25"/>
    </row>
    <row r="723823" spans="21:21" x14ac:dyDescent="0.3">
      <c r="U723823" s="25"/>
    </row>
    <row r="723845" spans="21:21" x14ac:dyDescent="0.3">
      <c r="U723845" s="25"/>
    </row>
    <row r="723867" spans="21:21" x14ac:dyDescent="0.3">
      <c r="U723867" s="25"/>
    </row>
    <row r="723889" spans="21:21" x14ac:dyDescent="0.3">
      <c r="U723889" s="25"/>
    </row>
    <row r="723911" spans="21:21" x14ac:dyDescent="0.3">
      <c r="U723911" s="25"/>
    </row>
    <row r="723933" spans="21:21" x14ac:dyDescent="0.3">
      <c r="U723933" s="25"/>
    </row>
    <row r="723955" spans="21:21" x14ac:dyDescent="0.3">
      <c r="U723955" s="25"/>
    </row>
    <row r="723977" spans="21:21" x14ac:dyDescent="0.3">
      <c r="U723977" s="25"/>
    </row>
    <row r="723999" spans="21:21" x14ac:dyDescent="0.3">
      <c r="U723999" s="25"/>
    </row>
    <row r="724021" spans="21:21" x14ac:dyDescent="0.3">
      <c r="U724021" s="25"/>
    </row>
    <row r="724043" spans="21:21" x14ac:dyDescent="0.3">
      <c r="U724043" s="25"/>
    </row>
    <row r="724065" spans="21:21" x14ac:dyDescent="0.3">
      <c r="U724065" s="25"/>
    </row>
    <row r="724087" spans="21:21" x14ac:dyDescent="0.3">
      <c r="U724087" s="25"/>
    </row>
    <row r="724109" spans="21:21" x14ac:dyDescent="0.3">
      <c r="U724109" s="25"/>
    </row>
    <row r="724131" spans="21:21" x14ac:dyDescent="0.3">
      <c r="U724131" s="25"/>
    </row>
    <row r="724153" spans="21:21" x14ac:dyDescent="0.3">
      <c r="U724153" s="25"/>
    </row>
    <row r="724175" spans="21:21" x14ac:dyDescent="0.3">
      <c r="U724175" s="25"/>
    </row>
    <row r="724197" spans="21:21" x14ac:dyDescent="0.3">
      <c r="U724197" s="25"/>
    </row>
    <row r="724219" spans="21:21" x14ac:dyDescent="0.3">
      <c r="U724219" s="25"/>
    </row>
    <row r="724241" spans="21:21" x14ac:dyDescent="0.3">
      <c r="U724241" s="25"/>
    </row>
    <row r="724263" spans="21:21" x14ac:dyDescent="0.3">
      <c r="U724263" s="25"/>
    </row>
    <row r="724285" spans="21:21" x14ac:dyDescent="0.3">
      <c r="U724285" s="25"/>
    </row>
    <row r="724307" spans="21:21" x14ac:dyDescent="0.3">
      <c r="U724307" s="25"/>
    </row>
    <row r="724329" spans="21:21" x14ac:dyDescent="0.3">
      <c r="U724329" s="25"/>
    </row>
    <row r="724351" spans="21:21" x14ac:dyDescent="0.3">
      <c r="U724351" s="25"/>
    </row>
    <row r="724373" spans="21:21" x14ac:dyDescent="0.3">
      <c r="U724373" s="25"/>
    </row>
    <row r="724395" spans="21:21" x14ac:dyDescent="0.3">
      <c r="U724395" s="25"/>
    </row>
    <row r="724417" spans="21:21" x14ac:dyDescent="0.3">
      <c r="U724417" s="25"/>
    </row>
    <row r="724439" spans="21:21" x14ac:dyDescent="0.3">
      <c r="U724439" s="25"/>
    </row>
    <row r="724461" spans="21:21" x14ac:dyDescent="0.3">
      <c r="U724461" s="25"/>
    </row>
    <row r="724483" spans="21:21" x14ac:dyDescent="0.3">
      <c r="U724483" s="25"/>
    </row>
    <row r="724505" spans="21:21" x14ac:dyDescent="0.3">
      <c r="U724505" s="25"/>
    </row>
    <row r="724527" spans="21:21" x14ac:dyDescent="0.3">
      <c r="U724527" s="25"/>
    </row>
    <row r="724549" spans="21:21" x14ac:dyDescent="0.3">
      <c r="U724549" s="25"/>
    </row>
    <row r="724571" spans="21:21" x14ac:dyDescent="0.3">
      <c r="U724571" s="25"/>
    </row>
    <row r="724593" spans="21:21" x14ac:dyDescent="0.3">
      <c r="U724593" s="25"/>
    </row>
    <row r="724615" spans="21:21" x14ac:dyDescent="0.3">
      <c r="U724615" s="25"/>
    </row>
    <row r="724637" spans="21:21" x14ac:dyDescent="0.3">
      <c r="U724637" s="25"/>
    </row>
    <row r="724659" spans="21:21" x14ac:dyDescent="0.3">
      <c r="U724659" s="25"/>
    </row>
    <row r="724681" spans="21:21" x14ac:dyDescent="0.3">
      <c r="U724681" s="25"/>
    </row>
    <row r="724703" spans="21:21" x14ac:dyDescent="0.3">
      <c r="U724703" s="25"/>
    </row>
    <row r="724725" spans="21:21" x14ac:dyDescent="0.3">
      <c r="U724725" s="25"/>
    </row>
    <row r="724747" spans="21:21" x14ac:dyDescent="0.3">
      <c r="U724747" s="25"/>
    </row>
    <row r="724769" spans="21:21" x14ac:dyDescent="0.3">
      <c r="U724769" s="25"/>
    </row>
    <row r="724791" spans="21:21" x14ac:dyDescent="0.3">
      <c r="U724791" s="25"/>
    </row>
    <row r="724813" spans="21:21" x14ac:dyDescent="0.3">
      <c r="U724813" s="25"/>
    </row>
    <row r="724835" spans="21:21" x14ac:dyDescent="0.3">
      <c r="U724835" s="25"/>
    </row>
    <row r="724857" spans="21:21" x14ac:dyDescent="0.3">
      <c r="U724857" s="25"/>
    </row>
    <row r="724879" spans="21:21" x14ac:dyDescent="0.3">
      <c r="U724879" s="25"/>
    </row>
    <row r="724901" spans="21:21" x14ac:dyDescent="0.3">
      <c r="U724901" s="25"/>
    </row>
    <row r="724923" spans="21:21" x14ac:dyDescent="0.3">
      <c r="U724923" s="25"/>
    </row>
    <row r="724945" spans="21:21" x14ac:dyDescent="0.3">
      <c r="U724945" s="25"/>
    </row>
    <row r="724967" spans="21:21" x14ac:dyDescent="0.3">
      <c r="U724967" s="25"/>
    </row>
    <row r="724989" spans="21:21" x14ac:dyDescent="0.3">
      <c r="U724989" s="25"/>
    </row>
    <row r="725011" spans="21:21" x14ac:dyDescent="0.3">
      <c r="U725011" s="25"/>
    </row>
    <row r="725033" spans="21:21" x14ac:dyDescent="0.3">
      <c r="U725033" s="25"/>
    </row>
    <row r="725055" spans="21:21" x14ac:dyDescent="0.3">
      <c r="U725055" s="25"/>
    </row>
    <row r="725077" spans="21:21" x14ac:dyDescent="0.3">
      <c r="U725077" s="25"/>
    </row>
    <row r="725099" spans="21:21" x14ac:dyDescent="0.3">
      <c r="U725099" s="25"/>
    </row>
    <row r="725121" spans="21:21" x14ac:dyDescent="0.3">
      <c r="U725121" s="25"/>
    </row>
    <row r="725143" spans="21:21" x14ac:dyDescent="0.3">
      <c r="U725143" s="25"/>
    </row>
    <row r="725165" spans="21:21" x14ac:dyDescent="0.3">
      <c r="U725165" s="25"/>
    </row>
    <row r="725187" spans="21:21" x14ac:dyDescent="0.3">
      <c r="U725187" s="25"/>
    </row>
    <row r="725209" spans="21:21" x14ac:dyDescent="0.3">
      <c r="U725209" s="25"/>
    </row>
    <row r="725231" spans="21:21" x14ac:dyDescent="0.3">
      <c r="U725231" s="25"/>
    </row>
    <row r="725253" spans="21:21" x14ac:dyDescent="0.3">
      <c r="U725253" s="25"/>
    </row>
    <row r="725275" spans="21:21" x14ac:dyDescent="0.3">
      <c r="U725275" s="25"/>
    </row>
    <row r="725297" spans="21:21" x14ac:dyDescent="0.3">
      <c r="U725297" s="25"/>
    </row>
    <row r="725319" spans="21:21" x14ac:dyDescent="0.3">
      <c r="U725319" s="25"/>
    </row>
    <row r="725341" spans="21:21" x14ac:dyDescent="0.3">
      <c r="U725341" s="25"/>
    </row>
    <row r="725363" spans="21:21" x14ac:dyDescent="0.3">
      <c r="U725363" s="25"/>
    </row>
    <row r="725385" spans="21:21" x14ac:dyDescent="0.3">
      <c r="U725385" s="25"/>
    </row>
    <row r="725407" spans="21:21" x14ac:dyDescent="0.3">
      <c r="U725407" s="25"/>
    </row>
    <row r="725429" spans="21:21" x14ac:dyDescent="0.3">
      <c r="U725429" s="25"/>
    </row>
    <row r="725451" spans="21:21" x14ac:dyDescent="0.3">
      <c r="U725451" s="25"/>
    </row>
    <row r="725473" spans="21:21" x14ac:dyDescent="0.3">
      <c r="U725473" s="25"/>
    </row>
    <row r="725495" spans="21:21" x14ac:dyDescent="0.3">
      <c r="U725495" s="25"/>
    </row>
    <row r="725517" spans="21:21" x14ac:dyDescent="0.3">
      <c r="U725517" s="25"/>
    </row>
    <row r="725539" spans="21:21" x14ac:dyDescent="0.3">
      <c r="U725539" s="25"/>
    </row>
    <row r="725561" spans="21:21" x14ac:dyDescent="0.3">
      <c r="U725561" s="25"/>
    </row>
    <row r="725583" spans="21:21" x14ac:dyDescent="0.3">
      <c r="U725583" s="25"/>
    </row>
    <row r="725605" spans="21:21" x14ac:dyDescent="0.3">
      <c r="U725605" s="25"/>
    </row>
    <row r="725627" spans="21:21" x14ac:dyDescent="0.3">
      <c r="U725627" s="25"/>
    </row>
    <row r="725649" spans="21:21" x14ac:dyDescent="0.3">
      <c r="U725649" s="25"/>
    </row>
    <row r="725671" spans="21:21" x14ac:dyDescent="0.3">
      <c r="U725671" s="25"/>
    </row>
    <row r="725693" spans="21:21" x14ac:dyDescent="0.3">
      <c r="U725693" s="25"/>
    </row>
    <row r="725715" spans="21:21" x14ac:dyDescent="0.3">
      <c r="U725715" s="25"/>
    </row>
    <row r="725737" spans="21:21" x14ac:dyDescent="0.3">
      <c r="U725737" s="25"/>
    </row>
    <row r="725759" spans="21:21" x14ac:dyDescent="0.3">
      <c r="U725759" s="25"/>
    </row>
    <row r="725781" spans="21:21" x14ac:dyDescent="0.3">
      <c r="U725781" s="25"/>
    </row>
    <row r="725803" spans="21:21" x14ac:dyDescent="0.3">
      <c r="U725803" s="25"/>
    </row>
    <row r="725825" spans="21:21" x14ac:dyDescent="0.3">
      <c r="U725825" s="25"/>
    </row>
    <row r="725847" spans="21:21" x14ac:dyDescent="0.3">
      <c r="U725847" s="25"/>
    </row>
    <row r="725869" spans="21:21" x14ac:dyDescent="0.3">
      <c r="U725869" s="25"/>
    </row>
    <row r="725891" spans="21:21" x14ac:dyDescent="0.3">
      <c r="U725891" s="25"/>
    </row>
    <row r="725913" spans="21:21" x14ac:dyDescent="0.3">
      <c r="U725913" s="25"/>
    </row>
    <row r="725935" spans="21:21" x14ac:dyDescent="0.3">
      <c r="U725935" s="25"/>
    </row>
    <row r="725957" spans="21:21" x14ac:dyDescent="0.3">
      <c r="U725957" s="25"/>
    </row>
    <row r="725979" spans="21:21" x14ac:dyDescent="0.3">
      <c r="U725979" s="25"/>
    </row>
    <row r="726001" spans="21:21" x14ac:dyDescent="0.3">
      <c r="U726001" s="25"/>
    </row>
    <row r="726023" spans="21:21" x14ac:dyDescent="0.3">
      <c r="U726023" s="25"/>
    </row>
    <row r="726045" spans="21:21" x14ac:dyDescent="0.3">
      <c r="U726045" s="25"/>
    </row>
    <row r="726067" spans="21:21" x14ac:dyDescent="0.3">
      <c r="U726067" s="25"/>
    </row>
    <row r="726089" spans="21:21" x14ac:dyDescent="0.3">
      <c r="U726089" s="25"/>
    </row>
    <row r="726111" spans="21:21" x14ac:dyDescent="0.3">
      <c r="U726111" s="25"/>
    </row>
    <row r="726133" spans="21:21" x14ac:dyDescent="0.3">
      <c r="U726133" s="25"/>
    </row>
    <row r="726155" spans="21:21" x14ac:dyDescent="0.3">
      <c r="U726155" s="25"/>
    </row>
    <row r="726177" spans="21:21" x14ac:dyDescent="0.3">
      <c r="U726177" s="25"/>
    </row>
    <row r="726199" spans="21:21" x14ac:dyDescent="0.3">
      <c r="U726199" s="25"/>
    </row>
    <row r="726221" spans="21:21" x14ac:dyDescent="0.3">
      <c r="U726221" s="25"/>
    </row>
    <row r="726243" spans="21:21" x14ac:dyDescent="0.3">
      <c r="U726243" s="25"/>
    </row>
    <row r="726265" spans="21:21" x14ac:dyDescent="0.3">
      <c r="U726265" s="25"/>
    </row>
    <row r="726287" spans="21:21" x14ac:dyDescent="0.3">
      <c r="U726287" s="25"/>
    </row>
    <row r="726309" spans="21:21" x14ac:dyDescent="0.3">
      <c r="U726309" s="25"/>
    </row>
    <row r="726331" spans="21:21" x14ac:dyDescent="0.3">
      <c r="U726331" s="25"/>
    </row>
    <row r="726353" spans="21:21" x14ac:dyDescent="0.3">
      <c r="U726353" s="25"/>
    </row>
    <row r="726375" spans="21:21" x14ac:dyDescent="0.3">
      <c r="U726375" s="25"/>
    </row>
    <row r="726397" spans="21:21" x14ac:dyDescent="0.3">
      <c r="U726397" s="25"/>
    </row>
    <row r="726419" spans="21:21" x14ac:dyDescent="0.3">
      <c r="U726419" s="25"/>
    </row>
    <row r="726441" spans="21:21" x14ac:dyDescent="0.3">
      <c r="U726441" s="25"/>
    </row>
    <row r="726463" spans="21:21" x14ac:dyDescent="0.3">
      <c r="U726463" s="25"/>
    </row>
    <row r="726485" spans="21:21" x14ac:dyDescent="0.3">
      <c r="U726485" s="25"/>
    </row>
    <row r="726507" spans="21:21" x14ac:dyDescent="0.3">
      <c r="U726507" s="25"/>
    </row>
    <row r="726529" spans="21:21" x14ac:dyDescent="0.3">
      <c r="U726529" s="25"/>
    </row>
    <row r="726551" spans="21:21" x14ac:dyDescent="0.3">
      <c r="U726551" s="25"/>
    </row>
    <row r="726573" spans="21:21" x14ac:dyDescent="0.3">
      <c r="U726573" s="25"/>
    </row>
    <row r="726595" spans="21:21" x14ac:dyDescent="0.3">
      <c r="U726595" s="25"/>
    </row>
    <row r="726617" spans="21:21" x14ac:dyDescent="0.3">
      <c r="U726617" s="25"/>
    </row>
    <row r="726639" spans="21:21" x14ac:dyDescent="0.3">
      <c r="U726639" s="25"/>
    </row>
    <row r="726661" spans="21:21" x14ac:dyDescent="0.3">
      <c r="U726661" s="25"/>
    </row>
    <row r="726683" spans="21:21" x14ac:dyDescent="0.3">
      <c r="U726683" s="25"/>
    </row>
    <row r="726705" spans="21:21" x14ac:dyDescent="0.3">
      <c r="U726705" s="25"/>
    </row>
    <row r="726727" spans="21:21" x14ac:dyDescent="0.3">
      <c r="U726727" s="25"/>
    </row>
    <row r="726749" spans="21:21" x14ac:dyDescent="0.3">
      <c r="U726749" s="25"/>
    </row>
    <row r="726771" spans="21:21" x14ac:dyDescent="0.3">
      <c r="U726771" s="25"/>
    </row>
    <row r="726793" spans="21:21" x14ac:dyDescent="0.3">
      <c r="U726793" s="25"/>
    </row>
    <row r="726815" spans="21:21" x14ac:dyDescent="0.3">
      <c r="U726815" s="25"/>
    </row>
    <row r="726837" spans="21:21" x14ac:dyDescent="0.3">
      <c r="U726837" s="25"/>
    </row>
    <row r="726859" spans="21:21" x14ac:dyDescent="0.3">
      <c r="U726859" s="25"/>
    </row>
    <row r="726881" spans="21:21" x14ac:dyDescent="0.3">
      <c r="U726881" s="25"/>
    </row>
    <row r="726903" spans="21:21" x14ac:dyDescent="0.3">
      <c r="U726903" s="25"/>
    </row>
    <row r="726925" spans="21:21" x14ac:dyDescent="0.3">
      <c r="U726925" s="25"/>
    </row>
    <row r="726947" spans="21:21" x14ac:dyDescent="0.3">
      <c r="U726947" s="25"/>
    </row>
    <row r="726969" spans="21:21" x14ac:dyDescent="0.3">
      <c r="U726969" s="25"/>
    </row>
    <row r="726991" spans="21:21" x14ac:dyDescent="0.3">
      <c r="U726991" s="25"/>
    </row>
    <row r="727013" spans="21:21" x14ac:dyDescent="0.3">
      <c r="U727013" s="25"/>
    </row>
    <row r="727035" spans="21:21" x14ac:dyDescent="0.3">
      <c r="U727035" s="25"/>
    </row>
    <row r="727057" spans="21:21" x14ac:dyDescent="0.3">
      <c r="U727057" s="25"/>
    </row>
    <row r="727079" spans="21:21" x14ac:dyDescent="0.3">
      <c r="U727079" s="25"/>
    </row>
    <row r="727101" spans="21:21" x14ac:dyDescent="0.3">
      <c r="U727101" s="25"/>
    </row>
    <row r="727123" spans="21:21" x14ac:dyDescent="0.3">
      <c r="U727123" s="25"/>
    </row>
    <row r="727145" spans="21:21" x14ac:dyDescent="0.3">
      <c r="U727145" s="25"/>
    </row>
    <row r="727167" spans="21:21" x14ac:dyDescent="0.3">
      <c r="U727167" s="25"/>
    </row>
    <row r="727189" spans="21:21" x14ac:dyDescent="0.3">
      <c r="U727189" s="25"/>
    </row>
    <row r="727211" spans="21:21" x14ac:dyDescent="0.3">
      <c r="U727211" s="25"/>
    </row>
    <row r="727233" spans="21:21" x14ac:dyDescent="0.3">
      <c r="U727233" s="25"/>
    </row>
    <row r="727255" spans="21:21" x14ac:dyDescent="0.3">
      <c r="U727255" s="25"/>
    </row>
    <row r="727277" spans="21:21" x14ac:dyDescent="0.3">
      <c r="U727277" s="25"/>
    </row>
    <row r="727299" spans="21:21" x14ac:dyDescent="0.3">
      <c r="U727299" s="25"/>
    </row>
    <row r="727321" spans="21:21" x14ac:dyDescent="0.3">
      <c r="U727321" s="25"/>
    </row>
    <row r="727343" spans="21:21" x14ac:dyDescent="0.3">
      <c r="U727343" s="25"/>
    </row>
    <row r="727365" spans="21:21" x14ac:dyDescent="0.3">
      <c r="U727365" s="25"/>
    </row>
    <row r="727387" spans="21:21" x14ac:dyDescent="0.3">
      <c r="U727387" s="25"/>
    </row>
    <row r="727409" spans="21:21" x14ac:dyDescent="0.3">
      <c r="U727409" s="25"/>
    </row>
    <row r="727431" spans="21:21" x14ac:dyDescent="0.3">
      <c r="U727431" s="25"/>
    </row>
    <row r="727453" spans="21:21" x14ac:dyDescent="0.3">
      <c r="U727453" s="25"/>
    </row>
    <row r="727475" spans="21:21" x14ac:dyDescent="0.3">
      <c r="U727475" s="25"/>
    </row>
    <row r="727497" spans="21:21" x14ac:dyDescent="0.3">
      <c r="U727497" s="25"/>
    </row>
    <row r="727519" spans="21:21" x14ac:dyDescent="0.3">
      <c r="U727519" s="25"/>
    </row>
    <row r="727541" spans="21:21" x14ac:dyDescent="0.3">
      <c r="U727541" s="25"/>
    </row>
    <row r="727563" spans="21:21" x14ac:dyDescent="0.3">
      <c r="U727563" s="25"/>
    </row>
    <row r="727585" spans="21:21" x14ac:dyDescent="0.3">
      <c r="U727585" s="25"/>
    </row>
    <row r="727607" spans="21:21" x14ac:dyDescent="0.3">
      <c r="U727607" s="25"/>
    </row>
    <row r="727629" spans="21:21" x14ac:dyDescent="0.3">
      <c r="U727629" s="25"/>
    </row>
    <row r="727651" spans="21:21" x14ac:dyDescent="0.3">
      <c r="U727651" s="25"/>
    </row>
    <row r="727673" spans="21:21" x14ac:dyDescent="0.3">
      <c r="U727673" s="25"/>
    </row>
    <row r="727695" spans="21:21" x14ac:dyDescent="0.3">
      <c r="U727695" s="25"/>
    </row>
    <row r="727717" spans="21:21" x14ac:dyDescent="0.3">
      <c r="U727717" s="25"/>
    </row>
    <row r="727739" spans="21:21" x14ac:dyDescent="0.3">
      <c r="U727739" s="25"/>
    </row>
    <row r="727761" spans="21:21" x14ac:dyDescent="0.3">
      <c r="U727761" s="25"/>
    </row>
    <row r="727783" spans="21:21" x14ac:dyDescent="0.3">
      <c r="U727783" s="25"/>
    </row>
    <row r="727805" spans="21:21" x14ac:dyDescent="0.3">
      <c r="U727805" s="25"/>
    </row>
    <row r="727827" spans="21:21" x14ac:dyDescent="0.3">
      <c r="U727827" s="25"/>
    </row>
    <row r="727849" spans="21:21" x14ac:dyDescent="0.3">
      <c r="U727849" s="25"/>
    </row>
    <row r="727871" spans="21:21" x14ac:dyDescent="0.3">
      <c r="U727871" s="25"/>
    </row>
    <row r="727893" spans="21:21" x14ac:dyDescent="0.3">
      <c r="U727893" s="25"/>
    </row>
    <row r="727915" spans="21:21" x14ac:dyDescent="0.3">
      <c r="U727915" s="25"/>
    </row>
    <row r="727937" spans="21:21" x14ac:dyDescent="0.3">
      <c r="U727937" s="25"/>
    </row>
    <row r="727959" spans="21:21" x14ac:dyDescent="0.3">
      <c r="U727959" s="25"/>
    </row>
    <row r="727981" spans="21:21" x14ac:dyDescent="0.3">
      <c r="U727981" s="25"/>
    </row>
    <row r="728003" spans="21:21" x14ac:dyDescent="0.3">
      <c r="U728003" s="25"/>
    </row>
    <row r="728025" spans="21:21" x14ac:dyDescent="0.3">
      <c r="U728025" s="25"/>
    </row>
    <row r="728047" spans="21:21" x14ac:dyDescent="0.3">
      <c r="U728047" s="25"/>
    </row>
    <row r="728069" spans="21:21" x14ac:dyDescent="0.3">
      <c r="U728069" s="25"/>
    </row>
    <row r="728091" spans="21:21" x14ac:dyDescent="0.3">
      <c r="U728091" s="25"/>
    </row>
    <row r="728113" spans="21:21" x14ac:dyDescent="0.3">
      <c r="U728113" s="25"/>
    </row>
    <row r="728135" spans="21:21" x14ac:dyDescent="0.3">
      <c r="U728135" s="25"/>
    </row>
    <row r="728157" spans="21:21" x14ac:dyDescent="0.3">
      <c r="U728157" s="25"/>
    </row>
    <row r="728179" spans="21:21" x14ac:dyDescent="0.3">
      <c r="U728179" s="25"/>
    </row>
    <row r="728201" spans="21:21" x14ac:dyDescent="0.3">
      <c r="U728201" s="25"/>
    </row>
    <row r="728223" spans="21:21" x14ac:dyDescent="0.3">
      <c r="U728223" s="25"/>
    </row>
    <row r="728245" spans="21:21" x14ac:dyDescent="0.3">
      <c r="U728245" s="25"/>
    </row>
    <row r="728267" spans="21:21" x14ac:dyDescent="0.3">
      <c r="U728267" s="25"/>
    </row>
    <row r="728289" spans="21:21" x14ac:dyDescent="0.3">
      <c r="U728289" s="25"/>
    </row>
    <row r="728311" spans="21:21" x14ac:dyDescent="0.3">
      <c r="U728311" s="25"/>
    </row>
    <row r="728333" spans="21:21" x14ac:dyDescent="0.3">
      <c r="U728333" s="25"/>
    </row>
    <row r="728355" spans="21:21" x14ac:dyDescent="0.3">
      <c r="U728355" s="25"/>
    </row>
    <row r="728377" spans="21:21" x14ac:dyDescent="0.3">
      <c r="U728377" s="25"/>
    </row>
    <row r="728399" spans="21:21" x14ac:dyDescent="0.3">
      <c r="U728399" s="25"/>
    </row>
    <row r="728421" spans="21:21" x14ac:dyDescent="0.3">
      <c r="U728421" s="25"/>
    </row>
    <row r="728443" spans="21:21" x14ac:dyDescent="0.3">
      <c r="U728443" s="25"/>
    </row>
    <row r="728465" spans="21:21" x14ac:dyDescent="0.3">
      <c r="U728465" s="25"/>
    </row>
    <row r="728487" spans="21:21" x14ac:dyDescent="0.3">
      <c r="U728487" s="25"/>
    </row>
    <row r="728509" spans="21:21" x14ac:dyDescent="0.3">
      <c r="U728509" s="25"/>
    </row>
    <row r="728531" spans="21:21" x14ac:dyDescent="0.3">
      <c r="U728531" s="25"/>
    </row>
    <row r="728553" spans="21:21" x14ac:dyDescent="0.3">
      <c r="U728553" s="25"/>
    </row>
    <row r="728575" spans="21:21" x14ac:dyDescent="0.3">
      <c r="U728575" s="25"/>
    </row>
    <row r="728597" spans="21:21" x14ac:dyDescent="0.3">
      <c r="U728597" s="25"/>
    </row>
    <row r="728619" spans="21:21" x14ac:dyDescent="0.3">
      <c r="U728619" s="25"/>
    </row>
    <row r="728641" spans="21:21" x14ac:dyDescent="0.3">
      <c r="U728641" s="25"/>
    </row>
    <row r="728663" spans="21:21" x14ac:dyDescent="0.3">
      <c r="U728663" s="25"/>
    </row>
    <row r="728685" spans="21:21" x14ac:dyDescent="0.3">
      <c r="U728685" s="25"/>
    </row>
    <row r="728707" spans="21:21" x14ac:dyDescent="0.3">
      <c r="U728707" s="25"/>
    </row>
    <row r="728729" spans="21:21" x14ac:dyDescent="0.3">
      <c r="U728729" s="25"/>
    </row>
    <row r="728751" spans="21:21" x14ac:dyDescent="0.3">
      <c r="U728751" s="25"/>
    </row>
    <row r="728773" spans="21:21" x14ac:dyDescent="0.3">
      <c r="U728773" s="25"/>
    </row>
    <row r="728795" spans="21:21" x14ac:dyDescent="0.3">
      <c r="U728795" s="25"/>
    </row>
    <row r="728817" spans="21:21" x14ac:dyDescent="0.3">
      <c r="U728817" s="25"/>
    </row>
    <row r="728839" spans="21:21" x14ac:dyDescent="0.3">
      <c r="U728839" s="25"/>
    </row>
    <row r="728861" spans="21:21" x14ac:dyDescent="0.3">
      <c r="U728861" s="25"/>
    </row>
    <row r="728883" spans="21:21" x14ac:dyDescent="0.3">
      <c r="U728883" s="25"/>
    </row>
    <row r="728905" spans="21:21" x14ac:dyDescent="0.3">
      <c r="U728905" s="25"/>
    </row>
    <row r="728927" spans="21:21" x14ac:dyDescent="0.3">
      <c r="U728927" s="25"/>
    </row>
    <row r="728949" spans="21:21" x14ac:dyDescent="0.3">
      <c r="U728949" s="25"/>
    </row>
    <row r="728971" spans="21:21" x14ac:dyDescent="0.3">
      <c r="U728971" s="25"/>
    </row>
    <row r="728993" spans="21:21" x14ac:dyDescent="0.3">
      <c r="U728993" s="25"/>
    </row>
    <row r="729015" spans="21:21" x14ac:dyDescent="0.3">
      <c r="U729015" s="25"/>
    </row>
    <row r="729037" spans="21:21" x14ac:dyDescent="0.3">
      <c r="U729037" s="25"/>
    </row>
    <row r="729059" spans="21:21" x14ac:dyDescent="0.3">
      <c r="U729059" s="25"/>
    </row>
    <row r="729081" spans="21:21" x14ac:dyDescent="0.3">
      <c r="U729081" s="25"/>
    </row>
    <row r="729103" spans="21:21" x14ac:dyDescent="0.3">
      <c r="U729103" s="25"/>
    </row>
    <row r="729125" spans="21:21" x14ac:dyDescent="0.3">
      <c r="U729125" s="25"/>
    </row>
    <row r="729147" spans="21:21" x14ac:dyDescent="0.3">
      <c r="U729147" s="25"/>
    </row>
    <row r="729169" spans="21:21" x14ac:dyDescent="0.3">
      <c r="U729169" s="25"/>
    </row>
    <row r="729191" spans="21:21" x14ac:dyDescent="0.3">
      <c r="U729191" s="25"/>
    </row>
    <row r="729213" spans="21:21" x14ac:dyDescent="0.3">
      <c r="U729213" s="25"/>
    </row>
    <row r="729235" spans="21:21" x14ac:dyDescent="0.3">
      <c r="U729235" s="25"/>
    </row>
    <row r="729257" spans="21:21" x14ac:dyDescent="0.3">
      <c r="U729257" s="25"/>
    </row>
    <row r="729279" spans="21:21" x14ac:dyDescent="0.3">
      <c r="U729279" s="25"/>
    </row>
    <row r="729301" spans="21:21" x14ac:dyDescent="0.3">
      <c r="U729301" s="25"/>
    </row>
    <row r="729323" spans="21:21" x14ac:dyDescent="0.3">
      <c r="U729323" s="25"/>
    </row>
    <row r="729345" spans="21:21" x14ac:dyDescent="0.3">
      <c r="U729345" s="25"/>
    </row>
    <row r="729367" spans="21:21" x14ac:dyDescent="0.3">
      <c r="U729367" s="25"/>
    </row>
    <row r="729389" spans="21:21" x14ac:dyDescent="0.3">
      <c r="U729389" s="25"/>
    </row>
    <row r="729411" spans="21:21" x14ac:dyDescent="0.3">
      <c r="U729411" s="25"/>
    </row>
    <row r="729433" spans="21:21" x14ac:dyDescent="0.3">
      <c r="U729433" s="25"/>
    </row>
    <row r="729455" spans="21:21" x14ac:dyDescent="0.3">
      <c r="U729455" s="25"/>
    </row>
    <row r="729477" spans="21:21" x14ac:dyDescent="0.3">
      <c r="U729477" s="25"/>
    </row>
    <row r="729499" spans="21:21" x14ac:dyDescent="0.3">
      <c r="U729499" s="25"/>
    </row>
    <row r="729521" spans="21:21" x14ac:dyDescent="0.3">
      <c r="U729521" s="25"/>
    </row>
    <row r="729543" spans="21:21" x14ac:dyDescent="0.3">
      <c r="U729543" s="25"/>
    </row>
    <row r="729565" spans="21:21" x14ac:dyDescent="0.3">
      <c r="U729565" s="25"/>
    </row>
    <row r="729587" spans="21:21" x14ac:dyDescent="0.3">
      <c r="U729587" s="25"/>
    </row>
    <row r="729609" spans="21:21" x14ac:dyDescent="0.3">
      <c r="U729609" s="25"/>
    </row>
    <row r="729631" spans="21:21" x14ac:dyDescent="0.3">
      <c r="U729631" s="25"/>
    </row>
    <row r="729653" spans="21:21" x14ac:dyDescent="0.3">
      <c r="U729653" s="25"/>
    </row>
    <row r="729675" spans="21:21" x14ac:dyDescent="0.3">
      <c r="U729675" s="25"/>
    </row>
    <row r="729697" spans="21:21" x14ac:dyDescent="0.3">
      <c r="U729697" s="25"/>
    </row>
    <row r="729719" spans="21:21" x14ac:dyDescent="0.3">
      <c r="U729719" s="25"/>
    </row>
    <row r="729741" spans="21:21" x14ac:dyDescent="0.3">
      <c r="U729741" s="25"/>
    </row>
    <row r="729763" spans="21:21" x14ac:dyDescent="0.3">
      <c r="U729763" s="25"/>
    </row>
    <row r="729785" spans="21:21" x14ac:dyDescent="0.3">
      <c r="U729785" s="25"/>
    </row>
    <row r="729807" spans="21:21" x14ac:dyDescent="0.3">
      <c r="U729807" s="25"/>
    </row>
    <row r="729829" spans="21:21" x14ac:dyDescent="0.3">
      <c r="U729829" s="25"/>
    </row>
    <row r="729851" spans="21:21" x14ac:dyDescent="0.3">
      <c r="U729851" s="25"/>
    </row>
    <row r="729873" spans="21:21" x14ac:dyDescent="0.3">
      <c r="U729873" s="25"/>
    </row>
    <row r="729895" spans="21:21" x14ac:dyDescent="0.3">
      <c r="U729895" s="25"/>
    </row>
    <row r="729917" spans="21:21" x14ac:dyDescent="0.3">
      <c r="U729917" s="25"/>
    </row>
    <row r="729939" spans="21:21" x14ac:dyDescent="0.3">
      <c r="U729939" s="25"/>
    </row>
    <row r="729961" spans="21:21" x14ac:dyDescent="0.3">
      <c r="U729961" s="25"/>
    </row>
    <row r="729983" spans="21:21" x14ac:dyDescent="0.3">
      <c r="U729983" s="25"/>
    </row>
    <row r="730005" spans="21:21" x14ac:dyDescent="0.3">
      <c r="U730005" s="25"/>
    </row>
    <row r="730027" spans="21:21" x14ac:dyDescent="0.3">
      <c r="U730027" s="25"/>
    </row>
    <row r="730049" spans="21:21" x14ac:dyDescent="0.3">
      <c r="U730049" s="25"/>
    </row>
    <row r="730071" spans="21:21" x14ac:dyDescent="0.3">
      <c r="U730071" s="25"/>
    </row>
    <row r="730093" spans="21:21" x14ac:dyDescent="0.3">
      <c r="U730093" s="25"/>
    </row>
    <row r="730115" spans="21:21" x14ac:dyDescent="0.3">
      <c r="U730115" s="25"/>
    </row>
    <row r="730137" spans="21:21" x14ac:dyDescent="0.3">
      <c r="U730137" s="25"/>
    </row>
    <row r="730159" spans="21:21" x14ac:dyDescent="0.3">
      <c r="U730159" s="25"/>
    </row>
    <row r="730181" spans="21:21" x14ac:dyDescent="0.3">
      <c r="U730181" s="25"/>
    </row>
    <row r="730203" spans="21:21" x14ac:dyDescent="0.3">
      <c r="U730203" s="25"/>
    </row>
    <row r="730225" spans="21:21" x14ac:dyDescent="0.3">
      <c r="U730225" s="25"/>
    </row>
    <row r="730247" spans="21:21" x14ac:dyDescent="0.3">
      <c r="U730247" s="25"/>
    </row>
    <row r="730269" spans="21:21" x14ac:dyDescent="0.3">
      <c r="U730269" s="25"/>
    </row>
    <row r="730291" spans="21:21" x14ac:dyDescent="0.3">
      <c r="U730291" s="25"/>
    </row>
    <row r="730313" spans="21:21" x14ac:dyDescent="0.3">
      <c r="U730313" s="25"/>
    </row>
    <row r="730335" spans="21:21" x14ac:dyDescent="0.3">
      <c r="U730335" s="25"/>
    </row>
    <row r="730357" spans="21:21" x14ac:dyDescent="0.3">
      <c r="U730357" s="25"/>
    </row>
    <row r="730379" spans="21:21" x14ac:dyDescent="0.3">
      <c r="U730379" s="25"/>
    </row>
    <row r="730401" spans="21:21" x14ac:dyDescent="0.3">
      <c r="U730401" s="25"/>
    </row>
    <row r="730423" spans="21:21" x14ac:dyDescent="0.3">
      <c r="U730423" s="25"/>
    </row>
    <row r="730445" spans="21:21" x14ac:dyDescent="0.3">
      <c r="U730445" s="25"/>
    </row>
    <row r="730467" spans="21:21" x14ac:dyDescent="0.3">
      <c r="U730467" s="25"/>
    </row>
    <row r="730489" spans="21:21" x14ac:dyDescent="0.3">
      <c r="U730489" s="25"/>
    </row>
    <row r="730511" spans="21:21" x14ac:dyDescent="0.3">
      <c r="U730511" s="25"/>
    </row>
    <row r="730533" spans="21:21" x14ac:dyDescent="0.3">
      <c r="U730533" s="25"/>
    </row>
    <row r="730555" spans="21:21" x14ac:dyDescent="0.3">
      <c r="U730555" s="25"/>
    </row>
    <row r="730577" spans="21:21" x14ac:dyDescent="0.3">
      <c r="U730577" s="25"/>
    </row>
    <row r="730599" spans="21:21" x14ac:dyDescent="0.3">
      <c r="U730599" s="25"/>
    </row>
    <row r="730621" spans="21:21" x14ac:dyDescent="0.3">
      <c r="U730621" s="25"/>
    </row>
    <row r="730643" spans="21:21" x14ac:dyDescent="0.3">
      <c r="U730643" s="25"/>
    </row>
    <row r="730665" spans="21:21" x14ac:dyDescent="0.3">
      <c r="U730665" s="25"/>
    </row>
    <row r="730687" spans="21:21" x14ac:dyDescent="0.3">
      <c r="U730687" s="25"/>
    </row>
    <row r="730709" spans="21:21" x14ac:dyDescent="0.3">
      <c r="U730709" s="25"/>
    </row>
    <row r="730731" spans="21:21" x14ac:dyDescent="0.3">
      <c r="U730731" s="25"/>
    </row>
    <row r="730753" spans="21:21" x14ac:dyDescent="0.3">
      <c r="U730753" s="25"/>
    </row>
    <row r="730775" spans="21:21" x14ac:dyDescent="0.3">
      <c r="U730775" s="25"/>
    </row>
    <row r="730797" spans="21:21" x14ac:dyDescent="0.3">
      <c r="U730797" s="25"/>
    </row>
    <row r="730819" spans="21:21" x14ac:dyDescent="0.3">
      <c r="U730819" s="25"/>
    </row>
    <row r="730841" spans="21:21" x14ac:dyDescent="0.3">
      <c r="U730841" s="25"/>
    </row>
    <row r="730863" spans="21:21" x14ac:dyDescent="0.3">
      <c r="U730863" s="25"/>
    </row>
    <row r="730885" spans="21:21" x14ac:dyDescent="0.3">
      <c r="U730885" s="25"/>
    </row>
    <row r="730907" spans="21:21" x14ac:dyDescent="0.3">
      <c r="U730907" s="25"/>
    </row>
    <row r="730929" spans="21:21" x14ac:dyDescent="0.3">
      <c r="U730929" s="25"/>
    </row>
    <row r="730951" spans="21:21" x14ac:dyDescent="0.3">
      <c r="U730951" s="25"/>
    </row>
    <row r="730973" spans="21:21" x14ac:dyDescent="0.3">
      <c r="U730973" s="25"/>
    </row>
    <row r="730995" spans="21:21" x14ac:dyDescent="0.3">
      <c r="U730995" s="25"/>
    </row>
    <row r="731017" spans="21:21" x14ac:dyDescent="0.3">
      <c r="U731017" s="25"/>
    </row>
    <row r="731039" spans="21:21" x14ac:dyDescent="0.3">
      <c r="U731039" s="25"/>
    </row>
    <row r="731061" spans="21:21" x14ac:dyDescent="0.3">
      <c r="U731061" s="25"/>
    </row>
    <row r="731083" spans="21:21" x14ac:dyDescent="0.3">
      <c r="U731083" s="25"/>
    </row>
    <row r="731105" spans="21:21" x14ac:dyDescent="0.3">
      <c r="U731105" s="25"/>
    </row>
    <row r="731127" spans="21:21" x14ac:dyDescent="0.3">
      <c r="U731127" s="25"/>
    </row>
    <row r="731149" spans="21:21" x14ac:dyDescent="0.3">
      <c r="U731149" s="25"/>
    </row>
    <row r="731171" spans="21:21" x14ac:dyDescent="0.3">
      <c r="U731171" s="25"/>
    </row>
    <row r="731193" spans="21:21" x14ac:dyDescent="0.3">
      <c r="U731193" s="25"/>
    </row>
    <row r="731215" spans="21:21" x14ac:dyDescent="0.3">
      <c r="U731215" s="25"/>
    </row>
    <row r="731237" spans="21:21" x14ac:dyDescent="0.3">
      <c r="U731237" s="25"/>
    </row>
    <row r="731259" spans="21:21" x14ac:dyDescent="0.3">
      <c r="U731259" s="25"/>
    </row>
    <row r="731281" spans="21:21" x14ac:dyDescent="0.3">
      <c r="U731281" s="25"/>
    </row>
    <row r="731303" spans="21:21" x14ac:dyDescent="0.3">
      <c r="U731303" s="25"/>
    </row>
    <row r="731325" spans="21:21" x14ac:dyDescent="0.3">
      <c r="U731325" s="25"/>
    </row>
    <row r="731347" spans="21:21" x14ac:dyDescent="0.3">
      <c r="U731347" s="25"/>
    </row>
    <row r="731369" spans="21:21" x14ac:dyDescent="0.3">
      <c r="U731369" s="25"/>
    </row>
    <row r="731391" spans="21:21" x14ac:dyDescent="0.3">
      <c r="U731391" s="25"/>
    </row>
    <row r="731413" spans="21:21" x14ac:dyDescent="0.3">
      <c r="U731413" s="25"/>
    </row>
    <row r="731435" spans="21:21" x14ac:dyDescent="0.3">
      <c r="U731435" s="25"/>
    </row>
    <row r="731457" spans="21:21" x14ac:dyDescent="0.3">
      <c r="U731457" s="25"/>
    </row>
    <row r="731479" spans="21:21" x14ac:dyDescent="0.3">
      <c r="U731479" s="25"/>
    </row>
    <row r="731501" spans="21:21" x14ac:dyDescent="0.3">
      <c r="U731501" s="25"/>
    </row>
    <row r="731523" spans="21:21" x14ac:dyDescent="0.3">
      <c r="U731523" s="25"/>
    </row>
    <row r="731545" spans="21:21" x14ac:dyDescent="0.3">
      <c r="U731545" s="25"/>
    </row>
    <row r="731567" spans="21:21" x14ac:dyDescent="0.3">
      <c r="U731567" s="25"/>
    </row>
    <row r="731589" spans="21:21" x14ac:dyDescent="0.3">
      <c r="U731589" s="25"/>
    </row>
    <row r="731611" spans="21:21" x14ac:dyDescent="0.3">
      <c r="U731611" s="25"/>
    </row>
    <row r="731633" spans="21:21" x14ac:dyDescent="0.3">
      <c r="U731633" s="25"/>
    </row>
    <row r="731655" spans="21:21" x14ac:dyDescent="0.3">
      <c r="U731655" s="25"/>
    </row>
    <row r="731677" spans="21:21" x14ac:dyDescent="0.3">
      <c r="U731677" s="25"/>
    </row>
    <row r="731699" spans="21:21" x14ac:dyDescent="0.3">
      <c r="U731699" s="25"/>
    </row>
    <row r="731721" spans="21:21" x14ac:dyDescent="0.3">
      <c r="U731721" s="25"/>
    </row>
    <row r="731743" spans="21:21" x14ac:dyDescent="0.3">
      <c r="U731743" s="25"/>
    </row>
    <row r="731765" spans="21:21" x14ac:dyDescent="0.3">
      <c r="U731765" s="25"/>
    </row>
    <row r="731787" spans="21:21" x14ac:dyDescent="0.3">
      <c r="U731787" s="25"/>
    </row>
    <row r="731809" spans="21:21" x14ac:dyDescent="0.3">
      <c r="U731809" s="25"/>
    </row>
    <row r="731831" spans="21:21" x14ac:dyDescent="0.3">
      <c r="U731831" s="25"/>
    </row>
    <row r="731853" spans="21:21" x14ac:dyDescent="0.3">
      <c r="U731853" s="25"/>
    </row>
    <row r="731875" spans="21:21" x14ac:dyDescent="0.3">
      <c r="U731875" s="25"/>
    </row>
    <row r="731897" spans="21:21" x14ac:dyDescent="0.3">
      <c r="U731897" s="25"/>
    </row>
    <row r="731919" spans="21:21" x14ac:dyDescent="0.3">
      <c r="U731919" s="25"/>
    </row>
    <row r="731941" spans="21:21" x14ac:dyDescent="0.3">
      <c r="U731941" s="25"/>
    </row>
    <row r="731963" spans="21:21" x14ac:dyDescent="0.3">
      <c r="U731963" s="25"/>
    </row>
    <row r="731985" spans="21:21" x14ac:dyDescent="0.3">
      <c r="U731985" s="25"/>
    </row>
    <row r="732007" spans="21:21" x14ac:dyDescent="0.3">
      <c r="U732007" s="25"/>
    </row>
    <row r="732029" spans="21:21" x14ac:dyDescent="0.3">
      <c r="U732029" s="25"/>
    </row>
    <row r="732051" spans="21:21" x14ac:dyDescent="0.3">
      <c r="U732051" s="25"/>
    </row>
    <row r="732073" spans="21:21" x14ac:dyDescent="0.3">
      <c r="U732073" s="25"/>
    </row>
    <row r="732095" spans="21:21" x14ac:dyDescent="0.3">
      <c r="U732095" s="25"/>
    </row>
    <row r="732117" spans="21:21" x14ac:dyDescent="0.3">
      <c r="U732117" s="25"/>
    </row>
    <row r="732139" spans="21:21" x14ac:dyDescent="0.3">
      <c r="U732139" s="25"/>
    </row>
    <row r="732161" spans="21:21" x14ac:dyDescent="0.3">
      <c r="U732161" s="25"/>
    </row>
    <row r="732183" spans="21:21" x14ac:dyDescent="0.3">
      <c r="U732183" s="25"/>
    </row>
    <row r="732205" spans="21:21" x14ac:dyDescent="0.3">
      <c r="U732205" s="25"/>
    </row>
    <row r="732227" spans="21:21" x14ac:dyDescent="0.3">
      <c r="U732227" s="25"/>
    </row>
    <row r="732249" spans="21:21" x14ac:dyDescent="0.3">
      <c r="U732249" s="25"/>
    </row>
    <row r="732271" spans="21:21" x14ac:dyDescent="0.3">
      <c r="U732271" s="25"/>
    </row>
    <row r="732293" spans="21:21" x14ac:dyDescent="0.3">
      <c r="U732293" s="25"/>
    </row>
    <row r="732315" spans="21:21" x14ac:dyDescent="0.3">
      <c r="U732315" s="25"/>
    </row>
    <row r="732337" spans="21:21" x14ac:dyDescent="0.3">
      <c r="U732337" s="25"/>
    </row>
    <row r="732359" spans="21:21" x14ac:dyDescent="0.3">
      <c r="U732359" s="25"/>
    </row>
    <row r="732381" spans="21:21" x14ac:dyDescent="0.3">
      <c r="U732381" s="25"/>
    </row>
    <row r="732403" spans="21:21" x14ac:dyDescent="0.3">
      <c r="U732403" s="25"/>
    </row>
    <row r="732425" spans="21:21" x14ac:dyDescent="0.3">
      <c r="U732425" s="25"/>
    </row>
    <row r="732447" spans="21:21" x14ac:dyDescent="0.3">
      <c r="U732447" s="25"/>
    </row>
    <row r="732469" spans="21:21" x14ac:dyDescent="0.3">
      <c r="U732469" s="25"/>
    </row>
    <row r="732491" spans="21:21" x14ac:dyDescent="0.3">
      <c r="U732491" s="25"/>
    </row>
    <row r="732513" spans="21:21" x14ac:dyDescent="0.3">
      <c r="U732513" s="25"/>
    </row>
    <row r="732535" spans="21:21" x14ac:dyDescent="0.3">
      <c r="U732535" s="25"/>
    </row>
    <row r="732557" spans="21:21" x14ac:dyDescent="0.3">
      <c r="U732557" s="25"/>
    </row>
    <row r="732579" spans="21:21" x14ac:dyDescent="0.3">
      <c r="U732579" s="25"/>
    </row>
    <row r="732601" spans="21:21" x14ac:dyDescent="0.3">
      <c r="U732601" s="25"/>
    </row>
    <row r="732623" spans="21:21" x14ac:dyDescent="0.3">
      <c r="U732623" s="25"/>
    </row>
    <row r="732645" spans="21:21" x14ac:dyDescent="0.3">
      <c r="U732645" s="25"/>
    </row>
    <row r="732667" spans="21:21" x14ac:dyDescent="0.3">
      <c r="U732667" s="25"/>
    </row>
    <row r="732689" spans="21:21" x14ac:dyDescent="0.3">
      <c r="U732689" s="25"/>
    </row>
    <row r="732711" spans="21:21" x14ac:dyDescent="0.3">
      <c r="U732711" s="25"/>
    </row>
    <row r="732733" spans="21:21" x14ac:dyDescent="0.3">
      <c r="U732733" s="25"/>
    </row>
    <row r="732755" spans="21:21" x14ac:dyDescent="0.3">
      <c r="U732755" s="25"/>
    </row>
    <row r="732777" spans="21:21" x14ac:dyDescent="0.3">
      <c r="U732777" s="25"/>
    </row>
    <row r="732799" spans="21:21" x14ac:dyDescent="0.3">
      <c r="U732799" s="25"/>
    </row>
    <row r="732821" spans="21:21" x14ac:dyDescent="0.3">
      <c r="U732821" s="25"/>
    </row>
    <row r="732843" spans="21:21" x14ac:dyDescent="0.3">
      <c r="U732843" s="25"/>
    </row>
    <row r="732865" spans="21:21" x14ac:dyDescent="0.3">
      <c r="U732865" s="25"/>
    </row>
    <row r="732887" spans="21:21" x14ac:dyDescent="0.3">
      <c r="U732887" s="25"/>
    </row>
    <row r="732909" spans="21:21" x14ac:dyDescent="0.3">
      <c r="U732909" s="25"/>
    </row>
    <row r="732931" spans="21:21" x14ac:dyDescent="0.3">
      <c r="U732931" s="25"/>
    </row>
    <row r="732953" spans="21:21" x14ac:dyDescent="0.3">
      <c r="U732953" s="25"/>
    </row>
    <row r="732975" spans="21:21" x14ac:dyDescent="0.3">
      <c r="U732975" s="25"/>
    </row>
    <row r="732997" spans="21:21" x14ac:dyDescent="0.3">
      <c r="U732997" s="25"/>
    </row>
    <row r="733019" spans="21:21" x14ac:dyDescent="0.3">
      <c r="U733019" s="25"/>
    </row>
    <row r="733041" spans="21:21" x14ac:dyDescent="0.3">
      <c r="U733041" s="25"/>
    </row>
    <row r="733063" spans="21:21" x14ac:dyDescent="0.3">
      <c r="U733063" s="25"/>
    </row>
    <row r="733085" spans="21:21" x14ac:dyDescent="0.3">
      <c r="U733085" s="25"/>
    </row>
    <row r="733107" spans="21:21" x14ac:dyDescent="0.3">
      <c r="U733107" s="25"/>
    </row>
    <row r="733129" spans="21:21" x14ac:dyDescent="0.3">
      <c r="U733129" s="25"/>
    </row>
    <row r="733151" spans="21:21" x14ac:dyDescent="0.3">
      <c r="U733151" s="25"/>
    </row>
    <row r="733173" spans="21:21" x14ac:dyDescent="0.3">
      <c r="U733173" s="25"/>
    </row>
    <row r="733195" spans="21:21" x14ac:dyDescent="0.3">
      <c r="U733195" s="25"/>
    </row>
    <row r="733217" spans="21:21" x14ac:dyDescent="0.3">
      <c r="U733217" s="25"/>
    </row>
    <row r="733239" spans="21:21" x14ac:dyDescent="0.3">
      <c r="U733239" s="25"/>
    </row>
    <row r="733261" spans="21:21" x14ac:dyDescent="0.3">
      <c r="U733261" s="25"/>
    </row>
    <row r="733283" spans="21:21" x14ac:dyDescent="0.3">
      <c r="U733283" s="25"/>
    </row>
    <row r="733305" spans="21:21" x14ac:dyDescent="0.3">
      <c r="U733305" s="25"/>
    </row>
    <row r="733327" spans="21:21" x14ac:dyDescent="0.3">
      <c r="U733327" s="25"/>
    </row>
    <row r="733349" spans="21:21" x14ac:dyDescent="0.3">
      <c r="U733349" s="25"/>
    </row>
    <row r="733371" spans="21:21" x14ac:dyDescent="0.3">
      <c r="U733371" s="25"/>
    </row>
    <row r="733393" spans="21:21" x14ac:dyDescent="0.3">
      <c r="U733393" s="25"/>
    </row>
    <row r="733415" spans="21:21" x14ac:dyDescent="0.3">
      <c r="U733415" s="25"/>
    </row>
    <row r="733437" spans="21:21" x14ac:dyDescent="0.3">
      <c r="U733437" s="25"/>
    </row>
    <row r="733459" spans="21:21" x14ac:dyDescent="0.3">
      <c r="U733459" s="25"/>
    </row>
    <row r="733481" spans="21:21" x14ac:dyDescent="0.3">
      <c r="U733481" s="25"/>
    </row>
    <row r="733503" spans="21:21" x14ac:dyDescent="0.3">
      <c r="U733503" s="25"/>
    </row>
    <row r="733525" spans="21:21" x14ac:dyDescent="0.3">
      <c r="U733525" s="25"/>
    </row>
    <row r="733547" spans="21:21" x14ac:dyDescent="0.3">
      <c r="U733547" s="25"/>
    </row>
    <row r="733569" spans="21:21" x14ac:dyDescent="0.3">
      <c r="U733569" s="25"/>
    </row>
    <row r="733591" spans="21:21" x14ac:dyDescent="0.3">
      <c r="U733591" s="25"/>
    </row>
    <row r="733613" spans="21:21" x14ac:dyDescent="0.3">
      <c r="U733613" s="25"/>
    </row>
    <row r="733635" spans="21:21" x14ac:dyDescent="0.3">
      <c r="U733635" s="25"/>
    </row>
    <row r="733657" spans="21:21" x14ac:dyDescent="0.3">
      <c r="U733657" s="25"/>
    </row>
    <row r="733679" spans="21:21" x14ac:dyDescent="0.3">
      <c r="U733679" s="25"/>
    </row>
    <row r="733701" spans="21:21" x14ac:dyDescent="0.3">
      <c r="U733701" s="25"/>
    </row>
    <row r="733723" spans="21:21" x14ac:dyDescent="0.3">
      <c r="U733723" s="25"/>
    </row>
    <row r="733745" spans="21:21" x14ac:dyDescent="0.3">
      <c r="U733745" s="25"/>
    </row>
    <row r="733767" spans="21:21" x14ac:dyDescent="0.3">
      <c r="U733767" s="25"/>
    </row>
    <row r="733789" spans="21:21" x14ac:dyDescent="0.3">
      <c r="U733789" s="25"/>
    </row>
    <row r="733811" spans="21:21" x14ac:dyDescent="0.3">
      <c r="U733811" s="25"/>
    </row>
    <row r="733833" spans="21:21" x14ac:dyDescent="0.3">
      <c r="U733833" s="25"/>
    </row>
    <row r="733855" spans="21:21" x14ac:dyDescent="0.3">
      <c r="U733855" s="25"/>
    </row>
    <row r="733877" spans="21:21" x14ac:dyDescent="0.3">
      <c r="U733877" s="25"/>
    </row>
    <row r="733899" spans="21:21" x14ac:dyDescent="0.3">
      <c r="U733899" s="25"/>
    </row>
    <row r="733921" spans="21:21" x14ac:dyDescent="0.3">
      <c r="U733921" s="25"/>
    </row>
    <row r="733943" spans="21:21" x14ac:dyDescent="0.3">
      <c r="U733943" s="25"/>
    </row>
    <row r="733965" spans="21:21" x14ac:dyDescent="0.3">
      <c r="U733965" s="25"/>
    </row>
    <row r="733987" spans="21:21" x14ac:dyDescent="0.3">
      <c r="U733987" s="25"/>
    </row>
    <row r="734009" spans="21:21" x14ac:dyDescent="0.3">
      <c r="U734009" s="25"/>
    </row>
    <row r="734031" spans="21:21" x14ac:dyDescent="0.3">
      <c r="U734031" s="25"/>
    </row>
    <row r="734053" spans="21:21" x14ac:dyDescent="0.3">
      <c r="U734053" s="25"/>
    </row>
    <row r="734075" spans="21:21" x14ac:dyDescent="0.3">
      <c r="U734075" s="25"/>
    </row>
    <row r="734097" spans="21:21" x14ac:dyDescent="0.3">
      <c r="U734097" s="25"/>
    </row>
    <row r="734119" spans="21:21" x14ac:dyDescent="0.3">
      <c r="U734119" s="25"/>
    </row>
    <row r="734141" spans="21:21" x14ac:dyDescent="0.3">
      <c r="U734141" s="25"/>
    </row>
    <row r="734163" spans="21:21" x14ac:dyDescent="0.3">
      <c r="U734163" s="25"/>
    </row>
    <row r="734185" spans="21:21" x14ac:dyDescent="0.3">
      <c r="U734185" s="25"/>
    </row>
    <row r="734207" spans="21:21" x14ac:dyDescent="0.3">
      <c r="U734207" s="25"/>
    </row>
    <row r="734229" spans="21:21" x14ac:dyDescent="0.3">
      <c r="U734229" s="25"/>
    </row>
    <row r="734251" spans="21:21" x14ac:dyDescent="0.3">
      <c r="U734251" s="25"/>
    </row>
    <row r="734273" spans="21:21" x14ac:dyDescent="0.3">
      <c r="U734273" s="25"/>
    </row>
    <row r="734295" spans="21:21" x14ac:dyDescent="0.3">
      <c r="U734295" s="25"/>
    </row>
    <row r="734317" spans="21:21" x14ac:dyDescent="0.3">
      <c r="U734317" s="25"/>
    </row>
    <row r="734339" spans="21:21" x14ac:dyDescent="0.3">
      <c r="U734339" s="25"/>
    </row>
    <row r="734361" spans="21:21" x14ac:dyDescent="0.3">
      <c r="U734361" s="25"/>
    </row>
    <row r="734383" spans="21:21" x14ac:dyDescent="0.3">
      <c r="U734383" s="25"/>
    </row>
    <row r="734405" spans="21:21" x14ac:dyDescent="0.3">
      <c r="U734405" s="25"/>
    </row>
    <row r="734427" spans="21:21" x14ac:dyDescent="0.3">
      <c r="U734427" s="25"/>
    </row>
    <row r="734449" spans="21:21" x14ac:dyDescent="0.3">
      <c r="U734449" s="25"/>
    </row>
    <row r="734471" spans="21:21" x14ac:dyDescent="0.3">
      <c r="U734471" s="25"/>
    </row>
    <row r="734493" spans="21:21" x14ac:dyDescent="0.3">
      <c r="U734493" s="25"/>
    </row>
    <row r="734515" spans="21:21" x14ac:dyDescent="0.3">
      <c r="U734515" s="25"/>
    </row>
    <row r="734537" spans="21:21" x14ac:dyDescent="0.3">
      <c r="U734537" s="25"/>
    </row>
    <row r="734559" spans="21:21" x14ac:dyDescent="0.3">
      <c r="U734559" s="25"/>
    </row>
    <row r="734581" spans="21:21" x14ac:dyDescent="0.3">
      <c r="U734581" s="25"/>
    </row>
    <row r="734603" spans="21:21" x14ac:dyDescent="0.3">
      <c r="U734603" s="25"/>
    </row>
    <row r="734625" spans="21:21" x14ac:dyDescent="0.3">
      <c r="U734625" s="25"/>
    </row>
    <row r="734647" spans="21:21" x14ac:dyDescent="0.3">
      <c r="U734647" s="25"/>
    </row>
    <row r="734669" spans="21:21" x14ac:dyDescent="0.3">
      <c r="U734669" s="25"/>
    </row>
    <row r="734691" spans="21:21" x14ac:dyDescent="0.3">
      <c r="U734691" s="25"/>
    </row>
    <row r="734713" spans="21:21" x14ac:dyDescent="0.3">
      <c r="U734713" s="25"/>
    </row>
    <row r="734735" spans="21:21" x14ac:dyDescent="0.3">
      <c r="U734735" s="25"/>
    </row>
    <row r="734757" spans="21:21" x14ac:dyDescent="0.3">
      <c r="U734757" s="25"/>
    </row>
    <row r="734779" spans="21:21" x14ac:dyDescent="0.3">
      <c r="U734779" s="25"/>
    </row>
    <row r="734801" spans="21:21" x14ac:dyDescent="0.3">
      <c r="U734801" s="25"/>
    </row>
    <row r="734823" spans="21:21" x14ac:dyDescent="0.3">
      <c r="U734823" s="25"/>
    </row>
    <row r="734845" spans="21:21" x14ac:dyDescent="0.3">
      <c r="U734845" s="25"/>
    </row>
    <row r="734867" spans="21:21" x14ac:dyDescent="0.3">
      <c r="U734867" s="25"/>
    </row>
    <row r="734889" spans="21:21" x14ac:dyDescent="0.3">
      <c r="U734889" s="25"/>
    </row>
    <row r="734911" spans="21:21" x14ac:dyDescent="0.3">
      <c r="U734911" s="25"/>
    </row>
    <row r="734933" spans="21:21" x14ac:dyDescent="0.3">
      <c r="U734933" s="25"/>
    </row>
    <row r="734955" spans="21:21" x14ac:dyDescent="0.3">
      <c r="U734955" s="25"/>
    </row>
    <row r="734977" spans="21:21" x14ac:dyDescent="0.3">
      <c r="U734977" s="25"/>
    </row>
    <row r="734999" spans="21:21" x14ac:dyDescent="0.3">
      <c r="U734999" s="25"/>
    </row>
    <row r="735021" spans="21:21" x14ac:dyDescent="0.3">
      <c r="U735021" s="25"/>
    </row>
    <row r="735043" spans="21:21" x14ac:dyDescent="0.3">
      <c r="U735043" s="25"/>
    </row>
    <row r="735065" spans="21:21" x14ac:dyDescent="0.3">
      <c r="U735065" s="25"/>
    </row>
    <row r="735087" spans="21:21" x14ac:dyDescent="0.3">
      <c r="U735087" s="25"/>
    </row>
    <row r="735109" spans="21:21" x14ac:dyDescent="0.3">
      <c r="U735109" s="25"/>
    </row>
    <row r="735131" spans="21:21" x14ac:dyDescent="0.3">
      <c r="U735131" s="25"/>
    </row>
    <row r="735153" spans="21:21" x14ac:dyDescent="0.3">
      <c r="U735153" s="25"/>
    </row>
    <row r="735175" spans="21:21" x14ac:dyDescent="0.3">
      <c r="U735175" s="25"/>
    </row>
    <row r="735197" spans="21:21" x14ac:dyDescent="0.3">
      <c r="U735197" s="25"/>
    </row>
    <row r="735219" spans="21:21" x14ac:dyDescent="0.3">
      <c r="U735219" s="25"/>
    </row>
    <row r="735241" spans="21:21" x14ac:dyDescent="0.3">
      <c r="U735241" s="25"/>
    </row>
    <row r="735263" spans="21:21" x14ac:dyDescent="0.3">
      <c r="U735263" s="25"/>
    </row>
    <row r="735285" spans="21:21" x14ac:dyDescent="0.3">
      <c r="U735285" s="25"/>
    </row>
    <row r="735307" spans="21:21" x14ac:dyDescent="0.3">
      <c r="U735307" s="25"/>
    </row>
    <row r="735329" spans="21:21" x14ac:dyDescent="0.3">
      <c r="U735329" s="25"/>
    </row>
    <row r="735351" spans="21:21" x14ac:dyDescent="0.3">
      <c r="U735351" s="25"/>
    </row>
    <row r="735373" spans="21:21" x14ac:dyDescent="0.3">
      <c r="U735373" s="25"/>
    </row>
    <row r="735395" spans="21:21" x14ac:dyDescent="0.3">
      <c r="U735395" s="25"/>
    </row>
    <row r="735417" spans="21:21" x14ac:dyDescent="0.3">
      <c r="U735417" s="25"/>
    </row>
    <row r="735439" spans="21:21" x14ac:dyDescent="0.3">
      <c r="U735439" s="25"/>
    </row>
    <row r="735461" spans="21:21" x14ac:dyDescent="0.3">
      <c r="U735461" s="25"/>
    </row>
    <row r="735483" spans="21:21" x14ac:dyDescent="0.3">
      <c r="U735483" s="25"/>
    </row>
    <row r="735505" spans="21:21" x14ac:dyDescent="0.3">
      <c r="U735505" s="25"/>
    </row>
    <row r="735527" spans="21:21" x14ac:dyDescent="0.3">
      <c r="U735527" s="25"/>
    </row>
    <row r="735549" spans="21:21" x14ac:dyDescent="0.3">
      <c r="U735549" s="25"/>
    </row>
    <row r="735571" spans="21:21" x14ac:dyDescent="0.3">
      <c r="U735571" s="25"/>
    </row>
    <row r="735593" spans="21:21" x14ac:dyDescent="0.3">
      <c r="U735593" s="25"/>
    </row>
    <row r="735615" spans="21:21" x14ac:dyDescent="0.3">
      <c r="U735615" s="25"/>
    </row>
    <row r="735637" spans="21:21" x14ac:dyDescent="0.3">
      <c r="U735637" s="25"/>
    </row>
    <row r="735659" spans="21:21" x14ac:dyDescent="0.3">
      <c r="U735659" s="25"/>
    </row>
    <row r="735681" spans="21:21" x14ac:dyDescent="0.3">
      <c r="U735681" s="25"/>
    </row>
    <row r="735703" spans="21:21" x14ac:dyDescent="0.3">
      <c r="U735703" s="25"/>
    </row>
    <row r="735725" spans="21:21" x14ac:dyDescent="0.3">
      <c r="U735725" s="25"/>
    </row>
    <row r="735747" spans="21:21" x14ac:dyDescent="0.3">
      <c r="U735747" s="25"/>
    </row>
    <row r="735769" spans="21:21" x14ac:dyDescent="0.3">
      <c r="U735769" s="25"/>
    </row>
    <row r="735791" spans="21:21" x14ac:dyDescent="0.3">
      <c r="U735791" s="25"/>
    </row>
    <row r="735813" spans="21:21" x14ac:dyDescent="0.3">
      <c r="U735813" s="25"/>
    </row>
    <row r="735835" spans="21:21" x14ac:dyDescent="0.3">
      <c r="U735835" s="25"/>
    </row>
    <row r="735857" spans="21:21" x14ac:dyDescent="0.3">
      <c r="U735857" s="25"/>
    </row>
    <row r="735879" spans="21:21" x14ac:dyDescent="0.3">
      <c r="U735879" s="25"/>
    </row>
    <row r="735901" spans="21:21" x14ac:dyDescent="0.3">
      <c r="U735901" s="25"/>
    </row>
    <row r="735923" spans="21:21" x14ac:dyDescent="0.3">
      <c r="U735923" s="25"/>
    </row>
    <row r="735945" spans="21:21" x14ac:dyDescent="0.3">
      <c r="U735945" s="25"/>
    </row>
    <row r="735967" spans="21:21" x14ac:dyDescent="0.3">
      <c r="U735967" s="25"/>
    </row>
    <row r="735989" spans="21:21" x14ac:dyDescent="0.3">
      <c r="U735989" s="25"/>
    </row>
    <row r="736011" spans="21:21" x14ac:dyDescent="0.3">
      <c r="U736011" s="25"/>
    </row>
    <row r="736033" spans="21:21" x14ac:dyDescent="0.3">
      <c r="U736033" s="25"/>
    </row>
    <row r="736055" spans="21:21" x14ac:dyDescent="0.3">
      <c r="U736055" s="25"/>
    </row>
    <row r="736077" spans="21:21" x14ac:dyDescent="0.3">
      <c r="U736077" s="25"/>
    </row>
    <row r="736099" spans="21:21" x14ac:dyDescent="0.3">
      <c r="U736099" s="25"/>
    </row>
    <row r="736121" spans="21:21" x14ac:dyDescent="0.3">
      <c r="U736121" s="25"/>
    </row>
    <row r="736143" spans="21:21" x14ac:dyDescent="0.3">
      <c r="U736143" s="25"/>
    </row>
    <row r="736165" spans="21:21" x14ac:dyDescent="0.3">
      <c r="U736165" s="25"/>
    </row>
    <row r="736187" spans="21:21" x14ac:dyDescent="0.3">
      <c r="U736187" s="25"/>
    </row>
    <row r="736209" spans="21:21" x14ac:dyDescent="0.3">
      <c r="U736209" s="25"/>
    </row>
    <row r="736231" spans="21:21" x14ac:dyDescent="0.3">
      <c r="U736231" s="25"/>
    </row>
    <row r="736253" spans="21:21" x14ac:dyDescent="0.3">
      <c r="U736253" s="25"/>
    </row>
    <row r="736275" spans="21:21" x14ac:dyDescent="0.3">
      <c r="U736275" s="25"/>
    </row>
    <row r="736297" spans="21:21" x14ac:dyDescent="0.3">
      <c r="U736297" s="25"/>
    </row>
    <row r="736319" spans="21:21" x14ac:dyDescent="0.3">
      <c r="U736319" s="25"/>
    </row>
    <row r="736341" spans="21:21" x14ac:dyDescent="0.3">
      <c r="U736341" s="25"/>
    </row>
    <row r="736363" spans="21:21" x14ac:dyDescent="0.3">
      <c r="U736363" s="25"/>
    </row>
    <row r="736385" spans="21:21" x14ac:dyDescent="0.3">
      <c r="U736385" s="25"/>
    </row>
    <row r="736407" spans="21:21" x14ac:dyDescent="0.3">
      <c r="U736407" s="25"/>
    </row>
    <row r="736429" spans="21:21" x14ac:dyDescent="0.3">
      <c r="U736429" s="25"/>
    </row>
    <row r="736451" spans="21:21" x14ac:dyDescent="0.3">
      <c r="U736451" s="25"/>
    </row>
    <row r="736473" spans="21:21" x14ac:dyDescent="0.3">
      <c r="U736473" s="25"/>
    </row>
    <row r="736495" spans="21:21" x14ac:dyDescent="0.3">
      <c r="U736495" s="25"/>
    </row>
    <row r="736517" spans="21:21" x14ac:dyDescent="0.3">
      <c r="U736517" s="25"/>
    </row>
    <row r="736539" spans="21:21" x14ac:dyDescent="0.3">
      <c r="U736539" s="25"/>
    </row>
    <row r="736561" spans="21:21" x14ac:dyDescent="0.3">
      <c r="U736561" s="25"/>
    </row>
    <row r="736583" spans="21:21" x14ac:dyDescent="0.3">
      <c r="U736583" s="25"/>
    </row>
    <row r="736605" spans="21:21" x14ac:dyDescent="0.3">
      <c r="U736605" s="25"/>
    </row>
    <row r="736627" spans="21:21" x14ac:dyDescent="0.3">
      <c r="U736627" s="25"/>
    </row>
    <row r="736649" spans="21:21" x14ac:dyDescent="0.3">
      <c r="U736649" s="25"/>
    </row>
    <row r="736671" spans="21:21" x14ac:dyDescent="0.3">
      <c r="U736671" s="25"/>
    </row>
    <row r="736693" spans="21:21" x14ac:dyDescent="0.3">
      <c r="U736693" s="25"/>
    </row>
    <row r="736715" spans="21:21" x14ac:dyDescent="0.3">
      <c r="U736715" s="25"/>
    </row>
    <row r="736737" spans="21:21" x14ac:dyDescent="0.3">
      <c r="U736737" s="25"/>
    </row>
    <row r="736759" spans="21:21" x14ac:dyDescent="0.3">
      <c r="U736759" s="25"/>
    </row>
    <row r="736781" spans="21:21" x14ac:dyDescent="0.3">
      <c r="U736781" s="25"/>
    </row>
    <row r="736803" spans="21:21" x14ac:dyDescent="0.3">
      <c r="U736803" s="25"/>
    </row>
    <row r="736825" spans="21:21" x14ac:dyDescent="0.3">
      <c r="U736825" s="25"/>
    </row>
    <row r="736847" spans="21:21" x14ac:dyDescent="0.3">
      <c r="U736847" s="25"/>
    </row>
    <row r="736869" spans="21:21" x14ac:dyDescent="0.3">
      <c r="U736869" s="25"/>
    </row>
    <row r="736891" spans="21:21" x14ac:dyDescent="0.3">
      <c r="U736891" s="25"/>
    </row>
    <row r="736913" spans="21:21" x14ac:dyDescent="0.3">
      <c r="U736913" s="25"/>
    </row>
    <row r="736935" spans="21:21" x14ac:dyDescent="0.3">
      <c r="U736935" s="25"/>
    </row>
    <row r="736957" spans="21:21" x14ac:dyDescent="0.3">
      <c r="U736957" s="25"/>
    </row>
    <row r="736979" spans="21:21" x14ac:dyDescent="0.3">
      <c r="U736979" s="25"/>
    </row>
    <row r="737001" spans="21:21" x14ac:dyDescent="0.3">
      <c r="U737001" s="25"/>
    </row>
    <row r="737023" spans="21:21" x14ac:dyDescent="0.3">
      <c r="U737023" s="25"/>
    </row>
    <row r="737045" spans="21:21" x14ac:dyDescent="0.3">
      <c r="U737045" s="25"/>
    </row>
    <row r="737067" spans="21:21" x14ac:dyDescent="0.3">
      <c r="U737067" s="25"/>
    </row>
    <row r="737089" spans="21:21" x14ac:dyDescent="0.3">
      <c r="U737089" s="25"/>
    </row>
    <row r="737111" spans="21:21" x14ac:dyDescent="0.3">
      <c r="U737111" s="25"/>
    </row>
    <row r="737133" spans="21:21" x14ac:dyDescent="0.3">
      <c r="U737133" s="25"/>
    </row>
    <row r="737155" spans="21:21" x14ac:dyDescent="0.3">
      <c r="U737155" s="25"/>
    </row>
    <row r="737177" spans="21:21" x14ac:dyDescent="0.3">
      <c r="U737177" s="25"/>
    </row>
    <row r="737199" spans="21:21" x14ac:dyDescent="0.3">
      <c r="U737199" s="25"/>
    </row>
    <row r="737221" spans="21:21" x14ac:dyDescent="0.3">
      <c r="U737221" s="25"/>
    </row>
    <row r="737243" spans="21:21" x14ac:dyDescent="0.3">
      <c r="U737243" s="25"/>
    </row>
    <row r="737265" spans="21:21" x14ac:dyDescent="0.3">
      <c r="U737265" s="25"/>
    </row>
    <row r="737287" spans="21:21" x14ac:dyDescent="0.3">
      <c r="U737287" s="25"/>
    </row>
    <row r="737309" spans="21:21" x14ac:dyDescent="0.3">
      <c r="U737309" s="25"/>
    </row>
    <row r="737331" spans="21:21" x14ac:dyDescent="0.3">
      <c r="U737331" s="25"/>
    </row>
    <row r="737353" spans="21:21" x14ac:dyDescent="0.3">
      <c r="U737353" s="25"/>
    </row>
    <row r="737375" spans="21:21" x14ac:dyDescent="0.3">
      <c r="U737375" s="25"/>
    </row>
    <row r="737397" spans="21:21" x14ac:dyDescent="0.3">
      <c r="U737397" s="25"/>
    </row>
    <row r="737419" spans="21:21" x14ac:dyDescent="0.3">
      <c r="U737419" s="25"/>
    </row>
    <row r="737441" spans="21:21" x14ac:dyDescent="0.3">
      <c r="U737441" s="25"/>
    </row>
    <row r="737463" spans="21:21" x14ac:dyDescent="0.3">
      <c r="U737463" s="25"/>
    </row>
    <row r="737485" spans="21:21" x14ac:dyDescent="0.3">
      <c r="U737485" s="25"/>
    </row>
    <row r="737507" spans="21:21" x14ac:dyDescent="0.3">
      <c r="U737507" s="25"/>
    </row>
    <row r="737529" spans="21:21" x14ac:dyDescent="0.3">
      <c r="U737529" s="25"/>
    </row>
    <row r="737551" spans="21:21" x14ac:dyDescent="0.3">
      <c r="U737551" s="25"/>
    </row>
    <row r="737573" spans="21:21" x14ac:dyDescent="0.3">
      <c r="U737573" s="25"/>
    </row>
    <row r="737595" spans="21:21" x14ac:dyDescent="0.3">
      <c r="U737595" s="25"/>
    </row>
    <row r="737617" spans="21:21" x14ac:dyDescent="0.3">
      <c r="U737617" s="25"/>
    </row>
    <row r="737639" spans="21:21" x14ac:dyDescent="0.3">
      <c r="U737639" s="25"/>
    </row>
    <row r="737661" spans="21:21" x14ac:dyDescent="0.3">
      <c r="U737661" s="25"/>
    </row>
    <row r="737683" spans="21:21" x14ac:dyDescent="0.3">
      <c r="U737683" s="25"/>
    </row>
    <row r="737705" spans="21:21" x14ac:dyDescent="0.3">
      <c r="U737705" s="25"/>
    </row>
    <row r="737727" spans="21:21" x14ac:dyDescent="0.3">
      <c r="U737727" s="25"/>
    </row>
    <row r="737749" spans="21:21" x14ac:dyDescent="0.3">
      <c r="U737749" s="25"/>
    </row>
    <row r="737771" spans="21:21" x14ac:dyDescent="0.3">
      <c r="U737771" s="25"/>
    </row>
    <row r="737793" spans="21:21" x14ac:dyDescent="0.3">
      <c r="U737793" s="25"/>
    </row>
    <row r="737815" spans="21:21" x14ac:dyDescent="0.3">
      <c r="U737815" s="25"/>
    </row>
    <row r="737837" spans="21:21" x14ac:dyDescent="0.3">
      <c r="U737837" s="25"/>
    </row>
    <row r="737859" spans="21:21" x14ac:dyDescent="0.3">
      <c r="U737859" s="25"/>
    </row>
    <row r="737881" spans="21:21" x14ac:dyDescent="0.3">
      <c r="U737881" s="25"/>
    </row>
    <row r="737903" spans="21:21" x14ac:dyDescent="0.3">
      <c r="U737903" s="25"/>
    </row>
    <row r="737925" spans="21:21" x14ac:dyDescent="0.3">
      <c r="U737925" s="25"/>
    </row>
    <row r="737947" spans="21:21" x14ac:dyDescent="0.3">
      <c r="U737947" s="25"/>
    </row>
    <row r="737969" spans="21:21" x14ac:dyDescent="0.3">
      <c r="U737969" s="25"/>
    </row>
    <row r="737991" spans="21:21" x14ac:dyDescent="0.3">
      <c r="U737991" s="25"/>
    </row>
    <row r="738013" spans="21:21" x14ac:dyDescent="0.3">
      <c r="U738013" s="25"/>
    </row>
    <row r="738035" spans="21:21" x14ac:dyDescent="0.3">
      <c r="U738035" s="25"/>
    </row>
    <row r="738057" spans="21:21" x14ac:dyDescent="0.3">
      <c r="U738057" s="25"/>
    </row>
    <row r="738079" spans="21:21" x14ac:dyDescent="0.3">
      <c r="U738079" s="25"/>
    </row>
    <row r="738101" spans="21:21" x14ac:dyDescent="0.3">
      <c r="U738101" s="25"/>
    </row>
    <row r="738123" spans="21:21" x14ac:dyDescent="0.3">
      <c r="U738123" s="25"/>
    </row>
    <row r="738145" spans="21:21" x14ac:dyDescent="0.3">
      <c r="U738145" s="25"/>
    </row>
    <row r="738167" spans="21:21" x14ac:dyDescent="0.3">
      <c r="U738167" s="25"/>
    </row>
    <row r="738189" spans="21:21" x14ac:dyDescent="0.3">
      <c r="U738189" s="25"/>
    </row>
    <row r="738211" spans="21:21" x14ac:dyDescent="0.3">
      <c r="U738211" s="25"/>
    </row>
    <row r="738233" spans="21:21" x14ac:dyDescent="0.3">
      <c r="U738233" s="25"/>
    </row>
    <row r="738255" spans="21:21" x14ac:dyDescent="0.3">
      <c r="U738255" s="25"/>
    </row>
    <row r="738277" spans="21:21" x14ac:dyDescent="0.3">
      <c r="U738277" s="25"/>
    </row>
    <row r="738299" spans="21:21" x14ac:dyDescent="0.3">
      <c r="U738299" s="25"/>
    </row>
    <row r="738321" spans="21:21" x14ac:dyDescent="0.3">
      <c r="U738321" s="25"/>
    </row>
    <row r="738343" spans="21:21" x14ac:dyDescent="0.3">
      <c r="U738343" s="25"/>
    </row>
    <row r="738365" spans="21:21" x14ac:dyDescent="0.3">
      <c r="U738365" s="25"/>
    </row>
    <row r="738387" spans="21:21" x14ac:dyDescent="0.3">
      <c r="U738387" s="25"/>
    </row>
    <row r="738409" spans="21:21" x14ac:dyDescent="0.3">
      <c r="U738409" s="25"/>
    </row>
    <row r="738431" spans="21:21" x14ac:dyDescent="0.3">
      <c r="U738431" s="25"/>
    </row>
    <row r="738453" spans="21:21" x14ac:dyDescent="0.3">
      <c r="U738453" s="25"/>
    </row>
    <row r="738475" spans="21:21" x14ac:dyDescent="0.3">
      <c r="U738475" s="25"/>
    </row>
    <row r="738497" spans="21:21" x14ac:dyDescent="0.3">
      <c r="U738497" s="25"/>
    </row>
    <row r="738519" spans="21:21" x14ac:dyDescent="0.3">
      <c r="U738519" s="25"/>
    </row>
    <row r="738541" spans="21:21" x14ac:dyDescent="0.3">
      <c r="U738541" s="25"/>
    </row>
    <row r="738563" spans="21:21" x14ac:dyDescent="0.3">
      <c r="U738563" s="25"/>
    </row>
    <row r="738585" spans="21:21" x14ac:dyDescent="0.3">
      <c r="U738585" s="25"/>
    </row>
    <row r="738607" spans="21:21" x14ac:dyDescent="0.3">
      <c r="U738607" s="25"/>
    </row>
    <row r="738629" spans="21:21" x14ac:dyDescent="0.3">
      <c r="U738629" s="25"/>
    </row>
    <row r="738651" spans="21:21" x14ac:dyDescent="0.3">
      <c r="U738651" s="25"/>
    </row>
    <row r="738673" spans="21:21" x14ac:dyDescent="0.3">
      <c r="U738673" s="25"/>
    </row>
    <row r="738695" spans="21:21" x14ac:dyDescent="0.3">
      <c r="U738695" s="25"/>
    </row>
    <row r="738717" spans="21:21" x14ac:dyDescent="0.3">
      <c r="U738717" s="25"/>
    </row>
    <row r="738739" spans="21:21" x14ac:dyDescent="0.3">
      <c r="U738739" s="25"/>
    </row>
    <row r="738761" spans="21:21" x14ac:dyDescent="0.3">
      <c r="U738761" s="25"/>
    </row>
    <row r="738783" spans="21:21" x14ac:dyDescent="0.3">
      <c r="U738783" s="25"/>
    </row>
    <row r="738805" spans="21:21" x14ac:dyDescent="0.3">
      <c r="U738805" s="25"/>
    </row>
    <row r="738827" spans="21:21" x14ac:dyDescent="0.3">
      <c r="U738827" s="25"/>
    </row>
    <row r="738849" spans="21:21" x14ac:dyDescent="0.3">
      <c r="U738849" s="25"/>
    </row>
    <row r="738871" spans="21:21" x14ac:dyDescent="0.3">
      <c r="U738871" s="25"/>
    </row>
    <row r="738893" spans="21:21" x14ac:dyDescent="0.3">
      <c r="U738893" s="25"/>
    </row>
    <row r="738915" spans="21:21" x14ac:dyDescent="0.3">
      <c r="U738915" s="25"/>
    </row>
    <row r="738937" spans="21:21" x14ac:dyDescent="0.3">
      <c r="U738937" s="25"/>
    </row>
    <row r="738959" spans="21:21" x14ac:dyDescent="0.3">
      <c r="U738959" s="25"/>
    </row>
    <row r="738981" spans="21:21" x14ac:dyDescent="0.3">
      <c r="U738981" s="25"/>
    </row>
    <row r="739003" spans="21:21" x14ac:dyDescent="0.3">
      <c r="U739003" s="25"/>
    </row>
    <row r="739025" spans="21:21" x14ac:dyDescent="0.3">
      <c r="U739025" s="25"/>
    </row>
    <row r="739047" spans="21:21" x14ac:dyDescent="0.3">
      <c r="U739047" s="25"/>
    </row>
    <row r="739069" spans="21:21" x14ac:dyDescent="0.3">
      <c r="U739069" s="25"/>
    </row>
    <row r="739091" spans="21:21" x14ac:dyDescent="0.3">
      <c r="U739091" s="25"/>
    </row>
    <row r="739113" spans="21:21" x14ac:dyDescent="0.3">
      <c r="U739113" s="25"/>
    </row>
    <row r="739135" spans="21:21" x14ac:dyDescent="0.3">
      <c r="U739135" s="25"/>
    </row>
    <row r="739157" spans="21:21" x14ac:dyDescent="0.3">
      <c r="U739157" s="25"/>
    </row>
    <row r="739179" spans="21:21" x14ac:dyDescent="0.3">
      <c r="U739179" s="25"/>
    </row>
    <row r="739201" spans="21:21" x14ac:dyDescent="0.3">
      <c r="U739201" s="25"/>
    </row>
    <row r="739223" spans="21:21" x14ac:dyDescent="0.3">
      <c r="U739223" s="25"/>
    </row>
    <row r="739245" spans="21:21" x14ac:dyDescent="0.3">
      <c r="U739245" s="25"/>
    </row>
    <row r="739267" spans="21:21" x14ac:dyDescent="0.3">
      <c r="U739267" s="25"/>
    </row>
    <row r="739289" spans="21:21" x14ac:dyDescent="0.3">
      <c r="U739289" s="25"/>
    </row>
    <row r="739311" spans="21:21" x14ac:dyDescent="0.3">
      <c r="U739311" s="25"/>
    </row>
    <row r="739333" spans="21:21" x14ac:dyDescent="0.3">
      <c r="U739333" s="25"/>
    </row>
    <row r="739355" spans="21:21" x14ac:dyDescent="0.3">
      <c r="U739355" s="25"/>
    </row>
    <row r="739377" spans="21:21" x14ac:dyDescent="0.3">
      <c r="U739377" s="25"/>
    </row>
    <row r="739399" spans="21:21" x14ac:dyDescent="0.3">
      <c r="U739399" s="25"/>
    </row>
    <row r="739421" spans="21:21" x14ac:dyDescent="0.3">
      <c r="U739421" s="25"/>
    </row>
    <row r="739443" spans="21:21" x14ac:dyDescent="0.3">
      <c r="U739443" s="25"/>
    </row>
    <row r="739465" spans="21:21" x14ac:dyDescent="0.3">
      <c r="U739465" s="25"/>
    </row>
    <row r="739487" spans="21:21" x14ac:dyDescent="0.3">
      <c r="U739487" s="25"/>
    </row>
    <row r="739509" spans="21:21" x14ac:dyDescent="0.3">
      <c r="U739509" s="25"/>
    </row>
    <row r="739531" spans="21:21" x14ac:dyDescent="0.3">
      <c r="U739531" s="25"/>
    </row>
    <row r="739553" spans="21:21" x14ac:dyDescent="0.3">
      <c r="U739553" s="25"/>
    </row>
    <row r="739575" spans="21:21" x14ac:dyDescent="0.3">
      <c r="U739575" s="25"/>
    </row>
    <row r="739597" spans="21:21" x14ac:dyDescent="0.3">
      <c r="U739597" s="25"/>
    </row>
    <row r="739619" spans="21:21" x14ac:dyDescent="0.3">
      <c r="U739619" s="25"/>
    </row>
    <row r="739641" spans="21:21" x14ac:dyDescent="0.3">
      <c r="U739641" s="25"/>
    </row>
    <row r="739663" spans="21:21" x14ac:dyDescent="0.3">
      <c r="U739663" s="25"/>
    </row>
    <row r="739685" spans="21:21" x14ac:dyDescent="0.3">
      <c r="U739685" s="25"/>
    </row>
    <row r="739707" spans="21:21" x14ac:dyDescent="0.3">
      <c r="U739707" s="25"/>
    </row>
    <row r="739729" spans="21:21" x14ac:dyDescent="0.3">
      <c r="U739729" s="25"/>
    </row>
    <row r="739751" spans="21:21" x14ac:dyDescent="0.3">
      <c r="U739751" s="25"/>
    </row>
    <row r="739773" spans="21:21" x14ac:dyDescent="0.3">
      <c r="U739773" s="25"/>
    </row>
    <row r="739795" spans="21:21" x14ac:dyDescent="0.3">
      <c r="U739795" s="25"/>
    </row>
    <row r="739817" spans="21:21" x14ac:dyDescent="0.3">
      <c r="U739817" s="25"/>
    </row>
    <row r="739839" spans="21:21" x14ac:dyDescent="0.3">
      <c r="U739839" s="25"/>
    </row>
    <row r="739861" spans="21:21" x14ac:dyDescent="0.3">
      <c r="U739861" s="25"/>
    </row>
    <row r="739883" spans="21:21" x14ac:dyDescent="0.3">
      <c r="U739883" s="25"/>
    </row>
    <row r="739905" spans="21:21" x14ac:dyDescent="0.3">
      <c r="U739905" s="25"/>
    </row>
    <row r="739927" spans="21:21" x14ac:dyDescent="0.3">
      <c r="U739927" s="25"/>
    </row>
    <row r="739949" spans="21:21" x14ac:dyDescent="0.3">
      <c r="U739949" s="25"/>
    </row>
    <row r="739971" spans="21:21" x14ac:dyDescent="0.3">
      <c r="U739971" s="25"/>
    </row>
    <row r="739993" spans="21:21" x14ac:dyDescent="0.3">
      <c r="U739993" s="25"/>
    </row>
    <row r="740015" spans="21:21" x14ac:dyDescent="0.3">
      <c r="U740015" s="25"/>
    </row>
    <row r="740037" spans="21:21" x14ac:dyDescent="0.3">
      <c r="U740037" s="25"/>
    </row>
    <row r="740059" spans="21:21" x14ac:dyDescent="0.3">
      <c r="U740059" s="25"/>
    </row>
    <row r="740081" spans="21:21" x14ac:dyDescent="0.3">
      <c r="U740081" s="25"/>
    </row>
    <row r="740103" spans="21:21" x14ac:dyDescent="0.3">
      <c r="U740103" s="25"/>
    </row>
    <row r="740125" spans="21:21" x14ac:dyDescent="0.3">
      <c r="U740125" s="25"/>
    </row>
    <row r="740147" spans="21:21" x14ac:dyDescent="0.3">
      <c r="U740147" s="25"/>
    </row>
    <row r="740169" spans="21:21" x14ac:dyDescent="0.3">
      <c r="U740169" s="25"/>
    </row>
    <row r="740191" spans="21:21" x14ac:dyDescent="0.3">
      <c r="U740191" s="25"/>
    </row>
    <row r="740213" spans="21:21" x14ac:dyDescent="0.3">
      <c r="U740213" s="25"/>
    </row>
    <row r="740235" spans="21:21" x14ac:dyDescent="0.3">
      <c r="U740235" s="25"/>
    </row>
    <row r="740257" spans="21:21" x14ac:dyDescent="0.3">
      <c r="U740257" s="25"/>
    </row>
    <row r="740279" spans="21:21" x14ac:dyDescent="0.3">
      <c r="U740279" s="25"/>
    </row>
    <row r="740301" spans="21:21" x14ac:dyDescent="0.3">
      <c r="U740301" s="25"/>
    </row>
    <row r="740323" spans="21:21" x14ac:dyDescent="0.3">
      <c r="U740323" s="25"/>
    </row>
    <row r="740345" spans="21:21" x14ac:dyDescent="0.3">
      <c r="U740345" s="25"/>
    </row>
    <row r="740367" spans="21:21" x14ac:dyDescent="0.3">
      <c r="U740367" s="25"/>
    </row>
    <row r="740389" spans="21:21" x14ac:dyDescent="0.3">
      <c r="U740389" s="25"/>
    </row>
    <row r="740411" spans="21:21" x14ac:dyDescent="0.3">
      <c r="U740411" s="25"/>
    </row>
    <row r="740433" spans="21:21" x14ac:dyDescent="0.3">
      <c r="U740433" s="25"/>
    </row>
    <row r="740455" spans="21:21" x14ac:dyDescent="0.3">
      <c r="U740455" s="25"/>
    </row>
    <row r="740477" spans="21:21" x14ac:dyDescent="0.3">
      <c r="U740477" s="25"/>
    </row>
    <row r="740499" spans="21:21" x14ac:dyDescent="0.3">
      <c r="U740499" s="25"/>
    </row>
    <row r="740521" spans="21:21" x14ac:dyDescent="0.3">
      <c r="U740521" s="25"/>
    </row>
    <row r="740543" spans="21:21" x14ac:dyDescent="0.3">
      <c r="U740543" s="25"/>
    </row>
    <row r="740565" spans="21:21" x14ac:dyDescent="0.3">
      <c r="U740565" s="25"/>
    </row>
    <row r="740587" spans="21:21" x14ac:dyDescent="0.3">
      <c r="U740587" s="25"/>
    </row>
    <row r="740609" spans="21:21" x14ac:dyDescent="0.3">
      <c r="U740609" s="25"/>
    </row>
    <row r="740631" spans="21:21" x14ac:dyDescent="0.3">
      <c r="U740631" s="25"/>
    </row>
    <row r="740653" spans="21:21" x14ac:dyDescent="0.3">
      <c r="U740653" s="25"/>
    </row>
    <row r="740675" spans="21:21" x14ac:dyDescent="0.3">
      <c r="U740675" s="25"/>
    </row>
    <row r="740697" spans="21:21" x14ac:dyDescent="0.3">
      <c r="U740697" s="25"/>
    </row>
    <row r="740719" spans="21:21" x14ac:dyDescent="0.3">
      <c r="U740719" s="25"/>
    </row>
    <row r="740741" spans="21:21" x14ac:dyDescent="0.3">
      <c r="U740741" s="25"/>
    </row>
    <row r="740763" spans="21:21" x14ac:dyDescent="0.3">
      <c r="U740763" s="25"/>
    </row>
    <row r="740785" spans="21:21" x14ac:dyDescent="0.3">
      <c r="U740785" s="25"/>
    </row>
    <row r="740807" spans="21:21" x14ac:dyDescent="0.3">
      <c r="U740807" s="25"/>
    </row>
    <row r="740829" spans="21:21" x14ac:dyDescent="0.3">
      <c r="U740829" s="25"/>
    </row>
    <row r="740851" spans="21:21" x14ac:dyDescent="0.3">
      <c r="U740851" s="25"/>
    </row>
    <row r="740873" spans="21:21" x14ac:dyDescent="0.3">
      <c r="U740873" s="25"/>
    </row>
    <row r="740895" spans="21:21" x14ac:dyDescent="0.3">
      <c r="U740895" s="25"/>
    </row>
    <row r="740917" spans="21:21" x14ac:dyDescent="0.3">
      <c r="U740917" s="25"/>
    </row>
    <row r="740939" spans="21:21" x14ac:dyDescent="0.3">
      <c r="U740939" s="25"/>
    </row>
    <row r="740961" spans="21:21" x14ac:dyDescent="0.3">
      <c r="U740961" s="25"/>
    </row>
    <row r="740983" spans="21:21" x14ac:dyDescent="0.3">
      <c r="U740983" s="25"/>
    </row>
    <row r="741005" spans="21:21" x14ac:dyDescent="0.3">
      <c r="U741005" s="25"/>
    </row>
    <row r="741027" spans="21:21" x14ac:dyDescent="0.3">
      <c r="U741027" s="25"/>
    </row>
    <row r="741049" spans="21:21" x14ac:dyDescent="0.3">
      <c r="U741049" s="25"/>
    </row>
    <row r="741071" spans="21:21" x14ac:dyDescent="0.3">
      <c r="U741071" s="25"/>
    </row>
    <row r="741093" spans="21:21" x14ac:dyDescent="0.3">
      <c r="U741093" s="25"/>
    </row>
    <row r="741115" spans="21:21" x14ac:dyDescent="0.3">
      <c r="U741115" s="25"/>
    </row>
    <row r="741137" spans="21:21" x14ac:dyDescent="0.3">
      <c r="U741137" s="25"/>
    </row>
    <row r="741159" spans="21:21" x14ac:dyDescent="0.3">
      <c r="U741159" s="25"/>
    </row>
    <row r="741181" spans="21:21" x14ac:dyDescent="0.3">
      <c r="U741181" s="25"/>
    </row>
    <row r="741203" spans="21:21" x14ac:dyDescent="0.3">
      <c r="U741203" s="25"/>
    </row>
    <row r="741225" spans="21:21" x14ac:dyDescent="0.3">
      <c r="U741225" s="25"/>
    </row>
    <row r="741247" spans="21:21" x14ac:dyDescent="0.3">
      <c r="U741247" s="25"/>
    </row>
    <row r="741269" spans="21:21" x14ac:dyDescent="0.3">
      <c r="U741269" s="25"/>
    </row>
    <row r="741291" spans="21:21" x14ac:dyDescent="0.3">
      <c r="U741291" s="25"/>
    </row>
    <row r="741313" spans="21:21" x14ac:dyDescent="0.3">
      <c r="U741313" s="25"/>
    </row>
    <row r="741335" spans="21:21" x14ac:dyDescent="0.3">
      <c r="U741335" s="25"/>
    </row>
    <row r="741357" spans="21:21" x14ac:dyDescent="0.3">
      <c r="U741357" s="25"/>
    </row>
    <row r="741379" spans="21:21" x14ac:dyDescent="0.3">
      <c r="U741379" s="25"/>
    </row>
    <row r="741401" spans="21:21" x14ac:dyDescent="0.3">
      <c r="U741401" s="25"/>
    </row>
    <row r="741423" spans="21:21" x14ac:dyDescent="0.3">
      <c r="U741423" s="25"/>
    </row>
    <row r="741445" spans="21:21" x14ac:dyDescent="0.3">
      <c r="U741445" s="25"/>
    </row>
    <row r="741467" spans="21:21" x14ac:dyDescent="0.3">
      <c r="U741467" s="25"/>
    </row>
    <row r="741489" spans="21:21" x14ac:dyDescent="0.3">
      <c r="U741489" s="25"/>
    </row>
    <row r="741511" spans="21:21" x14ac:dyDescent="0.3">
      <c r="U741511" s="25"/>
    </row>
    <row r="741533" spans="21:21" x14ac:dyDescent="0.3">
      <c r="U741533" s="25"/>
    </row>
    <row r="741555" spans="21:21" x14ac:dyDescent="0.3">
      <c r="U741555" s="25"/>
    </row>
    <row r="741577" spans="21:21" x14ac:dyDescent="0.3">
      <c r="U741577" s="25"/>
    </row>
    <row r="741599" spans="21:21" x14ac:dyDescent="0.3">
      <c r="U741599" s="25"/>
    </row>
    <row r="741621" spans="21:21" x14ac:dyDescent="0.3">
      <c r="U741621" s="25"/>
    </row>
    <row r="741643" spans="21:21" x14ac:dyDescent="0.3">
      <c r="U741643" s="25"/>
    </row>
    <row r="741665" spans="21:21" x14ac:dyDescent="0.3">
      <c r="U741665" s="25"/>
    </row>
    <row r="741687" spans="21:21" x14ac:dyDescent="0.3">
      <c r="U741687" s="25"/>
    </row>
    <row r="741709" spans="21:21" x14ac:dyDescent="0.3">
      <c r="U741709" s="25"/>
    </row>
    <row r="741731" spans="21:21" x14ac:dyDescent="0.3">
      <c r="U741731" s="25"/>
    </row>
    <row r="741753" spans="21:21" x14ac:dyDescent="0.3">
      <c r="U741753" s="25"/>
    </row>
    <row r="741775" spans="21:21" x14ac:dyDescent="0.3">
      <c r="U741775" s="25"/>
    </row>
    <row r="741797" spans="21:21" x14ac:dyDescent="0.3">
      <c r="U741797" s="25"/>
    </row>
    <row r="741819" spans="21:21" x14ac:dyDescent="0.3">
      <c r="U741819" s="25"/>
    </row>
    <row r="741841" spans="21:21" x14ac:dyDescent="0.3">
      <c r="U741841" s="25"/>
    </row>
    <row r="741863" spans="21:21" x14ac:dyDescent="0.3">
      <c r="U741863" s="25"/>
    </row>
    <row r="741885" spans="21:21" x14ac:dyDescent="0.3">
      <c r="U741885" s="25"/>
    </row>
    <row r="741907" spans="21:21" x14ac:dyDescent="0.3">
      <c r="U741907" s="25"/>
    </row>
    <row r="741929" spans="21:21" x14ac:dyDescent="0.3">
      <c r="U741929" s="25"/>
    </row>
    <row r="741951" spans="21:21" x14ac:dyDescent="0.3">
      <c r="U741951" s="25"/>
    </row>
    <row r="741973" spans="21:21" x14ac:dyDescent="0.3">
      <c r="U741973" s="25"/>
    </row>
    <row r="741995" spans="21:21" x14ac:dyDescent="0.3">
      <c r="U741995" s="25"/>
    </row>
    <row r="742017" spans="21:21" x14ac:dyDescent="0.3">
      <c r="U742017" s="25"/>
    </row>
    <row r="742039" spans="21:21" x14ac:dyDescent="0.3">
      <c r="U742039" s="25"/>
    </row>
    <row r="742061" spans="21:21" x14ac:dyDescent="0.3">
      <c r="U742061" s="25"/>
    </row>
    <row r="742083" spans="21:21" x14ac:dyDescent="0.3">
      <c r="U742083" s="25"/>
    </row>
    <row r="742105" spans="21:21" x14ac:dyDescent="0.3">
      <c r="U742105" s="25"/>
    </row>
    <row r="742127" spans="21:21" x14ac:dyDescent="0.3">
      <c r="U742127" s="25"/>
    </row>
    <row r="742149" spans="21:21" x14ac:dyDescent="0.3">
      <c r="U742149" s="25"/>
    </row>
    <row r="742171" spans="21:21" x14ac:dyDescent="0.3">
      <c r="U742171" s="25"/>
    </row>
    <row r="742193" spans="21:21" x14ac:dyDescent="0.3">
      <c r="U742193" s="25"/>
    </row>
    <row r="742215" spans="21:21" x14ac:dyDescent="0.3">
      <c r="U742215" s="25"/>
    </row>
    <row r="742237" spans="21:21" x14ac:dyDescent="0.3">
      <c r="U742237" s="25"/>
    </row>
    <row r="742259" spans="21:21" x14ac:dyDescent="0.3">
      <c r="U742259" s="25"/>
    </row>
    <row r="742281" spans="21:21" x14ac:dyDescent="0.3">
      <c r="U742281" s="25"/>
    </row>
    <row r="742303" spans="21:21" x14ac:dyDescent="0.3">
      <c r="U742303" s="25"/>
    </row>
    <row r="742325" spans="21:21" x14ac:dyDescent="0.3">
      <c r="U742325" s="25"/>
    </row>
    <row r="742347" spans="21:21" x14ac:dyDescent="0.3">
      <c r="U742347" s="25"/>
    </row>
    <row r="742369" spans="21:21" x14ac:dyDescent="0.3">
      <c r="U742369" s="25"/>
    </row>
    <row r="742391" spans="21:21" x14ac:dyDescent="0.3">
      <c r="U742391" s="25"/>
    </row>
    <row r="742413" spans="21:21" x14ac:dyDescent="0.3">
      <c r="U742413" s="25"/>
    </row>
    <row r="742435" spans="21:21" x14ac:dyDescent="0.3">
      <c r="U742435" s="25"/>
    </row>
    <row r="742457" spans="21:21" x14ac:dyDescent="0.3">
      <c r="U742457" s="25"/>
    </row>
    <row r="742479" spans="21:21" x14ac:dyDescent="0.3">
      <c r="U742479" s="25"/>
    </row>
    <row r="742501" spans="21:21" x14ac:dyDescent="0.3">
      <c r="U742501" s="25"/>
    </row>
    <row r="742523" spans="21:21" x14ac:dyDescent="0.3">
      <c r="U742523" s="25"/>
    </row>
    <row r="742545" spans="21:21" x14ac:dyDescent="0.3">
      <c r="U742545" s="25"/>
    </row>
    <row r="742567" spans="21:21" x14ac:dyDescent="0.3">
      <c r="U742567" s="25"/>
    </row>
    <row r="742589" spans="21:21" x14ac:dyDescent="0.3">
      <c r="U742589" s="25"/>
    </row>
    <row r="742611" spans="21:21" x14ac:dyDescent="0.3">
      <c r="U742611" s="25"/>
    </row>
    <row r="742633" spans="21:21" x14ac:dyDescent="0.3">
      <c r="U742633" s="25"/>
    </row>
    <row r="742655" spans="21:21" x14ac:dyDescent="0.3">
      <c r="U742655" s="25"/>
    </row>
    <row r="742677" spans="21:21" x14ac:dyDescent="0.3">
      <c r="U742677" s="25"/>
    </row>
    <row r="742699" spans="21:21" x14ac:dyDescent="0.3">
      <c r="U742699" s="25"/>
    </row>
    <row r="742721" spans="21:21" x14ac:dyDescent="0.3">
      <c r="U742721" s="25"/>
    </row>
    <row r="742743" spans="21:21" x14ac:dyDescent="0.3">
      <c r="U742743" s="25"/>
    </row>
    <row r="742765" spans="21:21" x14ac:dyDescent="0.3">
      <c r="U742765" s="25"/>
    </row>
    <row r="742787" spans="21:21" x14ac:dyDescent="0.3">
      <c r="U742787" s="25"/>
    </row>
    <row r="742809" spans="21:21" x14ac:dyDescent="0.3">
      <c r="U742809" s="25"/>
    </row>
    <row r="742831" spans="21:21" x14ac:dyDescent="0.3">
      <c r="U742831" s="25"/>
    </row>
    <row r="742853" spans="21:21" x14ac:dyDescent="0.3">
      <c r="U742853" s="25"/>
    </row>
    <row r="742875" spans="21:21" x14ac:dyDescent="0.3">
      <c r="U742875" s="25"/>
    </row>
    <row r="742897" spans="21:21" x14ac:dyDescent="0.3">
      <c r="U742897" s="25"/>
    </row>
    <row r="742919" spans="21:21" x14ac:dyDescent="0.3">
      <c r="U742919" s="25"/>
    </row>
    <row r="742941" spans="21:21" x14ac:dyDescent="0.3">
      <c r="U742941" s="25"/>
    </row>
    <row r="742963" spans="21:21" x14ac:dyDescent="0.3">
      <c r="U742963" s="25"/>
    </row>
    <row r="742985" spans="21:21" x14ac:dyDescent="0.3">
      <c r="U742985" s="25"/>
    </row>
    <row r="743007" spans="21:21" x14ac:dyDescent="0.3">
      <c r="U743007" s="25"/>
    </row>
    <row r="743029" spans="21:21" x14ac:dyDescent="0.3">
      <c r="U743029" s="25"/>
    </row>
    <row r="743051" spans="21:21" x14ac:dyDescent="0.3">
      <c r="U743051" s="25"/>
    </row>
    <row r="743073" spans="21:21" x14ac:dyDescent="0.3">
      <c r="U743073" s="25"/>
    </row>
    <row r="743095" spans="21:21" x14ac:dyDescent="0.3">
      <c r="U743095" s="25"/>
    </row>
    <row r="743117" spans="21:21" x14ac:dyDescent="0.3">
      <c r="U743117" s="25"/>
    </row>
    <row r="743139" spans="21:21" x14ac:dyDescent="0.3">
      <c r="U743139" s="25"/>
    </row>
    <row r="743161" spans="21:21" x14ac:dyDescent="0.3">
      <c r="U743161" s="25"/>
    </row>
    <row r="743183" spans="21:21" x14ac:dyDescent="0.3">
      <c r="U743183" s="25"/>
    </row>
    <row r="743205" spans="21:21" x14ac:dyDescent="0.3">
      <c r="U743205" s="25"/>
    </row>
    <row r="743227" spans="21:21" x14ac:dyDescent="0.3">
      <c r="U743227" s="25"/>
    </row>
    <row r="743249" spans="21:21" x14ac:dyDescent="0.3">
      <c r="U743249" s="25"/>
    </row>
    <row r="743271" spans="21:21" x14ac:dyDescent="0.3">
      <c r="U743271" s="25"/>
    </row>
    <row r="743293" spans="21:21" x14ac:dyDescent="0.3">
      <c r="U743293" s="25"/>
    </row>
    <row r="743315" spans="21:21" x14ac:dyDescent="0.3">
      <c r="U743315" s="25"/>
    </row>
    <row r="743337" spans="21:21" x14ac:dyDescent="0.3">
      <c r="U743337" s="25"/>
    </row>
    <row r="743359" spans="21:21" x14ac:dyDescent="0.3">
      <c r="U743359" s="25"/>
    </row>
    <row r="743381" spans="21:21" x14ac:dyDescent="0.3">
      <c r="U743381" s="25"/>
    </row>
    <row r="743403" spans="21:21" x14ac:dyDescent="0.3">
      <c r="U743403" s="25"/>
    </row>
    <row r="743425" spans="21:21" x14ac:dyDescent="0.3">
      <c r="U743425" s="25"/>
    </row>
    <row r="743447" spans="21:21" x14ac:dyDescent="0.3">
      <c r="U743447" s="25"/>
    </row>
    <row r="743469" spans="21:21" x14ac:dyDescent="0.3">
      <c r="U743469" s="25"/>
    </row>
    <row r="743491" spans="21:21" x14ac:dyDescent="0.3">
      <c r="U743491" s="25"/>
    </row>
    <row r="743513" spans="21:21" x14ac:dyDescent="0.3">
      <c r="U743513" s="25"/>
    </row>
    <row r="743535" spans="21:21" x14ac:dyDescent="0.3">
      <c r="U743535" s="25"/>
    </row>
    <row r="743557" spans="21:21" x14ac:dyDescent="0.3">
      <c r="U743557" s="25"/>
    </row>
    <row r="743579" spans="21:21" x14ac:dyDescent="0.3">
      <c r="U743579" s="25"/>
    </row>
    <row r="743601" spans="21:21" x14ac:dyDescent="0.3">
      <c r="U743601" s="25"/>
    </row>
    <row r="743623" spans="21:21" x14ac:dyDescent="0.3">
      <c r="U743623" s="25"/>
    </row>
    <row r="743645" spans="21:21" x14ac:dyDescent="0.3">
      <c r="U743645" s="25"/>
    </row>
    <row r="743667" spans="21:21" x14ac:dyDescent="0.3">
      <c r="U743667" s="25"/>
    </row>
    <row r="743689" spans="21:21" x14ac:dyDescent="0.3">
      <c r="U743689" s="25"/>
    </row>
    <row r="743711" spans="21:21" x14ac:dyDescent="0.3">
      <c r="U743711" s="25"/>
    </row>
    <row r="743733" spans="21:21" x14ac:dyDescent="0.3">
      <c r="U743733" s="25"/>
    </row>
    <row r="743755" spans="21:21" x14ac:dyDescent="0.3">
      <c r="U743755" s="25"/>
    </row>
    <row r="743777" spans="21:21" x14ac:dyDescent="0.3">
      <c r="U743777" s="25"/>
    </row>
    <row r="743799" spans="21:21" x14ac:dyDescent="0.3">
      <c r="U743799" s="25"/>
    </row>
    <row r="743821" spans="21:21" x14ac:dyDescent="0.3">
      <c r="U743821" s="25"/>
    </row>
    <row r="743843" spans="21:21" x14ac:dyDescent="0.3">
      <c r="U743843" s="25"/>
    </row>
    <row r="743865" spans="21:21" x14ac:dyDescent="0.3">
      <c r="U743865" s="25"/>
    </row>
    <row r="743887" spans="21:21" x14ac:dyDescent="0.3">
      <c r="U743887" s="25"/>
    </row>
    <row r="743909" spans="21:21" x14ac:dyDescent="0.3">
      <c r="U743909" s="25"/>
    </row>
    <row r="743931" spans="21:21" x14ac:dyDescent="0.3">
      <c r="U743931" s="25"/>
    </row>
    <row r="743953" spans="21:21" x14ac:dyDescent="0.3">
      <c r="U743953" s="25"/>
    </row>
    <row r="743975" spans="21:21" x14ac:dyDescent="0.3">
      <c r="U743975" s="25"/>
    </row>
    <row r="743997" spans="21:21" x14ac:dyDescent="0.3">
      <c r="U743997" s="25"/>
    </row>
    <row r="744019" spans="21:21" x14ac:dyDescent="0.3">
      <c r="U744019" s="25"/>
    </row>
    <row r="744041" spans="21:21" x14ac:dyDescent="0.3">
      <c r="U744041" s="25"/>
    </row>
    <row r="744063" spans="21:21" x14ac:dyDescent="0.3">
      <c r="U744063" s="25"/>
    </row>
    <row r="744085" spans="21:21" x14ac:dyDescent="0.3">
      <c r="U744085" s="25"/>
    </row>
    <row r="744107" spans="21:21" x14ac:dyDescent="0.3">
      <c r="U744107" s="25"/>
    </row>
    <row r="744129" spans="21:21" x14ac:dyDescent="0.3">
      <c r="U744129" s="25"/>
    </row>
    <row r="744151" spans="21:21" x14ac:dyDescent="0.3">
      <c r="U744151" s="25"/>
    </row>
    <row r="744173" spans="21:21" x14ac:dyDescent="0.3">
      <c r="U744173" s="25"/>
    </row>
    <row r="744195" spans="21:21" x14ac:dyDescent="0.3">
      <c r="U744195" s="25"/>
    </row>
    <row r="744217" spans="21:21" x14ac:dyDescent="0.3">
      <c r="U744217" s="25"/>
    </row>
    <row r="744239" spans="21:21" x14ac:dyDescent="0.3">
      <c r="U744239" s="25"/>
    </row>
    <row r="744261" spans="21:21" x14ac:dyDescent="0.3">
      <c r="U744261" s="25"/>
    </row>
    <row r="744283" spans="21:21" x14ac:dyDescent="0.3">
      <c r="U744283" s="25"/>
    </row>
    <row r="744305" spans="21:21" x14ac:dyDescent="0.3">
      <c r="U744305" s="25"/>
    </row>
    <row r="744327" spans="21:21" x14ac:dyDescent="0.3">
      <c r="U744327" s="25"/>
    </row>
    <row r="744349" spans="21:21" x14ac:dyDescent="0.3">
      <c r="U744349" s="25"/>
    </row>
    <row r="744371" spans="21:21" x14ac:dyDescent="0.3">
      <c r="U744371" s="25"/>
    </row>
    <row r="744393" spans="21:21" x14ac:dyDescent="0.3">
      <c r="U744393" s="25"/>
    </row>
    <row r="744415" spans="21:21" x14ac:dyDescent="0.3">
      <c r="U744415" s="25"/>
    </row>
    <row r="744437" spans="21:21" x14ac:dyDescent="0.3">
      <c r="U744437" s="25"/>
    </row>
    <row r="744459" spans="21:21" x14ac:dyDescent="0.3">
      <c r="U744459" s="25"/>
    </row>
    <row r="744481" spans="21:21" x14ac:dyDescent="0.3">
      <c r="U744481" s="25"/>
    </row>
    <row r="744503" spans="21:21" x14ac:dyDescent="0.3">
      <c r="U744503" s="25"/>
    </row>
    <row r="744525" spans="21:21" x14ac:dyDescent="0.3">
      <c r="U744525" s="25"/>
    </row>
    <row r="744547" spans="21:21" x14ac:dyDescent="0.3">
      <c r="U744547" s="25"/>
    </row>
    <row r="744569" spans="21:21" x14ac:dyDescent="0.3">
      <c r="U744569" s="25"/>
    </row>
    <row r="744591" spans="21:21" x14ac:dyDescent="0.3">
      <c r="U744591" s="25"/>
    </row>
    <row r="744613" spans="21:21" x14ac:dyDescent="0.3">
      <c r="U744613" s="25"/>
    </row>
    <row r="744635" spans="21:21" x14ac:dyDescent="0.3">
      <c r="U744635" s="25"/>
    </row>
    <row r="744657" spans="21:21" x14ac:dyDescent="0.3">
      <c r="U744657" s="25"/>
    </row>
    <row r="744679" spans="21:21" x14ac:dyDescent="0.3">
      <c r="U744679" s="25"/>
    </row>
    <row r="744701" spans="21:21" x14ac:dyDescent="0.3">
      <c r="U744701" s="25"/>
    </row>
    <row r="744723" spans="21:21" x14ac:dyDescent="0.3">
      <c r="U744723" s="25"/>
    </row>
    <row r="744745" spans="21:21" x14ac:dyDescent="0.3">
      <c r="U744745" s="25"/>
    </row>
    <row r="744767" spans="21:21" x14ac:dyDescent="0.3">
      <c r="U744767" s="25"/>
    </row>
    <row r="744789" spans="21:21" x14ac:dyDescent="0.3">
      <c r="U744789" s="25"/>
    </row>
    <row r="744811" spans="21:21" x14ac:dyDescent="0.3">
      <c r="U744811" s="25"/>
    </row>
    <row r="744833" spans="21:21" x14ac:dyDescent="0.3">
      <c r="U744833" s="25"/>
    </row>
    <row r="744855" spans="21:21" x14ac:dyDescent="0.3">
      <c r="U744855" s="25"/>
    </row>
    <row r="744877" spans="21:21" x14ac:dyDescent="0.3">
      <c r="U744877" s="25"/>
    </row>
    <row r="744899" spans="21:21" x14ac:dyDescent="0.3">
      <c r="U744899" s="25"/>
    </row>
    <row r="744921" spans="21:21" x14ac:dyDescent="0.3">
      <c r="U744921" s="25"/>
    </row>
    <row r="744943" spans="21:21" x14ac:dyDescent="0.3">
      <c r="U744943" s="25"/>
    </row>
    <row r="744965" spans="21:21" x14ac:dyDescent="0.3">
      <c r="U744965" s="25"/>
    </row>
    <row r="744987" spans="21:21" x14ac:dyDescent="0.3">
      <c r="U744987" s="25"/>
    </row>
    <row r="745009" spans="21:21" x14ac:dyDescent="0.3">
      <c r="U745009" s="25"/>
    </row>
    <row r="745031" spans="21:21" x14ac:dyDescent="0.3">
      <c r="U745031" s="25"/>
    </row>
    <row r="745053" spans="21:21" x14ac:dyDescent="0.3">
      <c r="U745053" s="25"/>
    </row>
    <row r="745075" spans="21:21" x14ac:dyDescent="0.3">
      <c r="U745075" s="25"/>
    </row>
    <row r="745097" spans="21:21" x14ac:dyDescent="0.3">
      <c r="U745097" s="25"/>
    </row>
    <row r="745119" spans="21:21" x14ac:dyDescent="0.3">
      <c r="U745119" s="25"/>
    </row>
    <row r="745141" spans="21:21" x14ac:dyDescent="0.3">
      <c r="U745141" s="25"/>
    </row>
    <row r="745163" spans="21:21" x14ac:dyDescent="0.3">
      <c r="U745163" s="25"/>
    </row>
    <row r="745185" spans="21:21" x14ac:dyDescent="0.3">
      <c r="U745185" s="25"/>
    </row>
    <row r="745207" spans="21:21" x14ac:dyDescent="0.3">
      <c r="U745207" s="25"/>
    </row>
    <row r="745229" spans="21:21" x14ac:dyDescent="0.3">
      <c r="U745229" s="25"/>
    </row>
    <row r="745251" spans="21:21" x14ac:dyDescent="0.3">
      <c r="U745251" s="25"/>
    </row>
    <row r="745273" spans="21:21" x14ac:dyDescent="0.3">
      <c r="U745273" s="25"/>
    </row>
    <row r="745295" spans="21:21" x14ac:dyDescent="0.3">
      <c r="U745295" s="25"/>
    </row>
    <row r="745317" spans="21:21" x14ac:dyDescent="0.3">
      <c r="U745317" s="25"/>
    </row>
    <row r="745339" spans="21:21" x14ac:dyDescent="0.3">
      <c r="U745339" s="25"/>
    </row>
    <row r="745361" spans="21:21" x14ac:dyDescent="0.3">
      <c r="U745361" s="25"/>
    </row>
    <row r="745383" spans="21:21" x14ac:dyDescent="0.3">
      <c r="U745383" s="25"/>
    </row>
    <row r="745405" spans="21:21" x14ac:dyDescent="0.3">
      <c r="U745405" s="25"/>
    </row>
    <row r="745427" spans="21:21" x14ac:dyDescent="0.3">
      <c r="U745427" s="25"/>
    </row>
    <row r="745449" spans="21:21" x14ac:dyDescent="0.3">
      <c r="U745449" s="25"/>
    </row>
    <row r="745471" spans="21:21" x14ac:dyDescent="0.3">
      <c r="U745471" s="25"/>
    </row>
    <row r="745493" spans="21:21" x14ac:dyDescent="0.3">
      <c r="U745493" s="25"/>
    </row>
    <row r="745515" spans="21:21" x14ac:dyDescent="0.3">
      <c r="U745515" s="25"/>
    </row>
    <row r="745537" spans="21:21" x14ac:dyDescent="0.3">
      <c r="U745537" s="25"/>
    </row>
    <row r="745559" spans="21:21" x14ac:dyDescent="0.3">
      <c r="U745559" s="25"/>
    </row>
    <row r="745581" spans="21:21" x14ac:dyDescent="0.3">
      <c r="U745581" s="25"/>
    </row>
    <row r="745603" spans="21:21" x14ac:dyDescent="0.3">
      <c r="U745603" s="25"/>
    </row>
    <row r="745625" spans="21:21" x14ac:dyDescent="0.3">
      <c r="U745625" s="25"/>
    </row>
    <row r="745647" spans="21:21" x14ac:dyDescent="0.3">
      <c r="U745647" s="25"/>
    </row>
    <row r="745669" spans="21:21" x14ac:dyDescent="0.3">
      <c r="U745669" s="25"/>
    </row>
    <row r="745691" spans="21:21" x14ac:dyDescent="0.3">
      <c r="U745691" s="25"/>
    </row>
    <row r="745713" spans="21:21" x14ac:dyDescent="0.3">
      <c r="U745713" s="25"/>
    </row>
    <row r="745735" spans="21:21" x14ac:dyDescent="0.3">
      <c r="U745735" s="25"/>
    </row>
    <row r="745757" spans="21:21" x14ac:dyDescent="0.3">
      <c r="U745757" s="25"/>
    </row>
    <row r="745779" spans="21:21" x14ac:dyDescent="0.3">
      <c r="U745779" s="25"/>
    </row>
    <row r="745801" spans="21:21" x14ac:dyDescent="0.3">
      <c r="U745801" s="25"/>
    </row>
    <row r="745823" spans="21:21" x14ac:dyDescent="0.3">
      <c r="U745823" s="25"/>
    </row>
    <row r="745845" spans="21:21" x14ac:dyDescent="0.3">
      <c r="U745845" s="25"/>
    </row>
    <row r="745867" spans="21:21" x14ac:dyDescent="0.3">
      <c r="U745867" s="25"/>
    </row>
    <row r="745889" spans="21:21" x14ac:dyDescent="0.3">
      <c r="U745889" s="25"/>
    </row>
    <row r="745911" spans="21:21" x14ac:dyDescent="0.3">
      <c r="U745911" s="25"/>
    </row>
    <row r="745933" spans="21:21" x14ac:dyDescent="0.3">
      <c r="U745933" s="25"/>
    </row>
    <row r="745955" spans="21:21" x14ac:dyDescent="0.3">
      <c r="U745955" s="25"/>
    </row>
    <row r="745977" spans="21:21" x14ac:dyDescent="0.3">
      <c r="U745977" s="25"/>
    </row>
    <row r="745999" spans="21:21" x14ac:dyDescent="0.3">
      <c r="U745999" s="25"/>
    </row>
    <row r="746021" spans="21:21" x14ac:dyDescent="0.3">
      <c r="U746021" s="25"/>
    </row>
    <row r="746043" spans="21:21" x14ac:dyDescent="0.3">
      <c r="U746043" s="25"/>
    </row>
    <row r="746065" spans="21:21" x14ac:dyDescent="0.3">
      <c r="U746065" s="25"/>
    </row>
    <row r="746087" spans="21:21" x14ac:dyDescent="0.3">
      <c r="U746087" s="25"/>
    </row>
    <row r="746109" spans="21:21" x14ac:dyDescent="0.3">
      <c r="U746109" s="25"/>
    </row>
    <row r="746131" spans="21:21" x14ac:dyDescent="0.3">
      <c r="U746131" s="25"/>
    </row>
    <row r="746153" spans="21:21" x14ac:dyDescent="0.3">
      <c r="U746153" s="25"/>
    </row>
    <row r="746175" spans="21:21" x14ac:dyDescent="0.3">
      <c r="U746175" s="25"/>
    </row>
    <row r="746197" spans="21:21" x14ac:dyDescent="0.3">
      <c r="U746197" s="25"/>
    </row>
    <row r="746219" spans="21:21" x14ac:dyDescent="0.3">
      <c r="U746219" s="25"/>
    </row>
    <row r="746241" spans="21:21" x14ac:dyDescent="0.3">
      <c r="U746241" s="25"/>
    </row>
    <row r="746263" spans="21:21" x14ac:dyDescent="0.3">
      <c r="U746263" s="25"/>
    </row>
    <row r="746285" spans="21:21" x14ac:dyDescent="0.3">
      <c r="U746285" s="25"/>
    </row>
    <row r="746307" spans="21:21" x14ac:dyDescent="0.3">
      <c r="U746307" s="25"/>
    </row>
    <row r="746329" spans="21:21" x14ac:dyDescent="0.3">
      <c r="U746329" s="25"/>
    </row>
    <row r="746351" spans="21:21" x14ac:dyDescent="0.3">
      <c r="U746351" s="25"/>
    </row>
    <row r="746373" spans="21:21" x14ac:dyDescent="0.3">
      <c r="U746373" s="25"/>
    </row>
    <row r="746395" spans="21:21" x14ac:dyDescent="0.3">
      <c r="U746395" s="25"/>
    </row>
    <row r="746417" spans="21:21" x14ac:dyDescent="0.3">
      <c r="U746417" s="25"/>
    </row>
    <row r="746439" spans="21:21" x14ac:dyDescent="0.3">
      <c r="U746439" s="25"/>
    </row>
    <row r="746461" spans="21:21" x14ac:dyDescent="0.3">
      <c r="U746461" s="25"/>
    </row>
    <row r="746483" spans="21:21" x14ac:dyDescent="0.3">
      <c r="U746483" s="25"/>
    </row>
    <row r="746505" spans="21:21" x14ac:dyDescent="0.3">
      <c r="U746505" s="25"/>
    </row>
    <row r="746527" spans="21:21" x14ac:dyDescent="0.3">
      <c r="U746527" s="25"/>
    </row>
    <row r="746549" spans="21:21" x14ac:dyDescent="0.3">
      <c r="U746549" s="25"/>
    </row>
    <row r="746571" spans="21:21" x14ac:dyDescent="0.3">
      <c r="U746571" s="25"/>
    </row>
    <row r="746593" spans="21:21" x14ac:dyDescent="0.3">
      <c r="U746593" s="25"/>
    </row>
    <row r="746615" spans="21:21" x14ac:dyDescent="0.3">
      <c r="U746615" s="25"/>
    </row>
    <row r="746637" spans="21:21" x14ac:dyDescent="0.3">
      <c r="U746637" s="25"/>
    </row>
    <row r="746659" spans="21:21" x14ac:dyDescent="0.3">
      <c r="U746659" s="25"/>
    </row>
    <row r="746681" spans="21:21" x14ac:dyDescent="0.3">
      <c r="U746681" s="25"/>
    </row>
    <row r="746703" spans="21:21" x14ac:dyDescent="0.3">
      <c r="U746703" s="25"/>
    </row>
    <row r="746725" spans="21:21" x14ac:dyDescent="0.3">
      <c r="U746725" s="25"/>
    </row>
    <row r="746747" spans="21:21" x14ac:dyDescent="0.3">
      <c r="U746747" s="25"/>
    </row>
    <row r="746769" spans="21:21" x14ac:dyDescent="0.3">
      <c r="U746769" s="25"/>
    </row>
    <row r="746791" spans="21:21" x14ac:dyDescent="0.3">
      <c r="U746791" s="25"/>
    </row>
    <row r="746813" spans="21:21" x14ac:dyDescent="0.3">
      <c r="U746813" s="25"/>
    </row>
    <row r="746835" spans="21:21" x14ac:dyDescent="0.3">
      <c r="U746835" s="25"/>
    </row>
    <row r="746857" spans="21:21" x14ac:dyDescent="0.3">
      <c r="U746857" s="25"/>
    </row>
    <row r="746879" spans="21:21" x14ac:dyDescent="0.3">
      <c r="U746879" s="25"/>
    </row>
    <row r="746901" spans="21:21" x14ac:dyDescent="0.3">
      <c r="U746901" s="25"/>
    </row>
    <row r="746923" spans="21:21" x14ac:dyDescent="0.3">
      <c r="U746923" s="25"/>
    </row>
    <row r="746945" spans="21:21" x14ac:dyDescent="0.3">
      <c r="U746945" s="25"/>
    </row>
    <row r="746967" spans="21:21" x14ac:dyDescent="0.3">
      <c r="U746967" s="25"/>
    </row>
    <row r="746989" spans="21:21" x14ac:dyDescent="0.3">
      <c r="U746989" s="25"/>
    </row>
    <row r="747011" spans="21:21" x14ac:dyDescent="0.3">
      <c r="U747011" s="25"/>
    </row>
    <row r="747033" spans="21:21" x14ac:dyDescent="0.3">
      <c r="U747033" s="25"/>
    </row>
    <row r="747055" spans="21:21" x14ac:dyDescent="0.3">
      <c r="U747055" s="25"/>
    </row>
    <row r="747077" spans="21:21" x14ac:dyDescent="0.3">
      <c r="U747077" s="25"/>
    </row>
    <row r="747099" spans="21:21" x14ac:dyDescent="0.3">
      <c r="U747099" s="25"/>
    </row>
    <row r="747121" spans="21:21" x14ac:dyDescent="0.3">
      <c r="U747121" s="25"/>
    </row>
    <row r="747143" spans="21:21" x14ac:dyDescent="0.3">
      <c r="U747143" s="25"/>
    </row>
    <row r="747165" spans="21:21" x14ac:dyDescent="0.3">
      <c r="U747165" s="25"/>
    </row>
    <row r="747187" spans="21:21" x14ac:dyDescent="0.3">
      <c r="U747187" s="25"/>
    </row>
    <row r="747209" spans="21:21" x14ac:dyDescent="0.3">
      <c r="U747209" s="25"/>
    </row>
    <row r="747231" spans="21:21" x14ac:dyDescent="0.3">
      <c r="U747231" s="25"/>
    </row>
    <row r="747253" spans="21:21" x14ac:dyDescent="0.3">
      <c r="U747253" s="25"/>
    </row>
    <row r="747275" spans="21:21" x14ac:dyDescent="0.3">
      <c r="U747275" s="25"/>
    </row>
    <row r="747297" spans="21:21" x14ac:dyDescent="0.3">
      <c r="U747297" s="25"/>
    </row>
    <row r="747319" spans="21:21" x14ac:dyDescent="0.3">
      <c r="U747319" s="25"/>
    </row>
    <row r="747341" spans="21:21" x14ac:dyDescent="0.3">
      <c r="U747341" s="25"/>
    </row>
    <row r="747363" spans="21:21" x14ac:dyDescent="0.3">
      <c r="U747363" s="25"/>
    </row>
    <row r="747385" spans="21:21" x14ac:dyDescent="0.3">
      <c r="U747385" s="25"/>
    </row>
    <row r="747407" spans="21:21" x14ac:dyDescent="0.3">
      <c r="U747407" s="25"/>
    </row>
    <row r="747429" spans="21:21" x14ac:dyDescent="0.3">
      <c r="U747429" s="25"/>
    </row>
    <row r="747451" spans="21:21" x14ac:dyDescent="0.3">
      <c r="U747451" s="25"/>
    </row>
    <row r="747473" spans="21:21" x14ac:dyDescent="0.3">
      <c r="U747473" s="25"/>
    </row>
    <row r="747495" spans="21:21" x14ac:dyDescent="0.3">
      <c r="U747495" s="25"/>
    </row>
    <row r="747517" spans="21:21" x14ac:dyDescent="0.3">
      <c r="U747517" s="25"/>
    </row>
    <row r="747539" spans="21:21" x14ac:dyDescent="0.3">
      <c r="U747539" s="25"/>
    </row>
    <row r="747561" spans="21:21" x14ac:dyDescent="0.3">
      <c r="U747561" s="25"/>
    </row>
    <row r="747583" spans="21:21" x14ac:dyDescent="0.3">
      <c r="U747583" s="25"/>
    </row>
    <row r="747605" spans="21:21" x14ac:dyDescent="0.3">
      <c r="U747605" s="25"/>
    </row>
    <row r="747627" spans="21:21" x14ac:dyDescent="0.3">
      <c r="U747627" s="25"/>
    </row>
    <row r="747649" spans="21:21" x14ac:dyDescent="0.3">
      <c r="U747649" s="25"/>
    </row>
    <row r="747671" spans="21:21" x14ac:dyDescent="0.3">
      <c r="U747671" s="25"/>
    </row>
    <row r="747693" spans="21:21" x14ac:dyDescent="0.3">
      <c r="U747693" s="25"/>
    </row>
    <row r="747715" spans="21:21" x14ac:dyDescent="0.3">
      <c r="U747715" s="25"/>
    </row>
    <row r="747737" spans="21:21" x14ac:dyDescent="0.3">
      <c r="U747737" s="25"/>
    </row>
    <row r="747759" spans="21:21" x14ac:dyDescent="0.3">
      <c r="U747759" s="25"/>
    </row>
    <row r="747781" spans="21:21" x14ac:dyDescent="0.3">
      <c r="U747781" s="25"/>
    </row>
    <row r="747803" spans="21:21" x14ac:dyDescent="0.3">
      <c r="U747803" s="25"/>
    </row>
    <row r="747825" spans="21:21" x14ac:dyDescent="0.3">
      <c r="U747825" s="25"/>
    </row>
    <row r="747847" spans="21:21" x14ac:dyDescent="0.3">
      <c r="U747847" s="25"/>
    </row>
    <row r="747869" spans="21:21" x14ac:dyDescent="0.3">
      <c r="U747869" s="25"/>
    </row>
    <row r="747891" spans="21:21" x14ac:dyDescent="0.3">
      <c r="U747891" s="25"/>
    </row>
    <row r="747913" spans="21:21" x14ac:dyDescent="0.3">
      <c r="U747913" s="25"/>
    </row>
    <row r="747935" spans="21:21" x14ac:dyDescent="0.3">
      <c r="U747935" s="25"/>
    </row>
    <row r="747957" spans="21:21" x14ac:dyDescent="0.3">
      <c r="U747957" s="25"/>
    </row>
    <row r="747979" spans="21:21" x14ac:dyDescent="0.3">
      <c r="U747979" s="25"/>
    </row>
    <row r="748001" spans="21:21" x14ac:dyDescent="0.3">
      <c r="U748001" s="25"/>
    </row>
    <row r="748023" spans="21:21" x14ac:dyDescent="0.3">
      <c r="U748023" s="25"/>
    </row>
    <row r="748045" spans="21:21" x14ac:dyDescent="0.3">
      <c r="U748045" s="25"/>
    </row>
    <row r="748067" spans="21:21" x14ac:dyDescent="0.3">
      <c r="U748067" s="25"/>
    </row>
    <row r="748089" spans="21:21" x14ac:dyDescent="0.3">
      <c r="U748089" s="25"/>
    </row>
    <row r="748111" spans="21:21" x14ac:dyDescent="0.3">
      <c r="U748111" s="25"/>
    </row>
    <row r="748133" spans="21:21" x14ac:dyDescent="0.3">
      <c r="U748133" s="25"/>
    </row>
    <row r="748155" spans="21:21" x14ac:dyDescent="0.3">
      <c r="U748155" s="25"/>
    </row>
    <row r="748177" spans="21:21" x14ac:dyDescent="0.3">
      <c r="U748177" s="25"/>
    </row>
    <row r="748199" spans="21:21" x14ac:dyDescent="0.3">
      <c r="U748199" s="25"/>
    </row>
    <row r="748221" spans="21:21" x14ac:dyDescent="0.3">
      <c r="U748221" s="25"/>
    </row>
    <row r="748243" spans="21:21" x14ac:dyDescent="0.3">
      <c r="U748243" s="25"/>
    </row>
    <row r="748265" spans="21:21" x14ac:dyDescent="0.3">
      <c r="U748265" s="25"/>
    </row>
    <row r="748287" spans="21:21" x14ac:dyDescent="0.3">
      <c r="U748287" s="25"/>
    </row>
    <row r="748309" spans="21:21" x14ac:dyDescent="0.3">
      <c r="U748309" s="25"/>
    </row>
    <row r="748331" spans="21:21" x14ac:dyDescent="0.3">
      <c r="U748331" s="25"/>
    </row>
    <row r="748353" spans="21:21" x14ac:dyDescent="0.3">
      <c r="U748353" s="25"/>
    </row>
    <row r="748375" spans="21:21" x14ac:dyDescent="0.3">
      <c r="U748375" s="25"/>
    </row>
    <row r="748397" spans="21:21" x14ac:dyDescent="0.3">
      <c r="U748397" s="25"/>
    </row>
    <row r="748419" spans="21:21" x14ac:dyDescent="0.3">
      <c r="U748419" s="25"/>
    </row>
    <row r="748441" spans="21:21" x14ac:dyDescent="0.3">
      <c r="U748441" s="25"/>
    </row>
    <row r="748463" spans="21:21" x14ac:dyDescent="0.3">
      <c r="U748463" s="25"/>
    </row>
    <row r="748485" spans="21:21" x14ac:dyDescent="0.3">
      <c r="U748485" s="25"/>
    </row>
    <row r="748507" spans="21:21" x14ac:dyDescent="0.3">
      <c r="U748507" s="25"/>
    </row>
    <row r="748529" spans="21:21" x14ac:dyDescent="0.3">
      <c r="U748529" s="25"/>
    </row>
    <row r="748551" spans="21:21" x14ac:dyDescent="0.3">
      <c r="U748551" s="25"/>
    </row>
    <row r="748573" spans="21:21" x14ac:dyDescent="0.3">
      <c r="U748573" s="25"/>
    </row>
    <row r="748595" spans="21:21" x14ac:dyDescent="0.3">
      <c r="U748595" s="25"/>
    </row>
    <row r="748617" spans="21:21" x14ac:dyDescent="0.3">
      <c r="U748617" s="25"/>
    </row>
    <row r="748639" spans="21:21" x14ac:dyDescent="0.3">
      <c r="U748639" s="25"/>
    </row>
    <row r="748661" spans="21:21" x14ac:dyDescent="0.3">
      <c r="U748661" s="25"/>
    </row>
    <row r="748683" spans="21:21" x14ac:dyDescent="0.3">
      <c r="U748683" s="25"/>
    </row>
    <row r="748705" spans="21:21" x14ac:dyDescent="0.3">
      <c r="U748705" s="25"/>
    </row>
    <row r="748727" spans="21:21" x14ac:dyDescent="0.3">
      <c r="U748727" s="25"/>
    </row>
    <row r="748749" spans="21:21" x14ac:dyDescent="0.3">
      <c r="U748749" s="25"/>
    </row>
    <row r="748771" spans="21:21" x14ac:dyDescent="0.3">
      <c r="U748771" s="25"/>
    </row>
    <row r="748793" spans="21:21" x14ac:dyDescent="0.3">
      <c r="U748793" s="25"/>
    </row>
    <row r="748815" spans="21:21" x14ac:dyDescent="0.3">
      <c r="U748815" s="25"/>
    </row>
    <row r="748837" spans="21:21" x14ac:dyDescent="0.3">
      <c r="U748837" s="25"/>
    </row>
    <row r="748859" spans="21:21" x14ac:dyDescent="0.3">
      <c r="U748859" s="25"/>
    </row>
    <row r="748881" spans="21:21" x14ac:dyDescent="0.3">
      <c r="U748881" s="25"/>
    </row>
    <row r="748903" spans="21:21" x14ac:dyDescent="0.3">
      <c r="U748903" s="25"/>
    </row>
    <row r="748925" spans="21:21" x14ac:dyDescent="0.3">
      <c r="U748925" s="25"/>
    </row>
    <row r="748947" spans="21:21" x14ac:dyDescent="0.3">
      <c r="U748947" s="25"/>
    </row>
    <row r="748969" spans="21:21" x14ac:dyDescent="0.3">
      <c r="U748969" s="25"/>
    </row>
    <row r="748991" spans="21:21" x14ac:dyDescent="0.3">
      <c r="U748991" s="25"/>
    </row>
    <row r="749013" spans="21:21" x14ac:dyDescent="0.3">
      <c r="U749013" s="25"/>
    </row>
    <row r="749035" spans="21:21" x14ac:dyDescent="0.3">
      <c r="U749035" s="25"/>
    </row>
    <row r="749057" spans="21:21" x14ac:dyDescent="0.3">
      <c r="U749057" s="25"/>
    </row>
    <row r="749079" spans="21:21" x14ac:dyDescent="0.3">
      <c r="U749079" s="25"/>
    </row>
    <row r="749101" spans="21:21" x14ac:dyDescent="0.3">
      <c r="U749101" s="25"/>
    </row>
    <row r="749123" spans="21:21" x14ac:dyDescent="0.3">
      <c r="U749123" s="25"/>
    </row>
    <row r="749145" spans="21:21" x14ac:dyDescent="0.3">
      <c r="U749145" s="25"/>
    </row>
    <row r="749167" spans="21:21" x14ac:dyDescent="0.3">
      <c r="U749167" s="25"/>
    </row>
    <row r="749189" spans="21:21" x14ac:dyDescent="0.3">
      <c r="U749189" s="25"/>
    </row>
    <row r="749211" spans="21:21" x14ac:dyDescent="0.3">
      <c r="U749211" s="25"/>
    </row>
    <row r="749233" spans="21:21" x14ac:dyDescent="0.3">
      <c r="U749233" s="25"/>
    </row>
    <row r="749255" spans="21:21" x14ac:dyDescent="0.3">
      <c r="U749255" s="25"/>
    </row>
    <row r="749277" spans="21:21" x14ac:dyDescent="0.3">
      <c r="U749277" s="25"/>
    </row>
    <row r="749299" spans="21:21" x14ac:dyDescent="0.3">
      <c r="U749299" s="25"/>
    </row>
    <row r="749321" spans="21:21" x14ac:dyDescent="0.3">
      <c r="U749321" s="25"/>
    </row>
    <row r="749343" spans="21:21" x14ac:dyDescent="0.3">
      <c r="U749343" s="25"/>
    </row>
    <row r="749365" spans="21:21" x14ac:dyDescent="0.3">
      <c r="U749365" s="25"/>
    </row>
    <row r="749387" spans="21:21" x14ac:dyDescent="0.3">
      <c r="U749387" s="25"/>
    </row>
    <row r="749409" spans="21:21" x14ac:dyDescent="0.3">
      <c r="U749409" s="25"/>
    </row>
    <row r="749431" spans="21:21" x14ac:dyDescent="0.3">
      <c r="U749431" s="25"/>
    </row>
    <row r="749453" spans="21:21" x14ac:dyDescent="0.3">
      <c r="U749453" s="25"/>
    </row>
    <row r="749475" spans="21:21" x14ac:dyDescent="0.3">
      <c r="U749475" s="25"/>
    </row>
    <row r="749497" spans="21:21" x14ac:dyDescent="0.3">
      <c r="U749497" s="25"/>
    </row>
    <row r="749519" spans="21:21" x14ac:dyDescent="0.3">
      <c r="U749519" s="25"/>
    </row>
    <row r="749541" spans="21:21" x14ac:dyDescent="0.3">
      <c r="U749541" s="25"/>
    </row>
    <row r="749563" spans="21:21" x14ac:dyDescent="0.3">
      <c r="U749563" s="25"/>
    </row>
    <row r="749585" spans="21:21" x14ac:dyDescent="0.3">
      <c r="U749585" s="25"/>
    </row>
    <row r="749607" spans="21:21" x14ac:dyDescent="0.3">
      <c r="U749607" s="25"/>
    </row>
    <row r="749629" spans="21:21" x14ac:dyDescent="0.3">
      <c r="U749629" s="25"/>
    </row>
    <row r="749651" spans="21:21" x14ac:dyDescent="0.3">
      <c r="U749651" s="25"/>
    </row>
    <row r="749673" spans="21:21" x14ac:dyDescent="0.3">
      <c r="U749673" s="25"/>
    </row>
    <row r="749695" spans="21:21" x14ac:dyDescent="0.3">
      <c r="U749695" s="25"/>
    </row>
    <row r="749717" spans="21:21" x14ac:dyDescent="0.3">
      <c r="U749717" s="25"/>
    </row>
    <row r="749739" spans="21:21" x14ac:dyDescent="0.3">
      <c r="U749739" s="25"/>
    </row>
    <row r="749761" spans="21:21" x14ac:dyDescent="0.3">
      <c r="U749761" s="25"/>
    </row>
    <row r="749783" spans="21:21" x14ac:dyDescent="0.3">
      <c r="U749783" s="25"/>
    </row>
    <row r="749805" spans="21:21" x14ac:dyDescent="0.3">
      <c r="U749805" s="25"/>
    </row>
    <row r="749827" spans="21:21" x14ac:dyDescent="0.3">
      <c r="U749827" s="25"/>
    </row>
    <row r="749849" spans="21:21" x14ac:dyDescent="0.3">
      <c r="U749849" s="25"/>
    </row>
    <row r="749871" spans="21:21" x14ac:dyDescent="0.3">
      <c r="U749871" s="25"/>
    </row>
    <row r="749893" spans="21:21" x14ac:dyDescent="0.3">
      <c r="U749893" s="25"/>
    </row>
    <row r="749915" spans="21:21" x14ac:dyDescent="0.3">
      <c r="U749915" s="25"/>
    </row>
    <row r="749937" spans="21:21" x14ac:dyDescent="0.3">
      <c r="U749937" s="25"/>
    </row>
    <row r="749959" spans="21:21" x14ac:dyDescent="0.3">
      <c r="U749959" s="25"/>
    </row>
    <row r="749981" spans="21:21" x14ac:dyDescent="0.3">
      <c r="U749981" s="25"/>
    </row>
    <row r="750003" spans="21:21" x14ac:dyDescent="0.3">
      <c r="U750003" s="25"/>
    </row>
    <row r="750025" spans="21:21" x14ac:dyDescent="0.3">
      <c r="U750025" s="25"/>
    </row>
    <row r="750047" spans="21:21" x14ac:dyDescent="0.3">
      <c r="U750047" s="25"/>
    </row>
    <row r="750069" spans="21:21" x14ac:dyDescent="0.3">
      <c r="U750069" s="25"/>
    </row>
    <row r="750091" spans="21:21" x14ac:dyDescent="0.3">
      <c r="U750091" s="25"/>
    </row>
    <row r="750113" spans="21:21" x14ac:dyDescent="0.3">
      <c r="U750113" s="25"/>
    </row>
    <row r="750135" spans="21:21" x14ac:dyDescent="0.3">
      <c r="U750135" s="25"/>
    </row>
    <row r="750157" spans="21:21" x14ac:dyDescent="0.3">
      <c r="U750157" s="25"/>
    </row>
    <row r="750179" spans="21:21" x14ac:dyDescent="0.3">
      <c r="U750179" s="25"/>
    </row>
    <row r="750201" spans="21:21" x14ac:dyDescent="0.3">
      <c r="U750201" s="25"/>
    </row>
    <row r="750223" spans="21:21" x14ac:dyDescent="0.3">
      <c r="U750223" s="25"/>
    </row>
    <row r="750245" spans="21:21" x14ac:dyDescent="0.3">
      <c r="U750245" s="25"/>
    </row>
    <row r="750267" spans="21:21" x14ac:dyDescent="0.3">
      <c r="U750267" s="25"/>
    </row>
    <row r="750289" spans="21:21" x14ac:dyDescent="0.3">
      <c r="U750289" s="25"/>
    </row>
    <row r="750311" spans="21:21" x14ac:dyDescent="0.3">
      <c r="U750311" s="25"/>
    </row>
    <row r="750333" spans="21:21" x14ac:dyDescent="0.3">
      <c r="U750333" s="25"/>
    </row>
    <row r="750355" spans="21:21" x14ac:dyDescent="0.3">
      <c r="U750355" s="25"/>
    </row>
    <row r="750377" spans="21:21" x14ac:dyDescent="0.3">
      <c r="U750377" s="25"/>
    </row>
    <row r="750399" spans="21:21" x14ac:dyDescent="0.3">
      <c r="U750399" s="25"/>
    </row>
    <row r="750421" spans="21:21" x14ac:dyDescent="0.3">
      <c r="U750421" s="25"/>
    </row>
    <row r="750443" spans="21:21" x14ac:dyDescent="0.3">
      <c r="U750443" s="25"/>
    </row>
    <row r="750465" spans="21:21" x14ac:dyDescent="0.3">
      <c r="U750465" s="25"/>
    </row>
    <row r="750487" spans="21:21" x14ac:dyDescent="0.3">
      <c r="U750487" s="25"/>
    </row>
    <row r="750509" spans="21:21" x14ac:dyDescent="0.3">
      <c r="U750509" s="25"/>
    </row>
    <row r="750531" spans="21:21" x14ac:dyDescent="0.3">
      <c r="U750531" s="25"/>
    </row>
    <row r="750553" spans="21:21" x14ac:dyDescent="0.3">
      <c r="U750553" s="25"/>
    </row>
    <row r="750575" spans="21:21" x14ac:dyDescent="0.3">
      <c r="U750575" s="25"/>
    </row>
    <row r="750597" spans="21:21" x14ac:dyDescent="0.3">
      <c r="U750597" s="25"/>
    </row>
    <row r="750619" spans="21:21" x14ac:dyDescent="0.3">
      <c r="U750619" s="25"/>
    </row>
    <row r="750641" spans="21:21" x14ac:dyDescent="0.3">
      <c r="U750641" s="25"/>
    </row>
    <row r="750663" spans="21:21" x14ac:dyDescent="0.3">
      <c r="U750663" s="25"/>
    </row>
    <row r="750685" spans="21:21" x14ac:dyDescent="0.3">
      <c r="U750685" s="25"/>
    </row>
    <row r="750707" spans="21:21" x14ac:dyDescent="0.3">
      <c r="U750707" s="25"/>
    </row>
    <row r="750729" spans="21:21" x14ac:dyDescent="0.3">
      <c r="U750729" s="25"/>
    </row>
    <row r="750751" spans="21:21" x14ac:dyDescent="0.3">
      <c r="U750751" s="25"/>
    </row>
    <row r="750773" spans="21:21" x14ac:dyDescent="0.3">
      <c r="U750773" s="25"/>
    </row>
    <row r="750795" spans="21:21" x14ac:dyDescent="0.3">
      <c r="U750795" s="25"/>
    </row>
    <row r="750817" spans="21:21" x14ac:dyDescent="0.3">
      <c r="U750817" s="25"/>
    </row>
    <row r="750839" spans="21:21" x14ac:dyDescent="0.3">
      <c r="U750839" s="25"/>
    </row>
    <row r="750861" spans="21:21" x14ac:dyDescent="0.3">
      <c r="U750861" s="25"/>
    </row>
    <row r="750883" spans="21:21" x14ac:dyDescent="0.3">
      <c r="U750883" s="25"/>
    </row>
    <row r="750905" spans="21:21" x14ac:dyDescent="0.3">
      <c r="U750905" s="25"/>
    </row>
    <row r="750927" spans="21:21" x14ac:dyDescent="0.3">
      <c r="U750927" s="25"/>
    </row>
    <row r="750949" spans="21:21" x14ac:dyDescent="0.3">
      <c r="U750949" s="25"/>
    </row>
    <row r="750971" spans="21:21" x14ac:dyDescent="0.3">
      <c r="U750971" s="25"/>
    </row>
    <row r="750993" spans="21:21" x14ac:dyDescent="0.3">
      <c r="U750993" s="25"/>
    </row>
    <row r="751015" spans="21:21" x14ac:dyDescent="0.3">
      <c r="U751015" s="25"/>
    </row>
    <row r="751037" spans="21:21" x14ac:dyDescent="0.3">
      <c r="U751037" s="25"/>
    </row>
    <row r="751059" spans="21:21" x14ac:dyDescent="0.3">
      <c r="U751059" s="25"/>
    </row>
    <row r="751081" spans="21:21" x14ac:dyDescent="0.3">
      <c r="U751081" s="25"/>
    </row>
    <row r="751103" spans="21:21" x14ac:dyDescent="0.3">
      <c r="U751103" s="25"/>
    </row>
    <row r="751125" spans="21:21" x14ac:dyDescent="0.3">
      <c r="U751125" s="25"/>
    </row>
    <row r="751147" spans="21:21" x14ac:dyDescent="0.3">
      <c r="U751147" s="25"/>
    </row>
    <row r="751169" spans="21:21" x14ac:dyDescent="0.3">
      <c r="U751169" s="25"/>
    </row>
    <row r="751191" spans="21:21" x14ac:dyDescent="0.3">
      <c r="U751191" s="25"/>
    </row>
    <row r="751213" spans="21:21" x14ac:dyDescent="0.3">
      <c r="U751213" s="25"/>
    </row>
    <row r="751235" spans="21:21" x14ac:dyDescent="0.3">
      <c r="U751235" s="25"/>
    </row>
    <row r="751257" spans="21:21" x14ac:dyDescent="0.3">
      <c r="U751257" s="25"/>
    </row>
    <row r="751279" spans="21:21" x14ac:dyDescent="0.3">
      <c r="U751279" s="25"/>
    </row>
    <row r="751301" spans="21:21" x14ac:dyDescent="0.3">
      <c r="U751301" s="25"/>
    </row>
    <row r="751323" spans="21:21" x14ac:dyDescent="0.3">
      <c r="U751323" s="25"/>
    </row>
    <row r="751345" spans="21:21" x14ac:dyDescent="0.3">
      <c r="U751345" s="25"/>
    </row>
    <row r="751367" spans="21:21" x14ac:dyDescent="0.3">
      <c r="U751367" s="25"/>
    </row>
    <row r="751389" spans="21:21" x14ac:dyDescent="0.3">
      <c r="U751389" s="25"/>
    </row>
    <row r="751411" spans="21:21" x14ac:dyDescent="0.3">
      <c r="U751411" s="25"/>
    </row>
    <row r="751433" spans="21:21" x14ac:dyDescent="0.3">
      <c r="U751433" s="25"/>
    </row>
    <row r="751455" spans="21:21" x14ac:dyDescent="0.3">
      <c r="U751455" s="25"/>
    </row>
    <row r="751477" spans="21:21" x14ac:dyDescent="0.3">
      <c r="U751477" s="25"/>
    </row>
    <row r="751499" spans="21:21" x14ac:dyDescent="0.3">
      <c r="U751499" s="25"/>
    </row>
    <row r="751521" spans="21:21" x14ac:dyDescent="0.3">
      <c r="U751521" s="25"/>
    </row>
    <row r="751543" spans="21:21" x14ac:dyDescent="0.3">
      <c r="U751543" s="25"/>
    </row>
    <row r="751565" spans="21:21" x14ac:dyDescent="0.3">
      <c r="U751565" s="25"/>
    </row>
    <row r="751587" spans="21:21" x14ac:dyDescent="0.3">
      <c r="U751587" s="25"/>
    </row>
    <row r="751609" spans="21:21" x14ac:dyDescent="0.3">
      <c r="U751609" s="25"/>
    </row>
    <row r="751631" spans="21:21" x14ac:dyDescent="0.3">
      <c r="U751631" s="25"/>
    </row>
    <row r="751653" spans="21:21" x14ac:dyDescent="0.3">
      <c r="U751653" s="25"/>
    </row>
    <row r="751675" spans="21:21" x14ac:dyDescent="0.3">
      <c r="U751675" s="25"/>
    </row>
    <row r="751697" spans="21:21" x14ac:dyDescent="0.3">
      <c r="U751697" s="25"/>
    </row>
    <row r="751719" spans="21:21" x14ac:dyDescent="0.3">
      <c r="U751719" s="25"/>
    </row>
    <row r="751741" spans="21:21" x14ac:dyDescent="0.3">
      <c r="U751741" s="25"/>
    </row>
    <row r="751763" spans="21:21" x14ac:dyDescent="0.3">
      <c r="U751763" s="25"/>
    </row>
    <row r="751785" spans="21:21" x14ac:dyDescent="0.3">
      <c r="U751785" s="25"/>
    </row>
    <row r="751807" spans="21:21" x14ac:dyDescent="0.3">
      <c r="U751807" s="25"/>
    </row>
    <row r="751829" spans="21:21" x14ac:dyDescent="0.3">
      <c r="U751829" s="25"/>
    </row>
    <row r="751851" spans="21:21" x14ac:dyDescent="0.3">
      <c r="U751851" s="25"/>
    </row>
    <row r="751873" spans="21:21" x14ac:dyDescent="0.3">
      <c r="U751873" s="25"/>
    </row>
    <row r="751895" spans="21:21" x14ac:dyDescent="0.3">
      <c r="U751895" s="25"/>
    </row>
    <row r="751917" spans="21:21" x14ac:dyDescent="0.3">
      <c r="U751917" s="25"/>
    </row>
    <row r="751939" spans="21:21" x14ac:dyDescent="0.3">
      <c r="U751939" s="25"/>
    </row>
    <row r="751961" spans="21:21" x14ac:dyDescent="0.3">
      <c r="U751961" s="25"/>
    </row>
    <row r="751983" spans="21:21" x14ac:dyDescent="0.3">
      <c r="U751983" s="25"/>
    </row>
    <row r="752005" spans="21:21" x14ac:dyDescent="0.3">
      <c r="U752005" s="25"/>
    </row>
    <row r="752027" spans="21:21" x14ac:dyDescent="0.3">
      <c r="U752027" s="25"/>
    </row>
    <row r="752049" spans="21:21" x14ac:dyDescent="0.3">
      <c r="U752049" s="25"/>
    </row>
    <row r="752071" spans="21:21" x14ac:dyDescent="0.3">
      <c r="U752071" s="25"/>
    </row>
    <row r="752093" spans="21:21" x14ac:dyDescent="0.3">
      <c r="U752093" s="25"/>
    </row>
    <row r="752115" spans="21:21" x14ac:dyDescent="0.3">
      <c r="U752115" s="25"/>
    </row>
    <row r="752137" spans="21:21" x14ac:dyDescent="0.3">
      <c r="U752137" s="25"/>
    </row>
    <row r="752159" spans="21:21" x14ac:dyDescent="0.3">
      <c r="U752159" s="25"/>
    </row>
    <row r="752181" spans="21:21" x14ac:dyDescent="0.3">
      <c r="U752181" s="25"/>
    </row>
    <row r="752203" spans="21:21" x14ac:dyDescent="0.3">
      <c r="U752203" s="25"/>
    </row>
    <row r="752225" spans="21:21" x14ac:dyDescent="0.3">
      <c r="U752225" s="25"/>
    </row>
    <row r="752247" spans="21:21" x14ac:dyDescent="0.3">
      <c r="U752247" s="25"/>
    </row>
    <row r="752269" spans="21:21" x14ac:dyDescent="0.3">
      <c r="U752269" s="25"/>
    </row>
    <row r="752291" spans="21:21" x14ac:dyDescent="0.3">
      <c r="U752291" s="25"/>
    </row>
    <row r="752313" spans="21:21" x14ac:dyDescent="0.3">
      <c r="U752313" s="25"/>
    </row>
    <row r="752335" spans="21:21" x14ac:dyDescent="0.3">
      <c r="U752335" s="25"/>
    </row>
    <row r="752357" spans="21:21" x14ac:dyDescent="0.3">
      <c r="U752357" s="25"/>
    </row>
    <row r="752379" spans="21:21" x14ac:dyDescent="0.3">
      <c r="U752379" s="25"/>
    </row>
    <row r="752401" spans="21:21" x14ac:dyDescent="0.3">
      <c r="U752401" s="25"/>
    </row>
    <row r="752423" spans="21:21" x14ac:dyDescent="0.3">
      <c r="U752423" s="25"/>
    </row>
    <row r="752445" spans="21:21" x14ac:dyDescent="0.3">
      <c r="U752445" s="25"/>
    </row>
    <row r="752467" spans="21:21" x14ac:dyDescent="0.3">
      <c r="U752467" s="25"/>
    </row>
    <row r="752489" spans="21:21" x14ac:dyDescent="0.3">
      <c r="U752489" s="25"/>
    </row>
    <row r="752511" spans="21:21" x14ac:dyDescent="0.3">
      <c r="U752511" s="25"/>
    </row>
    <row r="752533" spans="21:21" x14ac:dyDescent="0.3">
      <c r="U752533" s="25"/>
    </row>
    <row r="752555" spans="21:21" x14ac:dyDescent="0.3">
      <c r="U752555" s="25"/>
    </row>
    <row r="752577" spans="21:21" x14ac:dyDescent="0.3">
      <c r="U752577" s="25"/>
    </row>
    <row r="752599" spans="21:21" x14ac:dyDescent="0.3">
      <c r="U752599" s="25"/>
    </row>
    <row r="752621" spans="21:21" x14ac:dyDescent="0.3">
      <c r="U752621" s="25"/>
    </row>
    <row r="752643" spans="21:21" x14ac:dyDescent="0.3">
      <c r="U752643" s="25"/>
    </row>
    <row r="752665" spans="21:21" x14ac:dyDescent="0.3">
      <c r="U752665" s="25"/>
    </row>
    <row r="752687" spans="21:21" x14ac:dyDescent="0.3">
      <c r="U752687" s="25"/>
    </row>
    <row r="752709" spans="21:21" x14ac:dyDescent="0.3">
      <c r="U752709" s="25"/>
    </row>
    <row r="752731" spans="21:21" x14ac:dyDescent="0.3">
      <c r="U752731" s="25"/>
    </row>
    <row r="752753" spans="21:21" x14ac:dyDescent="0.3">
      <c r="U752753" s="25"/>
    </row>
    <row r="752775" spans="21:21" x14ac:dyDescent="0.3">
      <c r="U752775" s="25"/>
    </row>
    <row r="752797" spans="21:21" x14ac:dyDescent="0.3">
      <c r="U752797" s="25"/>
    </row>
    <row r="752819" spans="21:21" x14ac:dyDescent="0.3">
      <c r="U752819" s="25"/>
    </row>
    <row r="752841" spans="21:21" x14ac:dyDescent="0.3">
      <c r="U752841" s="25"/>
    </row>
    <row r="752863" spans="21:21" x14ac:dyDescent="0.3">
      <c r="U752863" s="25"/>
    </row>
    <row r="752885" spans="21:21" x14ac:dyDescent="0.3">
      <c r="U752885" s="25"/>
    </row>
    <row r="752907" spans="21:21" x14ac:dyDescent="0.3">
      <c r="U752907" s="25"/>
    </row>
    <row r="752929" spans="21:21" x14ac:dyDescent="0.3">
      <c r="U752929" s="25"/>
    </row>
    <row r="752951" spans="21:21" x14ac:dyDescent="0.3">
      <c r="U752951" s="25"/>
    </row>
    <row r="752973" spans="21:21" x14ac:dyDescent="0.3">
      <c r="U752973" s="25"/>
    </row>
    <row r="752995" spans="21:21" x14ac:dyDescent="0.3">
      <c r="U752995" s="25"/>
    </row>
    <row r="753017" spans="21:21" x14ac:dyDescent="0.3">
      <c r="U753017" s="25"/>
    </row>
    <row r="753039" spans="21:21" x14ac:dyDescent="0.3">
      <c r="U753039" s="25"/>
    </row>
    <row r="753061" spans="21:21" x14ac:dyDescent="0.3">
      <c r="U753061" s="25"/>
    </row>
    <row r="753083" spans="21:21" x14ac:dyDescent="0.3">
      <c r="U753083" s="25"/>
    </row>
    <row r="753105" spans="21:21" x14ac:dyDescent="0.3">
      <c r="U753105" s="25"/>
    </row>
    <row r="753127" spans="21:21" x14ac:dyDescent="0.3">
      <c r="U753127" s="25"/>
    </row>
    <row r="753149" spans="21:21" x14ac:dyDescent="0.3">
      <c r="U753149" s="25"/>
    </row>
    <row r="753171" spans="21:21" x14ac:dyDescent="0.3">
      <c r="U753171" s="25"/>
    </row>
    <row r="753193" spans="21:21" x14ac:dyDescent="0.3">
      <c r="U753193" s="25"/>
    </row>
    <row r="753215" spans="21:21" x14ac:dyDescent="0.3">
      <c r="U753215" s="25"/>
    </row>
    <row r="753237" spans="21:21" x14ac:dyDescent="0.3">
      <c r="U753237" s="25"/>
    </row>
    <row r="753259" spans="21:21" x14ac:dyDescent="0.3">
      <c r="U753259" s="25"/>
    </row>
    <row r="753281" spans="21:21" x14ac:dyDescent="0.3">
      <c r="U753281" s="25"/>
    </row>
    <row r="753303" spans="21:21" x14ac:dyDescent="0.3">
      <c r="U753303" s="25"/>
    </row>
    <row r="753325" spans="21:21" x14ac:dyDescent="0.3">
      <c r="U753325" s="25"/>
    </row>
    <row r="753347" spans="21:21" x14ac:dyDescent="0.3">
      <c r="U753347" s="25"/>
    </row>
    <row r="753369" spans="21:21" x14ac:dyDescent="0.3">
      <c r="U753369" s="25"/>
    </row>
    <row r="753391" spans="21:21" x14ac:dyDescent="0.3">
      <c r="U753391" s="25"/>
    </row>
    <row r="753413" spans="21:21" x14ac:dyDescent="0.3">
      <c r="U753413" s="25"/>
    </row>
    <row r="753435" spans="21:21" x14ac:dyDescent="0.3">
      <c r="U753435" s="25"/>
    </row>
    <row r="753457" spans="21:21" x14ac:dyDescent="0.3">
      <c r="U753457" s="25"/>
    </row>
    <row r="753479" spans="21:21" x14ac:dyDescent="0.3">
      <c r="U753479" s="25"/>
    </row>
    <row r="753501" spans="21:21" x14ac:dyDescent="0.3">
      <c r="U753501" s="25"/>
    </row>
    <row r="753523" spans="21:21" x14ac:dyDescent="0.3">
      <c r="U753523" s="25"/>
    </row>
    <row r="753545" spans="21:21" x14ac:dyDescent="0.3">
      <c r="U753545" s="25"/>
    </row>
    <row r="753567" spans="21:21" x14ac:dyDescent="0.3">
      <c r="U753567" s="25"/>
    </row>
    <row r="753589" spans="21:21" x14ac:dyDescent="0.3">
      <c r="U753589" s="25"/>
    </row>
    <row r="753611" spans="21:21" x14ac:dyDescent="0.3">
      <c r="U753611" s="25"/>
    </row>
    <row r="753633" spans="21:21" x14ac:dyDescent="0.3">
      <c r="U753633" s="25"/>
    </row>
    <row r="753655" spans="21:21" x14ac:dyDescent="0.3">
      <c r="U753655" s="25"/>
    </row>
    <row r="753677" spans="21:21" x14ac:dyDescent="0.3">
      <c r="U753677" s="25"/>
    </row>
    <row r="753699" spans="21:21" x14ac:dyDescent="0.3">
      <c r="U753699" s="25"/>
    </row>
    <row r="753721" spans="21:21" x14ac:dyDescent="0.3">
      <c r="U753721" s="25"/>
    </row>
    <row r="753743" spans="21:21" x14ac:dyDescent="0.3">
      <c r="U753743" s="25"/>
    </row>
    <row r="753765" spans="21:21" x14ac:dyDescent="0.3">
      <c r="U753765" s="25"/>
    </row>
    <row r="753787" spans="21:21" x14ac:dyDescent="0.3">
      <c r="U753787" s="25"/>
    </row>
    <row r="753809" spans="21:21" x14ac:dyDescent="0.3">
      <c r="U753809" s="25"/>
    </row>
    <row r="753831" spans="21:21" x14ac:dyDescent="0.3">
      <c r="U753831" s="25"/>
    </row>
    <row r="753853" spans="21:21" x14ac:dyDescent="0.3">
      <c r="U753853" s="25"/>
    </row>
    <row r="753875" spans="21:21" x14ac:dyDescent="0.3">
      <c r="U753875" s="25"/>
    </row>
    <row r="753897" spans="21:21" x14ac:dyDescent="0.3">
      <c r="U753897" s="25"/>
    </row>
    <row r="753919" spans="21:21" x14ac:dyDescent="0.3">
      <c r="U753919" s="25"/>
    </row>
    <row r="753941" spans="21:21" x14ac:dyDescent="0.3">
      <c r="U753941" s="25"/>
    </row>
    <row r="753963" spans="21:21" x14ac:dyDescent="0.3">
      <c r="U753963" s="25"/>
    </row>
    <row r="753985" spans="21:21" x14ac:dyDescent="0.3">
      <c r="U753985" s="25"/>
    </row>
    <row r="754007" spans="21:21" x14ac:dyDescent="0.3">
      <c r="U754007" s="25"/>
    </row>
    <row r="754029" spans="21:21" x14ac:dyDescent="0.3">
      <c r="U754029" s="25"/>
    </row>
    <row r="754051" spans="21:21" x14ac:dyDescent="0.3">
      <c r="U754051" s="25"/>
    </row>
    <row r="754073" spans="21:21" x14ac:dyDescent="0.3">
      <c r="U754073" s="25"/>
    </row>
    <row r="754095" spans="21:21" x14ac:dyDescent="0.3">
      <c r="U754095" s="25"/>
    </row>
    <row r="754117" spans="21:21" x14ac:dyDescent="0.3">
      <c r="U754117" s="25"/>
    </row>
    <row r="754139" spans="21:21" x14ac:dyDescent="0.3">
      <c r="U754139" s="25"/>
    </row>
    <row r="754161" spans="21:21" x14ac:dyDescent="0.3">
      <c r="U754161" s="25"/>
    </row>
    <row r="754183" spans="21:21" x14ac:dyDescent="0.3">
      <c r="U754183" s="25"/>
    </row>
    <row r="754205" spans="21:21" x14ac:dyDescent="0.3">
      <c r="U754205" s="25"/>
    </row>
    <row r="754227" spans="21:21" x14ac:dyDescent="0.3">
      <c r="U754227" s="25"/>
    </row>
    <row r="754249" spans="21:21" x14ac:dyDescent="0.3">
      <c r="U754249" s="25"/>
    </row>
    <row r="754271" spans="21:21" x14ac:dyDescent="0.3">
      <c r="U754271" s="25"/>
    </row>
    <row r="754293" spans="21:21" x14ac:dyDescent="0.3">
      <c r="U754293" s="25"/>
    </row>
    <row r="754315" spans="21:21" x14ac:dyDescent="0.3">
      <c r="U754315" s="25"/>
    </row>
    <row r="754337" spans="21:21" x14ac:dyDescent="0.3">
      <c r="U754337" s="25"/>
    </row>
    <row r="754359" spans="21:21" x14ac:dyDescent="0.3">
      <c r="U754359" s="25"/>
    </row>
    <row r="754381" spans="21:21" x14ac:dyDescent="0.3">
      <c r="U754381" s="25"/>
    </row>
    <row r="754403" spans="21:21" x14ac:dyDescent="0.3">
      <c r="U754403" s="25"/>
    </row>
    <row r="754425" spans="21:21" x14ac:dyDescent="0.3">
      <c r="U754425" s="25"/>
    </row>
    <row r="754447" spans="21:21" x14ac:dyDescent="0.3">
      <c r="U754447" s="25"/>
    </row>
    <row r="754469" spans="21:21" x14ac:dyDescent="0.3">
      <c r="U754469" s="25"/>
    </row>
    <row r="754491" spans="21:21" x14ac:dyDescent="0.3">
      <c r="U754491" s="25"/>
    </row>
    <row r="754513" spans="21:21" x14ac:dyDescent="0.3">
      <c r="U754513" s="25"/>
    </row>
    <row r="754535" spans="21:21" x14ac:dyDescent="0.3">
      <c r="U754535" s="25"/>
    </row>
    <row r="754557" spans="21:21" x14ac:dyDescent="0.3">
      <c r="U754557" s="25"/>
    </row>
    <row r="754579" spans="21:21" x14ac:dyDescent="0.3">
      <c r="U754579" s="25"/>
    </row>
    <row r="754601" spans="21:21" x14ac:dyDescent="0.3">
      <c r="U754601" s="25"/>
    </row>
    <row r="754623" spans="21:21" x14ac:dyDescent="0.3">
      <c r="U754623" s="25"/>
    </row>
    <row r="754645" spans="21:21" x14ac:dyDescent="0.3">
      <c r="U754645" s="25"/>
    </row>
    <row r="754667" spans="21:21" x14ac:dyDescent="0.3">
      <c r="U754667" s="25"/>
    </row>
    <row r="754689" spans="21:21" x14ac:dyDescent="0.3">
      <c r="U754689" s="25"/>
    </row>
    <row r="754711" spans="21:21" x14ac:dyDescent="0.3">
      <c r="U754711" s="25"/>
    </row>
    <row r="754733" spans="21:21" x14ac:dyDescent="0.3">
      <c r="U754733" s="25"/>
    </row>
    <row r="754755" spans="21:21" x14ac:dyDescent="0.3">
      <c r="U754755" s="25"/>
    </row>
    <row r="754777" spans="21:21" x14ac:dyDescent="0.3">
      <c r="U754777" s="25"/>
    </row>
    <row r="754799" spans="21:21" x14ac:dyDescent="0.3">
      <c r="U754799" s="25"/>
    </row>
    <row r="754821" spans="21:21" x14ac:dyDescent="0.3">
      <c r="U754821" s="25"/>
    </row>
    <row r="754843" spans="21:21" x14ac:dyDescent="0.3">
      <c r="U754843" s="25"/>
    </row>
    <row r="754865" spans="21:21" x14ac:dyDescent="0.3">
      <c r="U754865" s="25"/>
    </row>
    <row r="754887" spans="21:21" x14ac:dyDescent="0.3">
      <c r="U754887" s="25"/>
    </row>
    <row r="754909" spans="21:21" x14ac:dyDescent="0.3">
      <c r="U754909" s="25"/>
    </row>
    <row r="754931" spans="21:21" x14ac:dyDescent="0.3">
      <c r="U754931" s="25"/>
    </row>
    <row r="754953" spans="21:21" x14ac:dyDescent="0.3">
      <c r="U754953" s="25"/>
    </row>
    <row r="754975" spans="21:21" x14ac:dyDescent="0.3">
      <c r="U754975" s="25"/>
    </row>
    <row r="754997" spans="21:21" x14ac:dyDescent="0.3">
      <c r="U754997" s="25"/>
    </row>
    <row r="755019" spans="21:21" x14ac:dyDescent="0.3">
      <c r="U755019" s="25"/>
    </row>
    <row r="755041" spans="21:21" x14ac:dyDescent="0.3">
      <c r="U755041" s="25"/>
    </row>
    <row r="755063" spans="21:21" x14ac:dyDescent="0.3">
      <c r="U755063" s="25"/>
    </row>
    <row r="755085" spans="21:21" x14ac:dyDescent="0.3">
      <c r="U755085" s="25"/>
    </row>
    <row r="755107" spans="21:21" x14ac:dyDescent="0.3">
      <c r="U755107" s="25"/>
    </row>
    <row r="755129" spans="21:21" x14ac:dyDescent="0.3">
      <c r="U755129" s="25"/>
    </row>
    <row r="755151" spans="21:21" x14ac:dyDescent="0.3">
      <c r="U755151" s="25"/>
    </row>
    <row r="755173" spans="21:21" x14ac:dyDescent="0.3">
      <c r="U755173" s="25"/>
    </row>
    <row r="755195" spans="21:21" x14ac:dyDescent="0.3">
      <c r="U755195" s="25"/>
    </row>
    <row r="755217" spans="21:21" x14ac:dyDescent="0.3">
      <c r="U755217" s="25"/>
    </row>
    <row r="755239" spans="21:21" x14ac:dyDescent="0.3">
      <c r="U755239" s="25"/>
    </row>
    <row r="755261" spans="21:21" x14ac:dyDescent="0.3">
      <c r="U755261" s="25"/>
    </row>
    <row r="755283" spans="21:21" x14ac:dyDescent="0.3">
      <c r="U755283" s="25"/>
    </row>
    <row r="755305" spans="21:21" x14ac:dyDescent="0.3">
      <c r="U755305" s="25"/>
    </row>
    <row r="755327" spans="21:21" x14ac:dyDescent="0.3">
      <c r="U755327" s="25"/>
    </row>
    <row r="755349" spans="21:21" x14ac:dyDescent="0.3">
      <c r="U755349" s="25"/>
    </row>
    <row r="755371" spans="21:21" x14ac:dyDescent="0.3">
      <c r="U755371" s="25"/>
    </row>
    <row r="755393" spans="21:21" x14ac:dyDescent="0.3">
      <c r="U755393" s="25"/>
    </row>
    <row r="755415" spans="21:21" x14ac:dyDescent="0.3">
      <c r="U755415" s="25"/>
    </row>
    <row r="755437" spans="21:21" x14ac:dyDescent="0.3">
      <c r="U755437" s="25"/>
    </row>
    <row r="755459" spans="21:21" x14ac:dyDescent="0.3">
      <c r="U755459" s="25"/>
    </row>
    <row r="755481" spans="21:21" x14ac:dyDescent="0.3">
      <c r="U755481" s="25"/>
    </row>
    <row r="755503" spans="21:21" x14ac:dyDescent="0.3">
      <c r="U755503" s="25"/>
    </row>
    <row r="755525" spans="21:21" x14ac:dyDescent="0.3">
      <c r="U755525" s="25"/>
    </row>
    <row r="755547" spans="21:21" x14ac:dyDescent="0.3">
      <c r="U755547" s="25"/>
    </row>
    <row r="755569" spans="21:21" x14ac:dyDescent="0.3">
      <c r="U755569" s="25"/>
    </row>
    <row r="755591" spans="21:21" x14ac:dyDescent="0.3">
      <c r="U755591" s="25"/>
    </row>
    <row r="755613" spans="21:21" x14ac:dyDescent="0.3">
      <c r="U755613" s="25"/>
    </row>
    <row r="755635" spans="21:21" x14ac:dyDescent="0.3">
      <c r="U755635" s="25"/>
    </row>
    <row r="755657" spans="21:21" x14ac:dyDescent="0.3">
      <c r="U755657" s="25"/>
    </row>
    <row r="755679" spans="21:21" x14ac:dyDescent="0.3">
      <c r="U755679" s="25"/>
    </row>
    <row r="755701" spans="21:21" x14ac:dyDescent="0.3">
      <c r="U755701" s="25"/>
    </row>
    <row r="755723" spans="21:21" x14ac:dyDescent="0.3">
      <c r="U755723" s="25"/>
    </row>
    <row r="755745" spans="21:21" x14ac:dyDescent="0.3">
      <c r="U755745" s="25"/>
    </row>
    <row r="755767" spans="21:21" x14ac:dyDescent="0.3">
      <c r="U755767" s="25"/>
    </row>
    <row r="755789" spans="21:21" x14ac:dyDescent="0.3">
      <c r="U755789" s="25"/>
    </row>
    <row r="755811" spans="21:21" x14ac:dyDescent="0.3">
      <c r="U755811" s="25"/>
    </row>
    <row r="755833" spans="21:21" x14ac:dyDescent="0.3">
      <c r="U755833" s="25"/>
    </row>
    <row r="755855" spans="21:21" x14ac:dyDescent="0.3">
      <c r="U755855" s="25"/>
    </row>
    <row r="755877" spans="21:21" x14ac:dyDescent="0.3">
      <c r="U755877" s="25"/>
    </row>
    <row r="755899" spans="21:21" x14ac:dyDescent="0.3">
      <c r="U755899" s="25"/>
    </row>
    <row r="755921" spans="21:21" x14ac:dyDescent="0.3">
      <c r="U755921" s="25"/>
    </row>
    <row r="755943" spans="21:21" x14ac:dyDescent="0.3">
      <c r="U755943" s="25"/>
    </row>
    <row r="755965" spans="21:21" x14ac:dyDescent="0.3">
      <c r="U755965" s="25"/>
    </row>
    <row r="755987" spans="21:21" x14ac:dyDescent="0.3">
      <c r="U755987" s="25"/>
    </row>
    <row r="756009" spans="21:21" x14ac:dyDescent="0.3">
      <c r="U756009" s="25"/>
    </row>
    <row r="756031" spans="21:21" x14ac:dyDescent="0.3">
      <c r="U756031" s="25"/>
    </row>
    <row r="756053" spans="21:21" x14ac:dyDescent="0.3">
      <c r="U756053" s="25"/>
    </row>
    <row r="756075" spans="21:21" x14ac:dyDescent="0.3">
      <c r="U756075" s="25"/>
    </row>
    <row r="756097" spans="21:21" x14ac:dyDescent="0.3">
      <c r="U756097" s="25"/>
    </row>
    <row r="756119" spans="21:21" x14ac:dyDescent="0.3">
      <c r="U756119" s="25"/>
    </row>
    <row r="756141" spans="21:21" x14ac:dyDescent="0.3">
      <c r="U756141" s="25"/>
    </row>
    <row r="756163" spans="21:21" x14ac:dyDescent="0.3">
      <c r="U756163" s="25"/>
    </row>
    <row r="756185" spans="21:21" x14ac:dyDescent="0.3">
      <c r="U756185" s="25"/>
    </row>
    <row r="756207" spans="21:21" x14ac:dyDescent="0.3">
      <c r="U756207" s="25"/>
    </row>
    <row r="756229" spans="21:21" x14ac:dyDescent="0.3">
      <c r="U756229" s="25"/>
    </row>
    <row r="756251" spans="21:21" x14ac:dyDescent="0.3">
      <c r="U756251" s="25"/>
    </row>
    <row r="756273" spans="21:21" x14ac:dyDescent="0.3">
      <c r="U756273" s="25"/>
    </row>
    <row r="756295" spans="21:21" x14ac:dyDescent="0.3">
      <c r="U756295" s="25"/>
    </row>
    <row r="756317" spans="21:21" x14ac:dyDescent="0.3">
      <c r="U756317" s="25"/>
    </row>
    <row r="756339" spans="21:21" x14ac:dyDescent="0.3">
      <c r="U756339" s="25"/>
    </row>
    <row r="756361" spans="21:21" x14ac:dyDescent="0.3">
      <c r="U756361" s="25"/>
    </row>
    <row r="756383" spans="21:21" x14ac:dyDescent="0.3">
      <c r="U756383" s="25"/>
    </row>
    <row r="756405" spans="21:21" x14ac:dyDescent="0.3">
      <c r="U756405" s="25"/>
    </row>
    <row r="756427" spans="21:21" x14ac:dyDescent="0.3">
      <c r="U756427" s="25"/>
    </row>
    <row r="756449" spans="21:21" x14ac:dyDescent="0.3">
      <c r="U756449" s="25"/>
    </row>
    <row r="756471" spans="21:21" x14ac:dyDescent="0.3">
      <c r="U756471" s="25"/>
    </row>
    <row r="756493" spans="21:21" x14ac:dyDescent="0.3">
      <c r="U756493" s="25"/>
    </row>
    <row r="756515" spans="21:21" x14ac:dyDescent="0.3">
      <c r="U756515" s="25"/>
    </row>
    <row r="756537" spans="21:21" x14ac:dyDescent="0.3">
      <c r="U756537" s="25"/>
    </row>
    <row r="756559" spans="21:21" x14ac:dyDescent="0.3">
      <c r="U756559" s="25"/>
    </row>
    <row r="756581" spans="21:21" x14ac:dyDescent="0.3">
      <c r="U756581" s="25"/>
    </row>
    <row r="756603" spans="21:21" x14ac:dyDescent="0.3">
      <c r="U756603" s="25"/>
    </row>
    <row r="756625" spans="21:21" x14ac:dyDescent="0.3">
      <c r="U756625" s="25"/>
    </row>
    <row r="756647" spans="21:21" x14ac:dyDescent="0.3">
      <c r="U756647" s="25"/>
    </row>
    <row r="756669" spans="21:21" x14ac:dyDescent="0.3">
      <c r="U756669" s="25"/>
    </row>
    <row r="756691" spans="21:21" x14ac:dyDescent="0.3">
      <c r="U756691" s="25"/>
    </row>
    <row r="756713" spans="21:21" x14ac:dyDescent="0.3">
      <c r="U756713" s="25"/>
    </row>
    <row r="756735" spans="21:21" x14ac:dyDescent="0.3">
      <c r="U756735" s="25"/>
    </row>
    <row r="756757" spans="21:21" x14ac:dyDescent="0.3">
      <c r="U756757" s="25"/>
    </row>
    <row r="756779" spans="21:21" x14ac:dyDescent="0.3">
      <c r="U756779" s="25"/>
    </row>
    <row r="756801" spans="21:21" x14ac:dyDescent="0.3">
      <c r="U756801" s="25"/>
    </row>
    <row r="756823" spans="21:21" x14ac:dyDescent="0.3">
      <c r="U756823" s="25"/>
    </row>
    <row r="756845" spans="21:21" x14ac:dyDescent="0.3">
      <c r="U756845" s="25"/>
    </row>
    <row r="756867" spans="21:21" x14ac:dyDescent="0.3">
      <c r="U756867" s="25"/>
    </row>
    <row r="756889" spans="21:21" x14ac:dyDescent="0.3">
      <c r="U756889" s="25"/>
    </row>
    <row r="756911" spans="21:21" x14ac:dyDescent="0.3">
      <c r="U756911" s="25"/>
    </row>
    <row r="756933" spans="21:21" x14ac:dyDescent="0.3">
      <c r="U756933" s="25"/>
    </row>
    <row r="756955" spans="21:21" x14ac:dyDescent="0.3">
      <c r="U756955" s="25"/>
    </row>
    <row r="756977" spans="21:21" x14ac:dyDescent="0.3">
      <c r="U756977" s="25"/>
    </row>
    <row r="756999" spans="21:21" x14ac:dyDescent="0.3">
      <c r="U756999" s="25"/>
    </row>
    <row r="757021" spans="21:21" x14ac:dyDescent="0.3">
      <c r="U757021" s="25"/>
    </row>
    <row r="757043" spans="21:21" x14ac:dyDescent="0.3">
      <c r="U757043" s="25"/>
    </row>
    <row r="757065" spans="21:21" x14ac:dyDescent="0.3">
      <c r="U757065" s="25"/>
    </row>
    <row r="757087" spans="21:21" x14ac:dyDescent="0.3">
      <c r="U757087" s="25"/>
    </row>
    <row r="757109" spans="21:21" x14ac:dyDescent="0.3">
      <c r="U757109" s="25"/>
    </row>
    <row r="757131" spans="21:21" x14ac:dyDescent="0.3">
      <c r="U757131" s="25"/>
    </row>
    <row r="757153" spans="21:21" x14ac:dyDescent="0.3">
      <c r="U757153" s="25"/>
    </row>
    <row r="757175" spans="21:21" x14ac:dyDescent="0.3">
      <c r="U757175" s="25"/>
    </row>
    <row r="757197" spans="21:21" x14ac:dyDescent="0.3">
      <c r="U757197" s="25"/>
    </row>
    <row r="757219" spans="21:21" x14ac:dyDescent="0.3">
      <c r="U757219" s="25"/>
    </row>
    <row r="757241" spans="21:21" x14ac:dyDescent="0.3">
      <c r="U757241" s="25"/>
    </row>
    <row r="757263" spans="21:21" x14ac:dyDescent="0.3">
      <c r="U757263" s="25"/>
    </row>
    <row r="757285" spans="21:21" x14ac:dyDescent="0.3">
      <c r="U757285" s="25"/>
    </row>
    <row r="757307" spans="21:21" x14ac:dyDescent="0.3">
      <c r="U757307" s="25"/>
    </row>
    <row r="757329" spans="21:21" x14ac:dyDescent="0.3">
      <c r="U757329" s="25"/>
    </row>
    <row r="757351" spans="21:21" x14ac:dyDescent="0.3">
      <c r="U757351" s="25"/>
    </row>
    <row r="757373" spans="21:21" x14ac:dyDescent="0.3">
      <c r="U757373" s="25"/>
    </row>
    <row r="757395" spans="21:21" x14ac:dyDescent="0.3">
      <c r="U757395" s="25"/>
    </row>
    <row r="757417" spans="21:21" x14ac:dyDescent="0.3">
      <c r="U757417" s="25"/>
    </row>
    <row r="757439" spans="21:21" x14ac:dyDescent="0.3">
      <c r="U757439" s="25"/>
    </row>
    <row r="757461" spans="21:21" x14ac:dyDescent="0.3">
      <c r="U757461" s="25"/>
    </row>
    <row r="757483" spans="21:21" x14ac:dyDescent="0.3">
      <c r="U757483" s="25"/>
    </row>
    <row r="757505" spans="21:21" x14ac:dyDescent="0.3">
      <c r="U757505" s="25"/>
    </row>
    <row r="757527" spans="21:21" x14ac:dyDescent="0.3">
      <c r="U757527" s="25"/>
    </row>
    <row r="757549" spans="21:21" x14ac:dyDescent="0.3">
      <c r="U757549" s="25"/>
    </row>
    <row r="757571" spans="21:21" x14ac:dyDescent="0.3">
      <c r="U757571" s="25"/>
    </row>
    <row r="757593" spans="21:21" x14ac:dyDescent="0.3">
      <c r="U757593" s="25"/>
    </row>
    <row r="757615" spans="21:21" x14ac:dyDescent="0.3">
      <c r="U757615" s="25"/>
    </row>
    <row r="757637" spans="21:21" x14ac:dyDescent="0.3">
      <c r="U757637" s="25"/>
    </row>
    <row r="757659" spans="21:21" x14ac:dyDescent="0.3">
      <c r="U757659" s="25"/>
    </row>
    <row r="757681" spans="21:21" x14ac:dyDescent="0.3">
      <c r="U757681" s="25"/>
    </row>
    <row r="757703" spans="21:21" x14ac:dyDescent="0.3">
      <c r="U757703" s="25"/>
    </row>
    <row r="757725" spans="21:21" x14ac:dyDescent="0.3">
      <c r="U757725" s="25"/>
    </row>
    <row r="757747" spans="21:21" x14ac:dyDescent="0.3">
      <c r="U757747" s="25"/>
    </row>
    <row r="757769" spans="21:21" x14ac:dyDescent="0.3">
      <c r="U757769" s="25"/>
    </row>
    <row r="757791" spans="21:21" x14ac:dyDescent="0.3">
      <c r="U757791" s="25"/>
    </row>
    <row r="757813" spans="21:21" x14ac:dyDescent="0.3">
      <c r="U757813" s="25"/>
    </row>
    <row r="757835" spans="21:21" x14ac:dyDescent="0.3">
      <c r="U757835" s="25"/>
    </row>
    <row r="757857" spans="21:21" x14ac:dyDescent="0.3">
      <c r="U757857" s="25"/>
    </row>
    <row r="757879" spans="21:21" x14ac:dyDescent="0.3">
      <c r="U757879" s="25"/>
    </row>
    <row r="757901" spans="21:21" x14ac:dyDescent="0.3">
      <c r="U757901" s="25"/>
    </row>
    <row r="757923" spans="21:21" x14ac:dyDescent="0.3">
      <c r="U757923" s="25"/>
    </row>
    <row r="757945" spans="21:21" x14ac:dyDescent="0.3">
      <c r="U757945" s="25"/>
    </row>
    <row r="757967" spans="21:21" x14ac:dyDescent="0.3">
      <c r="U757967" s="25"/>
    </row>
    <row r="757989" spans="21:21" x14ac:dyDescent="0.3">
      <c r="U757989" s="25"/>
    </row>
    <row r="758011" spans="21:21" x14ac:dyDescent="0.3">
      <c r="U758011" s="25"/>
    </row>
    <row r="758033" spans="21:21" x14ac:dyDescent="0.3">
      <c r="U758033" s="25"/>
    </row>
    <row r="758055" spans="21:21" x14ac:dyDescent="0.3">
      <c r="U758055" s="25"/>
    </row>
    <row r="758077" spans="21:21" x14ac:dyDescent="0.3">
      <c r="U758077" s="25"/>
    </row>
    <row r="758099" spans="21:21" x14ac:dyDescent="0.3">
      <c r="U758099" s="25"/>
    </row>
    <row r="758121" spans="21:21" x14ac:dyDescent="0.3">
      <c r="U758121" s="25"/>
    </row>
    <row r="758143" spans="21:21" x14ac:dyDescent="0.3">
      <c r="U758143" s="25"/>
    </row>
    <row r="758165" spans="21:21" x14ac:dyDescent="0.3">
      <c r="U758165" s="25"/>
    </row>
    <row r="758187" spans="21:21" x14ac:dyDescent="0.3">
      <c r="U758187" s="25"/>
    </row>
    <row r="758209" spans="21:21" x14ac:dyDescent="0.3">
      <c r="U758209" s="25"/>
    </row>
    <row r="758231" spans="21:21" x14ac:dyDescent="0.3">
      <c r="U758231" s="25"/>
    </row>
    <row r="758253" spans="21:21" x14ac:dyDescent="0.3">
      <c r="U758253" s="25"/>
    </row>
    <row r="758275" spans="21:21" x14ac:dyDescent="0.3">
      <c r="U758275" s="25"/>
    </row>
    <row r="758297" spans="21:21" x14ac:dyDescent="0.3">
      <c r="U758297" s="25"/>
    </row>
    <row r="758319" spans="21:21" x14ac:dyDescent="0.3">
      <c r="U758319" s="25"/>
    </row>
    <row r="758341" spans="21:21" x14ac:dyDescent="0.3">
      <c r="U758341" s="25"/>
    </row>
    <row r="758363" spans="21:21" x14ac:dyDescent="0.3">
      <c r="U758363" s="25"/>
    </row>
    <row r="758385" spans="21:21" x14ac:dyDescent="0.3">
      <c r="U758385" s="25"/>
    </row>
    <row r="758407" spans="21:21" x14ac:dyDescent="0.3">
      <c r="U758407" s="25"/>
    </row>
    <row r="758429" spans="21:21" x14ac:dyDescent="0.3">
      <c r="U758429" s="25"/>
    </row>
    <row r="758451" spans="21:21" x14ac:dyDescent="0.3">
      <c r="U758451" s="25"/>
    </row>
    <row r="758473" spans="21:21" x14ac:dyDescent="0.3">
      <c r="U758473" s="25"/>
    </row>
    <row r="758495" spans="21:21" x14ac:dyDescent="0.3">
      <c r="U758495" s="25"/>
    </row>
    <row r="758517" spans="21:21" x14ac:dyDescent="0.3">
      <c r="U758517" s="25"/>
    </row>
    <row r="758539" spans="21:21" x14ac:dyDescent="0.3">
      <c r="U758539" s="25"/>
    </row>
    <row r="758561" spans="21:21" x14ac:dyDescent="0.3">
      <c r="U758561" s="25"/>
    </row>
    <row r="758583" spans="21:21" x14ac:dyDescent="0.3">
      <c r="U758583" s="25"/>
    </row>
    <row r="758605" spans="21:21" x14ac:dyDescent="0.3">
      <c r="U758605" s="25"/>
    </row>
    <row r="758627" spans="21:21" x14ac:dyDescent="0.3">
      <c r="U758627" s="25"/>
    </row>
    <row r="758649" spans="21:21" x14ac:dyDescent="0.3">
      <c r="U758649" s="25"/>
    </row>
    <row r="758671" spans="21:21" x14ac:dyDescent="0.3">
      <c r="U758671" s="25"/>
    </row>
    <row r="758693" spans="21:21" x14ac:dyDescent="0.3">
      <c r="U758693" s="25"/>
    </row>
    <row r="758715" spans="21:21" x14ac:dyDescent="0.3">
      <c r="U758715" s="25"/>
    </row>
    <row r="758737" spans="21:21" x14ac:dyDescent="0.3">
      <c r="U758737" s="25"/>
    </row>
    <row r="758759" spans="21:21" x14ac:dyDescent="0.3">
      <c r="U758759" s="25"/>
    </row>
    <row r="758781" spans="21:21" x14ac:dyDescent="0.3">
      <c r="U758781" s="25"/>
    </row>
    <row r="758803" spans="21:21" x14ac:dyDescent="0.3">
      <c r="U758803" s="25"/>
    </row>
    <row r="758825" spans="21:21" x14ac:dyDescent="0.3">
      <c r="U758825" s="25"/>
    </row>
    <row r="758847" spans="21:21" x14ac:dyDescent="0.3">
      <c r="U758847" s="25"/>
    </row>
    <row r="758869" spans="21:21" x14ac:dyDescent="0.3">
      <c r="U758869" s="25"/>
    </row>
    <row r="758891" spans="21:21" x14ac:dyDescent="0.3">
      <c r="U758891" s="25"/>
    </row>
    <row r="758913" spans="21:21" x14ac:dyDescent="0.3">
      <c r="U758913" s="25"/>
    </row>
    <row r="758935" spans="21:21" x14ac:dyDescent="0.3">
      <c r="U758935" s="25"/>
    </row>
    <row r="758957" spans="21:21" x14ac:dyDescent="0.3">
      <c r="U758957" s="25"/>
    </row>
    <row r="758979" spans="21:21" x14ac:dyDescent="0.3">
      <c r="U758979" s="25"/>
    </row>
    <row r="759001" spans="21:21" x14ac:dyDescent="0.3">
      <c r="U759001" s="25"/>
    </row>
    <row r="759023" spans="21:21" x14ac:dyDescent="0.3">
      <c r="U759023" s="25"/>
    </row>
    <row r="759045" spans="21:21" x14ac:dyDescent="0.3">
      <c r="U759045" s="25"/>
    </row>
    <row r="759067" spans="21:21" x14ac:dyDescent="0.3">
      <c r="U759067" s="25"/>
    </row>
    <row r="759089" spans="21:21" x14ac:dyDescent="0.3">
      <c r="U759089" s="25"/>
    </row>
    <row r="759111" spans="21:21" x14ac:dyDescent="0.3">
      <c r="U759111" s="25"/>
    </row>
    <row r="759133" spans="21:21" x14ac:dyDescent="0.3">
      <c r="U759133" s="25"/>
    </row>
    <row r="759155" spans="21:21" x14ac:dyDescent="0.3">
      <c r="U759155" s="25"/>
    </row>
    <row r="759177" spans="21:21" x14ac:dyDescent="0.3">
      <c r="U759177" s="25"/>
    </row>
    <row r="759199" spans="21:21" x14ac:dyDescent="0.3">
      <c r="U759199" s="25"/>
    </row>
    <row r="759221" spans="21:21" x14ac:dyDescent="0.3">
      <c r="U759221" s="25"/>
    </row>
    <row r="759243" spans="21:21" x14ac:dyDescent="0.3">
      <c r="U759243" s="25"/>
    </row>
    <row r="759265" spans="21:21" x14ac:dyDescent="0.3">
      <c r="U759265" s="25"/>
    </row>
    <row r="759287" spans="21:21" x14ac:dyDescent="0.3">
      <c r="U759287" s="25"/>
    </row>
    <row r="759309" spans="21:21" x14ac:dyDescent="0.3">
      <c r="U759309" s="25"/>
    </row>
    <row r="759331" spans="21:21" x14ac:dyDescent="0.3">
      <c r="U759331" s="25"/>
    </row>
    <row r="759353" spans="21:21" x14ac:dyDescent="0.3">
      <c r="U759353" s="25"/>
    </row>
    <row r="759375" spans="21:21" x14ac:dyDescent="0.3">
      <c r="U759375" s="25"/>
    </row>
    <row r="759397" spans="21:21" x14ac:dyDescent="0.3">
      <c r="U759397" s="25"/>
    </row>
    <row r="759419" spans="21:21" x14ac:dyDescent="0.3">
      <c r="U759419" s="25"/>
    </row>
    <row r="759441" spans="21:21" x14ac:dyDescent="0.3">
      <c r="U759441" s="25"/>
    </row>
    <row r="759463" spans="21:21" x14ac:dyDescent="0.3">
      <c r="U759463" s="25"/>
    </row>
    <row r="759485" spans="21:21" x14ac:dyDescent="0.3">
      <c r="U759485" s="25"/>
    </row>
    <row r="759507" spans="21:21" x14ac:dyDescent="0.3">
      <c r="U759507" s="25"/>
    </row>
    <row r="759529" spans="21:21" x14ac:dyDescent="0.3">
      <c r="U759529" s="25"/>
    </row>
    <row r="759551" spans="21:21" x14ac:dyDescent="0.3">
      <c r="U759551" s="25"/>
    </row>
    <row r="759573" spans="21:21" x14ac:dyDescent="0.3">
      <c r="U759573" s="25"/>
    </row>
    <row r="759595" spans="21:21" x14ac:dyDescent="0.3">
      <c r="U759595" s="25"/>
    </row>
    <row r="759617" spans="21:21" x14ac:dyDescent="0.3">
      <c r="U759617" s="25"/>
    </row>
    <row r="759639" spans="21:21" x14ac:dyDescent="0.3">
      <c r="U759639" s="25"/>
    </row>
    <row r="759661" spans="21:21" x14ac:dyDescent="0.3">
      <c r="U759661" s="25"/>
    </row>
    <row r="759683" spans="21:21" x14ac:dyDescent="0.3">
      <c r="U759683" s="25"/>
    </row>
    <row r="759705" spans="21:21" x14ac:dyDescent="0.3">
      <c r="U759705" s="25"/>
    </row>
    <row r="759727" spans="21:21" x14ac:dyDescent="0.3">
      <c r="U759727" s="25"/>
    </row>
    <row r="759749" spans="21:21" x14ac:dyDescent="0.3">
      <c r="U759749" s="25"/>
    </row>
    <row r="759771" spans="21:21" x14ac:dyDescent="0.3">
      <c r="U759771" s="25"/>
    </row>
    <row r="759793" spans="21:21" x14ac:dyDescent="0.3">
      <c r="U759793" s="25"/>
    </row>
    <row r="759815" spans="21:21" x14ac:dyDescent="0.3">
      <c r="U759815" s="25"/>
    </row>
    <row r="759837" spans="21:21" x14ac:dyDescent="0.3">
      <c r="U759837" s="25"/>
    </row>
    <row r="759859" spans="21:21" x14ac:dyDescent="0.3">
      <c r="U759859" s="25"/>
    </row>
    <row r="759881" spans="21:21" x14ac:dyDescent="0.3">
      <c r="U759881" s="25"/>
    </row>
    <row r="759903" spans="21:21" x14ac:dyDescent="0.3">
      <c r="U759903" s="25"/>
    </row>
    <row r="759925" spans="21:21" x14ac:dyDescent="0.3">
      <c r="U759925" s="25"/>
    </row>
    <row r="759947" spans="21:21" x14ac:dyDescent="0.3">
      <c r="U759947" s="25"/>
    </row>
    <row r="759969" spans="21:21" x14ac:dyDescent="0.3">
      <c r="U759969" s="25"/>
    </row>
    <row r="759991" spans="21:21" x14ac:dyDescent="0.3">
      <c r="U759991" s="25"/>
    </row>
    <row r="760013" spans="21:21" x14ac:dyDescent="0.3">
      <c r="U760013" s="25"/>
    </row>
    <row r="760035" spans="21:21" x14ac:dyDescent="0.3">
      <c r="U760035" s="25"/>
    </row>
    <row r="760057" spans="21:21" x14ac:dyDescent="0.3">
      <c r="U760057" s="25"/>
    </row>
    <row r="760079" spans="21:21" x14ac:dyDescent="0.3">
      <c r="U760079" s="25"/>
    </row>
    <row r="760101" spans="21:21" x14ac:dyDescent="0.3">
      <c r="U760101" s="25"/>
    </row>
    <row r="760123" spans="21:21" x14ac:dyDescent="0.3">
      <c r="U760123" s="25"/>
    </row>
    <row r="760145" spans="21:21" x14ac:dyDescent="0.3">
      <c r="U760145" s="25"/>
    </row>
    <row r="760167" spans="21:21" x14ac:dyDescent="0.3">
      <c r="U760167" s="25"/>
    </row>
    <row r="760189" spans="21:21" x14ac:dyDescent="0.3">
      <c r="U760189" s="25"/>
    </row>
    <row r="760211" spans="21:21" x14ac:dyDescent="0.3">
      <c r="U760211" s="25"/>
    </row>
    <row r="760233" spans="21:21" x14ac:dyDescent="0.3">
      <c r="U760233" s="25"/>
    </row>
    <row r="760255" spans="21:21" x14ac:dyDescent="0.3">
      <c r="U760255" s="25"/>
    </row>
    <row r="760277" spans="21:21" x14ac:dyDescent="0.3">
      <c r="U760277" s="25"/>
    </row>
    <row r="760299" spans="21:21" x14ac:dyDescent="0.3">
      <c r="U760299" s="25"/>
    </row>
    <row r="760321" spans="21:21" x14ac:dyDescent="0.3">
      <c r="U760321" s="25"/>
    </row>
    <row r="760343" spans="21:21" x14ac:dyDescent="0.3">
      <c r="U760343" s="25"/>
    </row>
    <row r="760365" spans="21:21" x14ac:dyDescent="0.3">
      <c r="U760365" s="25"/>
    </row>
    <row r="760387" spans="21:21" x14ac:dyDescent="0.3">
      <c r="U760387" s="25"/>
    </row>
    <row r="760409" spans="21:21" x14ac:dyDescent="0.3">
      <c r="U760409" s="25"/>
    </row>
    <row r="760431" spans="21:21" x14ac:dyDescent="0.3">
      <c r="U760431" s="25"/>
    </row>
    <row r="760453" spans="21:21" x14ac:dyDescent="0.3">
      <c r="U760453" s="25"/>
    </row>
    <row r="760475" spans="21:21" x14ac:dyDescent="0.3">
      <c r="U760475" s="25"/>
    </row>
    <row r="760497" spans="21:21" x14ac:dyDescent="0.3">
      <c r="U760497" s="25"/>
    </row>
    <row r="760519" spans="21:21" x14ac:dyDescent="0.3">
      <c r="U760519" s="25"/>
    </row>
    <row r="760541" spans="21:21" x14ac:dyDescent="0.3">
      <c r="U760541" s="25"/>
    </row>
    <row r="760563" spans="21:21" x14ac:dyDescent="0.3">
      <c r="U760563" s="25"/>
    </row>
    <row r="760585" spans="21:21" x14ac:dyDescent="0.3">
      <c r="U760585" s="25"/>
    </row>
    <row r="760607" spans="21:21" x14ac:dyDescent="0.3">
      <c r="U760607" s="25"/>
    </row>
    <row r="760629" spans="21:21" x14ac:dyDescent="0.3">
      <c r="U760629" s="25"/>
    </row>
    <row r="760651" spans="21:21" x14ac:dyDescent="0.3">
      <c r="U760651" s="25"/>
    </row>
    <row r="760673" spans="21:21" x14ac:dyDescent="0.3">
      <c r="U760673" s="25"/>
    </row>
    <row r="760695" spans="21:21" x14ac:dyDescent="0.3">
      <c r="U760695" s="25"/>
    </row>
    <row r="760717" spans="21:21" x14ac:dyDescent="0.3">
      <c r="U760717" s="25"/>
    </row>
    <row r="760739" spans="21:21" x14ac:dyDescent="0.3">
      <c r="U760739" s="25"/>
    </row>
    <row r="760761" spans="21:21" x14ac:dyDescent="0.3">
      <c r="U760761" s="25"/>
    </row>
    <row r="760783" spans="21:21" x14ac:dyDescent="0.3">
      <c r="U760783" s="25"/>
    </row>
    <row r="760805" spans="21:21" x14ac:dyDescent="0.3">
      <c r="U760805" s="25"/>
    </row>
    <row r="760827" spans="21:21" x14ac:dyDescent="0.3">
      <c r="U760827" s="25"/>
    </row>
    <row r="760849" spans="21:21" x14ac:dyDescent="0.3">
      <c r="U760849" s="25"/>
    </row>
    <row r="760871" spans="21:21" x14ac:dyDescent="0.3">
      <c r="U760871" s="25"/>
    </row>
    <row r="760893" spans="21:21" x14ac:dyDescent="0.3">
      <c r="U760893" s="25"/>
    </row>
    <row r="760915" spans="21:21" x14ac:dyDescent="0.3">
      <c r="U760915" s="25"/>
    </row>
    <row r="760937" spans="21:21" x14ac:dyDescent="0.3">
      <c r="U760937" s="25"/>
    </row>
    <row r="760959" spans="21:21" x14ac:dyDescent="0.3">
      <c r="U760959" s="25"/>
    </row>
    <row r="760981" spans="21:21" x14ac:dyDescent="0.3">
      <c r="U760981" s="25"/>
    </row>
    <row r="761003" spans="21:21" x14ac:dyDescent="0.3">
      <c r="U761003" s="25"/>
    </row>
    <row r="761025" spans="21:21" x14ac:dyDescent="0.3">
      <c r="U761025" s="25"/>
    </row>
    <row r="761047" spans="21:21" x14ac:dyDescent="0.3">
      <c r="U761047" s="25"/>
    </row>
    <row r="761069" spans="21:21" x14ac:dyDescent="0.3">
      <c r="U761069" s="25"/>
    </row>
    <row r="761091" spans="21:21" x14ac:dyDescent="0.3">
      <c r="U761091" s="25"/>
    </row>
    <row r="761113" spans="21:21" x14ac:dyDescent="0.3">
      <c r="U761113" s="25"/>
    </row>
    <row r="761135" spans="21:21" x14ac:dyDescent="0.3">
      <c r="U761135" s="25"/>
    </row>
    <row r="761157" spans="21:21" x14ac:dyDescent="0.3">
      <c r="U761157" s="25"/>
    </row>
    <row r="761179" spans="21:21" x14ac:dyDescent="0.3">
      <c r="U761179" s="25"/>
    </row>
    <row r="761201" spans="21:21" x14ac:dyDescent="0.3">
      <c r="U761201" s="25"/>
    </row>
    <row r="761223" spans="21:21" x14ac:dyDescent="0.3">
      <c r="U761223" s="25"/>
    </row>
    <row r="761245" spans="21:21" x14ac:dyDescent="0.3">
      <c r="U761245" s="25"/>
    </row>
    <row r="761267" spans="21:21" x14ac:dyDescent="0.3">
      <c r="U761267" s="25"/>
    </row>
    <row r="761289" spans="21:21" x14ac:dyDescent="0.3">
      <c r="U761289" s="25"/>
    </row>
    <row r="761311" spans="21:21" x14ac:dyDescent="0.3">
      <c r="U761311" s="25"/>
    </row>
    <row r="761333" spans="21:21" x14ac:dyDescent="0.3">
      <c r="U761333" s="25"/>
    </row>
    <row r="761355" spans="21:21" x14ac:dyDescent="0.3">
      <c r="U761355" s="25"/>
    </row>
    <row r="761377" spans="21:21" x14ac:dyDescent="0.3">
      <c r="U761377" s="25"/>
    </row>
    <row r="761399" spans="21:21" x14ac:dyDescent="0.3">
      <c r="U761399" s="25"/>
    </row>
    <row r="761421" spans="21:21" x14ac:dyDescent="0.3">
      <c r="U761421" s="25"/>
    </row>
    <row r="761443" spans="21:21" x14ac:dyDescent="0.3">
      <c r="U761443" s="25"/>
    </row>
    <row r="761465" spans="21:21" x14ac:dyDescent="0.3">
      <c r="U761465" s="25"/>
    </row>
    <row r="761487" spans="21:21" x14ac:dyDescent="0.3">
      <c r="U761487" s="25"/>
    </row>
    <row r="761509" spans="21:21" x14ac:dyDescent="0.3">
      <c r="U761509" s="25"/>
    </row>
    <row r="761531" spans="21:21" x14ac:dyDescent="0.3">
      <c r="U761531" s="25"/>
    </row>
    <row r="761553" spans="21:21" x14ac:dyDescent="0.3">
      <c r="U761553" s="25"/>
    </row>
    <row r="761575" spans="21:21" x14ac:dyDescent="0.3">
      <c r="U761575" s="25"/>
    </row>
    <row r="761597" spans="21:21" x14ac:dyDescent="0.3">
      <c r="U761597" s="25"/>
    </row>
    <row r="761619" spans="21:21" x14ac:dyDescent="0.3">
      <c r="U761619" s="25"/>
    </row>
    <row r="761641" spans="21:21" x14ac:dyDescent="0.3">
      <c r="U761641" s="25"/>
    </row>
    <row r="761663" spans="21:21" x14ac:dyDescent="0.3">
      <c r="U761663" s="25"/>
    </row>
    <row r="761685" spans="21:21" x14ac:dyDescent="0.3">
      <c r="U761685" s="25"/>
    </row>
    <row r="761707" spans="21:21" x14ac:dyDescent="0.3">
      <c r="U761707" s="25"/>
    </row>
    <row r="761729" spans="21:21" x14ac:dyDescent="0.3">
      <c r="U761729" s="25"/>
    </row>
    <row r="761751" spans="21:21" x14ac:dyDescent="0.3">
      <c r="U761751" s="25"/>
    </row>
    <row r="761773" spans="21:21" x14ac:dyDescent="0.3">
      <c r="U761773" s="25"/>
    </row>
    <row r="761795" spans="21:21" x14ac:dyDescent="0.3">
      <c r="U761795" s="25"/>
    </row>
    <row r="761817" spans="21:21" x14ac:dyDescent="0.3">
      <c r="U761817" s="25"/>
    </row>
    <row r="761839" spans="21:21" x14ac:dyDescent="0.3">
      <c r="U761839" s="25"/>
    </row>
    <row r="761861" spans="21:21" x14ac:dyDescent="0.3">
      <c r="U761861" s="25"/>
    </row>
    <row r="761883" spans="21:21" x14ac:dyDescent="0.3">
      <c r="U761883" s="25"/>
    </row>
    <row r="761905" spans="21:21" x14ac:dyDescent="0.3">
      <c r="U761905" s="25"/>
    </row>
    <row r="761927" spans="21:21" x14ac:dyDescent="0.3">
      <c r="U761927" s="25"/>
    </row>
    <row r="761949" spans="21:21" x14ac:dyDescent="0.3">
      <c r="U761949" s="25"/>
    </row>
    <row r="761971" spans="21:21" x14ac:dyDescent="0.3">
      <c r="U761971" s="25"/>
    </row>
    <row r="761993" spans="21:21" x14ac:dyDescent="0.3">
      <c r="U761993" s="25"/>
    </row>
    <row r="762015" spans="21:21" x14ac:dyDescent="0.3">
      <c r="U762015" s="25"/>
    </row>
    <row r="762037" spans="21:21" x14ac:dyDescent="0.3">
      <c r="U762037" s="25"/>
    </row>
    <row r="762059" spans="21:21" x14ac:dyDescent="0.3">
      <c r="U762059" s="25"/>
    </row>
    <row r="762081" spans="21:21" x14ac:dyDescent="0.3">
      <c r="U762081" s="25"/>
    </row>
    <row r="762103" spans="21:21" x14ac:dyDescent="0.3">
      <c r="U762103" s="25"/>
    </row>
    <row r="762125" spans="21:21" x14ac:dyDescent="0.3">
      <c r="U762125" s="25"/>
    </row>
    <row r="762147" spans="21:21" x14ac:dyDescent="0.3">
      <c r="U762147" s="25"/>
    </row>
    <row r="762169" spans="21:21" x14ac:dyDescent="0.3">
      <c r="U762169" s="25"/>
    </row>
    <row r="762191" spans="21:21" x14ac:dyDescent="0.3">
      <c r="U762191" s="25"/>
    </row>
    <row r="762213" spans="21:21" x14ac:dyDescent="0.3">
      <c r="U762213" s="25"/>
    </row>
    <row r="762235" spans="21:21" x14ac:dyDescent="0.3">
      <c r="U762235" s="25"/>
    </row>
    <row r="762257" spans="21:21" x14ac:dyDescent="0.3">
      <c r="U762257" s="25"/>
    </row>
    <row r="762279" spans="21:21" x14ac:dyDescent="0.3">
      <c r="U762279" s="25"/>
    </row>
    <row r="762301" spans="21:21" x14ac:dyDescent="0.3">
      <c r="U762301" s="25"/>
    </row>
    <row r="762323" spans="21:21" x14ac:dyDescent="0.3">
      <c r="U762323" s="25"/>
    </row>
    <row r="762345" spans="21:21" x14ac:dyDescent="0.3">
      <c r="U762345" s="25"/>
    </row>
    <row r="762367" spans="21:21" x14ac:dyDescent="0.3">
      <c r="U762367" s="25"/>
    </row>
    <row r="762389" spans="21:21" x14ac:dyDescent="0.3">
      <c r="U762389" s="25"/>
    </row>
    <row r="762411" spans="21:21" x14ac:dyDescent="0.3">
      <c r="U762411" s="25"/>
    </row>
    <row r="762433" spans="21:21" x14ac:dyDescent="0.3">
      <c r="U762433" s="25"/>
    </row>
    <row r="762455" spans="21:21" x14ac:dyDescent="0.3">
      <c r="U762455" s="25"/>
    </row>
    <row r="762477" spans="21:21" x14ac:dyDescent="0.3">
      <c r="U762477" s="25"/>
    </row>
    <row r="762499" spans="21:21" x14ac:dyDescent="0.3">
      <c r="U762499" s="25"/>
    </row>
    <row r="762521" spans="21:21" x14ac:dyDescent="0.3">
      <c r="U762521" s="25"/>
    </row>
    <row r="762543" spans="21:21" x14ac:dyDescent="0.3">
      <c r="U762543" s="25"/>
    </row>
    <row r="762565" spans="21:21" x14ac:dyDescent="0.3">
      <c r="U762565" s="25"/>
    </row>
    <row r="762587" spans="21:21" x14ac:dyDescent="0.3">
      <c r="U762587" s="25"/>
    </row>
    <row r="762609" spans="21:21" x14ac:dyDescent="0.3">
      <c r="U762609" s="25"/>
    </row>
    <row r="762631" spans="21:21" x14ac:dyDescent="0.3">
      <c r="U762631" s="25"/>
    </row>
    <row r="762653" spans="21:21" x14ac:dyDescent="0.3">
      <c r="U762653" s="25"/>
    </row>
    <row r="762675" spans="21:21" x14ac:dyDescent="0.3">
      <c r="U762675" s="25"/>
    </row>
    <row r="762697" spans="21:21" x14ac:dyDescent="0.3">
      <c r="U762697" s="25"/>
    </row>
    <row r="762719" spans="21:21" x14ac:dyDescent="0.3">
      <c r="U762719" s="25"/>
    </row>
    <row r="762741" spans="21:21" x14ac:dyDescent="0.3">
      <c r="U762741" s="25"/>
    </row>
    <row r="762763" spans="21:21" x14ac:dyDescent="0.3">
      <c r="U762763" s="25"/>
    </row>
    <row r="762785" spans="21:21" x14ac:dyDescent="0.3">
      <c r="U762785" s="25"/>
    </row>
    <row r="762807" spans="21:21" x14ac:dyDescent="0.3">
      <c r="U762807" s="25"/>
    </row>
    <row r="762829" spans="21:21" x14ac:dyDescent="0.3">
      <c r="U762829" s="25"/>
    </row>
    <row r="762851" spans="21:21" x14ac:dyDescent="0.3">
      <c r="U762851" s="25"/>
    </row>
    <row r="762873" spans="21:21" x14ac:dyDescent="0.3">
      <c r="U762873" s="25"/>
    </row>
    <row r="762895" spans="21:21" x14ac:dyDescent="0.3">
      <c r="U762895" s="25"/>
    </row>
    <row r="762917" spans="21:21" x14ac:dyDescent="0.3">
      <c r="U762917" s="25"/>
    </row>
    <row r="762939" spans="21:21" x14ac:dyDescent="0.3">
      <c r="U762939" s="25"/>
    </row>
    <row r="762961" spans="21:21" x14ac:dyDescent="0.3">
      <c r="U762961" s="25"/>
    </row>
    <row r="762983" spans="21:21" x14ac:dyDescent="0.3">
      <c r="U762983" s="25"/>
    </row>
    <row r="763005" spans="21:21" x14ac:dyDescent="0.3">
      <c r="U763005" s="25"/>
    </row>
    <row r="763027" spans="21:21" x14ac:dyDescent="0.3">
      <c r="U763027" s="25"/>
    </row>
    <row r="763049" spans="21:21" x14ac:dyDescent="0.3">
      <c r="U763049" s="25"/>
    </row>
    <row r="763071" spans="21:21" x14ac:dyDescent="0.3">
      <c r="U763071" s="25"/>
    </row>
    <row r="763093" spans="21:21" x14ac:dyDescent="0.3">
      <c r="U763093" s="25"/>
    </row>
    <row r="763115" spans="21:21" x14ac:dyDescent="0.3">
      <c r="U763115" s="25"/>
    </row>
    <row r="763137" spans="21:21" x14ac:dyDescent="0.3">
      <c r="U763137" s="25"/>
    </row>
    <row r="763159" spans="21:21" x14ac:dyDescent="0.3">
      <c r="U763159" s="25"/>
    </row>
    <row r="763181" spans="21:21" x14ac:dyDescent="0.3">
      <c r="U763181" s="25"/>
    </row>
    <row r="763203" spans="21:21" x14ac:dyDescent="0.3">
      <c r="U763203" s="25"/>
    </row>
    <row r="763225" spans="21:21" x14ac:dyDescent="0.3">
      <c r="U763225" s="25"/>
    </row>
    <row r="763247" spans="21:21" x14ac:dyDescent="0.3">
      <c r="U763247" s="25"/>
    </row>
    <row r="763269" spans="21:21" x14ac:dyDescent="0.3">
      <c r="U763269" s="25"/>
    </row>
    <row r="763291" spans="21:21" x14ac:dyDescent="0.3">
      <c r="U763291" s="25"/>
    </row>
    <row r="763313" spans="21:21" x14ac:dyDescent="0.3">
      <c r="U763313" s="25"/>
    </row>
    <row r="763335" spans="21:21" x14ac:dyDescent="0.3">
      <c r="U763335" s="25"/>
    </row>
    <row r="763357" spans="21:21" x14ac:dyDescent="0.3">
      <c r="U763357" s="25"/>
    </row>
    <row r="763379" spans="21:21" x14ac:dyDescent="0.3">
      <c r="U763379" s="25"/>
    </row>
    <row r="763401" spans="21:21" x14ac:dyDescent="0.3">
      <c r="U763401" s="25"/>
    </row>
    <row r="763423" spans="21:21" x14ac:dyDescent="0.3">
      <c r="U763423" s="25"/>
    </row>
    <row r="763445" spans="21:21" x14ac:dyDescent="0.3">
      <c r="U763445" s="25"/>
    </row>
    <row r="763467" spans="21:21" x14ac:dyDescent="0.3">
      <c r="U763467" s="25"/>
    </row>
    <row r="763489" spans="21:21" x14ac:dyDescent="0.3">
      <c r="U763489" s="25"/>
    </row>
    <row r="763511" spans="21:21" x14ac:dyDescent="0.3">
      <c r="U763511" s="25"/>
    </row>
    <row r="763533" spans="21:21" x14ac:dyDescent="0.3">
      <c r="U763533" s="25"/>
    </row>
    <row r="763555" spans="21:21" x14ac:dyDescent="0.3">
      <c r="U763555" s="25"/>
    </row>
    <row r="763577" spans="21:21" x14ac:dyDescent="0.3">
      <c r="U763577" s="25"/>
    </row>
    <row r="763599" spans="21:21" x14ac:dyDescent="0.3">
      <c r="U763599" s="25"/>
    </row>
    <row r="763621" spans="21:21" x14ac:dyDescent="0.3">
      <c r="U763621" s="25"/>
    </row>
    <row r="763643" spans="21:21" x14ac:dyDescent="0.3">
      <c r="U763643" s="25"/>
    </row>
    <row r="763665" spans="21:21" x14ac:dyDescent="0.3">
      <c r="U763665" s="25"/>
    </row>
    <row r="763687" spans="21:21" x14ac:dyDescent="0.3">
      <c r="U763687" s="25"/>
    </row>
    <row r="763709" spans="21:21" x14ac:dyDescent="0.3">
      <c r="U763709" s="25"/>
    </row>
    <row r="763731" spans="21:21" x14ac:dyDescent="0.3">
      <c r="U763731" s="25"/>
    </row>
    <row r="763753" spans="21:21" x14ac:dyDescent="0.3">
      <c r="U763753" s="25"/>
    </row>
    <row r="763775" spans="21:21" x14ac:dyDescent="0.3">
      <c r="U763775" s="25"/>
    </row>
    <row r="763797" spans="21:21" x14ac:dyDescent="0.3">
      <c r="U763797" s="25"/>
    </row>
    <row r="763819" spans="21:21" x14ac:dyDescent="0.3">
      <c r="U763819" s="25"/>
    </row>
    <row r="763841" spans="21:21" x14ac:dyDescent="0.3">
      <c r="U763841" s="25"/>
    </row>
    <row r="763863" spans="21:21" x14ac:dyDescent="0.3">
      <c r="U763863" s="25"/>
    </row>
    <row r="763885" spans="21:21" x14ac:dyDescent="0.3">
      <c r="U763885" s="25"/>
    </row>
    <row r="763907" spans="21:21" x14ac:dyDescent="0.3">
      <c r="U763907" s="25"/>
    </row>
    <row r="763929" spans="21:21" x14ac:dyDescent="0.3">
      <c r="U763929" s="25"/>
    </row>
    <row r="763951" spans="21:21" x14ac:dyDescent="0.3">
      <c r="U763951" s="25"/>
    </row>
    <row r="763973" spans="21:21" x14ac:dyDescent="0.3">
      <c r="U763973" s="25"/>
    </row>
    <row r="763995" spans="21:21" x14ac:dyDescent="0.3">
      <c r="U763995" s="25"/>
    </row>
    <row r="764017" spans="21:21" x14ac:dyDescent="0.3">
      <c r="U764017" s="25"/>
    </row>
    <row r="764039" spans="21:21" x14ac:dyDescent="0.3">
      <c r="U764039" s="25"/>
    </row>
    <row r="764061" spans="21:21" x14ac:dyDescent="0.3">
      <c r="U764061" s="25"/>
    </row>
    <row r="764083" spans="21:21" x14ac:dyDescent="0.3">
      <c r="U764083" s="25"/>
    </row>
    <row r="764105" spans="21:21" x14ac:dyDescent="0.3">
      <c r="U764105" s="25"/>
    </row>
    <row r="764127" spans="21:21" x14ac:dyDescent="0.3">
      <c r="U764127" s="25"/>
    </row>
    <row r="764149" spans="21:21" x14ac:dyDescent="0.3">
      <c r="U764149" s="25"/>
    </row>
    <row r="764171" spans="21:21" x14ac:dyDescent="0.3">
      <c r="U764171" s="25"/>
    </row>
    <row r="764193" spans="21:21" x14ac:dyDescent="0.3">
      <c r="U764193" s="25"/>
    </row>
    <row r="764215" spans="21:21" x14ac:dyDescent="0.3">
      <c r="U764215" s="25"/>
    </row>
    <row r="764237" spans="21:21" x14ac:dyDescent="0.3">
      <c r="U764237" s="25"/>
    </row>
    <row r="764259" spans="21:21" x14ac:dyDescent="0.3">
      <c r="U764259" s="25"/>
    </row>
    <row r="764281" spans="21:21" x14ac:dyDescent="0.3">
      <c r="U764281" s="25"/>
    </row>
    <row r="764303" spans="21:21" x14ac:dyDescent="0.3">
      <c r="U764303" s="25"/>
    </row>
    <row r="764325" spans="21:21" x14ac:dyDescent="0.3">
      <c r="U764325" s="25"/>
    </row>
    <row r="764347" spans="21:21" x14ac:dyDescent="0.3">
      <c r="U764347" s="25"/>
    </row>
    <row r="764369" spans="21:21" x14ac:dyDescent="0.3">
      <c r="U764369" s="25"/>
    </row>
    <row r="764391" spans="21:21" x14ac:dyDescent="0.3">
      <c r="U764391" s="25"/>
    </row>
    <row r="764413" spans="21:21" x14ac:dyDescent="0.3">
      <c r="U764413" s="25"/>
    </row>
    <row r="764435" spans="21:21" x14ac:dyDescent="0.3">
      <c r="U764435" s="25"/>
    </row>
    <row r="764457" spans="21:21" x14ac:dyDescent="0.3">
      <c r="U764457" s="25"/>
    </row>
    <row r="764479" spans="21:21" x14ac:dyDescent="0.3">
      <c r="U764479" s="25"/>
    </row>
    <row r="764501" spans="21:21" x14ac:dyDescent="0.3">
      <c r="U764501" s="25"/>
    </row>
    <row r="764523" spans="21:21" x14ac:dyDescent="0.3">
      <c r="U764523" s="25"/>
    </row>
    <row r="764545" spans="21:21" x14ac:dyDescent="0.3">
      <c r="U764545" s="25"/>
    </row>
    <row r="764567" spans="21:21" x14ac:dyDescent="0.3">
      <c r="U764567" s="25"/>
    </row>
    <row r="764589" spans="21:21" x14ac:dyDescent="0.3">
      <c r="U764589" s="25"/>
    </row>
    <row r="764611" spans="21:21" x14ac:dyDescent="0.3">
      <c r="U764611" s="25"/>
    </row>
    <row r="764633" spans="21:21" x14ac:dyDescent="0.3">
      <c r="U764633" s="25"/>
    </row>
    <row r="764655" spans="21:21" x14ac:dyDescent="0.3">
      <c r="U764655" s="25"/>
    </row>
    <row r="764677" spans="21:21" x14ac:dyDescent="0.3">
      <c r="U764677" s="25"/>
    </row>
    <row r="764699" spans="21:21" x14ac:dyDescent="0.3">
      <c r="U764699" s="25"/>
    </row>
    <row r="764721" spans="21:21" x14ac:dyDescent="0.3">
      <c r="U764721" s="25"/>
    </row>
    <row r="764743" spans="21:21" x14ac:dyDescent="0.3">
      <c r="U764743" s="25"/>
    </row>
    <row r="764765" spans="21:21" x14ac:dyDescent="0.3">
      <c r="U764765" s="25"/>
    </row>
    <row r="764787" spans="21:21" x14ac:dyDescent="0.3">
      <c r="U764787" s="25"/>
    </row>
    <row r="764809" spans="21:21" x14ac:dyDescent="0.3">
      <c r="U764809" s="25"/>
    </row>
    <row r="764831" spans="21:21" x14ac:dyDescent="0.3">
      <c r="U764831" s="25"/>
    </row>
    <row r="764853" spans="21:21" x14ac:dyDescent="0.3">
      <c r="U764853" s="25"/>
    </row>
    <row r="764875" spans="21:21" x14ac:dyDescent="0.3">
      <c r="U764875" s="25"/>
    </row>
    <row r="764897" spans="21:21" x14ac:dyDescent="0.3">
      <c r="U764897" s="25"/>
    </row>
    <row r="764919" spans="21:21" x14ac:dyDescent="0.3">
      <c r="U764919" s="25"/>
    </row>
    <row r="764941" spans="21:21" x14ac:dyDescent="0.3">
      <c r="U764941" s="25"/>
    </row>
    <row r="764963" spans="21:21" x14ac:dyDescent="0.3">
      <c r="U764963" s="25"/>
    </row>
    <row r="764985" spans="21:21" x14ac:dyDescent="0.3">
      <c r="U764985" s="25"/>
    </row>
    <row r="765007" spans="21:21" x14ac:dyDescent="0.3">
      <c r="U765007" s="25"/>
    </row>
    <row r="765029" spans="21:21" x14ac:dyDescent="0.3">
      <c r="U765029" s="25"/>
    </row>
    <row r="765051" spans="21:21" x14ac:dyDescent="0.3">
      <c r="U765051" s="25"/>
    </row>
    <row r="765073" spans="21:21" x14ac:dyDescent="0.3">
      <c r="U765073" s="25"/>
    </row>
    <row r="765095" spans="21:21" x14ac:dyDescent="0.3">
      <c r="U765095" s="25"/>
    </row>
    <row r="765117" spans="21:21" x14ac:dyDescent="0.3">
      <c r="U765117" s="25"/>
    </row>
    <row r="765139" spans="21:21" x14ac:dyDescent="0.3">
      <c r="U765139" s="25"/>
    </row>
    <row r="765161" spans="21:21" x14ac:dyDescent="0.3">
      <c r="U765161" s="25"/>
    </row>
    <row r="765183" spans="21:21" x14ac:dyDescent="0.3">
      <c r="U765183" s="25"/>
    </row>
    <row r="765205" spans="21:21" x14ac:dyDescent="0.3">
      <c r="U765205" s="25"/>
    </row>
    <row r="765227" spans="21:21" x14ac:dyDescent="0.3">
      <c r="U765227" s="25"/>
    </row>
    <row r="765249" spans="21:21" x14ac:dyDescent="0.3">
      <c r="U765249" s="25"/>
    </row>
    <row r="765271" spans="21:21" x14ac:dyDescent="0.3">
      <c r="U765271" s="25"/>
    </row>
    <row r="765293" spans="21:21" x14ac:dyDescent="0.3">
      <c r="U765293" s="25"/>
    </row>
    <row r="765315" spans="21:21" x14ac:dyDescent="0.3">
      <c r="U765315" s="25"/>
    </row>
    <row r="765337" spans="21:21" x14ac:dyDescent="0.3">
      <c r="U765337" s="25"/>
    </row>
    <row r="765359" spans="21:21" x14ac:dyDescent="0.3">
      <c r="U765359" s="25"/>
    </row>
    <row r="765381" spans="21:21" x14ac:dyDescent="0.3">
      <c r="U765381" s="25"/>
    </row>
    <row r="765403" spans="21:21" x14ac:dyDescent="0.3">
      <c r="U765403" s="25"/>
    </row>
    <row r="765425" spans="21:21" x14ac:dyDescent="0.3">
      <c r="U765425" s="25"/>
    </row>
    <row r="765447" spans="21:21" x14ac:dyDescent="0.3">
      <c r="U765447" s="25"/>
    </row>
    <row r="765469" spans="21:21" x14ac:dyDescent="0.3">
      <c r="U765469" s="25"/>
    </row>
    <row r="765491" spans="21:21" x14ac:dyDescent="0.3">
      <c r="U765491" s="25"/>
    </row>
    <row r="765513" spans="21:21" x14ac:dyDescent="0.3">
      <c r="U765513" s="25"/>
    </row>
    <row r="765535" spans="21:21" x14ac:dyDescent="0.3">
      <c r="U765535" s="25"/>
    </row>
    <row r="765557" spans="21:21" x14ac:dyDescent="0.3">
      <c r="U765557" s="25"/>
    </row>
    <row r="765579" spans="21:21" x14ac:dyDescent="0.3">
      <c r="U765579" s="25"/>
    </row>
    <row r="765601" spans="21:21" x14ac:dyDescent="0.3">
      <c r="U765601" s="25"/>
    </row>
    <row r="765623" spans="21:21" x14ac:dyDescent="0.3">
      <c r="U765623" s="25"/>
    </row>
    <row r="765645" spans="21:21" x14ac:dyDescent="0.3">
      <c r="U765645" s="25"/>
    </row>
    <row r="765667" spans="21:21" x14ac:dyDescent="0.3">
      <c r="U765667" s="25"/>
    </row>
    <row r="765689" spans="21:21" x14ac:dyDescent="0.3">
      <c r="U765689" s="25"/>
    </row>
    <row r="765711" spans="21:21" x14ac:dyDescent="0.3">
      <c r="U765711" s="25"/>
    </row>
    <row r="765733" spans="21:21" x14ac:dyDescent="0.3">
      <c r="U765733" s="25"/>
    </row>
    <row r="765755" spans="21:21" x14ac:dyDescent="0.3">
      <c r="U765755" s="25"/>
    </row>
    <row r="765777" spans="21:21" x14ac:dyDescent="0.3">
      <c r="U765777" s="25"/>
    </row>
    <row r="765799" spans="21:21" x14ac:dyDescent="0.3">
      <c r="U765799" s="25"/>
    </row>
    <row r="765821" spans="21:21" x14ac:dyDescent="0.3">
      <c r="U765821" s="25"/>
    </row>
    <row r="765843" spans="21:21" x14ac:dyDescent="0.3">
      <c r="U765843" s="25"/>
    </row>
    <row r="765865" spans="21:21" x14ac:dyDescent="0.3">
      <c r="U765865" s="25"/>
    </row>
    <row r="765887" spans="21:21" x14ac:dyDescent="0.3">
      <c r="U765887" s="25"/>
    </row>
    <row r="765909" spans="21:21" x14ac:dyDescent="0.3">
      <c r="U765909" s="25"/>
    </row>
    <row r="765931" spans="21:21" x14ac:dyDescent="0.3">
      <c r="U765931" s="25"/>
    </row>
    <row r="765953" spans="21:21" x14ac:dyDescent="0.3">
      <c r="U765953" s="25"/>
    </row>
    <row r="765975" spans="21:21" x14ac:dyDescent="0.3">
      <c r="U765975" s="25"/>
    </row>
    <row r="765997" spans="21:21" x14ac:dyDescent="0.3">
      <c r="U765997" s="25"/>
    </row>
    <row r="766019" spans="21:21" x14ac:dyDescent="0.3">
      <c r="U766019" s="25"/>
    </row>
    <row r="766041" spans="21:21" x14ac:dyDescent="0.3">
      <c r="U766041" s="25"/>
    </row>
    <row r="766063" spans="21:21" x14ac:dyDescent="0.3">
      <c r="U766063" s="25"/>
    </row>
    <row r="766085" spans="21:21" x14ac:dyDescent="0.3">
      <c r="U766085" s="25"/>
    </row>
    <row r="766107" spans="21:21" x14ac:dyDescent="0.3">
      <c r="U766107" s="25"/>
    </row>
    <row r="766129" spans="21:21" x14ac:dyDescent="0.3">
      <c r="U766129" s="25"/>
    </row>
    <row r="766151" spans="21:21" x14ac:dyDescent="0.3">
      <c r="U766151" s="25"/>
    </row>
    <row r="766173" spans="21:21" x14ac:dyDescent="0.3">
      <c r="U766173" s="25"/>
    </row>
    <row r="766195" spans="21:21" x14ac:dyDescent="0.3">
      <c r="U766195" s="25"/>
    </row>
    <row r="766217" spans="21:21" x14ac:dyDescent="0.3">
      <c r="U766217" s="25"/>
    </row>
    <row r="766239" spans="21:21" x14ac:dyDescent="0.3">
      <c r="U766239" s="25"/>
    </row>
    <row r="766261" spans="21:21" x14ac:dyDescent="0.3">
      <c r="U766261" s="25"/>
    </row>
    <row r="766283" spans="21:21" x14ac:dyDescent="0.3">
      <c r="U766283" s="25"/>
    </row>
    <row r="766305" spans="21:21" x14ac:dyDescent="0.3">
      <c r="U766305" s="25"/>
    </row>
    <row r="766327" spans="21:21" x14ac:dyDescent="0.3">
      <c r="U766327" s="25"/>
    </row>
    <row r="766349" spans="21:21" x14ac:dyDescent="0.3">
      <c r="U766349" s="25"/>
    </row>
    <row r="766371" spans="21:21" x14ac:dyDescent="0.3">
      <c r="U766371" s="25"/>
    </row>
    <row r="766393" spans="21:21" x14ac:dyDescent="0.3">
      <c r="U766393" s="25"/>
    </row>
    <row r="766415" spans="21:21" x14ac:dyDescent="0.3">
      <c r="U766415" s="25"/>
    </row>
    <row r="766437" spans="21:21" x14ac:dyDescent="0.3">
      <c r="U766437" s="25"/>
    </row>
    <row r="766459" spans="21:21" x14ac:dyDescent="0.3">
      <c r="U766459" s="25"/>
    </row>
    <row r="766481" spans="21:21" x14ac:dyDescent="0.3">
      <c r="U766481" s="25"/>
    </row>
    <row r="766503" spans="21:21" x14ac:dyDescent="0.3">
      <c r="U766503" s="25"/>
    </row>
    <row r="766525" spans="21:21" x14ac:dyDescent="0.3">
      <c r="U766525" s="25"/>
    </row>
    <row r="766547" spans="21:21" x14ac:dyDescent="0.3">
      <c r="U766547" s="25"/>
    </row>
    <row r="766569" spans="21:21" x14ac:dyDescent="0.3">
      <c r="U766569" s="25"/>
    </row>
    <row r="766591" spans="21:21" x14ac:dyDescent="0.3">
      <c r="U766591" s="25"/>
    </row>
    <row r="766613" spans="21:21" x14ac:dyDescent="0.3">
      <c r="U766613" s="25"/>
    </row>
    <row r="766635" spans="21:21" x14ac:dyDescent="0.3">
      <c r="U766635" s="25"/>
    </row>
    <row r="766657" spans="21:21" x14ac:dyDescent="0.3">
      <c r="U766657" s="25"/>
    </row>
    <row r="766679" spans="21:21" x14ac:dyDescent="0.3">
      <c r="U766679" s="25"/>
    </row>
    <row r="766701" spans="21:21" x14ac:dyDescent="0.3">
      <c r="U766701" s="25"/>
    </row>
    <row r="766723" spans="21:21" x14ac:dyDescent="0.3">
      <c r="U766723" s="25"/>
    </row>
    <row r="766745" spans="21:21" x14ac:dyDescent="0.3">
      <c r="U766745" s="25"/>
    </row>
    <row r="766767" spans="21:21" x14ac:dyDescent="0.3">
      <c r="U766767" s="25"/>
    </row>
    <row r="766789" spans="21:21" x14ac:dyDescent="0.3">
      <c r="U766789" s="25"/>
    </row>
    <row r="766811" spans="21:21" x14ac:dyDescent="0.3">
      <c r="U766811" s="25"/>
    </row>
    <row r="766833" spans="21:21" x14ac:dyDescent="0.3">
      <c r="U766833" s="25"/>
    </row>
    <row r="766855" spans="21:21" x14ac:dyDescent="0.3">
      <c r="U766855" s="25"/>
    </row>
    <row r="766877" spans="21:21" x14ac:dyDescent="0.3">
      <c r="U766877" s="25"/>
    </row>
    <row r="766899" spans="21:21" x14ac:dyDescent="0.3">
      <c r="U766899" s="25"/>
    </row>
    <row r="766921" spans="21:21" x14ac:dyDescent="0.3">
      <c r="U766921" s="25"/>
    </row>
    <row r="766943" spans="21:21" x14ac:dyDescent="0.3">
      <c r="U766943" s="25"/>
    </row>
    <row r="766965" spans="21:21" x14ac:dyDescent="0.3">
      <c r="U766965" s="25"/>
    </row>
    <row r="766987" spans="21:21" x14ac:dyDescent="0.3">
      <c r="U766987" s="25"/>
    </row>
    <row r="767009" spans="21:21" x14ac:dyDescent="0.3">
      <c r="U767009" s="25"/>
    </row>
    <row r="767031" spans="21:21" x14ac:dyDescent="0.3">
      <c r="U767031" s="25"/>
    </row>
    <row r="767053" spans="21:21" x14ac:dyDescent="0.3">
      <c r="U767053" s="25"/>
    </row>
    <row r="767075" spans="21:21" x14ac:dyDescent="0.3">
      <c r="U767075" s="25"/>
    </row>
    <row r="767097" spans="21:21" x14ac:dyDescent="0.3">
      <c r="U767097" s="25"/>
    </row>
    <row r="767119" spans="21:21" x14ac:dyDescent="0.3">
      <c r="U767119" s="25"/>
    </row>
    <row r="767141" spans="21:21" x14ac:dyDescent="0.3">
      <c r="U767141" s="25"/>
    </row>
    <row r="767163" spans="21:21" x14ac:dyDescent="0.3">
      <c r="U767163" s="25"/>
    </row>
    <row r="767185" spans="21:21" x14ac:dyDescent="0.3">
      <c r="U767185" s="25"/>
    </row>
    <row r="767207" spans="21:21" x14ac:dyDescent="0.3">
      <c r="U767207" s="25"/>
    </row>
    <row r="767229" spans="21:21" x14ac:dyDescent="0.3">
      <c r="U767229" s="25"/>
    </row>
    <row r="767251" spans="21:21" x14ac:dyDescent="0.3">
      <c r="U767251" s="25"/>
    </row>
    <row r="767273" spans="21:21" x14ac:dyDescent="0.3">
      <c r="U767273" s="25"/>
    </row>
    <row r="767295" spans="21:21" x14ac:dyDescent="0.3">
      <c r="U767295" s="25"/>
    </row>
    <row r="767317" spans="21:21" x14ac:dyDescent="0.3">
      <c r="U767317" s="25"/>
    </row>
    <row r="767339" spans="21:21" x14ac:dyDescent="0.3">
      <c r="U767339" s="25"/>
    </row>
    <row r="767361" spans="21:21" x14ac:dyDescent="0.3">
      <c r="U767361" s="25"/>
    </row>
    <row r="767383" spans="21:21" x14ac:dyDescent="0.3">
      <c r="U767383" s="25"/>
    </row>
    <row r="767405" spans="21:21" x14ac:dyDescent="0.3">
      <c r="U767405" s="25"/>
    </row>
    <row r="767427" spans="21:21" x14ac:dyDescent="0.3">
      <c r="U767427" s="25"/>
    </row>
    <row r="767449" spans="21:21" x14ac:dyDescent="0.3">
      <c r="U767449" s="25"/>
    </row>
    <row r="767471" spans="21:21" x14ac:dyDescent="0.3">
      <c r="U767471" s="25"/>
    </row>
    <row r="767493" spans="21:21" x14ac:dyDescent="0.3">
      <c r="U767493" s="25"/>
    </row>
    <row r="767515" spans="21:21" x14ac:dyDescent="0.3">
      <c r="U767515" s="25"/>
    </row>
    <row r="767537" spans="21:21" x14ac:dyDescent="0.3">
      <c r="U767537" s="25"/>
    </row>
    <row r="767559" spans="21:21" x14ac:dyDescent="0.3">
      <c r="U767559" s="25"/>
    </row>
    <row r="767581" spans="21:21" x14ac:dyDescent="0.3">
      <c r="U767581" s="25"/>
    </row>
    <row r="767603" spans="21:21" x14ac:dyDescent="0.3">
      <c r="U767603" s="25"/>
    </row>
    <row r="767625" spans="21:21" x14ac:dyDescent="0.3">
      <c r="U767625" s="25"/>
    </row>
    <row r="767647" spans="21:21" x14ac:dyDescent="0.3">
      <c r="U767647" s="25"/>
    </row>
    <row r="767669" spans="21:21" x14ac:dyDescent="0.3">
      <c r="U767669" s="25"/>
    </row>
    <row r="767691" spans="21:21" x14ac:dyDescent="0.3">
      <c r="U767691" s="25"/>
    </row>
    <row r="767713" spans="21:21" x14ac:dyDescent="0.3">
      <c r="U767713" s="25"/>
    </row>
    <row r="767735" spans="21:21" x14ac:dyDescent="0.3">
      <c r="U767735" s="25"/>
    </row>
    <row r="767757" spans="21:21" x14ac:dyDescent="0.3">
      <c r="U767757" s="25"/>
    </row>
    <row r="767779" spans="21:21" x14ac:dyDescent="0.3">
      <c r="U767779" s="25"/>
    </row>
    <row r="767801" spans="21:21" x14ac:dyDescent="0.3">
      <c r="U767801" s="25"/>
    </row>
    <row r="767823" spans="21:21" x14ac:dyDescent="0.3">
      <c r="U767823" s="25"/>
    </row>
    <row r="767845" spans="21:21" x14ac:dyDescent="0.3">
      <c r="U767845" s="25"/>
    </row>
    <row r="767867" spans="21:21" x14ac:dyDescent="0.3">
      <c r="U767867" s="25"/>
    </row>
    <row r="767889" spans="21:21" x14ac:dyDescent="0.3">
      <c r="U767889" s="25"/>
    </row>
    <row r="767911" spans="21:21" x14ac:dyDescent="0.3">
      <c r="U767911" s="25"/>
    </row>
    <row r="767933" spans="21:21" x14ac:dyDescent="0.3">
      <c r="U767933" s="25"/>
    </row>
    <row r="767955" spans="21:21" x14ac:dyDescent="0.3">
      <c r="U767955" s="25"/>
    </row>
    <row r="767977" spans="21:21" x14ac:dyDescent="0.3">
      <c r="U767977" s="25"/>
    </row>
    <row r="767999" spans="21:21" x14ac:dyDescent="0.3">
      <c r="U767999" s="25"/>
    </row>
    <row r="768021" spans="21:21" x14ac:dyDescent="0.3">
      <c r="U768021" s="25"/>
    </row>
    <row r="768043" spans="21:21" x14ac:dyDescent="0.3">
      <c r="U768043" s="25"/>
    </row>
    <row r="768065" spans="21:21" x14ac:dyDescent="0.3">
      <c r="U768065" s="25"/>
    </row>
    <row r="768087" spans="21:21" x14ac:dyDescent="0.3">
      <c r="U768087" s="25"/>
    </row>
    <row r="768109" spans="21:21" x14ac:dyDescent="0.3">
      <c r="U768109" s="25"/>
    </row>
    <row r="768131" spans="21:21" x14ac:dyDescent="0.3">
      <c r="U768131" s="25"/>
    </row>
    <row r="768153" spans="21:21" x14ac:dyDescent="0.3">
      <c r="U768153" s="25"/>
    </row>
    <row r="768175" spans="21:21" x14ac:dyDescent="0.3">
      <c r="U768175" s="25"/>
    </row>
    <row r="768197" spans="21:21" x14ac:dyDescent="0.3">
      <c r="U768197" s="25"/>
    </row>
    <row r="768219" spans="21:21" x14ac:dyDescent="0.3">
      <c r="U768219" s="25"/>
    </row>
    <row r="768241" spans="21:21" x14ac:dyDescent="0.3">
      <c r="U768241" s="25"/>
    </row>
    <row r="768263" spans="21:21" x14ac:dyDescent="0.3">
      <c r="U768263" s="25"/>
    </row>
    <row r="768285" spans="21:21" x14ac:dyDescent="0.3">
      <c r="U768285" s="25"/>
    </row>
    <row r="768307" spans="21:21" x14ac:dyDescent="0.3">
      <c r="U768307" s="25"/>
    </row>
    <row r="768329" spans="21:21" x14ac:dyDescent="0.3">
      <c r="U768329" s="25"/>
    </row>
    <row r="768351" spans="21:21" x14ac:dyDescent="0.3">
      <c r="U768351" s="25"/>
    </row>
    <row r="768373" spans="21:21" x14ac:dyDescent="0.3">
      <c r="U768373" s="25"/>
    </row>
    <row r="768395" spans="21:21" x14ac:dyDescent="0.3">
      <c r="U768395" s="25"/>
    </row>
    <row r="768417" spans="21:21" x14ac:dyDescent="0.3">
      <c r="U768417" s="25"/>
    </row>
    <row r="768439" spans="21:21" x14ac:dyDescent="0.3">
      <c r="U768439" s="25"/>
    </row>
    <row r="768461" spans="21:21" x14ac:dyDescent="0.3">
      <c r="U768461" s="25"/>
    </row>
    <row r="768483" spans="21:21" x14ac:dyDescent="0.3">
      <c r="U768483" s="25"/>
    </row>
    <row r="768505" spans="21:21" x14ac:dyDescent="0.3">
      <c r="U768505" s="25"/>
    </row>
    <row r="768527" spans="21:21" x14ac:dyDescent="0.3">
      <c r="U768527" s="25"/>
    </row>
    <row r="768549" spans="21:21" x14ac:dyDescent="0.3">
      <c r="U768549" s="25"/>
    </row>
    <row r="768571" spans="21:21" x14ac:dyDescent="0.3">
      <c r="U768571" s="25"/>
    </row>
    <row r="768593" spans="21:21" x14ac:dyDescent="0.3">
      <c r="U768593" s="25"/>
    </row>
    <row r="768615" spans="21:21" x14ac:dyDescent="0.3">
      <c r="U768615" s="25"/>
    </row>
    <row r="768637" spans="21:21" x14ac:dyDescent="0.3">
      <c r="U768637" s="25"/>
    </row>
    <row r="768659" spans="21:21" x14ac:dyDescent="0.3">
      <c r="U768659" s="25"/>
    </row>
    <row r="768681" spans="21:21" x14ac:dyDescent="0.3">
      <c r="U768681" s="25"/>
    </row>
    <row r="768703" spans="21:21" x14ac:dyDescent="0.3">
      <c r="U768703" s="25"/>
    </row>
    <row r="768725" spans="21:21" x14ac:dyDescent="0.3">
      <c r="U768725" s="25"/>
    </row>
    <row r="768747" spans="21:21" x14ac:dyDescent="0.3">
      <c r="U768747" s="25"/>
    </row>
    <row r="768769" spans="21:21" x14ac:dyDescent="0.3">
      <c r="U768769" s="25"/>
    </row>
    <row r="768791" spans="21:21" x14ac:dyDescent="0.3">
      <c r="U768791" s="25"/>
    </row>
    <row r="768813" spans="21:21" x14ac:dyDescent="0.3">
      <c r="U768813" s="25"/>
    </row>
    <row r="768835" spans="21:21" x14ac:dyDescent="0.3">
      <c r="U768835" s="25"/>
    </row>
    <row r="768857" spans="21:21" x14ac:dyDescent="0.3">
      <c r="U768857" s="25"/>
    </row>
    <row r="768879" spans="21:21" x14ac:dyDescent="0.3">
      <c r="U768879" s="25"/>
    </row>
    <row r="768901" spans="21:21" x14ac:dyDescent="0.3">
      <c r="U768901" s="25"/>
    </row>
    <row r="768923" spans="21:21" x14ac:dyDescent="0.3">
      <c r="U768923" s="25"/>
    </row>
    <row r="768945" spans="21:21" x14ac:dyDescent="0.3">
      <c r="U768945" s="25"/>
    </row>
    <row r="768967" spans="21:21" x14ac:dyDescent="0.3">
      <c r="U768967" s="25"/>
    </row>
    <row r="768989" spans="21:21" x14ac:dyDescent="0.3">
      <c r="U768989" s="25"/>
    </row>
    <row r="769011" spans="21:21" x14ac:dyDescent="0.3">
      <c r="U769011" s="25"/>
    </row>
    <row r="769033" spans="21:21" x14ac:dyDescent="0.3">
      <c r="U769033" s="25"/>
    </row>
    <row r="769055" spans="21:21" x14ac:dyDescent="0.3">
      <c r="U769055" s="25"/>
    </row>
    <row r="769077" spans="21:21" x14ac:dyDescent="0.3">
      <c r="U769077" s="25"/>
    </row>
    <row r="769099" spans="21:21" x14ac:dyDescent="0.3">
      <c r="U769099" s="25"/>
    </row>
    <row r="769121" spans="21:21" x14ac:dyDescent="0.3">
      <c r="U769121" s="25"/>
    </row>
    <row r="769143" spans="21:21" x14ac:dyDescent="0.3">
      <c r="U769143" s="25"/>
    </row>
    <row r="769165" spans="21:21" x14ac:dyDescent="0.3">
      <c r="U769165" s="25"/>
    </row>
    <row r="769187" spans="21:21" x14ac:dyDescent="0.3">
      <c r="U769187" s="25"/>
    </row>
    <row r="769209" spans="21:21" x14ac:dyDescent="0.3">
      <c r="U769209" s="25"/>
    </row>
    <row r="769231" spans="21:21" x14ac:dyDescent="0.3">
      <c r="U769231" s="25"/>
    </row>
    <row r="769253" spans="21:21" x14ac:dyDescent="0.3">
      <c r="U769253" s="25"/>
    </row>
    <row r="769275" spans="21:21" x14ac:dyDescent="0.3">
      <c r="U769275" s="25"/>
    </row>
    <row r="769297" spans="21:21" x14ac:dyDescent="0.3">
      <c r="U769297" s="25"/>
    </row>
    <row r="769319" spans="21:21" x14ac:dyDescent="0.3">
      <c r="U769319" s="25"/>
    </row>
    <row r="769341" spans="21:21" x14ac:dyDescent="0.3">
      <c r="U769341" s="25"/>
    </row>
    <row r="769363" spans="21:21" x14ac:dyDescent="0.3">
      <c r="U769363" s="25"/>
    </row>
    <row r="769385" spans="21:21" x14ac:dyDescent="0.3">
      <c r="U769385" s="25"/>
    </row>
    <row r="769407" spans="21:21" x14ac:dyDescent="0.3">
      <c r="U769407" s="25"/>
    </row>
    <row r="769429" spans="21:21" x14ac:dyDescent="0.3">
      <c r="U769429" s="25"/>
    </row>
    <row r="769451" spans="21:21" x14ac:dyDescent="0.3">
      <c r="U769451" s="25"/>
    </row>
    <row r="769473" spans="21:21" x14ac:dyDescent="0.3">
      <c r="U769473" s="25"/>
    </row>
    <row r="769495" spans="21:21" x14ac:dyDescent="0.3">
      <c r="U769495" s="25"/>
    </row>
    <row r="769517" spans="21:21" x14ac:dyDescent="0.3">
      <c r="U769517" s="25"/>
    </row>
    <row r="769539" spans="21:21" x14ac:dyDescent="0.3">
      <c r="U769539" s="25"/>
    </row>
    <row r="769561" spans="21:21" x14ac:dyDescent="0.3">
      <c r="U769561" s="25"/>
    </row>
    <row r="769583" spans="21:21" x14ac:dyDescent="0.3">
      <c r="U769583" s="25"/>
    </row>
    <row r="769605" spans="21:21" x14ac:dyDescent="0.3">
      <c r="U769605" s="25"/>
    </row>
    <row r="769627" spans="21:21" x14ac:dyDescent="0.3">
      <c r="U769627" s="25"/>
    </row>
    <row r="769649" spans="21:21" x14ac:dyDescent="0.3">
      <c r="U769649" s="25"/>
    </row>
    <row r="769671" spans="21:21" x14ac:dyDescent="0.3">
      <c r="U769671" s="25"/>
    </row>
    <row r="769693" spans="21:21" x14ac:dyDescent="0.3">
      <c r="U769693" s="25"/>
    </row>
    <row r="769715" spans="21:21" x14ac:dyDescent="0.3">
      <c r="U769715" s="25"/>
    </row>
    <row r="769737" spans="21:21" x14ac:dyDescent="0.3">
      <c r="U769737" s="25"/>
    </row>
    <row r="769759" spans="21:21" x14ac:dyDescent="0.3">
      <c r="U769759" s="25"/>
    </row>
    <row r="769781" spans="21:21" x14ac:dyDescent="0.3">
      <c r="U769781" s="25"/>
    </row>
    <row r="769803" spans="21:21" x14ac:dyDescent="0.3">
      <c r="U769803" s="25"/>
    </row>
    <row r="769825" spans="21:21" x14ac:dyDescent="0.3">
      <c r="U769825" s="25"/>
    </row>
    <row r="769847" spans="21:21" x14ac:dyDescent="0.3">
      <c r="U769847" s="25"/>
    </row>
    <row r="769869" spans="21:21" x14ac:dyDescent="0.3">
      <c r="U769869" s="25"/>
    </row>
    <row r="769891" spans="21:21" x14ac:dyDescent="0.3">
      <c r="U769891" s="25"/>
    </row>
    <row r="769913" spans="21:21" x14ac:dyDescent="0.3">
      <c r="U769913" s="25"/>
    </row>
    <row r="769935" spans="21:21" x14ac:dyDescent="0.3">
      <c r="U769935" s="25"/>
    </row>
    <row r="769957" spans="21:21" x14ac:dyDescent="0.3">
      <c r="U769957" s="25"/>
    </row>
    <row r="769979" spans="21:21" x14ac:dyDescent="0.3">
      <c r="U769979" s="25"/>
    </row>
    <row r="770001" spans="21:21" x14ac:dyDescent="0.3">
      <c r="U770001" s="25"/>
    </row>
    <row r="770023" spans="21:21" x14ac:dyDescent="0.3">
      <c r="U770023" s="25"/>
    </row>
    <row r="770045" spans="21:21" x14ac:dyDescent="0.3">
      <c r="U770045" s="25"/>
    </row>
    <row r="770067" spans="21:21" x14ac:dyDescent="0.3">
      <c r="U770067" s="25"/>
    </row>
    <row r="770089" spans="21:21" x14ac:dyDescent="0.3">
      <c r="U770089" s="25"/>
    </row>
    <row r="770111" spans="21:21" x14ac:dyDescent="0.3">
      <c r="U770111" s="25"/>
    </row>
    <row r="770133" spans="21:21" x14ac:dyDescent="0.3">
      <c r="U770133" s="25"/>
    </row>
    <row r="770155" spans="21:21" x14ac:dyDescent="0.3">
      <c r="U770155" s="25"/>
    </row>
    <row r="770177" spans="21:21" x14ac:dyDescent="0.3">
      <c r="U770177" s="25"/>
    </row>
    <row r="770199" spans="21:21" x14ac:dyDescent="0.3">
      <c r="U770199" s="25"/>
    </row>
    <row r="770221" spans="21:21" x14ac:dyDescent="0.3">
      <c r="U770221" s="25"/>
    </row>
    <row r="770243" spans="21:21" x14ac:dyDescent="0.3">
      <c r="U770243" s="25"/>
    </row>
    <row r="770265" spans="21:21" x14ac:dyDescent="0.3">
      <c r="U770265" s="25"/>
    </row>
    <row r="770287" spans="21:21" x14ac:dyDescent="0.3">
      <c r="U770287" s="25"/>
    </row>
    <row r="770309" spans="21:21" x14ac:dyDescent="0.3">
      <c r="U770309" s="25"/>
    </row>
    <row r="770331" spans="21:21" x14ac:dyDescent="0.3">
      <c r="U770331" s="25"/>
    </row>
    <row r="770353" spans="21:21" x14ac:dyDescent="0.3">
      <c r="U770353" s="25"/>
    </row>
    <row r="770375" spans="21:21" x14ac:dyDescent="0.3">
      <c r="U770375" s="25"/>
    </row>
    <row r="770397" spans="21:21" x14ac:dyDescent="0.3">
      <c r="U770397" s="25"/>
    </row>
    <row r="770419" spans="21:21" x14ac:dyDescent="0.3">
      <c r="U770419" s="25"/>
    </row>
    <row r="770441" spans="21:21" x14ac:dyDescent="0.3">
      <c r="U770441" s="25"/>
    </row>
    <row r="770463" spans="21:21" x14ac:dyDescent="0.3">
      <c r="U770463" s="25"/>
    </row>
    <row r="770485" spans="21:21" x14ac:dyDescent="0.3">
      <c r="U770485" s="25"/>
    </row>
    <row r="770507" spans="21:21" x14ac:dyDescent="0.3">
      <c r="U770507" s="25"/>
    </row>
    <row r="770529" spans="21:21" x14ac:dyDescent="0.3">
      <c r="U770529" s="25"/>
    </row>
    <row r="770551" spans="21:21" x14ac:dyDescent="0.3">
      <c r="U770551" s="25"/>
    </row>
    <row r="770573" spans="21:21" x14ac:dyDescent="0.3">
      <c r="U770573" s="25"/>
    </row>
    <row r="770595" spans="21:21" x14ac:dyDescent="0.3">
      <c r="U770595" s="25"/>
    </row>
    <row r="770617" spans="21:21" x14ac:dyDescent="0.3">
      <c r="U770617" s="25"/>
    </row>
    <row r="770639" spans="21:21" x14ac:dyDescent="0.3">
      <c r="U770639" s="25"/>
    </row>
    <row r="770661" spans="21:21" x14ac:dyDescent="0.3">
      <c r="U770661" s="25"/>
    </row>
    <row r="770683" spans="21:21" x14ac:dyDescent="0.3">
      <c r="U770683" s="25"/>
    </row>
    <row r="770705" spans="21:21" x14ac:dyDescent="0.3">
      <c r="U770705" s="25"/>
    </row>
    <row r="770727" spans="21:21" x14ac:dyDescent="0.3">
      <c r="U770727" s="25"/>
    </row>
    <row r="770749" spans="21:21" x14ac:dyDescent="0.3">
      <c r="U770749" s="25"/>
    </row>
    <row r="770771" spans="21:21" x14ac:dyDescent="0.3">
      <c r="U770771" s="25"/>
    </row>
    <row r="770793" spans="21:21" x14ac:dyDescent="0.3">
      <c r="U770793" s="25"/>
    </row>
    <row r="770815" spans="21:21" x14ac:dyDescent="0.3">
      <c r="U770815" s="25"/>
    </row>
    <row r="770837" spans="21:21" x14ac:dyDescent="0.3">
      <c r="U770837" s="25"/>
    </row>
    <row r="770859" spans="21:21" x14ac:dyDescent="0.3">
      <c r="U770859" s="25"/>
    </row>
    <row r="770881" spans="21:21" x14ac:dyDescent="0.3">
      <c r="U770881" s="25"/>
    </row>
    <row r="770903" spans="21:21" x14ac:dyDescent="0.3">
      <c r="U770903" s="25"/>
    </row>
    <row r="770925" spans="21:21" x14ac:dyDescent="0.3">
      <c r="U770925" s="25"/>
    </row>
    <row r="770947" spans="21:21" x14ac:dyDescent="0.3">
      <c r="U770947" s="25"/>
    </row>
    <row r="770969" spans="21:21" x14ac:dyDescent="0.3">
      <c r="U770969" s="25"/>
    </row>
    <row r="770991" spans="21:21" x14ac:dyDescent="0.3">
      <c r="U770991" s="25"/>
    </row>
    <row r="771013" spans="21:21" x14ac:dyDescent="0.3">
      <c r="U771013" s="25"/>
    </row>
    <row r="771035" spans="21:21" x14ac:dyDescent="0.3">
      <c r="U771035" s="25"/>
    </row>
    <row r="771057" spans="21:21" x14ac:dyDescent="0.3">
      <c r="U771057" s="25"/>
    </row>
    <row r="771079" spans="21:21" x14ac:dyDescent="0.3">
      <c r="U771079" s="25"/>
    </row>
    <row r="771101" spans="21:21" x14ac:dyDescent="0.3">
      <c r="U771101" s="25"/>
    </row>
    <row r="771123" spans="21:21" x14ac:dyDescent="0.3">
      <c r="U771123" s="25"/>
    </row>
    <row r="771145" spans="21:21" x14ac:dyDescent="0.3">
      <c r="U771145" s="25"/>
    </row>
    <row r="771167" spans="21:21" x14ac:dyDescent="0.3">
      <c r="U771167" s="25"/>
    </row>
    <row r="771189" spans="21:21" x14ac:dyDescent="0.3">
      <c r="U771189" s="25"/>
    </row>
    <row r="771211" spans="21:21" x14ac:dyDescent="0.3">
      <c r="U771211" s="25"/>
    </row>
    <row r="771233" spans="21:21" x14ac:dyDescent="0.3">
      <c r="U771233" s="25"/>
    </row>
    <row r="771255" spans="21:21" x14ac:dyDescent="0.3">
      <c r="U771255" s="25"/>
    </row>
    <row r="771277" spans="21:21" x14ac:dyDescent="0.3">
      <c r="U771277" s="25"/>
    </row>
    <row r="771299" spans="21:21" x14ac:dyDescent="0.3">
      <c r="U771299" s="25"/>
    </row>
    <row r="771321" spans="21:21" x14ac:dyDescent="0.3">
      <c r="U771321" s="25"/>
    </row>
    <row r="771343" spans="21:21" x14ac:dyDescent="0.3">
      <c r="U771343" s="25"/>
    </row>
    <row r="771365" spans="21:21" x14ac:dyDescent="0.3">
      <c r="U771365" s="25"/>
    </row>
    <row r="771387" spans="21:21" x14ac:dyDescent="0.3">
      <c r="U771387" s="25"/>
    </row>
    <row r="771409" spans="21:21" x14ac:dyDescent="0.3">
      <c r="U771409" s="25"/>
    </row>
    <row r="771431" spans="21:21" x14ac:dyDescent="0.3">
      <c r="U771431" s="25"/>
    </row>
    <row r="771453" spans="21:21" x14ac:dyDescent="0.3">
      <c r="U771453" s="25"/>
    </row>
    <row r="771475" spans="21:21" x14ac:dyDescent="0.3">
      <c r="U771475" s="25"/>
    </row>
    <row r="771497" spans="21:21" x14ac:dyDescent="0.3">
      <c r="U771497" s="25"/>
    </row>
    <row r="771519" spans="21:21" x14ac:dyDescent="0.3">
      <c r="U771519" s="25"/>
    </row>
    <row r="771541" spans="21:21" x14ac:dyDescent="0.3">
      <c r="U771541" s="25"/>
    </row>
    <row r="771563" spans="21:21" x14ac:dyDescent="0.3">
      <c r="U771563" s="25"/>
    </row>
    <row r="771585" spans="21:21" x14ac:dyDescent="0.3">
      <c r="U771585" s="25"/>
    </row>
    <row r="771607" spans="21:21" x14ac:dyDescent="0.3">
      <c r="U771607" s="25"/>
    </row>
    <row r="771629" spans="21:21" x14ac:dyDescent="0.3">
      <c r="U771629" s="25"/>
    </row>
    <row r="771651" spans="21:21" x14ac:dyDescent="0.3">
      <c r="U771651" s="25"/>
    </row>
    <row r="771673" spans="21:21" x14ac:dyDescent="0.3">
      <c r="U771673" s="25"/>
    </row>
    <row r="771695" spans="21:21" x14ac:dyDescent="0.3">
      <c r="U771695" s="25"/>
    </row>
    <row r="771717" spans="21:21" x14ac:dyDescent="0.3">
      <c r="U771717" s="25"/>
    </row>
    <row r="771739" spans="21:21" x14ac:dyDescent="0.3">
      <c r="U771739" s="25"/>
    </row>
    <row r="771761" spans="21:21" x14ac:dyDescent="0.3">
      <c r="U771761" s="25"/>
    </row>
    <row r="771783" spans="21:21" x14ac:dyDescent="0.3">
      <c r="U771783" s="25"/>
    </row>
    <row r="771805" spans="21:21" x14ac:dyDescent="0.3">
      <c r="U771805" s="25"/>
    </row>
    <row r="771827" spans="21:21" x14ac:dyDescent="0.3">
      <c r="U771827" s="25"/>
    </row>
    <row r="771849" spans="21:21" x14ac:dyDescent="0.3">
      <c r="U771849" s="25"/>
    </row>
    <row r="771871" spans="21:21" x14ac:dyDescent="0.3">
      <c r="U771871" s="25"/>
    </row>
    <row r="771893" spans="21:21" x14ac:dyDescent="0.3">
      <c r="U771893" s="25"/>
    </row>
    <row r="771915" spans="21:21" x14ac:dyDescent="0.3">
      <c r="U771915" s="25"/>
    </row>
    <row r="771937" spans="21:21" x14ac:dyDescent="0.3">
      <c r="U771937" s="25"/>
    </row>
    <row r="771959" spans="21:21" x14ac:dyDescent="0.3">
      <c r="U771959" s="25"/>
    </row>
    <row r="771981" spans="21:21" x14ac:dyDescent="0.3">
      <c r="U771981" s="25"/>
    </row>
    <row r="772003" spans="21:21" x14ac:dyDescent="0.3">
      <c r="U772003" s="25"/>
    </row>
    <row r="772025" spans="21:21" x14ac:dyDescent="0.3">
      <c r="U772025" s="25"/>
    </row>
    <row r="772047" spans="21:21" x14ac:dyDescent="0.3">
      <c r="U772047" s="25"/>
    </row>
    <row r="772069" spans="21:21" x14ac:dyDescent="0.3">
      <c r="U772069" s="25"/>
    </row>
    <row r="772091" spans="21:21" x14ac:dyDescent="0.3">
      <c r="U772091" s="25"/>
    </row>
    <row r="772113" spans="21:21" x14ac:dyDescent="0.3">
      <c r="U772113" s="25"/>
    </row>
    <row r="772135" spans="21:21" x14ac:dyDescent="0.3">
      <c r="U772135" s="25"/>
    </row>
    <row r="772157" spans="21:21" x14ac:dyDescent="0.3">
      <c r="U772157" s="25"/>
    </row>
    <row r="772179" spans="21:21" x14ac:dyDescent="0.3">
      <c r="U772179" s="25"/>
    </row>
    <row r="772201" spans="21:21" x14ac:dyDescent="0.3">
      <c r="U772201" s="25"/>
    </row>
    <row r="772223" spans="21:21" x14ac:dyDescent="0.3">
      <c r="U772223" s="25"/>
    </row>
    <row r="772245" spans="21:21" x14ac:dyDescent="0.3">
      <c r="U772245" s="25"/>
    </row>
    <row r="772267" spans="21:21" x14ac:dyDescent="0.3">
      <c r="U772267" s="25"/>
    </row>
    <row r="772289" spans="21:21" x14ac:dyDescent="0.3">
      <c r="U772289" s="25"/>
    </row>
    <row r="772311" spans="21:21" x14ac:dyDescent="0.3">
      <c r="U772311" s="25"/>
    </row>
    <row r="772333" spans="21:21" x14ac:dyDescent="0.3">
      <c r="U772333" s="25"/>
    </row>
    <row r="772355" spans="21:21" x14ac:dyDescent="0.3">
      <c r="U772355" s="25"/>
    </row>
    <row r="772377" spans="21:21" x14ac:dyDescent="0.3">
      <c r="U772377" s="25"/>
    </row>
    <row r="772399" spans="21:21" x14ac:dyDescent="0.3">
      <c r="U772399" s="25"/>
    </row>
    <row r="772421" spans="21:21" x14ac:dyDescent="0.3">
      <c r="U772421" s="25"/>
    </row>
    <row r="772443" spans="21:21" x14ac:dyDescent="0.3">
      <c r="U772443" s="25"/>
    </row>
    <row r="772465" spans="21:21" x14ac:dyDescent="0.3">
      <c r="U772465" s="25"/>
    </row>
    <row r="772487" spans="21:21" x14ac:dyDescent="0.3">
      <c r="U772487" s="25"/>
    </row>
    <row r="772509" spans="21:21" x14ac:dyDescent="0.3">
      <c r="U772509" s="25"/>
    </row>
    <row r="772531" spans="21:21" x14ac:dyDescent="0.3">
      <c r="U772531" s="25"/>
    </row>
    <row r="772553" spans="21:21" x14ac:dyDescent="0.3">
      <c r="U772553" s="25"/>
    </row>
    <row r="772575" spans="21:21" x14ac:dyDescent="0.3">
      <c r="U772575" s="25"/>
    </row>
    <row r="772597" spans="21:21" x14ac:dyDescent="0.3">
      <c r="U772597" s="25"/>
    </row>
    <row r="772619" spans="21:21" x14ac:dyDescent="0.3">
      <c r="U772619" s="25"/>
    </row>
    <row r="772641" spans="21:21" x14ac:dyDescent="0.3">
      <c r="U772641" s="25"/>
    </row>
    <row r="772663" spans="21:21" x14ac:dyDescent="0.3">
      <c r="U772663" s="25"/>
    </row>
    <row r="772685" spans="21:21" x14ac:dyDescent="0.3">
      <c r="U772685" s="25"/>
    </row>
    <row r="772707" spans="21:21" x14ac:dyDescent="0.3">
      <c r="U772707" s="25"/>
    </row>
    <row r="772729" spans="21:21" x14ac:dyDescent="0.3">
      <c r="U772729" s="25"/>
    </row>
    <row r="772751" spans="21:21" x14ac:dyDescent="0.3">
      <c r="U772751" s="25"/>
    </row>
    <row r="772773" spans="21:21" x14ac:dyDescent="0.3">
      <c r="U772773" s="25"/>
    </row>
    <row r="772795" spans="21:21" x14ac:dyDescent="0.3">
      <c r="U772795" s="25"/>
    </row>
    <row r="772817" spans="21:21" x14ac:dyDescent="0.3">
      <c r="U772817" s="25"/>
    </row>
    <row r="772839" spans="21:21" x14ac:dyDescent="0.3">
      <c r="U772839" s="25"/>
    </row>
    <row r="772861" spans="21:21" x14ac:dyDescent="0.3">
      <c r="U772861" s="25"/>
    </row>
    <row r="772883" spans="21:21" x14ac:dyDescent="0.3">
      <c r="U772883" s="25"/>
    </row>
    <row r="772905" spans="21:21" x14ac:dyDescent="0.3">
      <c r="U772905" s="25"/>
    </row>
    <row r="772927" spans="21:21" x14ac:dyDescent="0.3">
      <c r="U772927" s="25"/>
    </row>
    <row r="772949" spans="21:21" x14ac:dyDescent="0.3">
      <c r="U772949" s="25"/>
    </row>
    <row r="772971" spans="21:21" x14ac:dyDescent="0.3">
      <c r="U772971" s="25"/>
    </row>
    <row r="772993" spans="21:21" x14ac:dyDescent="0.3">
      <c r="U772993" s="25"/>
    </row>
    <row r="773015" spans="21:21" x14ac:dyDescent="0.3">
      <c r="U773015" s="25"/>
    </row>
    <row r="773037" spans="21:21" x14ac:dyDescent="0.3">
      <c r="U773037" s="25"/>
    </row>
    <row r="773059" spans="21:21" x14ac:dyDescent="0.3">
      <c r="U773059" s="25"/>
    </row>
    <row r="773081" spans="21:21" x14ac:dyDescent="0.3">
      <c r="U773081" s="25"/>
    </row>
    <row r="773103" spans="21:21" x14ac:dyDescent="0.3">
      <c r="U773103" s="25"/>
    </row>
    <row r="773125" spans="21:21" x14ac:dyDescent="0.3">
      <c r="U773125" s="25"/>
    </row>
    <row r="773147" spans="21:21" x14ac:dyDescent="0.3">
      <c r="U773147" s="25"/>
    </row>
    <row r="773169" spans="21:21" x14ac:dyDescent="0.3">
      <c r="U773169" s="25"/>
    </row>
    <row r="773191" spans="21:21" x14ac:dyDescent="0.3">
      <c r="U773191" s="25"/>
    </row>
    <row r="773213" spans="21:21" x14ac:dyDescent="0.3">
      <c r="U773213" s="25"/>
    </row>
    <row r="773235" spans="21:21" x14ac:dyDescent="0.3">
      <c r="U773235" s="25"/>
    </row>
    <row r="773257" spans="21:21" x14ac:dyDescent="0.3">
      <c r="U773257" s="25"/>
    </row>
    <row r="773279" spans="21:21" x14ac:dyDescent="0.3">
      <c r="U773279" s="25"/>
    </row>
    <row r="773301" spans="21:21" x14ac:dyDescent="0.3">
      <c r="U773301" s="25"/>
    </row>
    <row r="773323" spans="21:21" x14ac:dyDescent="0.3">
      <c r="U773323" s="25"/>
    </row>
    <row r="773345" spans="21:21" x14ac:dyDescent="0.3">
      <c r="U773345" s="25"/>
    </row>
    <row r="773367" spans="21:21" x14ac:dyDescent="0.3">
      <c r="U773367" s="25"/>
    </row>
    <row r="773389" spans="21:21" x14ac:dyDescent="0.3">
      <c r="U773389" s="25"/>
    </row>
    <row r="773411" spans="21:21" x14ac:dyDescent="0.3">
      <c r="U773411" s="25"/>
    </row>
    <row r="773433" spans="21:21" x14ac:dyDescent="0.3">
      <c r="U773433" s="25"/>
    </row>
    <row r="773455" spans="21:21" x14ac:dyDescent="0.3">
      <c r="U773455" s="25"/>
    </row>
    <row r="773477" spans="21:21" x14ac:dyDescent="0.3">
      <c r="U773477" s="25"/>
    </row>
    <row r="773499" spans="21:21" x14ac:dyDescent="0.3">
      <c r="U773499" s="25"/>
    </row>
    <row r="773521" spans="21:21" x14ac:dyDescent="0.3">
      <c r="U773521" s="25"/>
    </row>
    <row r="773543" spans="21:21" x14ac:dyDescent="0.3">
      <c r="U773543" s="25"/>
    </row>
    <row r="773565" spans="21:21" x14ac:dyDescent="0.3">
      <c r="U773565" s="25"/>
    </row>
    <row r="773587" spans="21:21" x14ac:dyDescent="0.3">
      <c r="U773587" s="25"/>
    </row>
    <row r="773609" spans="21:21" x14ac:dyDescent="0.3">
      <c r="U773609" s="25"/>
    </row>
    <row r="773631" spans="21:21" x14ac:dyDescent="0.3">
      <c r="U773631" s="25"/>
    </row>
    <row r="773653" spans="21:21" x14ac:dyDescent="0.3">
      <c r="U773653" s="25"/>
    </row>
    <row r="773675" spans="21:21" x14ac:dyDescent="0.3">
      <c r="U773675" s="25"/>
    </row>
    <row r="773697" spans="21:21" x14ac:dyDescent="0.3">
      <c r="U773697" s="25"/>
    </row>
    <row r="773719" spans="21:21" x14ac:dyDescent="0.3">
      <c r="U773719" s="25"/>
    </row>
    <row r="773741" spans="21:21" x14ac:dyDescent="0.3">
      <c r="U773741" s="25"/>
    </row>
    <row r="773763" spans="21:21" x14ac:dyDescent="0.3">
      <c r="U773763" s="25"/>
    </row>
    <row r="773785" spans="21:21" x14ac:dyDescent="0.3">
      <c r="U773785" s="25"/>
    </row>
    <row r="773807" spans="21:21" x14ac:dyDescent="0.3">
      <c r="U773807" s="25"/>
    </row>
    <row r="773829" spans="21:21" x14ac:dyDescent="0.3">
      <c r="U773829" s="25"/>
    </row>
    <row r="773851" spans="21:21" x14ac:dyDescent="0.3">
      <c r="U773851" s="25"/>
    </row>
    <row r="773873" spans="21:21" x14ac:dyDescent="0.3">
      <c r="U773873" s="25"/>
    </row>
    <row r="773895" spans="21:21" x14ac:dyDescent="0.3">
      <c r="U773895" s="25"/>
    </row>
    <row r="773917" spans="21:21" x14ac:dyDescent="0.3">
      <c r="U773917" s="25"/>
    </row>
    <row r="773939" spans="21:21" x14ac:dyDescent="0.3">
      <c r="U773939" s="25"/>
    </row>
    <row r="773961" spans="21:21" x14ac:dyDescent="0.3">
      <c r="U773961" s="25"/>
    </row>
    <row r="773983" spans="21:21" x14ac:dyDescent="0.3">
      <c r="U773983" s="25"/>
    </row>
    <row r="774005" spans="21:21" x14ac:dyDescent="0.3">
      <c r="U774005" s="25"/>
    </row>
    <row r="774027" spans="21:21" x14ac:dyDescent="0.3">
      <c r="U774027" s="25"/>
    </row>
    <row r="774049" spans="21:21" x14ac:dyDescent="0.3">
      <c r="U774049" s="25"/>
    </row>
    <row r="774071" spans="21:21" x14ac:dyDescent="0.3">
      <c r="U774071" s="25"/>
    </row>
    <row r="774093" spans="21:21" x14ac:dyDescent="0.3">
      <c r="U774093" s="25"/>
    </row>
    <row r="774115" spans="21:21" x14ac:dyDescent="0.3">
      <c r="U774115" s="25"/>
    </row>
    <row r="774137" spans="21:21" x14ac:dyDescent="0.3">
      <c r="U774137" s="25"/>
    </row>
    <row r="774159" spans="21:21" x14ac:dyDescent="0.3">
      <c r="U774159" s="25"/>
    </row>
    <row r="774181" spans="21:21" x14ac:dyDescent="0.3">
      <c r="U774181" s="25"/>
    </row>
    <row r="774203" spans="21:21" x14ac:dyDescent="0.3">
      <c r="U774203" s="25"/>
    </row>
    <row r="774225" spans="21:21" x14ac:dyDescent="0.3">
      <c r="U774225" s="25"/>
    </row>
    <row r="774247" spans="21:21" x14ac:dyDescent="0.3">
      <c r="U774247" s="25"/>
    </row>
    <row r="774269" spans="21:21" x14ac:dyDescent="0.3">
      <c r="U774269" s="25"/>
    </row>
    <row r="774291" spans="21:21" x14ac:dyDescent="0.3">
      <c r="U774291" s="25"/>
    </row>
    <row r="774313" spans="21:21" x14ac:dyDescent="0.3">
      <c r="U774313" s="25"/>
    </row>
    <row r="774335" spans="21:21" x14ac:dyDescent="0.3">
      <c r="U774335" s="25"/>
    </row>
    <row r="774357" spans="21:21" x14ac:dyDescent="0.3">
      <c r="U774357" s="25"/>
    </row>
    <row r="774379" spans="21:21" x14ac:dyDescent="0.3">
      <c r="U774379" s="25"/>
    </row>
    <row r="774401" spans="21:21" x14ac:dyDescent="0.3">
      <c r="U774401" s="25"/>
    </row>
    <row r="774423" spans="21:21" x14ac:dyDescent="0.3">
      <c r="U774423" s="25"/>
    </row>
    <row r="774445" spans="21:21" x14ac:dyDescent="0.3">
      <c r="U774445" s="25"/>
    </row>
    <row r="774467" spans="21:21" x14ac:dyDescent="0.3">
      <c r="U774467" s="25"/>
    </row>
    <row r="774489" spans="21:21" x14ac:dyDescent="0.3">
      <c r="U774489" s="25"/>
    </row>
    <row r="774511" spans="21:21" x14ac:dyDescent="0.3">
      <c r="U774511" s="25"/>
    </row>
    <row r="774533" spans="21:21" x14ac:dyDescent="0.3">
      <c r="U774533" s="25"/>
    </row>
    <row r="774555" spans="21:21" x14ac:dyDescent="0.3">
      <c r="U774555" s="25"/>
    </row>
    <row r="774577" spans="21:21" x14ac:dyDescent="0.3">
      <c r="U774577" s="25"/>
    </row>
    <row r="774599" spans="21:21" x14ac:dyDescent="0.3">
      <c r="U774599" s="25"/>
    </row>
    <row r="774621" spans="21:21" x14ac:dyDescent="0.3">
      <c r="U774621" s="25"/>
    </row>
    <row r="774643" spans="21:21" x14ac:dyDescent="0.3">
      <c r="U774643" s="25"/>
    </row>
    <row r="774665" spans="21:21" x14ac:dyDescent="0.3">
      <c r="U774665" s="25"/>
    </row>
    <row r="774687" spans="21:21" x14ac:dyDescent="0.3">
      <c r="U774687" s="25"/>
    </row>
    <row r="774709" spans="21:21" x14ac:dyDescent="0.3">
      <c r="U774709" s="25"/>
    </row>
    <row r="774731" spans="21:21" x14ac:dyDescent="0.3">
      <c r="U774731" s="25"/>
    </row>
    <row r="774753" spans="21:21" x14ac:dyDescent="0.3">
      <c r="U774753" s="25"/>
    </row>
    <row r="774775" spans="21:21" x14ac:dyDescent="0.3">
      <c r="U774775" s="25"/>
    </row>
    <row r="774797" spans="21:21" x14ac:dyDescent="0.3">
      <c r="U774797" s="25"/>
    </row>
    <row r="774819" spans="21:21" x14ac:dyDescent="0.3">
      <c r="U774819" s="25"/>
    </row>
    <row r="774841" spans="21:21" x14ac:dyDescent="0.3">
      <c r="U774841" s="25"/>
    </row>
    <row r="774863" spans="21:21" x14ac:dyDescent="0.3">
      <c r="U774863" s="25"/>
    </row>
    <row r="774885" spans="21:21" x14ac:dyDescent="0.3">
      <c r="U774885" s="25"/>
    </row>
    <row r="774907" spans="21:21" x14ac:dyDescent="0.3">
      <c r="U774907" s="25"/>
    </row>
    <row r="774929" spans="21:21" x14ac:dyDescent="0.3">
      <c r="U774929" s="25"/>
    </row>
    <row r="774951" spans="21:21" x14ac:dyDescent="0.3">
      <c r="U774951" s="25"/>
    </row>
    <row r="774973" spans="21:21" x14ac:dyDescent="0.3">
      <c r="U774973" s="25"/>
    </row>
    <row r="774995" spans="21:21" x14ac:dyDescent="0.3">
      <c r="U774995" s="25"/>
    </row>
    <row r="775017" spans="21:21" x14ac:dyDescent="0.3">
      <c r="U775017" s="25"/>
    </row>
    <row r="775039" spans="21:21" x14ac:dyDescent="0.3">
      <c r="U775039" s="25"/>
    </row>
    <row r="775061" spans="21:21" x14ac:dyDescent="0.3">
      <c r="U775061" s="25"/>
    </row>
    <row r="775083" spans="21:21" x14ac:dyDescent="0.3">
      <c r="U775083" s="25"/>
    </row>
    <row r="775105" spans="21:21" x14ac:dyDescent="0.3">
      <c r="U775105" s="25"/>
    </row>
    <row r="775127" spans="21:21" x14ac:dyDescent="0.3">
      <c r="U775127" s="25"/>
    </row>
    <row r="775149" spans="21:21" x14ac:dyDescent="0.3">
      <c r="U775149" s="25"/>
    </row>
    <row r="775171" spans="21:21" x14ac:dyDescent="0.3">
      <c r="U775171" s="25"/>
    </row>
    <row r="775193" spans="21:21" x14ac:dyDescent="0.3">
      <c r="U775193" s="25"/>
    </row>
    <row r="775215" spans="21:21" x14ac:dyDescent="0.3">
      <c r="U775215" s="25"/>
    </row>
    <row r="775237" spans="21:21" x14ac:dyDescent="0.3">
      <c r="U775237" s="25"/>
    </row>
    <row r="775259" spans="21:21" x14ac:dyDescent="0.3">
      <c r="U775259" s="25"/>
    </row>
    <row r="775281" spans="21:21" x14ac:dyDescent="0.3">
      <c r="U775281" s="25"/>
    </row>
    <row r="775303" spans="21:21" x14ac:dyDescent="0.3">
      <c r="U775303" s="25"/>
    </row>
    <row r="775325" spans="21:21" x14ac:dyDescent="0.3">
      <c r="U775325" s="25"/>
    </row>
    <row r="775347" spans="21:21" x14ac:dyDescent="0.3">
      <c r="U775347" s="25"/>
    </row>
    <row r="775369" spans="21:21" x14ac:dyDescent="0.3">
      <c r="U775369" s="25"/>
    </row>
    <row r="775391" spans="21:21" x14ac:dyDescent="0.3">
      <c r="U775391" s="25"/>
    </row>
    <row r="775413" spans="21:21" x14ac:dyDescent="0.3">
      <c r="U775413" s="25"/>
    </row>
    <row r="775435" spans="21:21" x14ac:dyDescent="0.3">
      <c r="U775435" s="25"/>
    </row>
    <row r="775457" spans="21:21" x14ac:dyDescent="0.3">
      <c r="U775457" s="25"/>
    </row>
    <row r="775479" spans="21:21" x14ac:dyDescent="0.3">
      <c r="U775479" s="25"/>
    </row>
    <row r="775501" spans="21:21" x14ac:dyDescent="0.3">
      <c r="U775501" s="25"/>
    </row>
    <row r="775523" spans="21:21" x14ac:dyDescent="0.3">
      <c r="U775523" s="25"/>
    </row>
    <row r="775545" spans="21:21" x14ac:dyDescent="0.3">
      <c r="U775545" s="25"/>
    </row>
    <row r="775567" spans="21:21" x14ac:dyDescent="0.3">
      <c r="U775567" s="25"/>
    </row>
    <row r="775589" spans="21:21" x14ac:dyDescent="0.3">
      <c r="U775589" s="25"/>
    </row>
    <row r="775611" spans="21:21" x14ac:dyDescent="0.3">
      <c r="U775611" s="25"/>
    </row>
    <row r="775633" spans="21:21" x14ac:dyDescent="0.3">
      <c r="U775633" s="25"/>
    </row>
    <row r="775655" spans="21:21" x14ac:dyDescent="0.3">
      <c r="U775655" s="25"/>
    </row>
    <row r="775677" spans="21:21" x14ac:dyDescent="0.3">
      <c r="U775677" s="25"/>
    </row>
    <row r="775699" spans="21:21" x14ac:dyDescent="0.3">
      <c r="U775699" s="25"/>
    </row>
    <row r="775721" spans="21:21" x14ac:dyDescent="0.3">
      <c r="U775721" s="25"/>
    </row>
    <row r="775743" spans="21:21" x14ac:dyDescent="0.3">
      <c r="U775743" s="25"/>
    </row>
    <row r="775765" spans="21:21" x14ac:dyDescent="0.3">
      <c r="U775765" s="25"/>
    </row>
    <row r="775787" spans="21:21" x14ac:dyDescent="0.3">
      <c r="U775787" s="25"/>
    </row>
    <row r="775809" spans="21:21" x14ac:dyDescent="0.3">
      <c r="U775809" s="25"/>
    </row>
    <row r="775831" spans="21:21" x14ac:dyDescent="0.3">
      <c r="U775831" s="25"/>
    </row>
    <row r="775853" spans="21:21" x14ac:dyDescent="0.3">
      <c r="U775853" s="25"/>
    </row>
    <row r="775875" spans="21:21" x14ac:dyDescent="0.3">
      <c r="U775875" s="25"/>
    </row>
    <row r="775897" spans="21:21" x14ac:dyDescent="0.3">
      <c r="U775897" s="25"/>
    </row>
    <row r="775919" spans="21:21" x14ac:dyDescent="0.3">
      <c r="U775919" s="25"/>
    </row>
    <row r="775941" spans="21:21" x14ac:dyDescent="0.3">
      <c r="U775941" s="25"/>
    </row>
    <row r="775963" spans="21:21" x14ac:dyDescent="0.3">
      <c r="U775963" s="25"/>
    </row>
    <row r="775985" spans="21:21" x14ac:dyDescent="0.3">
      <c r="U775985" s="25"/>
    </row>
    <row r="776007" spans="21:21" x14ac:dyDescent="0.3">
      <c r="U776007" s="25"/>
    </row>
    <row r="776029" spans="21:21" x14ac:dyDescent="0.3">
      <c r="U776029" s="25"/>
    </row>
    <row r="776051" spans="21:21" x14ac:dyDescent="0.3">
      <c r="U776051" s="25"/>
    </row>
    <row r="776073" spans="21:21" x14ac:dyDescent="0.3">
      <c r="U776073" s="25"/>
    </row>
    <row r="776095" spans="21:21" x14ac:dyDescent="0.3">
      <c r="U776095" s="25"/>
    </row>
    <row r="776117" spans="21:21" x14ac:dyDescent="0.3">
      <c r="U776117" s="25"/>
    </row>
    <row r="776139" spans="21:21" x14ac:dyDescent="0.3">
      <c r="U776139" s="25"/>
    </row>
    <row r="776161" spans="21:21" x14ac:dyDescent="0.3">
      <c r="U776161" s="25"/>
    </row>
    <row r="776183" spans="21:21" x14ac:dyDescent="0.3">
      <c r="U776183" s="25"/>
    </row>
    <row r="776205" spans="21:21" x14ac:dyDescent="0.3">
      <c r="U776205" s="25"/>
    </row>
    <row r="776227" spans="21:21" x14ac:dyDescent="0.3">
      <c r="U776227" s="25"/>
    </row>
    <row r="776249" spans="21:21" x14ac:dyDescent="0.3">
      <c r="U776249" s="25"/>
    </row>
    <row r="776271" spans="21:21" x14ac:dyDescent="0.3">
      <c r="U776271" s="25"/>
    </row>
    <row r="776293" spans="21:21" x14ac:dyDescent="0.3">
      <c r="U776293" s="25"/>
    </row>
    <row r="776315" spans="21:21" x14ac:dyDescent="0.3">
      <c r="U776315" s="25"/>
    </row>
    <row r="776337" spans="21:21" x14ac:dyDescent="0.3">
      <c r="U776337" s="25"/>
    </row>
    <row r="776359" spans="21:21" x14ac:dyDescent="0.3">
      <c r="U776359" s="25"/>
    </row>
    <row r="776381" spans="21:21" x14ac:dyDescent="0.3">
      <c r="U776381" s="25"/>
    </row>
    <row r="776403" spans="21:21" x14ac:dyDescent="0.3">
      <c r="U776403" s="25"/>
    </row>
    <row r="776425" spans="21:21" x14ac:dyDescent="0.3">
      <c r="U776425" s="25"/>
    </row>
    <row r="776447" spans="21:21" x14ac:dyDescent="0.3">
      <c r="U776447" s="25"/>
    </row>
    <row r="776469" spans="21:21" x14ac:dyDescent="0.3">
      <c r="U776469" s="25"/>
    </row>
    <row r="776491" spans="21:21" x14ac:dyDescent="0.3">
      <c r="U776491" s="25"/>
    </row>
    <row r="776513" spans="21:21" x14ac:dyDescent="0.3">
      <c r="U776513" s="25"/>
    </row>
    <row r="776535" spans="21:21" x14ac:dyDescent="0.3">
      <c r="U776535" s="25"/>
    </row>
    <row r="776557" spans="21:21" x14ac:dyDescent="0.3">
      <c r="U776557" s="25"/>
    </row>
    <row r="776579" spans="21:21" x14ac:dyDescent="0.3">
      <c r="U776579" s="25"/>
    </row>
    <row r="776601" spans="21:21" x14ac:dyDescent="0.3">
      <c r="U776601" s="25"/>
    </row>
    <row r="776623" spans="21:21" x14ac:dyDescent="0.3">
      <c r="U776623" s="25"/>
    </row>
    <row r="776645" spans="21:21" x14ac:dyDescent="0.3">
      <c r="U776645" s="25"/>
    </row>
    <row r="776667" spans="21:21" x14ac:dyDescent="0.3">
      <c r="U776667" s="25"/>
    </row>
    <row r="776689" spans="21:21" x14ac:dyDescent="0.3">
      <c r="U776689" s="25"/>
    </row>
    <row r="776711" spans="21:21" x14ac:dyDescent="0.3">
      <c r="U776711" s="25"/>
    </row>
    <row r="776733" spans="21:21" x14ac:dyDescent="0.3">
      <c r="U776733" s="25"/>
    </row>
    <row r="776755" spans="21:21" x14ac:dyDescent="0.3">
      <c r="U776755" s="25"/>
    </row>
    <row r="776777" spans="21:21" x14ac:dyDescent="0.3">
      <c r="U776777" s="25"/>
    </row>
    <row r="776799" spans="21:21" x14ac:dyDescent="0.3">
      <c r="U776799" s="25"/>
    </row>
    <row r="776821" spans="21:21" x14ac:dyDescent="0.3">
      <c r="U776821" s="25"/>
    </row>
    <row r="776843" spans="21:21" x14ac:dyDescent="0.3">
      <c r="U776843" s="25"/>
    </row>
    <row r="776865" spans="21:21" x14ac:dyDescent="0.3">
      <c r="U776865" s="25"/>
    </row>
    <row r="776887" spans="21:21" x14ac:dyDescent="0.3">
      <c r="U776887" s="25"/>
    </row>
    <row r="776909" spans="21:21" x14ac:dyDescent="0.3">
      <c r="U776909" s="25"/>
    </row>
    <row r="776931" spans="21:21" x14ac:dyDescent="0.3">
      <c r="U776931" s="25"/>
    </row>
    <row r="776953" spans="21:21" x14ac:dyDescent="0.3">
      <c r="U776953" s="25"/>
    </row>
    <row r="776975" spans="21:21" x14ac:dyDescent="0.3">
      <c r="U776975" s="25"/>
    </row>
    <row r="776997" spans="21:21" x14ac:dyDescent="0.3">
      <c r="U776997" s="25"/>
    </row>
    <row r="777019" spans="21:21" x14ac:dyDescent="0.3">
      <c r="U777019" s="25"/>
    </row>
    <row r="777041" spans="21:21" x14ac:dyDescent="0.3">
      <c r="U777041" s="25"/>
    </row>
    <row r="777063" spans="21:21" x14ac:dyDescent="0.3">
      <c r="U777063" s="25"/>
    </row>
    <row r="777085" spans="21:21" x14ac:dyDescent="0.3">
      <c r="U777085" s="25"/>
    </row>
    <row r="777107" spans="21:21" x14ac:dyDescent="0.3">
      <c r="U777107" s="25"/>
    </row>
    <row r="777129" spans="21:21" x14ac:dyDescent="0.3">
      <c r="U777129" s="25"/>
    </row>
    <row r="777151" spans="21:21" x14ac:dyDescent="0.3">
      <c r="U777151" s="25"/>
    </row>
    <row r="777173" spans="21:21" x14ac:dyDescent="0.3">
      <c r="U777173" s="25"/>
    </row>
    <row r="777195" spans="21:21" x14ac:dyDescent="0.3">
      <c r="U777195" s="25"/>
    </row>
    <row r="777217" spans="21:21" x14ac:dyDescent="0.3">
      <c r="U777217" s="25"/>
    </row>
    <row r="777239" spans="21:21" x14ac:dyDescent="0.3">
      <c r="U777239" s="25"/>
    </row>
    <row r="777261" spans="21:21" x14ac:dyDescent="0.3">
      <c r="U777261" s="25"/>
    </row>
    <row r="777283" spans="21:21" x14ac:dyDescent="0.3">
      <c r="U777283" s="25"/>
    </row>
    <row r="777305" spans="21:21" x14ac:dyDescent="0.3">
      <c r="U777305" s="25"/>
    </row>
    <row r="777327" spans="21:21" x14ac:dyDescent="0.3">
      <c r="U777327" s="25"/>
    </row>
    <row r="777349" spans="21:21" x14ac:dyDescent="0.3">
      <c r="U777349" s="25"/>
    </row>
    <row r="777371" spans="21:21" x14ac:dyDescent="0.3">
      <c r="U777371" s="25"/>
    </row>
    <row r="777393" spans="21:21" x14ac:dyDescent="0.3">
      <c r="U777393" s="25"/>
    </row>
    <row r="777415" spans="21:21" x14ac:dyDescent="0.3">
      <c r="U777415" s="25"/>
    </row>
    <row r="777437" spans="21:21" x14ac:dyDescent="0.3">
      <c r="U777437" s="25"/>
    </row>
    <row r="777459" spans="21:21" x14ac:dyDescent="0.3">
      <c r="U777459" s="25"/>
    </row>
    <row r="777481" spans="21:21" x14ac:dyDescent="0.3">
      <c r="U777481" s="25"/>
    </row>
    <row r="777503" spans="21:21" x14ac:dyDescent="0.3">
      <c r="U777503" s="25"/>
    </row>
    <row r="777525" spans="21:21" x14ac:dyDescent="0.3">
      <c r="U777525" s="25"/>
    </row>
    <row r="777547" spans="21:21" x14ac:dyDescent="0.3">
      <c r="U777547" s="25"/>
    </row>
    <row r="777569" spans="21:21" x14ac:dyDescent="0.3">
      <c r="U777569" s="25"/>
    </row>
    <row r="777591" spans="21:21" x14ac:dyDescent="0.3">
      <c r="U777591" s="25"/>
    </row>
    <row r="777613" spans="21:21" x14ac:dyDescent="0.3">
      <c r="U777613" s="25"/>
    </row>
    <row r="777635" spans="21:21" x14ac:dyDescent="0.3">
      <c r="U777635" s="25"/>
    </row>
    <row r="777657" spans="21:21" x14ac:dyDescent="0.3">
      <c r="U777657" s="25"/>
    </row>
    <row r="777679" spans="21:21" x14ac:dyDescent="0.3">
      <c r="U777679" s="25"/>
    </row>
    <row r="777701" spans="21:21" x14ac:dyDescent="0.3">
      <c r="U777701" s="25"/>
    </row>
    <row r="777723" spans="21:21" x14ac:dyDescent="0.3">
      <c r="U777723" s="25"/>
    </row>
    <row r="777745" spans="21:21" x14ac:dyDescent="0.3">
      <c r="U777745" s="25"/>
    </row>
    <row r="777767" spans="21:21" x14ac:dyDescent="0.3">
      <c r="U777767" s="25"/>
    </row>
    <row r="777789" spans="21:21" x14ac:dyDescent="0.3">
      <c r="U777789" s="25"/>
    </row>
    <row r="777811" spans="21:21" x14ac:dyDescent="0.3">
      <c r="U777811" s="25"/>
    </row>
    <row r="777833" spans="21:21" x14ac:dyDescent="0.3">
      <c r="U777833" s="25"/>
    </row>
    <row r="777855" spans="21:21" x14ac:dyDescent="0.3">
      <c r="U777855" s="25"/>
    </row>
    <row r="777877" spans="21:21" x14ac:dyDescent="0.3">
      <c r="U777877" s="25"/>
    </row>
    <row r="777899" spans="21:21" x14ac:dyDescent="0.3">
      <c r="U777899" s="25"/>
    </row>
    <row r="777921" spans="21:21" x14ac:dyDescent="0.3">
      <c r="U777921" s="25"/>
    </row>
    <row r="777943" spans="21:21" x14ac:dyDescent="0.3">
      <c r="U777943" s="25"/>
    </row>
    <row r="777965" spans="21:21" x14ac:dyDescent="0.3">
      <c r="U777965" s="25"/>
    </row>
    <row r="777987" spans="21:21" x14ac:dyDescent="0.3">
      <c r="U777987" s="25"/>
    </row>
    <row r="778009" spans="21:21" x14ac:dyDescent="0.3">
      <c r="U778009" s="25"/>
    </row>
    <row r="778031" spans="21:21" x14ac:dyDescent="0.3">
      <c r="U778031" s="25"/>
    </row>
    <row r="778053" spans="21:21" x14ac:dyDescent="0.3">
      <c r="U778053" s="25"/>
    </row>
    <row r="778075" spans="21:21" x14ac:dyDescent="0.3">
      <c r="U778075" s="25"/>
    </row>
    <row r="778097" spans="21:21" x14ac:dyDescent="0.3">
      <c r="U778097" s="25"/>
    </row>
    <row r="778119" spans="21:21" x14ac:dyDescent="0.3">
      <c r="U778119" s="25"/>
    </row>
    <row r="778141" spans="21:21" x14ac:dyDescent="0.3">
      <c r="U778141" s="25"/>
    </row>
    <row r="778163" spans="21:21" x14ac:dyDescent="0.3">
      <c r="U778163" s="25"/>
    </row>
    <row r="778185" spans="21:21" x14ac:dyDescent="0.3">
      <c r="U778185" s="25"/>
    </row>
    <row r="778207" spans="21:21" x14ac:dyDescent="0.3">
      <c r="U778207" s="25"/>
    </row>
    <row r="778229" spans="21:21" x14ac:dyDescent="0.3">
      <c r="U778229" s="25"/>
    </row>
    <row r="778251" spans="21:21" x14ac:dyDescent="0.3">
      <c r="U778251" s="25"/>
    </row>
    <row r="778273" spans="21:21" x14ac:dyDescent="0.3">
      <c r="U778273" s="25"/>
    </row>
    <row r="778295" spans="21:21" x14ac:dyDescent="0.3">
      <c r="U778295" s="25"/>
    </row>
    <row r="778317" spans="21:21" x14ac:dyDescent="0.3">
      <c r="U778317" s="25"/>
    </row>
    <row r="778339" spans="21:21" x14ac:dyDescent="0.3">
      <c r="U778339" s="25"/>
    </row>
    <row r="778361" spans="21:21" x14ac:dyDescent="0.3">
      <c r="U778361" s="25"/>
    </row>
    <row r="778383" spans="21:21" x14ac:dyDescent="0.3">
      <c r="U778383" s="25"/>
    </row>
    <row r="778405" spans="21:21" x14ac:dyDescent="0.3">
      <c r="U778405" s="25"/>
    </row>
    <row r="778427" spans="21:21" x14ac:dyDescent="0.3">
      <c r="U778427" s="25"/>
    </row>
    <row r="778449" spans="21:21" x14ac:dyDescent="0.3">
      <c r="U778449" s="25"/>
    </row>
    <row r="778471" spans="21:21" x14ac:dyDescent="0.3">
      <c r="U778471" s="25"/>
    </row>
    <row r="778493" spans="21:21" x14ac:dyDescent="0.3">
      <c r="U778493" s="25"/>
    </row>
    <row r="778515" spans="21:21" x14ac:dyDescent="0.3">
      <c r="U778515" s="25"/>
    </row>
    <row r="778537" spans="21:21" x14ac:dyDescent="0.3">
      <c r="U778537" s="25"/>
    </row>
    <row r="778559" spans="21:21" x14ac:dyDescent="0.3">
      <c r="U778559" s="25"/>
    </row>
    <row r="778581" spans="21:21" x14ac:dyDescent="0.3">
      <c r="U778581" s="25"/>
    </row>
    <row r="778603" spans="21:21" x14ac:dyDescent="0.3">
      <c r="U778603" s="25"/>
    </row>
    <row r="778625" spans="21:21" x14ac:dyDescent="0.3">
      <c r="U778625" s="25"/>
    </row>
    <row r="778647" spans="21:21" x14ac:dyDescent="0.3">
      <c r="U778647" s="25"/>
    </row>
    <row r="778669" spans="21:21" x14ac:dyDescent="0.3">
      <c r="U778669" s="25"/>
    </row>
    <row r="778691" spans="21:21" x14ac:dyDescent="0.3">
      <c r="U778691" s="25"/>
    </row>
    <row r="778713" spans="21:21" x14ac:dyDescent="0.3">
      <c r="U778713" s="25"/>
    </row>
    <row r="778735" spans="21:21" x14ac:dyDescent="0.3">
      <c r="U778735" s="25"/>
    </row>
    <row r="778757" spans="21:21" x14ac:dyDescent="0.3">
      <c r="U778757" s="25"/>
    </row>
    <row r="778779" spans="21:21" x14ac:dyDescent="0.3">
      <c r="U778779" s="25"/>
    </row>
    <row r="778801" spans="21:21" x14ac:dyDescent="0.3">
      <c r="U778801" s="25"/>
    </row>
    <row r="778823" spans="21:21" x14ac:dyDescent="0.3">
      <c r="U778823" s="25"/>
    </row>
    <row r="778845" spans="21:21" x14ac:dyDescent="0.3">
      <c r="U778845" s="25"/>
    </row>
    <row r="778867" spans="21:21" x14ac:dyDescent="0.3">
      <c r="U778867" s="25"/>
    </row>
    <row r="778889" spans="21:21" x14ac:dyDescent="0.3">
      <c r="U778889" s="25"/>
    </row>
    <row r="778911" spans="21:21" x14ac:dyDescent="0.3">
      <c r="U778911" s="25"/>
    </row>
    <row r="778933" spans="21:21" x14ac:dyDescent="0.3">
      <c r="U778933" s="25"/>
    </row>
    <row r="778955" spans="21:21" x14ac:dyDescent="0.3">
      <c r="U778955" s="25"/>
    </row>
    <row r="778977" spans="21:21" x14ac:dyDescent="0.3">
      <c r="U778977" s="25"/>
    </row>
    <row r="778999" spans="21:21" x14ac:dyDescent="0.3">
      <c r="U778999" s="25"/>
    </row>
    <row r="779021" spans="21:21" x14ac:dyDescent="0.3">
      <c r="U779021" s="25"/>
    </row>
    <row r="779043" spans="21:21" x14ac:dyDescent="0.3">
      <c r="U779043" s="25"/>
    </row>
    <row r="779065" spans="21:21" x14ac:dyDescent="0.3">
      <c r="U779065" s="25"/>
    </row>
    <row r="779087" spans="21:21" x14ac:dyDescent="0.3">
      <c r="U779087" s="25"/>
    </row>
    <row r="779109" spans="21:21" x14ac:dyDescent="0.3">
      <c r="U779109" s="25"/>
    </row>
    <row r="779131" spans="21:21" x14ac:dyDescent="0.3">
      <c r="U779131" s="25"/>
    </row>
    <row r="779153" spans="21:21" x14ac:dyDescent="0.3">
      <c r="U779153" s="25"/>
    </row>
    <row r="779175" spans="21:21" x14ac:dyDescent="0.3">
      <c r="U779175" s="25"/>
    </row>
    <row r="779197" spans="21:21" x14ac:dyDescent="0.3">
      <c r="U779197" s="25"/>
    </row>
    <row r="779219" spans="21:21" x14ac:dyDescent="0.3">
      <c r="U779219" s="25"/>
    </row>
    <row r="779241" spans="21:21" x14ac:dyDescent="0.3">
      <c r="U779241" s="25"/>
    </row>
    <row r="779263" spans="21:21" x14ac:dyDescent="0.3">
      <c r="U779263" s="25"/>
    </row>
    <row r="779285" spans="21:21" x14ac:dyDescent="0.3">
      <c r="U779285" s="25"/>
    </row>
    <row r="779307" spans="21:21" x14ac:dyDescent="0.3">
      <c r="U779307" s="25"/>
    </row>
    <row r="779329" spans="21:21" x14ac:dyDescent="0.3">
      <c r="U779329" s="25"/>
    </row>
    <row r="779351" spans="21:21" x14ac:dyDescent="0.3">
      <c r="U779351" s="25"/>
    </row>
    <row r="779373" spans="21:21" x14ac:dyDescent="0.3">
      <c r="U779373" s="25"/>
    </row>
    <row r="779395" spans="21:21" x14ac:dyDescent="0.3">
      <c r="U779395" s="25"/>
    </row>
    <row r="779417" spans="21:21" x14ac:dyDescent="0.3">
      <c r="U779417" s="25"/>
    </row>
    <row r="779439" spans="21:21" x14ac:dyDescent="0.3">
      <c r="U779439" s="25"/>
    </row>
    <row r="779461" spans="21:21" x14ac:dyDescent="0.3">
      <c r="U779461" s="25"/>
    </row>
    <row r="779483" spans="21:21" x14ac:dyDescent="0.3">
      <c r="U779483" s="25"/>
    </row>
    <row r="779505" spans="21:21" x14ac:dyDescent="0.3">
      <c r="U779505" s="25"/>
    </row>
    <row r="779527" spans="21:21" x14ac:dyDescent="0.3">
      <c r="U779527" s="25"/>
    </row>
    <row r="779549" spans="21:21" x14ac:dyDescent="0.3">
      <c r="U779549" s="25"/>
    </row>
    <row r="779571" spans="21:21" x14ac:dyDescent="0.3">
      <c r="U779571" s="25"/>
    </row>
    <row r="779593" spans="21:21" x14ac:dyDescent="0.3">
      <c r="U779593" s="25"/>
    </row>
    <row r="779615" spans="21:21" x14ac:dyDescent="0.3">
      <c r="U779615" s="25"/>
    </row>
    <row r="779637" spans="21:21" x14ac:dyDescent="0.3">
      <c r="U779637" s="25"/>
    </row>
    <row r="779659" spans="21:21" x14ac:dyDescent="0.3">
      <c r="U779659" s="25"/>
    </row>
    <row r="779681" spans="21:21" x14ac:dyDescent="0.3">
      <c r="U779681" s="25"/>
    </row>
    <row r="779703" spans="21:21" x14ac:dyDescent="0.3">
      <c r="U779703" s="25"/>
    </row>
    <row r="779725" spans="21:21" x14ac:dyDescent="0.3">
      <c r="U779725" s="25"/>
    </row>
    <row r="779747" spans="21:21" x14ac:dyDescent="0.3">
      <c r="U779747" s="25"/>
    </row>
    <row r="779769" spans="21:21" x14ac:dyDescent="0.3">
      <c r="U779769" s="25"/>
    </row>
    <row r="779791" spans="21:21" x14ac:dyDescent="0.3">
      <c r="U779791" s="25"/>
    </row>
    <row r="779813" spans="21:21" x14ac:dyDescent="0.3">
      <c r="U779813" s="25"/>
    </row>
    <row r="779835" spans="21:21" x14ac:dyDescent="0.3">
      <c r="U779835" s="25"/>
    </row>
    <row r="779857" spans="21:21" x14ac:dyDescent="0.3">
      <c r="U779857" s="25"/>
    </row>
    <row r="779879" spans="21:21" x14ac:dyDescent="0.3">
      <c r="U779879" s="25"/>
    </row>
    <row r="779901" spans="21:21" x14ac:dyDescent="0.3">
      <c r="U779901" s="25"/>
    </row>
    <row r="779923" spans="21:21" x14ac:dyDescent="0.3">
      <c r="U779923" s="25"/>
    </row>
    <row r="779945" spans="21:21" x14ac:dyDescent="0.3">
      <c r="U779945" s="25"/>
    </row>
    <row r="779967" spans="21:21" x14ac:dyDescent="0.3">
      <c r="U779967" s="25"/>
    </row>
    <row r="779989" spans="21:21" x14ac:dyDescent="0.3">
      <c r="U779989" s="25"/>
    </row>
    <row r="780011" spans="21:21" x14ac:dyDescent="0.3">
      <c r="U780011" s="25"/>
    </row>
    <row r="780033" spans="21:21" x14ac:dyDescent="0.3">
      <c r="U780033" s="25"/>
    </row>
    <row r="780055" spans="21:21" x14ac:dyDescent="0.3">
      <c r="U780055" s="25"/>
    </row>
    <row r="780077" spans="21:21" x14ac:dyDescent="0.3">
      <c r="U780077" s="25"/>
    </row>
    <row r="780099" spans="21:21" x14ac:dyDescent="0.3">
      <c r="U780099" s="25"/>
    </row>
    <row r="780121" spans="21:21" x14ac:dyDescent="0.3">
      <c r="U780121" s="25"/>
    </row>
    <row r="780143" spans="21:21" x14ac:dyDescent="0.3">
      <c r="U780143" s="25"/>
    </row>
    <row r="780165" spans="21:21" x14ac:dyDescent="0.3">
      <c r="U780165" s="25"/>
    </row>
    <row r="780187" spans="21:21" x14ac:dyDescent="0.3">
      <c r="U780187" s="25"/>
    </row>
    <row r="780209" spans="21:21" x14ac:dyDescent="0.3">
      <c r="U780209" s="25"/>
    </row>
    <row r="780231" spans="21:21" x14ac:dyDescent="0.3">
      <c r="U780231" s="25"/>
    </row>
    <row r="780253" spans="21:21" x14ac:dyDescent="0.3">
      <c r="U780253" s="25"/>
    </row>
    <row r="780275" spans="21:21" x14ac:dyDescent="0.3">
      <c r="U780275" s="25"/>
    </row>
    <row r="780297" spans="21:21" x14ac:dyDescent="0.3">
      <c r="U780297" s="25"/>
    </row>
    <row r="780319" spans="21:21" x14ac:dyDescent="0.3">
      <c r="U780319" s="25"/>
    </row>
    <row r="780341" spans="21:21" x14ac:dyDescent="0.3">
      <c r="U780341" s="25"/>
    </row>
    <row r="780363" spans="21:21" x14ac:dyDescent="0.3">
      <c r="U780363" s="25"/>
    </row>
    <row r="780385" spans="21:21" x14ac:dyDescent="0.3">
      <c r="U780385" s="25"/>
    </row>
    <row r="780407" spans="21:21" x14ac:dyDescent="0.3">
      <c r="U780407" s="25"/>
    </row>
    <row r="780429" spans="21:21" x14ac:dyDescent="0.3">
      <c r="U780429" s="25"/>
    </row>
    <row r="780451" spans="21:21" x14ac:dyDescent="0.3">
      <c r="U780451" s="25"/>
    </row>
    <row r="780473" spans="21:21" x14ac:dyDescent="0.3">
      <c r="U780473" s="25"/>
    </row>
    <row r="780495" spans="21:21" x14ac:dyDescent="0.3">
      <c r="U780495" s="25"/>
    </row>
    <row r="780517" spans="21:21" x14ac:dyDescent="0.3">
      <c r="U780517" s="25"/>
    </row>
    <row r="780539" spans="21:21" x14ac:dyDescent="0.3">
      <c r="U780539" s="25"/>
    </row>
    <row r="780561" spans="21:21" x14ac:dyDescent="0.3">
      <c r="U780561" s="25"/>
    </row>
    <row r="780583" spans="21:21" x14ac:dyDescent="0.3">
      <c r="U780583" s="25"/>
    </row>
    <row r="780605" spans="21:21" x14ac:dyDescent="0.3">
      <c r="U780605" s="25"/>
    </row>
    <row r="780627" spans="21:21" x14ac:dyDescent="0.3">
      <c r="U780627" s="25"/>
    </row>
    <row r="780649" spans="21:21" x14ac:dyDescent="0.3">
      <c r="U780649" s="25"/>
    </row>
    <row r="780671" spans="21:21" x14ac:dyDescent="0.3">
      <c r="U780671" s="25"/>
    </row>
    <row r="780693" spans="21:21" x14ac:dyDescent="0.3">
      <c r="U780693" s="25"/>
    </row>
    <row r="780715" spans="21:21" x14ac:dyDescent="0.3">
      <c r="U780715" s="25"/>
    </row>
    <row r="780737" spans="21:21" x14ac:dyDescent="0.3">
      <c r="U780737" s="25"/>
    </row>
    <row r="780759" spans="21:21" x14ac:dyDescent="0.3">
      <c r="U780759" s="25"/>
    </row>
    <row r="780781" spans="21:21" x14ac:dyDescent="0.3">
      <c r="U780781" s="25"/>
    </row>
    <row r="780803" spans="21:21" x14ac:dyDescent="0.3">
      <c r="U780803" s="25"/>
    </row>
    <row r="780825" spans="21:21" x14ac:dyDescent="0.3">
      <c r="U780825" s="25"/>
    </row>
    <row r="780847" spans="21:21" x14ac:dyDescent="0.3">
      <c r="U780847" s="25"/>
    </row>
    <row r="780869" spans="21:21" x14ac:dyDescent="0.3">
      <c r="U780869" s="25"/>
    </row>
    <row r="780891" spans="21:21" x14ac:dyDescent="0.3">
      <c r="U780891" s="25"/>
    </row>
    <row r="780913" spans="21:21" x14ac:dyDescent="0.3">
      <c r="U780913" s="25"/>
    </row>
    <row r="780935" spans="21:21" x14ac:dyDescent="0.3">
      <c r="U780935" s="25"/>
    </row>
    <row r="780957" spans="21:21" x14ac:dyDescent="0.3">
      <c r="U780957" s="25"/>
    </row>
    <row r="780979" spans="21:21" x14ac:dyDescent="0.3">
      <c r="U780979" s="25"/>
    </row>
    <row r="781001" spans="21:21" x14ac:dyDescent="0.3">
      <c r="U781001" s="25"/>
    </row>
    <row r="781023" spans="21:21" x14ac:dyDescent="0.3">
      <c r="U781023" s="25"/>
    </row>
    <row r="781045" spans="21:21" x14ac:dyDescent="0.3">
      <c r="U781045" s="25"/>
    </row>
    <row r="781067" spans="21:21" x14ac:dyDescent="0.3">
      <c r="U781067" s="25"/>
    </row>
    <row r="781089" spans="21:21" x14ac:dyDescent="0.3">
      <c r="U781089" s="25"/>
    </row>
    <row r="781111" spans="21:21" x14ac:dyDescent="0.3">
      <c r="U781111" s="25"/>
    </row>
    <row r="781133" spans="21:21" x14ac:dyDescent="0.3">
      <c r="U781133" s="25"/>
    </row>
    <row r="781155" spans="21:21" x14ac:dyDescent="0.3">
      <c r="U781155" s="25"/>
    </row>
    <row r="781177" spans="21:21" x14ac:dyDescent="0.3">
      <c r="U781177" s="25"/>
    </row>
    <row r="781199" spans="21:21" x14ac:dyDescent="0.3">
      <c r="U781199" s="25"/>
    </row>
    <row r="781221" spans="21:21" x14ac:dyDescent="0.3">
      <c r="U781221" s="25"/>
    </row>
    <row r="781243" spans="21:21" x14ac:dyDescent="0.3">
      <c r="U781243" s="25"/>
    </row>
    <row r="781265" spans="21:21" x14ac:dyDescent="0.3">
      <c r="U781265" s="25"/>
    </row>
    <row r="781287" spans="21:21" x14ac:dyDescent="0.3">
      <c r="U781287" s="25"/>
    </row>
    <row r="781309" spans="21:21" x14ac:dyDescent="0.3">
      <c r="U781309" s="25"/>
    </row>
    <row r="781331" spans="21:21" x14ac:dyDescent="0.3">
      <c r="U781331" s="25"/>
    </row>
    <row r="781353" spans="21:21" x14ac:dyDescent="0.3">
      <c r="U781353" s="25"/>
    </row>
    <row r="781375" spans="21:21" x14ac:dyDescent="0.3">
      <c r="U781375" s="25"/>
    </row>
    <row r="781397" spans="21:21" x14ac:dyDescent="0.3">
      <c r="U781397" s="25"/>
    </row>
    <row r="781419" spans="21:21" x14ac:dyDescent="0.3">
      <c r="U781419" s="25"/>
    </row>
    <row r="781441" spans="21:21" x14ac:dyDescent="0.3">
      <c r="U781441" s="25"/>
    </row>
    <row r="781463" spans="21:21" x14ac:dyDescent="0.3">
      <c r="U781463" s="25"/>
    </row>
    <row r="781485" spans="21:21" x14ac:dyDescent="0.3">
      <c r="U781485" s="25"/>
    </row>
    <row r="781507" spans="21:21" x14ac:dyDescent="0.3">
      <c r="U781507" s="25"/>
    </row>
    <row r="781529" spans="21:21" x14ac:dyDescent="0.3">
      <c r="U781529" s="25"/>
    </row>
    <row r="781551" spans="21:21" x14ac:dyDescent="0.3">
      <c r="U781551" s="25"/>
    </row>
    <row r="781573" spans="21:21" x14ac:dyDescent="0.3">
      <c r="U781573" s="25"/>
    </row>
    <row r="781595" spans="21:21" x14ac:dyDescent="0.3">
      <c r="U781595" s="25"/>
    </row>
    <row r="781617" spans="21:21" x14ac:dyDescent="0.3">
      <c r="U781617" s="25"/>
    </row>
    <row r="781639" spans="21:21" x14ac:dyDescent="0.3">
      <c r="U781639" s="25"/>
    </row>
    <row r="781661" spans="21:21" x14ac:dyDescent="0.3">
      <c r="U781661" s="25"/>
    </row>
    <row r="781683" spans="21:21" x14ac:dyDescent="0.3">
      <c r="U781683" s="25"/>
    </row>
    <row r="781705" spans="21:21" x14ac:dyDescent="0.3">
      <c r="U781705" s="25"/>
    </row>
    <row r="781727" spans="21:21" x14ac:dyDescent="0.3">
      <c r="U781727" s="25"/>
    </row>
    <row r="781749" spans="21:21" x14ac:dyDescent="0.3">
      <c r="U781749" s="25"/>
    </row>
    <row r="781771" spans="21:21" x14ac:dyDescent="0.3">
      <c r="U781771" s="25"/>
    </row>
    <row r="781793" spans="21:21" x14ac:dyDescent="0.3">
      <c r="U781793" s="25"/>
    </row>
    <row r="781815" spans="21:21" x14ac:dyDescent="0.3">
      <c r="U781815" s="25"/>
    </row>
    <row r="781837" spans="21:21" x14ac:dyDescent="0.3">
      <c r="U781837" s="25"/>
    </row>
    <row r="781859" spans="21:21" x14ac:dyDescent="0.3">
      <c r="U781859" s="25"/>
    </row>
    <row r="781881" spans="21:21" x14ac:dyDescent="0.3">
      <c r="U781881" s="25"/>
    </row>
    <row r="781903" spans="21:21" x14ac:dyDescent="0.3">
      <c r="U781903" s="25"/>
    </row>
    <row r="781925" spans="21:21" x14ac:dyDescent="0.3">
      <c r="U781925" s="25"/>
    </row>
    <row r="781947" spans="21:21" x14ac:dyDescent="0.3">
      <c r="U781947" s="25"/>
    </row>
    <row r="781969" spans="21:21" x14ac:dyDescent="0.3">
      <c r="U781969" s="25"/>
    </row>
    <row r="781991" spans="21:21" x14ac:dyDescent="0.3">
      <c r="U781991" s="25"/>
    </row>
    <row r="782013" spans="21:21" x14ac:dyDescent="0.3">
      <c r="U782013" s="25"/>
    </row>
    <row r="782035" spans="21:21" x14ac:dyDescent="0.3">
      <c r="U782035" s="25"/>
    </row>
    <row r="782057" spans="21:21" x14ac:dyDescent="0.3">
      <c r="U782057" s="25"/>
    </row>
    <row r="782079" spans="21:21" x14ac:dyDescent="0.3">
      <c r="U782079" s="25"/>
    </row>
    <row r="782101" spans="21:21" x14ac:dyDescent="0.3">
      <c r="U782101" s="25"/>
    </row>
    <row r="782123" spans="21:21" x14ac:dyDescent="0.3">
      <c r="U782123" s="25"/>
    </row>
    <row r="782145" spans="21:21" x14ac:dyDescent="0.3">
      <c r="U782145" s="25"/>
    </row>
    <row r="782167" spans="21:21" x14ac:dyDescent="0.3">
      <c r="U782167" s="25"/>
    </row>
    <row r="782189" spans="21:21" x14ac:dyDescent="0.3">
      <c r="U782189" s="25"/>
    </row>
    <row r="782211" spans="21:21" x14ac:dyDescent="0.3">
      <c r="U782211" s="25"/>
    </row>
    <row r="782233" spans="21:21" x14ac:dyDescent="0.3">
      <c r="U782233" s="25"/>
    </row>
    <row r="782255" spans="21:21" x14ac:dyDescent="0.3">
      <c r="U782255" s="25"/>
    </row>
    <row r="782277" spans="21:21" x14ac:dyDescent="0.3">
      <c r="U782277" s="25"/>
    </row>
    <row r="782299" spans="21:21" x14ac:dyDescent="0.3">
      <c r="U782299" s="25"/>
    </row>
    <row r="782321" spans="21:21" x14ac:dyDescent="0.3">
      <c r="U782321" s="25"/>
    </row>
    <row r="782343" spans="21:21" x14ac:dyDescent="0.3">
      <c r="U782343" s="25"/>
    </row>
    <row r="782365" spans="21:21" x14ac:dyDescent="0.3">
      <c r="U782365" s="25"/>
    </row>
    <row r="782387" spans="21:21" x14ac:dyDescent="0.3">
      <c r="U782387" s="25"/>
    </row>
    <row r="782409" spans="21:21" x14ac:dyDescent="0.3">
      <c r="U782409" s="25"/>
    </row>
    <row r="782431" spans="21:21" x14ac:dyDescent="0.3">
      <c r="U782431" s="25"/>
    </row>
    <row r="782453" spans="21:21" x14ac:dyDescent="0.3">
      <c r="U782453" s="25"/>
    </row>
    <row r="782475" spans="21:21" x14ac:dyDescent="0.3">
      <c r="U782475" s="25"/>
    </row>
    <row r="782497" spans="21:21" x14ac:dyDescent="0.3">
      <c r="U782497" s="25"/>
    </row>
    <row r="782519" spans="21:21" x14ac:dyDescent="0.3">
      <c r="U782519" s="25"/>
    </row>
    <row r="782541" spans="21:21" x14ac:dyDescent="0.3">
      <c r="U782541" s="25"/>
    </row>
    <row r="782563" spans="21:21" x14ac:dyDescent="0.3">
      <c r="U782563" s="25"/>
    </row>
    <row r="782585" spans="21:21" x14ac:dyDescent="0.3">
      <c r="U782585" s="25"/>
    </row>
    <row r="782607" spans="21:21" x14ac:dyDescent="0.3">
      <c r="U782607" s="25"/>
    </row>
    <row r="782629" spans="21:21" x14ac:dyDescent="0.3">
      <c r="U782629" s="25"/>
    </row>
    <row r="782651" spans="21:21" x14ac:dyDescent="0.3">
      <c r="U782651" s="25"/>
    </row>
    <row r="782673" spans="21:21" x14ac:dyDescent="0.3">
      <c r="U782673" s="25"/>
    </row>
    <row r="782695" spans="21:21" x14ac:dyDescent="0.3">
      <c r="U782695" s="25"/>
    </row>
    <row r="782717" spans="21:21" x14ac:dyDescent="0.3">
      <c r="U782717" s="25"/>
    </row>
    <row r="782739" spans="21:21" x14ac:dyDescent="0.3">
      <c r="U782739" s="25"/>
    </row>
    <row r="782761" spans="21:21" x14ac:dyDescent="0.3">
      <c r="U782761" s="25"/>
    </row>
    <row r="782783" spans="21:21" x14ac:dyDescent="0.3">
      <c r="U782783" s="25"/>
    </row>
    <row r="782805" spans="21:21" x14ac:dyDescent="0.3">
      <c r="U782805" s="25"/>
    </row>
    <row r="782827" spans="21:21" x14ac:dyDescent="0.3">
      <c r="U782827" s="25"/>
    </row>
    <row r="782849" spans="21:21" x14ac:dyDescent="0.3">
      <c r="U782849" s="25"/>
    </row>
    <row r="782871" spans="21:21" x14ac:dyDescent="0.3">
      <c r="U782871" s="25"/>
    </row>
    <row r="782893" spans="21:21" x14ac:dyDescent="0.3">
      <c r="U782893" s="25"/>
    </row>
    <row r="782915" spans="21:21" x14ac:dyDescent="0.3">
      <c r="U782915" s="25"/>
    </row>
    <row r="782937" spans="21:21" x14ac:dyDescent="0.3">
      <c r="U782937" s="25"/>
    </row>
    <row r="782959" spans="21:21" x14ac:dyDescent="0.3">
      <c r="U782959" s="25"/>
    </row>
    <row r="782981" spans="21:21" x14ac:dyDescent="0.3">
      <c r="U782981" s="25"/>
    </row>
    <row r="783003" spans="21:21" x14ac:dyDescent="0.3">
      <c r="U783003" s="25"/>
    </row>
    <row r="783025" spans="21:21" x14ac:dyDescent="0.3">
      <c r="U783025" s="25"/>
    </row>
    <row r="783047" spans="21:21" x14ac:dyDescent="0.3">
      <c r="U783047" s="25"/>
    </row>
    <row r="783069" spans="21:21" x14ac:dyDescent="0.3">
      <c r="U783069" s="25"/>
    </row>
    <row r="783091" spans="21:21" x14ac:dyDescent="0.3">
      <c r="U783091" s="25"/>
    </row>
    <row r="783113" spans="21:21" x14ac:dyDescent="0.3">
      <c r="U783113" s="25"/>
    </row>
    <row r="783135" spans="21:21" x14ac:dyDescent="0.3">
      <c r="U783135" s="25"/>
    </row>
    <row r="783157" spans="21:21" x14ac:dyDescent="0.3">
      <c r="U783157" s="25"/>
    </row>
    <row r="783179" spans="21:21" x14ac:dyDescent="0.3">
      <c r="U783179" s="25"/>
    </row>
    <row r="783201" spans="21:21" x14ac:dyDescent="0.3">
      <c r="U783201" s="25"/>
    </row>
    <row r="783223" spans="21:21" x14ac:dyDescent="0.3">
      <c r="U783223" s="25"/>
    </row>
    <row r="783245" spans="21:21" x14ac:dyDescent="0.3">
      <c r="U783245" s="25"/>
    </row>
    <row r="783267" spans="21:21" x14ac:dyDescent="0.3">
      <c r="U783267" s="25"/>
    </row>
    <row r="783289" spans="21:21" x14ac:dyDescent="0.3">
      <c r="U783289" s="25"/>
    </row>
    <row r="783311" spans="21:21" x14ac:dyDescent="0.3">
      <c r="U783311" s="25"/>
    </row>
    <row r="783333" spans="21:21" x14ac:dyDescent="0.3">
      <c r="U783333" s="25"/>
    </row>
    <row r="783355" spans="21:21" x14ac:dyDescent="0.3">
      <c r="U783355" s="25"/>
    </row>
    <row r="783377" spans="21:21" x14ac:dyDescent="0.3">
      <c r="U783377" s="25"/>
    </row>
    <row r="783399" spans="21:21" x14ac:dyDescent="0.3">
      <c r="U783399" s="25"/>
    </row>
    <row r="783421" spans="21:21" x14ac:dyDescent="0.3">
      <c r="U783421" s="25"/>
    </row>
    <row r="783443" spans="21:21" x14ac:dyDescent="0.3">
      <c r="U783443" s="25"/>
    </row>
    <row r="783465" spans="21:21" x14ac:dyDescent="0.3">
      <c r="U783465" s="25"/>
    </row>
    <row r="783487" spans="21:21" x14ac:dyDescent="0.3">
      <c r="U783487" s="25"/>
    </row>
    <row r="783509" spans="21:21" x14ac:dyDescent="0.3">
      <c r="U783509" s="25"/>
    </row>
    <row r="783531" spans="21:21" x14ac:dyDescent="0.3">
      <c r="U783531" s="25"/>
    </row>
    <row r="783553" spans="21:21" x14ac:dyDescent="0.3">
      <c r="U783553" s="25"/>
    </row>
    <row r="783575" spans="21:21" x14ac:dyDescent="0.3">
      <c r="U783575" s="25"/>
    </row>
    <row r="783597" spans="21:21" x14ac:dyDescent="0.3">
      <c r="U783597" s="25"/>
    </row>
    <row r="783619" spans="21:21" x14ac:dyDescent="0.3">
      <c r="U783619" s="25"/>
    </row>
    <row r="783641" spans="21:21" x14ac:dyDescent="0.3">
      <c r="U783641" s="25"/>
    </row>
    <row r="783663" spans="21:21" x14ac:dyDescent="0.3">
      <c r="U783663" s="25"/>
    </row>
    <row r="783685" spans="21:21" x14ac:dyDescent="0.3">
      <c r="U783685" s="25"/>
    </row>
    <row r="783707" spans="21:21" x14ac:dyDescent="0.3">
      <c r="U783707" s="25"/>
    </row>
    <row r="783729" spans="21:21" x14ac:dyDescent="0.3">
      <c r="U783729" s="25"/>
    </row>
    <row r="783751" spans="21:21" x14ac:dyDescent="0.3">
      <c r="U783751" s="25"/>
    </row>
    <row r="783773" spans="21:21" x14ac:dyDescent="0.3">
      <c r="U783773" s="25"/>
    </row>
    <row r="783795" spans="21:21" x14ac:dyDescent="0.3">
      <c r="U783795" s="25"/>
    </row>
    <row r="783817" spans="21:21" x14ac:dyDescent="0.3">
      <c r="U783817" s="25"/>
    </row>
    <row r="783839" spans="21:21" x14ac:dyDescent="0.3">
      <c r="U783839" s="25"/>
    </row>
    <row r="783861" spans="21:21" x14ac:dyDescent="0.3">
      <c r="U783861" s="25"/>
    </row>
    <row r="783883" spans="21:21" x14ac:dyDescent="0.3">
      <c r="U783883" s="25"/>
    </row>
    <row r="783905" spans="21:21" x14ac:dyDescent="0.3">
      <c r="U783905" s="25"/>
    </row>
    <row r="783927" spans="21:21" x14ac:dyDescent="0.3">
      <c r="U783927" s="25"/>
    </row>
    <row r="783949" spans="21:21" x14ac:dyDescent="0.3">
      <c r="U783949" s="25"/>
    </row>
    <row r="783971" spans="21:21" x14ac:dyDescent="0.3">
      <c r="U783971" s="25"/>
    </row>
    <row r="783993" spans="21:21" x14ac:dyDescent="0.3">
      <c r="U783993" s="25"/>
    </row>
    <row r="784015" spans="21:21" x14ac:dyDescent="0.3">
      <c r="U784015" s="25"/>
    </row>
    <row r="784037" spans="21:21" x14ac:dyDescent="0.3">
      <c r="U784037" s="25"/>
    </row>
    <row r="784059" spans="21:21" x14ac:dyDescent="0.3">
      <c r="U784059" s="25"/>
    </row>
    <row r="784081" spans="21:21" x14ac:dyDescent="0.3">
      <c r="U784081" s="25"/>
    </row>
    <row r="784103" spans="21:21" x14ac:dyDescent="0.3">
      <c r="U784103" s="25"/>
    </row>
    <row r="784125" spans="21:21" x14ac:dyDescent="0.3">
      <c r="U784125" s="25"/>
    </row>
    <row r="784147" spans="21:21" x14ac:dyDescent="0.3">
      <c r="U784147" s="25"/>
    </row>
    <row r="784169" spans="21:21" x14ac:dyDescent="0.3">
      <c r="U784169" s="25"/>
    </row>
    <row r="784191" spans="21:21" x14ac:dyDescent="0.3">
      <c r="U784191" s="25"/>
    </row>
    <row r="784213" spans="21:21" x14ac:dyDescent="0.3">
      <c r="U784213" s="25"/>
    </row>
    <row r="784235" spans="21:21" x14ac:dyDescent="0.3">
      <c r="U784235" s="25"/>
    </row>
    <row r="784257" spans="21:21" x14ac:dyDescent="0.3">
      <c r="U784257" s="25"/>
    </row>
    <row r="784279" spans="21:21" x14ac:dyDescent="0.3">
      <c r="U784279" s="25"/>
    </row>
    <row r="784301" spans="21:21" x14ac:dyDescent="0.3">
      <c r="U784301" s="25"/>
    </row>
    <row r="784323" spans="21:21" x14ac:dyDescent="0.3">
      <c r="U784323" s="25"/>
    </row>
    <row r="784345" spans="21:21" x14ac:dyDescent="0.3">
      <c r="U784345" s="25"/>
    </row>
    <row r="784367" spans="21:21" x14ac:dyDescent="0.3">
      <c r="U784367" s="25"/>
    </row>
    <row r="784389" spans="21:21" x14ac:dyDescent="0.3">
      <c r="U784389" s="25"/>
    </row>
    <row r="784411" spans="21:21" x14ac:dyDescent="0.3">
      <c r="U784411" s="25"/>
    </row>
    <row r="784433" spans="21:21" x14ac:dyDescent="0.3">
      <c r="U784433" s="25"/>
    </row>
    <row r="784455" spans="21:21" x14ac:dyDescent="0.3">
      <c r="U784455" s="25"/>
    </row>
    <row r="784477" spans="21:21" x14ac:dyDescent="0.3">
      <c r="U784477" s="25"/>
    </row>
    <row r="784499" spans="21:21" x14ac:dyDescent="0.3">
      <c r="U784499" s="25"/>
    </row>
    <row r="784521" spans="21:21" x14ac:dyDescent="0.3">
      <c r="U784521" s="25"/>
    </row>
    <row r="784543" spans="21:21" x14ac:dyDescent="0.3">
      <c r="U784543" s="25"/>
    </row>
    <row r="784565" spans="21:21" x14ac:dyDescent="0.3">
      <c r="U784565" s="25"/>
    </row>
    <row r="784587" spans="21:21" x14ac:dyDescent="0.3">
      <c r="U784587" s="25"/>
    </row>
    <row r="784609" spans="21:21" x14ac:dyDescent="0.3">
      <c r="U784609" s="25"/>
    </row>
    <row r="784631" spans="21:21" x14ac:dyDescent="0.3">
      <c r="U784631" s="25"/>
    </row>
    <row r="784653" spans="21:21" x14ac:dyDescent="0.3">
      <c r="U784653" s="25"/>
    </row>
    <row r="784675" spans="21:21" x14ac:dyDescent="0.3">
      <c r="U784675" s="25"/>
    </row>
    <row r="784697" spans="21:21" x14ac:dyDescent="0.3">
      <c r="U784697" s="25"/>
    </row>
    <row r="784719" spans="21:21" x14ac:dyDescent="0.3">
      <c r="U784719" s="25"/>
    </row>
    <row r="784741" spans="21:21" x14ac:dyDescent="0.3">
      <c r="U784741" s="25"/>
    </row>
    <row r="784763" spans="21:21" x14ac:dyDescent="0.3">
      <c r="U784763" s="25"/>
    </row>
    <row r="784785" spans="21:21" x14ac:dyDescent="0.3">
      <c r="U784785" s="25"/>
    </row>
    <row r="784807" spans="21:21" x14ac:dyDescent="0.3">
      <c r="U784807" s="25"/>
    </row>
    <row r="784829" spans="21:21" x14ac:dyDescent="0.3">
      <c r="U784829" s="25"/>
    </row>
    <row r="784851" spans="21:21" x14ac:dyDescent="0.3">
      <c r="U784851" s="25"/>
    </row>
    <row r="784873" spans="21:21" x14ac:dyDescent="0.3">
      <c r="U784873" s="25"/>
    </row>
    <row r="784895" spans="21:21" x14ac:dyDescent="0.3">
      <c r="U784895" s="25"/>
    </row>
    <row r="784917" spans="21:21" x14ac:dyDescent="0.3">
      <c r="U784917" s="25"/>
    </row>
    <row r="784939" spans="21:21" x14ac:dyDescent="0.3">
      <c r="U784939" s="25"/>
    </row>
    <row r="784961" spans="21:21" x14ac:dyDescent="0.3">
      <c r="U784961" s="25"/>
    </row>
    <row r="784983" spans="21:21" x14ac:dyDescent="0.3">
      <c r="U784983" s="25"/>
    </row>
    <row r="785005" spans="21:21" x14ac:dyDescent="0.3">
      <c r="U785005" s="25"/>
    </row>
    <row r="785027" spans="21:21" x14ac:dyDescent="0.3">
      <c r="U785027" s="25"/>
    </row>
    <row r="785049" spans="21:21" x14ac:dyDescent="0.3">
      <c r="U785049" s="25"/>
    </row>
    <row r="785071" spans="21:21" x14ac:dyDescent="0.3">
      <c r="U785071" s="25"/>
    </row>
    <row r="785093" spans="21:21" x14ac:dyDescent="0.3">
      <c r="U785093" s="25"/>
    </row>
    <row r="785115" spans="21:21" x14ac:dyDescent="0.3">
      <c r="U785115" s="25"/>
    </row>
    <row r="785137" spans="21:21" x14ac:dyDescent="0.3">
      <c r="U785137" s="25"/>
    </row>
    <row r="785159" spans="21:21" x14ac:dyDescent="0.3">
      <c r="U785159" s="25"/>
    </row>
    <row r="785181" spans="21:21" x14ac:dyDescent="0.3">
      <c r="U785181" s="25"/>
    </row>
    <row r="785203" spans="21:21" x14ac:dyDescent="0.3">
      <c r="U785203" s="25"/>
    </row>
    <row r="785225" spans="21:21" x14ac:dyDescent="0.3">
      <c r="U785225" s="25"/>
    </row>
    <row r="785247" spans="21:21" x14ac:dyDescent="0.3">
      <c r="U785247" s="25"/>
    </row>
    <row r="785269" spans="21:21" x14ac:dyDescent="0.3">
      <c r="U785269" s="25"/>
    </row>
    <row r="785291" spans="21:21" x14ac:dyDescent="0.3">
      <c r="U785291" s="25"/>
    </row>
    <row r="785313" spans="21:21" x14ac:dyDescent="0.3">
      <c r="U785313" s="25"/>
    </row>
    <row r="785335" spans="21:21" x14ac:dyDescent="0.3">
      <c r="U785335" s="25"/>
    </row>
    <row r="785357" spans="21:21" x14ac:dyDescent="0.3">
      <c r="U785357" s="25"/>
    </row>
    <row r="785379" spans="21:21" x14ac:dyDescent="0.3">
      <c r="U785379" s="25"/>
    </row>
    <row r="785401" spans="21:21" x14ac:dyDescent="0.3">
      <c r="U785401" s="25"/>
    </row>
    <row r="785423" spans="21:21" x14ac:dyDescent="0.3">
      <c r="U785423" s="25"/>
    </row>
    <row r="785445" spans="21:21" x14ac:dyDescent="0.3">
      <c r="U785445" s="25"/>
    </row>
    <row r="785467" spans="21:21" x14ac:dyDescent="0.3">
      <c r="U785467" s="25"/>
    </row>
    <row r="785489" spans="21:21" x14ac:dyDescent="0.3">
      <c r="U785489" s="25"/>
    </row>
    <row r="785511" spans="21:21" x14ac:dyDescent="0.3">
      <c r="U785511" s="25"/>
    </row>
    <row r="785533" spans="21:21" x14ac:dyDescent="0.3">
      <c r="U785533" s="25"/>
    </row>
    <row r="785555" spans="21:21" x14ac:dyDescent="0.3">
      <c r="U785555" s="25"/>
    </row>
    <row r="785577" spans="21:21" x14ac:dyDescent="0.3">
      <c r="U785577" s="25"/>
    </row>
    <row r="785599" spans="21:21" x14ac:dyDescent="0.3">
      <c r="U785599" s="25"/>
    </row>
    <row r="785621" spans="21:21" x14ac:dyDescent="0.3">
      <c r="U785621" s="25"/>
    </row>
    <row r="785643" spans="21:21" x14ac:dyDescent="0.3">
      <c r="U785643" s="25"/>
    </row>
    <row r="785665" spans="21:21" x14ac:dyDescent="0.3">
      <c r="U785665" s="25"/>
    </row>
    <row r="785687" spans="21:21" x14ac:dyDescent="0.3">
      <c r="U785687" s="25"/>
    </row>
    <row r="785709" spans="21:21" x14ac:dyDescent="0.3">
      <c r="U785709" s="25"/>
    </row>
    <row r="785731" spans="21:21" x14ac:dyDescent="0.3">
      <c r="U785731" s="25"/>
    </row>
    <row r="785753" spans="21:21" x14ac:dyDescent="0.3">
      <c r="U785753" s="25"/>
    </row>
    <row r="785775" spans="21:21" x14ac:dyDescent="0.3">
      <c r="U785775" s="25"/>
    </row>
    <row r="785797" spans="21:21" x14ac:dyDescent="0.3">
      <c r="U785797" s="25"/>
    </row>
    <row r="785819" spans="21:21" x14ac:dyDescent="0.3">
      <c r="U785819" s="25"/>
    </row>
    <row r="785841" spans="21:21" x14ac:dyDescent="0.3">
      <c r="U785841" s="25"/>
    </row>
    <row r="785863" spans="21:21" x14ac:dyDescent="0.3">
      <c r="U785863" s="25"/>
    </row>
    <row r="785885" spans="21:21" x14ac:dyDescent="0.3">
      <c r="U785885" s="25"/>
    </row>
    <row r="785907" spans="21:21" x14ac:dyDescent="0.3">
      <c r="U785907" s="25"/>
    </row>
    <row r="785929" spans="21:21" x14ac:dyDescent="0.3">
      <c r="U785929" s="25"/>
    </row>
    <row r="785951" spans="21:21" x14ac:dyDescent="0.3">
      <c r="U785951" s="25"/>
    </row>
    <row r="785973" spans="21:21" x14ac:dyDescent="0.3">
      <c r="U785973" s="25"/>
    </row>
    <row r="785995" spans="21:21" x14ac:dyDescent="0.3">
      <c r="U785995" s="25"/>
    </row>
    <row r="786017" spans="21:21" x14ac:dyDescent="0.3">
      <c r="U786017" s="25"/>
    </row>
    <row r="786039" spans="21:21" x14ac:dyDescent="0.3">
      <c r="U786039" s="25"/>
    </row>
    <row r="786061" spans="21:21" x14ac:dyDescent="0.3">
      <c r="U786061" s="25"/>
    </row>
    <row r="786083" spans="21:21" x14ac:dyDescent="0.3">
      <c r="U786083" s="25"/>
    </row>
    <row r="786105" spans="21:21" x14ac:dyDescent="0.3">
      <c r="U786105" s="25"/>
    </row>
    <row r="786127" spans="21:21" x14ac:dyDescent="0.3">
      <c r="U786127" s="25"/>
    </row>
    <row r="786149" spans="21:21" x14ac:dyDescent="0.3">
      <c r="U786149" s="25"/>
    </row>
    <row r="786171" spans="21:21" x14ac:dyDescent="0.3">
      <c r="U786171" s="25"/>
    </row>
    <row r="786193" spans="21:21" x14ac:dyDescent="0.3">
      <c r="U786193" s="25"/>
    </row>
    <row r="786215" spans="21:21" x14ac:dyDescent="0.3">
      <c r="U786215" s="25"/>
    </row>
    <row r="786237" spans="21:21" x14ac:dyDescent="0.3">
      <c r="U786237" s="25"/>
    </row>
    <row r="786259" spans="21:21" x14ac:dyDescent="0.3">
      <c r="U786259" s="25"/>
    </row>
    <row r="786281" spans="21:21" x14ac:dyDescent="0.3">
      <c r="U786281" s="25"/>
    </row>
    <row r="786303" spans="21:21" x14ac:dyDescent="0.3">
      <c r="U786303" s="25"/>
    </row>
    <row r="786325" spans="21:21" x14ac:dyDescent="0.3">
      <c r="U786325" s="25"/>
    </row>
    <row r="786347" spans="21:21" x14ac:dyDescent="0.3">
      <c r="U786347" s="25"/>
    </row>
    <row r="786369" spans="21:21" x14ac:dyDescent="0.3">
      <c r="U786369" s="25"/>
    </row>
    <row r="786391" spans="21:21" x14ac:dyDescent="0.3">
      <c r="U786391" s="25"/>
    </row>
    <row r="786413" spans="21:21" x14ac:dyDescent="0.3">
      <c r="U786413" s="25"/>
    </row>
    <row r="786435" spans="21:21" x14ac:dyDescent="0.3">
      <c r="U786435" s="25"/>
    </row>
    <row r="786457" spans="21:21" x14ac:dyDescent="0.3">
      <c r="U786457" s="25"/>
    </row>
    <row r="786479" spans="21:21" x14ac:dyDescent="0.3">
      <c r="U786479" s="25"/>
    </row>
    <row r="786501" spans="21:21" x14ac:dyDescent="0.3">
      <c r="U786501" s="25"/>
    </row>
    <row r="786523" spans="21:21" x14ac:dyDescent="0.3">
      <c r="U786523" s="25"/>
    </row>
    <row r="786545" spans="21:21" x14ac:dyDescent="0.3">
      <c r="U786545" s="25"/>
    </row>
    <row r="786567" spans="21:21" x14ac:dyDescent="0.3">
      <c r="U786567" s="25"/>
    </row>
    <row r="786589" spans="21:21" x14ac:dyDescent="0.3">
      <c r="U786589" s="25"/>
    </row>
    <row r="786611" spans="21:21" x14ac:dyDescent="0.3">
      <c r="U786611" s="25"/>
    </row>
    <row r="786633" spans="21:21" x14ac:dyDescent="0.3">
      <c r="U786633" s="25"/>
    </row>
    <row r="786655" spans="21:21" x14ac:dyDescent="0.3">
      <c r="U786655" s="25"/>
    </row>
    <row r="786677" spans="21:21" x14ac:dyDescent="0.3">
      <c r="U786677" s="25"/>
    </row>
    <row r="786699" spans="21:21" x14ac:dyDescent="0.3">
      <c r="U786699" s="25"/>
    </row>
    <row r="786721" spans="21:21" x14ac:dyDescent="0.3">
      <c r="U786721" s="25"/>
    </row>
    <row r="786743" spans="21:21" x14ac:dyDescent="0.3">
      <c r="U786743" s="25"/>
    </row>
    <row r="786765" spans="21:21" x14ac:dyDescent="0.3">
      <c r="U786765" s="25"/>
    </row>
    <row r="786787" spans="21:21" x14ac:dyDescent="0.3">
      <c r="U786787" s="25"/>
    </row>
    <row r="786809" spans="21:21" x14ac:dyDescent="0.3">
      <c r="U786809" s="25"/>
    </row>
    <row r="786831" spans="21:21" x14ac:dyDescent="0.3">
      <c r="U786831" s="25"/>
    </row>
    <row r="786853" spans="21:21" x14ac:dyDescent="0.3">
      <c r="U786853" s="25"/>
    </row>
    <row r="786875" spans="21:21" x14ac:dyDescent="0.3">
      <c r="U786875" s="25"/>
    </row>
    <row r="786897" spans="21:21" x14ac:dyDescent="0.3">
      <c r="U786897" s="25"/>
    </row>
    <row r="786919" spans="21:21" x14ac:dyDescent="0.3">
      <c r="U786919" s="25"/>
    </row>
    <row r="786941" spans="21:21" x14ac:dyDescent="0.3">
      <c r="U786941" s="25"/>
    </row>
    <row r="786963" spans="21:21" x14ac:dyDescent="0.3">
      <c r="U786963" s="25"/>
    </row>
    <row r="786985" spans="21:21" x14ac:dyDescent="0.3">
      <c r="U786985" s="25"/>
    </row>
    <row r="787007" spans="21:21" x14ac:dyDescent="0.3">
      <c r="U787007" s="25"/>
    </row>
    <row r="787029" spans="21:21" x14ac:dyDescent="0.3">
      <c r="U787029" s="25"/>
    </row>
    <row r="787051" spans="21:21" x14ac:dyDescent="0.3">
      <c r="U787051" s="25"/>
    </row>
    <row r="787073" spans="21:21" x14ac:dyDescent="0.3">
      <c r="U787073" s="25"/>
    </row>
    <row r="787095" spans="21:21" x14ac:dyDescent="0.3">
      <c r="U787095" s="25"/>
    </row>
    <row r="787117" spans="21:21" x14ac:dyDescent="0.3">
      <c r="U787117" s="25"/>
    </row>
    <row r="787139" spans="21:21" x14ac:dyDescent="0.3">
      <c r="U787139" s="25"/>
    </row>
    <row r="787161" spans="21:21" x14ac:dyDescent="0.3">
      <c r="U787161" s="25"/>
    </row>
    <row r="787183" spans="21:21" x14ac:dyDescent="0.3">
      <c r="U787183" s="25"/>
    </row>
    <row r="787205" spans="21:21" x14ac:dyDescent="0.3">
      <c r="U787205" s="25"/>
    </row>
    <row r="787227" spans="21:21" x14ac:dyDescent="0.3">
      <c r="U787227" s="25"/>
    </row>
    <row r="787249" spans="21:21" x14ac:dyDescent="0.3">
      <c r="U787249" s="25"/>
    </row>
    <row r="787271" spans="21:21" x14ac:dyDescent="0.3">
      <c r="U787271" s="25"/>
    </row>
    <row r="787293" spans="21:21" x14ac:dyDescent="0.3">
      <c r="U787293" s="25"/>
    </row>
    <row r="787315" spans="21:21" x14ac:dyDescent="0.3">
      <c r="U787315" s="25"/>
    </row>
    <row r="787337" spans="21:21" x14ac:dyDescent="0.3">
      <c r="U787337" s="25"/>
    </row>
    <row r="787359" spans="21:21" x14ac:dyDescent="0.3">
      <c r="U787359" s="25"/>
    </row>
    <row r="787381" spans="21:21" x14ac:dyDescent="0.3">
      <c r="U787381" s="25"/>
    </row>
    <row r="787403" spans="21:21" x14ac:dyDescent="0.3">
      <c r="U787403" s="25"/>
    </row>
    <row r="787425" spans="21:21" x14ac:dyDescent="0.3">
      <c r="U787425" s="25"/>
    </row>
    <row r="787447" spans="21:21" x14ac:dyDescent="0.3">
      <c r="U787447" s="25"/>
    </row>
    <row r="787469" spans="21:21" x14ac:dyDescent="0.3">
      <c r="U787469" s="25"/>
    </row>
    <row r="787491" spans="21:21" x14ac:dyDescent="0.3">
      <c r="U787491" s="25"/>
    </row>
    <row r="787513" spans="21:21" x14ac:dyDescent="0.3">
      <c r="U787513" s="25"/>
    </row>
    <row r="787535" spans="21:21" x14ac:dyDescent="0.3">
      <c r="U787535" s="25"/>
    </row>
    <row r="787557" spans="21:21" x14ac:dyDescent="0.3">
      <c r="U787557" s="25"/>
    </row>
    <row r="787579" spans="21:21" x14ac:dyDescent="0.3">
      <c r="U787579" s="25"/>
    </row>
    <row r="787601" spans="21:21" x14ac:dyDescent="0.3">
      <c r="U787601" s="25"/>
    </row>
    <row r="787623" spans="21:21" x14ac:dyDescent="0.3">
      <c r="U787623" s="25"/>
    </row>
    <row r="787645" spans="21:21" x14ac:dyDescent="0.3">
      <c r="U787645" s="25"/>
    </row>
    <row r="787667" spans="21:21" x14ac:dyDescent="0.3">
      <c r="U787667" s="25"/>
    </row>
    <row r="787689" spans="21:21" x14ac:dyDescent="0.3">
      <c r="U787689" s="25"/>
    </row>
    <row r="787711" spans="21:21" x14ac:dyDescent="0.3">
      <c r="U787711" s="25"/>
    </row>
    <row r="787733" spans="21:21" x14ac:dyDescent="0.3">
      <c r="U787733" s="25"/>
    </row>
    <row r="787755" spans="21:21" x14ac:dyDescent="0.3">
      <c r="U787755" s="25"/>
    </row>
    <row r="787777" spans="21:21" x14ac:dyDescent="0.3">
      <c r="U787777" s="25"/>
    </row>
    <row r="787799" spans="21:21" x14ac:dyDescent="0.3">
      <c r="U787799" s="25"/>
    </row>
    <row r="787821" spans="21:21" x14ac:dyDescent="0.3">
      <c r="U787821" s="25"/>
    </row>
    <row r="787843" spans="21:21" x14ac:dyDescent="0.3">
      <c r="U787843" s="25"/>
    </row>
    <row r="787865" spans="21:21" x14ac:dyDescent="0.3">
      <c r="U787865" s="25"/>
    </row>
    <row r="787887" spans="21:21" x14ac:dyDescent="0.3">
      <c r="U787887" s="25"/>
    </row>
    <row r="787909" spans="21:21" x14ac:dyDescent="0.3">
      <c r="U787909" s="25"/>
    </row>
    <row r="787931" spans="21:21" x14ac:dyDescent="0.3">
      <c r="U787931" s="25"/>
    </row>
    <row r="787953" spans="21:21" x14ac:dyDescent="0.3">
      <c r="U787953" s="25"/>
    </row>
    <row r="787975" spans="21:21" x14ac:dyDescent="0.3">
      <c r="U787975" s="25"/>
    </row>
    <row r="787997" spans="21:21" x14ac:dyDescent="0.3">
      <c r="U787997" s="25"/>
    </row>
    <row r="788019" spans="21:21" x14ac:dyDescent="0.3">
      <c r="U788019" s="25"/>
    </row>
    <row r="788041" spans="21:21" x14ac:dyDescent="0.3">
      <c r="U788041" s="25"/>
    </row>
    <row r="788063" spans="21:21" x14ac:dyDescent="0.3">
      <c r="U788063" s="25"/>
    </row>
    <row r="788085" spans="21:21" x14ac:dyDescent="0.3">
      <c r="U788085" s="25"/>
    </row>
    <row r="788107" spans="21:21" x14ac:dyDescent="0.3">
      <c r="U788107" s="25"/>
    </row>
    <row r="788129" spans="21:21" x14ac:dyDescent="0.3">
      <c r="U788129" s="25"/>
    </row>
    <row r="788151" spans="21:21" x14ac:dyDescent="0.3">
      <c r="U788151" s="25"/>
    </row>
    <row r="788173" spans="21:21" x14ac:dyDescent="0.3">
      <c r="U788173" s="25"/>
    </row>
    <row r="788195" spans="21:21" x14ac:dyDescent="0.3">
      <c r="U788195" s="25"/>
    </row>
    <row r="788217" spans="21:21" x14ac:dyDescent="0.3">
      <c r="U788217" s="25"/>
    </row>
    <row r="788239" spans="21:21" x14ac:dyDescent="0.3">
      <c r="U788239" s="25"/>
    </row>
    <row r="788261" spans="21:21" x14ac:dyDescent="0.3">
      <c r="U788261" s="25"/>
    </row>
    <row r="788283" spans="21:21" x14ac:dyDescent="0.3">
      <c r="U788283" s="25"/>
    </row>
    <row r="788305" spans="21:21" x14ac:dyDescent="0.3">
      <c r="U788305" s="25"/>
    </row>
    <row r="788327" spans="21:21" x14ac:dyDescent="0.3">
      <c r="U788327" s="25"/>
    </row>
    <row r="788349" spans="21:21" x14ac:dyDescent="0.3">
      <c r="U788349" s="25"/>
    </row>
    <row r="788371" spans="21:21" x14ac:dyDescent="0.3">
      <c r="U788371" s="25"/>
    </row>
    <row r="788393" spans="21:21" x14ac:dyDescent="0.3">
      <c r="U788393" s="25"/>
    </row>
    <row r="788415" spans="21:21" x14ac:dyDescent="0.3">
      <c r="U788415" s="25"/>
    </row>
    <row r="788437" spans="21:21" x14ac:dyDescent="0.3">
      <c r="U788437" s="25"/>
    </row>
    <row r="788459" spans="21:21" x14ac:dyDescent="0.3">
      <c r="U788459" s="25"/>
    </row>
    <row r="788481" spans="21:21" x14ac:dyDescent="0.3">
      <c r="U788481" s="25"/>
    </row>
    <row r="788503" spans="21:21" x14ac:dyDescent="0.3">
      <c r="U788503" s="25"/>
    </row>
    <row r="788525" spans="21:21" x14ac:dyDescent="0.3">
      <c r="U788525" s="25"/>
    </row>
    <row r="788547" spans="21:21" x14ac:dyDescent="0.3">
      <c r="U788547" s="25"/>
    </row>
    <row r="788569" spans="21:21" x14ac:dyDescent="0.3">
      <c r="U788569" s="25"/>
    </row>
    <row r="788591" spans="21:21" x14ac:dyDescent="0.3">
      <c r="U788591" s="25"/>
    </row>
    <row r="788613" spans="21:21" x14ac:dyDescent="0.3">
      <c r="U788613" s="25"/>
    </row>
    <row r="788635" spans="21:21" x14ac:dyDescent="0.3">
      <c r="U788635" s="25"/>
    </row>
    <row r="788657" spans="21:21" x14ac:dyDescent="0.3">
      <c r="U788657" s="25"/>
    </row>
    <row r="788679" spans="21:21" x14ac:dyDescent="0.3">
      <c r="U788679" s="25"/>
    </row>
    <row r="788701" spans="21:21" x14ac:dyDescent="0.3">
      <c r="U788701" s="25"/>
    </row>
    <row r="788723" spans="21:21" x14ac:dyDescent="0.3">
      <c r="U788723" s="25"/>
    </row>
    <row r="788745" spans="21:21" x14ac:dyDescent="0.3">
      <c r="U788745" s="25"/>
    </row>
    <row r="788767" spans="21:21" x14ac:dyDescent="0.3">
      <c r="U788767" s="25"/>
    </row>
    <row r="788789" spans="21:21" x14ac:dyDescent="0.3">
      <c r="U788789" s="25"/>
    </row>
    <row r="788811" spans="21:21" x14ac:dyDescent="0.3">
      <c r="U788811" s="25"/>
    </row>
    <row r="788833" spans="21:21" x14ac:dyDescent="0.3">
      <c r="U788833" s="25"/>
    </row>
    <row r="788855" spans="21:21" x14ac:dyDescent="0.3">
      <c r="U788855" s="25"/>
    </row>
    <row r="788877" spans="21:21" x14ac:dyDescent="0.3">
      <c r="U788877" s="25"/>
    </row>
    <row r="788899" spans="21:21" x14ac:dyDescent="0.3">
      <c r="U788899" s="25"/>
    </row>
    <row r="788921" spans="21:21" x14ac:dyDescent="0.3">
      <c r="U788921" s="25"/>
    </row>
    <row r="788943" spans="21:21" x14ac:dyDescent="0.3">
      <c r="U788943" s="25"/>
    </row>
    <row r="788965" spans="21:21" x14ac:dyDescent="0.3">
      <c r="U788965" s="25"/>
    </row>
    <row r="788987" spans="21:21" x14ac:dyDescent="0.3">
      <c r="U788987" s="25"/>
    </row>
    <row r="789009" spans="21:21" x14ac:dyDescent="0.3">
      <c r="U789009" s="25"/>
    </row>
    <row r="789031" spans="21:21" x14ac:dyDescent="0.3">
      <c r="U789031" s="25"/>
    </row>
    <row r="789053" spans="21:21" x14ac:dyDescent="0.3">
      <c r="U789053" s="25"/>
    </row>
    <row r="789075" spans="21:21" x14ac:dyDescent="0.3">
      <c r="U789075" s="25"/>
    </row>
    <row r="789097" spans="21:21" x14ac:dyDescent="0.3">
      <c r="U789097" s="25"/>
    </row>
    <row r="789119" spans="21:21" x14ac:dyDescent="0.3">
      <c r="U789119" s="25"/>
    </row>
    <row r="789141" spans="21:21" x14ac:dyDescent="0.3">
      <c r="U789141" s="25"/>
    </row>
    <row r="789163" spans="21:21" x14ac:dyDescent="0.3">
      <c r="U789163" s="25"/>
    </row>
    <row r="789185" spans="21:21" x14ac:dyDescent="0.3">
      <c r="U789185" s="25"/>
    </row>
    <row r="789207" spans="21:21" x14ac:dyDescent="0.3">
      <c r="U789207" s="25"/>
    </row>
    <row r="789229" spans="21:21" x14ac:dyDescent="0.3">
      <c r="U789229" s="25"/>
    </row>
    <row r="789251" spans="21:21" x14ac:dyDescent="0.3">
      <c r="U789251" s="25"/>
    </row>
    <row r="789273" spans="21:21" x14ac:dyDescent="0.3">
      <c r="U789273" s="25"/>
    </row>
    <row r="789295" spans="21:21" x14ac:dyDescent="0.3">
      <c r="U789295" s="25"/>
    </row>
    <row r="789317" spans="21:21" x14ac:dyDescent="0.3">
      <c r="U789317" s="25"/>
    </row>
    <row r="789339" spans="21:21" x14ac:dyDescent="0.3">
      <c r="U789339" s="25"/>
    </row>
    <row r="789361" spans="21:21" x14ac:dyDescent="0.3">
      <c r="U789361" s="25"/>
    </row>
    <row r="789383" spans="21:21" x14ac:dyDescent="0.3">
      <c r="U789383" s="25"/>
    </row>
    <row r="789405" spans="21:21" x14ac:dyDescent="0.3">
      <c r="U789405" s="25"/>
    </row>
    <row r="789427" spans="21:21" x14ac:dyDescent="0.3">
      <c r="U789427" s="25"/>
    </row>
    <row r="789449" spans="21:21" x14ac:dyDescent="0.3">
      <c r="U789449" s="25"/>
    </row>
    <row r="789471" spans="21:21" x14ac:dyDescent="0.3">
      <c r="U789471" s="25"/>
    </row>
    <row r="789493" spans="21:21" x14ac:dyDescent="0.3">
      <c r="U789493" s="25"/>
    </row>
    <row r="789515" spans="21:21" x14ac:dyDescent="0.3">
      <c r="U789515" s="25"/>
    </row>
    <row r="789537" spans="21:21" x14ac:dyDescent="0.3">
      <c r="U789537" s="25"/>
    </row>
    <row r="789559" spans="21:21" x14ac:dyDescent="0.3">
      <c r="U789559" s="25"/>
    </row>
    <row r="789581" spans="21:21" x14ac:dyDescent="0.3">
      <c r="U789581" s="25"/>
    </row>
    <row r="789603" spans="21:21" x14ac:dyDescent="0.3">
      <c r="U789603" s="25"/>
    </row>
    <row r="789625" spans="21:21" x14ac:dyDescent="0.3">
      <c r="U789625" s="25"/>
    </row>
    <row r="789647" spans="21:21" x14ac:dyDescent="0.3">
      <c r="U789647" s="25"/>
    </row>
    <row r="789669" spans="21:21" x14ac:dyDescent="0.3">
      <c r="U789669" s="25"/>
    </row>
    <row r="789691" spans="21:21" x14ac:dyDescent="0.3">
      <c r="U789691" s="25"/>
    </row>
    <row r="789713" spans="21:21" x14ac:dyDescent="0.3">
      <c r="U789713" s="25"/>
    </row>
    <row r="789735" spans="21:21" x14ac:dyDescent="0.3">
      <c r="U789735" s="25"/>
    </row>
    <row r="789757" spans="21:21" x14ac:dyDescent="0.3">
      <c r="U789757" s="25"/>
    </row>
    <row r="789779" spans="21:21" x14ac:dyDescent="0.3">
      <c r="U789779" s="25"/>
    </row>
    <row r="789801" spans="21:21" x14ac:dyDescent="0.3">
      <c r="U789801" s="25"/>
    </row>
    <row r="789823" spans="21:21" x14ac:dyDescent="0.3">
      <c r="U789823" s="25"/>
    </row>
    <row r="789845" spans="21:21" x14ac:dyDescent="0.3">
      <c r="U789845" s="25"/>
    </row>
    <row r="789867" spans="21:21" x14ac:dyDescent="0.3">
      <c r="U789867" s="25"/>
    </row>
    <row r="789889" spans="21:21" x14ac:dyDescent="0.3">
      <c r="U789889" s="25"/>
    </row>
    <row r="789911" spans="21:21" x14ac:dyDescent="0.3">
      <c r="U789911" s="25"/>
    </row>
    <row r="789933" spans="21:21" x14ac:dyDescent="0.3">
      <c r="U789933" s="25"/>
    </row>
    <row r="789955" spans="21:21" x14ac:dyDescent="0.3">
      <c r="U789955" s="25"/>
    </row>
    <row r="789977" spans="21:21" x14ac:dyDescent="0.3">
      <c r="U789977" s="25"/>
    </row>
    <row r="789999" spans="21:21" x14ac:dyDescent="0.3">
      <c r="U789999" s="25"/>
    </row>
    <row r="790021" spans="21:21" x14ac:dyDescent="0.3">
      <c r="U790021" s="25"/>
    </row>
    <row r="790043" spans="21:21" x14ac:dyDescent="0.3">
      <c r="U790043" s="25"/>
    </row>
    <row r="790065" spans="21:21" x14ac:dyDescent="0.3">
      <c r="U790065" s="25"/>
    </row>
    <row r="790087" spans="21:21" x14ac:dyDescent="0.3">
      <c r="U790087" s="25"/>
    </row>
    <row r="790109" spans="21:21" x14ac:dyDescent="0.3">
      <c r="U790109" s="25"/>
    </row>
    <row r="790131" spans="21:21" x14ac:dyDescent="0.3">
      <c r="U790131" s="25"/>
    </row>
    <row r="790153" spans="21:21" x14ac:dyDescent="0.3">
      <c r="U790153" s="25"/>
    </row>
    <row r="790175" spans="21:21" x14ac:dyDescent="0.3">
      <c r="U790175" s="25"/>
    </row>
    <row r="790197" spans="21:21" x14ac:dyDescent="0.3">
      <c r="U790197" s="25"/>
    </row>
    <row r="790219" spans="21:21" x14ac:dyDescent="0.3">
      <c r="U790219" s="25"/>
    </row>
    <row r="790241" spans="21:21" x14ac:dyDescent="0.3">
      <c r="U790241" s="25"/>
    </row>
    <row r="790263" spans="21:21" x14ac:dyDescent="0.3">
      <c r="U790263" s="25"/>
    </row>
    <row r="790285" spans="21:21" x14ac:dyDescent="0.3">
      <c r="U790285" s="25"/>
    </row>
    <row r="790307" spans="21:21" x14ac:dyDescent="0.3">
      <c r="U790307" s="25"/>
    </row>
    <row r="790329" spans="21:21" x14ac:dyDescent="0.3">
      <c r="U790329" s="25"/>
    </row>
    <row r="790351" spans="21:21" x14ac:dyDescent="0.3">
      <c r="U790351" s="25"/>
    </row>
    <row r="790373" spans="21:21" x14ac:dyDescent="0.3">
      <c r="U790373" s="25"/>
    </row>
    <row r="790395" spans="21:21" x14ac:dyDescent="0.3">
      <c r="U790395" s="25"/>
    </row>
    <row r="790417" spans="21:21" x14ac:dyDescent="0.3">
      <c r="U790417" s="25"/>
    </row>
    <row r="790439" spans="21:21" x14ac:dyDescent="0.3">
      <c r="U790439" s="25"/>
    </row>
    <row r="790461" spans="21:21" x14ac:dyDescent="0.3">
      <c r="U790461" s="25"/>
    </row>
    <row r="790483" spans="21:21" x14ac:dyDescent="0.3">
      <c r="U790483" s="25"/>
    </row>
    <row r="790505" spans="21:21" x14ac:dyDescent="0.3">
      <c r="U790505" s="25"/>
    </row>
    <row r="790527" spans="21:21" x14ac:dyDescent="0.3">
      <c r="U790527" s="25"/>
    </row>
    <row r="790549" spans="21:21" x14ac:dyDescent="0.3">
      <c r="U790549" s="25"/>
    </row>
    <row r="790571" spans="21:21" x14ac:dyDescent="0.3">
      <c r="U790571" s="25"/>
    </row>
    <row r="790593" spans="21:21" x14ac:dyDescent="0.3">
      <c r="U790593" s="25"/>
    </row>
    <row r="790615" spans="21:21" x14ac:dyDescent="0.3">
      <c r="U790615" s="25"/>
    </row>
    <row r="790637" spans="21:21" x14ac:dyDescent="0.3">
      <c r="U790637" s="25"/>
    </row>
    <row r="790659" spans="21:21" x14ac:dyDescent="0.3">
      <c r="U790659" s="25"/>
    </row>
    <row r="790681" spans="21:21" x14ac:dyDescent="0.3">
      <c r="U790681" s="25"/>
    </row>
    <row r="790703" spans="21:21" x14ac:dyDescent="0.3">
      <c r="U790703" s="25"/>
    </row>
    <row r="790725" spans="21:21" x14ac:dyDescent="0.3">
      <c r="U790725" s="25"/>
    </row>
    <row r="790747" spans="21:21" x14ac:dyDescent="0.3">
      <c r="U790747" s="25"/>
    </row>
    <row r="790769" spans="21:21" x14ac:dyDescent="0.3">
      <c r="U790769" s="25"/>
    </row>
    <row r="790791" spans="21:21" x14ac:dyDescent="0.3">
      <c r="U790791" s="25"/>
    </row>
    <row r="790813" spans="21:21" x14ac:dyDescent="0.3">
      <c r="U790813" s="25"/>
    </row>
    <row r="790835" spans="21:21" x14ac:dyDescent="0.3">
      <c r="U790835" s="25"/>
    </row>
    <row r="790857" spans="21:21" x14ac:dyDescent="0.3">
      <c r="U790857" s="25"/>
    </row>
    <row r="790879" spans="21:21" x14ac:dyDescent="0.3">
      <c r="U790879" s="25"/>
    </row>
    <row r="790901" spans="21:21" x14ac:dyDescent="0.3">
      <c r="U790901" s="25"/>
    </row>
    <row r="790923" spans="21:21" x14ac:dyDescent="0.3">
      <c r="U790923" s="25"/>
    </row>
    <row r="790945" spans="21:21" x14ac:dyDescent="0.3">
      <c r="U790945" s="25"/>
    </row>
    <row r="790967" spans="21:21" x14ac:dyDescent="0.3">
      <c r="U790967" s="25"/>
    </row>
    <row r="790989" spans="21:21" x14ac:dyDescent="0.3">
      <c r="U790989" s="25"/>
    </row>
    <row r="791011" spans="21:21" x14ac:dyDescent="0.3">
      <c r="U791011" s="25"/>
    </row>
    <row r="791033" spans="21:21" x14ac:dyDescent="0.3">
      <c r="U791033" s="25"/>
    </row>
    <row r="791055" spans="21:21" x14ac:dyDescent="0.3">
      <c r="U791055" s="25"/>
    </row>
    <row r="791077" spans="21:21" x14ac:dyDescent="0.3">
      <c r="U791077" s="25"/>
    </row>
    <row r="791099" spans="21:21" x14ac:dyDescent="0.3">
      <c r="U791099" s="25"/>
    </row>
    <row r="791121" spans="21:21" x14ac:dyDescent="0.3">
      <c r="U791121" s="25"/>
    </row>
    <row r="791143" spans="21:21" x14ac:dyDescent="0.3">
      <c r="U791143" s="25"/>
    </row>
    <row r="791165" spans="21:21" x14ac:dyDescent="0.3">
      <c r="U791165" s="25"/>
    </row>
    <row r="791187" spans="21:21" x14ac:dyDescent="0.3">
      <c r="U791187" s="25"/>
    </row>
    <row r="791209" spans="21:21" x14ac:dyDescent="0.3">
      <c r="U791209" s="25"/>
    </row>
    <row r="791231" spans="21:21" x14ac:dyDescent="0.3">
      <c r="U791231" s="25"/>
    </row>
    <row r="791253" spans="21:21" x14ac:dyDescent="0.3">
      <c r="U791253" s="25"/>
    </row>
    <row r="791275" spans="21:21" x14ac:dyDescent="0.3">
      <c r="U791275" s="25"/>
    </row>
    <row r="791297" spans="21:21" x14ac:dyDescent="0.3">
      <c r="U791297" s="25"/>
    </row>
    <row r="791319" spans="21:21" x14ac:dyDescent="0.3">
      <c r="U791319" s="25"/>
    </row>
    <row r="791341" spans="21:21" x14ac:dyDescent="0.3">
      <c r="U791341" s="25"/>
    </row>
    <row r="791363" spans="21:21" x14ac:dyDescent="0.3">
      <c r="U791363" s="25"/>
    </row>
    <row r="791385" spans="21:21" x14ac:dyDescent="0.3">
      <c r="U791385" s="25"/>
    </row>
    <row r="791407" spans="21:21" x14ac:dyDescent="0.3">
      <c r="U791407" s="25"/>
    </row>
    <row r="791429" spans="21:21" x14ac:dyDescent="0.3">
      <c r="U791429" s="25"/>
    </row>
    <row r="791451" spans="21:21" x14ac:dyDescent="0.3">
      <c r="U791451" s="25"/>
    </row>
    <row r="791473" spans="21:21" x14ac:dyDescent="0.3">
      <c r="U791473" s="25"/>
    </row>
    <row r="791495" spans="21:21" x14ac:dyDescent="0.3">
      <c r="U791495" s="25"/>
    </row>
    <row r="791517" spans="21:21" x14ac:dyDescent="0.3">
      <c r="U791517" s="25"/>
    </row>
    <row r="791539" spans="21:21" x14ac:dyDescent="0.3">
      <c r="U791539" s="25"/>
    </row>
    <row r="791561" spans="21:21" x14ac:dyDescent="0.3">
      <c r="U791561" s="25"/>
    </row>
    <row r="791583" spans="21:21" x14ac:dyDescent="0.3">
      <c r="U791583" s="25"/>
    </row>
    <row r="791605" spans="21:21" x14ac:dyDescent="0.3">
      <c r="U791605" s="25"/>
    </row>
    <row r="791627" spans="21:21" x14ac:dyDescent="0.3">
      <c r="U791627" s="25"/>
    </row>
    <row r="791649" spans="21:21" x14ac:dyDescent="0.3">
      <c r="U791649" s="25"/>
    </row>
    <row r="791671" spans="21:21" x14ac:dyDescent="0.3">
      <c r="U791671" s="25"/>
    </row>
    <row r="791693" spans="21:21" x14ac:dyDescent="0.3">
      <c r="U791693" s="25"/>
    </row>
    <row r="791715" spans="21:21" x14ac:dyDescent="0.3">
      <c r="U791715" s="25"/>
    </row>
    <row r="791737" spans="21:21" x14ac:dyDescent="0.3">
      <c r="U791737" s="25"/>
    </row>
    <row r="791759" spans="21:21" x14ac:dyDescent="0.3">
      <c r="U791759" s="25"/>
    </row>
    <row r="791781" spans="21:21" x14ac:dyDescent="0.3">
      <c r="U791781" s="25"/>
    </row>
    <row r="791803" spans="21:21" x14ac:dyDescent="0.3">
      <c r="U791803" s="25"/>
    </row>
    <row r="791825" spans="21:21" x14ac:dyDescent="0.3">
      <c r="U791825" s="25"/>
    </row>
    <row r="791847" spans="21:21" x14ac:dyDescent="0.3">
      <c r="U791847" s="25"/>
    </row>
    <row r="791869" spans="21:21" x14ac:dyDescent="0.3">
      <c r="U791869" s="25"/>
    </row>
    <row r="791891" spans="21:21" x14ac:dyDescent="0.3">
      <c r="U791891" s="25"/>
    </row>
    <row r="791913" spans="21:21" x14ac:dyDescent="0.3">
      <c r="U791913" s="25"/>
    </row>
    <row r="791935" spans="21:21" x14ac:dyDescent="0.3">
      <c r="U791935" s="25"/>
    </row>
    <row r="791957" spans="21:21" x14ac:dyDescent="0.3">
      <c r="U791957" s="25"/>
    </row>
    <row r="791979" spans="21:21" x14ac:dyDescent="0.3">
      <c r="U791979" s="25"/>
    </row>
    <row r="792001" spans="21:21" x14ac:dyDescent="0.3">
      <c r="U792001" s="25"/>
    </row>
    <row r="792023" spans="21:21" x14ac:dyDescent="0.3">
      <c r="U792023" s="25"/>
    </row>
    <row r="792045" spans="21:21" x14ac:dyDescent="0.3">
      <c r="U792045" s="25"/>
    </row>
    <row r="792067" spans="21:21" x14ac:dyDescent="0.3">
      <c r="U792067" s="25"/>
    </row>
    <row r="792089" spans="21:21" x14ac:dyDescent="0.3">
      <c r="U792089" s="25"/>
    </row>
    <row r="792111" spans="21:21" x14ac:dyDescent="0.3">
      <c r="U792111" s="25"/>
    </row>
    <row r="792133" spans="21:21" x14ac:dyDescent="0.3">
      <c r="U792133" s="25"/>
    </row>
    <row r="792155" spans="21:21" x14ac:dyDescent="0.3">
      <c r="U792155" s="25"/>
    </row>
    <row r="792177" spans="21:21" x14ac:dyDescent="0.3">
      <c r="U792177" s="25"/>
    </row>
    <row r="792199" spans="21:21" x14ac:dyDescent="0.3">
      <c r="U792199" s="25"/>
    </row>
    <row r="792221" spans="21:21" x14ac:dyDescent="0.3">
      <c r="U792221" s="25"/>
    </row>
    <row r="792243" spans="21:21" x14ac:dyDescent="0.3">
      <c r="U792243" s="25"/>
    </row>
    <row r="792265" spans="21:21" x14ac:dyDescent="0.3">
      <c r="U792265" s="25"/>
    </row>
    <row r="792287" spans="21:21" x14ac:dyDescent="0.3">
      <c r="U792287" s="25"/>
    </row>
    <row r="792309" spans="21:21" x14ac:dyDescent="0.3">
      <c r="U792309" s="25"/>
    </row>
    <row r="792331" spans="21:21" x14ac:dyDescent="0.3">
      <c r="U792331" s="25"/>
    </row>
    <row r="792353" spans="21:21" x14ac:dyDescent="0.3">
      <c r="U792353" s="25"/>
    </row>
    <row r="792375" spans="21:21" x14ac:dyDescent="0.3">
      <c r="U792375" s="25"/>
    </row>
    <row r="792397" spans="21:21" x14ac:dyDescent="0.3">
      <c r="U792397" s="25"/>
    </row>
    <row r="792419" spans="21:21" x14ac:dyDescent="0.3">
      <c r="U792419" s="25"/>
    </row>
    <row r="792441" spans="21:21" x14ac:dyDescent="0.3">
      <c r="U792441" s="25"/>
    </row>
    <row r="792463" spans="21:21" x14ac:dyDescent="0.3">
      <c r="U792463" s="25"/>
    </row>
    <row r="792485" spans="21:21" x14ac:dyDescent="0.3">
      <c r="U792485" s="25"/>
    </row>
    <row r="792507" spans="21:21" x14ac:dyDescent="0.3">
      <c r="U792507" s="25"/>
    </row>
    <row r="792529" spans="21:21" x14ac:dyDescent="0.3">
      <c r="U792529" s="25"/>
    </row>
    <row r="792551" spans="21:21" x14ac:dyDescent="0.3">
      <c r="U792551" s="25"/>
    </row>
    <row r="792573" spans="21:21" x14ac:dyDescent="0.3">
      <c r="U792573" s="25"/>
    </row>
    <row r="792595" spans="21:21" x14ac:dyDescent="0.3">
      <c r="U792595" s="25"/>
    </row>
    <row r="792617" spans="21:21" x14ac:dyDescent="0.3">
      <c r="U792617" s="25"/>
    </row>
    <row r="792639" spans="21:21" x14ac:dyDescent="0.3">
      <c r="U792639" s="25"/>
    </row>
    <row r="792661" spans="21:21" x14ac:dyDescent="0.3">
      <c r="U792661" s="25"/>
    </row>
    <row r="792683" spans="21:21" x14ac:dyDescent="0.3">
      <c r="U792683" s="25"/>
    </row>
    <row r="792705" spans="21:21" x14ac:dyDescent="0.3">
      <c r="U792705" s="25"/>
    </row>
    <row r="792727" spans="21:21" x14ac:dyDescent="0.3">
      <c r="U792727" s="25"/>
    </row>
    <row r="792749" spans="21:21" x14ac:dyDescent="0.3">
      <c r="U792749" s="25"/>
    </row>
    <row r="792771" spans="21:21" x14ac:dyDescent="0.3">
      <c r="U792771" s="25"/>
    </row>
    <row r="792793" spans="21:21" x14ac:dyDescent="0.3">
      <c r="U792793" s="25"/>
    </row>
    <row r="792815" spans="21:21" x14ac:dyDescent="0.3">
      <c r="U792815" s="25"/>
    </row>
    <row r="792837" spans="21:21" x14ac:dyDescent="0.3">
      <c r="U792837" s="25"/>
    </row>
    <row r="792859" spans="21:21" x14ac:dyDescent="0.3">
      <c r="U792859" s="25"/>
    </row>
    <row r="792881" spans="21:21" x14ac:dyDescent="0.3">
      <c r="U792881" s="25"/>
    </row>
    <row r="792903" spans="21:21" x14ac:dyDescent="0.3">
      <c r="U792903" s="25"/>
    </row>
    <row r="792925" spans="21:21" x14ac:dyDescent="0.3">
      <c r="U792925" s="25"/>
    </row>
    <row r="792947" spans="21:21" x14ac:dyDescent="0.3">
      <c r="U792947" s="25"/>
    </row>
    <row r="792969" spans="21:21" x14ac:dyDescent="0.3">
      <c r="U792969" s="25"/>
    </row>
    <row r="792991" spans="21:21" x14ac:dyDescent="0.3">
      <c r="U792991" s="25"/>
    </row>
    <row r="793013" spans="21:21" x14ac:dyDescent="0.3">
      <c r="U793013" s="25"/>
    </row>
    <row r="793035" spans="21:21" x14ac:dyDescent="0.3">
      <c r="U793035" s="25"/>
    </row>
    <row r="793057" spans="21:21" x14ac:dyDescent="0.3">
      <c r="U793057" s="25"/>
    </row>
    <row r="793079" spans="21:21" x14ac:dyDescent="0.3">
      <c r="U793079" s="25"/>
    </row>
    <row r="793101" spans="21:21" x14ac:dyDescent="0.3">
      <c r="U793101" s="25"/>
    </row>
    <row r="793123" spans="21:21" x14ac:dyDescent="0.3">
      <c r="U793123" s="25"/>
    </row>
    <row r="793145" spans="21:21" x14ac:dyDescent="0.3">
      <c r="U793145" s="25"/>
    </row>
    <row r="793167" spans="21:21" x14ac:dyDescent="0.3">
      <c r="U793167" s="25"/>
    </row>
    <row r="793189" spans="21:21" x14ac:dyDescent="0.3">
      <c r="U793189" s="25"/>
    </row>
    <row r="793211" spans="21:21" x14ac:dyDescent="0.3">
      <c r="U793211" s="25"/>
    </row>
    <row r="793233" spans="21:21" x14ac:dyDescent="0.3">
      <c r="U793233" s="25"/>
    </row>
    <row r="793255" spans="21:21" x14ac:dyDescent="0.3">
      <c r="U793255" s="25"/>
    </row>
    <row r="793277" spans="21:21" x14ac:dyDescent="0.3">
      <c r="U793277" s="25"/>
    </row>
    <row r="793299" spans="21:21" x14ac:dyDescent="0.3">
      <c r="U793299" s="25"/>
    </row>
    <row r="793321" spans="21:21" x14ac:dyDescent="0.3">
      <c r="U793321" s="25"/>
    </row>
    <row r="793343" spans="21:21" x14ac:dyDescent="0.3">
      <c r="U793343" s="25"/>
    </row>
    <row r="793365" spans="21:21" x14ac:dyDescent="0.3">
      <c r="U793365" s="25"/>
    </row>
    <row r="793387" spans="21:21" x14ac:dyDescent="0.3">
      <c r="U793387" s="25"/>
    </row>
    <row r="793409" spans="21:21" x14ac:dyDescent="0.3">
      <c r="U793409" s="25"/>
    </row>
    <row r="793431" spans="21:21" x14ac:dyDescent="0.3">
      <c r="U793431" s="25"/>
    </row>
    <row r="793453" spans="21:21" x14ac:dyDescent="0.3">
      <c r="U793453" s="25"/>
    </row>
    <row r="793475" spans="21:21" x14ac:dyDescent="0.3">
      <c r="U793475" s="25"/>
    </row>
    <row r="793497" spans="21:21" x14ac:dyDescent="0.3">
      <c r="U793497" s="25"/>
    </row>
    <row r="793519" spans="21:21" x14ac:dyDescent="0.3">
      <c r="U793519" s="25"/>
    </row>
    <row r="793541" spans="21:21" x14ac:dyDescent="0.3">
      <c r="U793541" s="25"/>
    </row>
    <row r="793563" spans="21:21" x14ac:dyDescent="0.3">
      <c r="U793563" s="25"/>
    </row>
    <row r="793585" spans="21:21" x14ac:dyDescent="0.3">
      <c r="U793585" s="25"/>
    </row>
    <row r="793607" spans="21:21" x14ac:dyDescent="0.3">
      <c r="U793607" s="25"/>
    </row>
    <row r="793629" spans="21:21" x14ac:dyDescent="0.3">
      <c r="U793629" s="25"/>
    </row>
    <row r="793651" spans="21:21" x14ac:dyDescent="0.3">
      <c r="U793651" s="25"/>
    </row>
    <row r="793673" spans="21:21" x14ac:dyDescent="0.3">
      <c r="U793673" s="25"/>
    </row>
    <row r="793695" spans="21:21" x14ac:dyDescent="0.3">
      <c r="U793695" s="25"/>
    </row>
    <row r="793717" spans="21:21" x14ac:dyDescent="0.3">
      <c r="U793717" s="25"/>
    </row>
    <row r="793739" spans="21:21" x14ac:dyDescent="0.3">
      <c r="U793739" s="25"/>
    </row>
    <row r="793761" spans="21:21" x14ac:dyDescent="0.3">
      <c r="U793761" s="25"/>
    </row>
    <row r="793783" spans="21:21" x14ac:dyDescent="0.3">
      <c r="U793783" s="25"/>
    </row>
    <row r="793805" spans="21:21" x14ac:dyDescent="0.3">
      <c r="U793805" s="25"/>
    </row>
    <row r="793827" spans="21:21" x14ac:dyDescent="0.3">
      <c r="U793827" s="25"/>
    </row>
    <row r="793849" spans="21:21" x14ac:dyDescent="0.3">
      <c r="U793849" s="25"/>
    </row>
    <row r="793871" spans="21:21" x14ac:dyDescent="0.3">
      <c r="U793871" s="25"/>
    </row>
    <row r="793893" spans="21:21" x14ac:dyDescent="0.3">
      <c r="U793893" s="25"/>
    </row>
    <row r="793915" spans="21:21" x14ac:dyDescent="0.3">
      <c r="U793915" s="25"/>
    </row>
    <row r="793937" spans="21:21" x14ac:dyDescent="0.3">
      <c r="U793937" s="25"/>
    </row>
    <row r="793959" spans="21:21" x14ac:dyDescent="0.3">
      <c r="U793959" s="25"/>
    </row>
    <row r="793981" spans="21:21" x14ac:dyDescent="0.3">
      <c r="U793981" s="25"/>
    </row>
    <row r="794003" spans="21:21" x14ac:dyDescent="0.3">
      <c r="U794003" s="25"/>
    </row>
    <row r="794025" spans="21:21" x14ac:dyDescent="0.3">
      <c r="U794025" s="25"/>
    </row>
    <row r="794047" spans="21:21" x14ac:dyDescent="0.3">
      <c r="U794047" s="25"/>
    </row>
    <row r="794069" spans="21:21" x14ac:dyDescent="0.3">
      <c r="U794069" s="25"/>
    </row>
    <row r="794091" spans="21:21" x14ac:dyDescent="0.3">
      <c r="U794091" s="25"/>
    </row>
    <row r="794113" spans="21:21" x14ac:dyDescent="0.3">
      <c r="U794113" s="25"/>
    </row>
    <row r="794135" spans="21:21" x14ac:dyDescent="0.3">
      <c r="U794135" s="25"/>
    </row>
    <row r="794157" spans="21:21" x14ac:dyDescent="0.3">
      <c r="U794157" s="25"/>
    </row>
    <row r="794179" spans="21:21" x14ac:dyDescent="0.3">
      <c r="U794179" s="25"/>
    </row>
    <row r="794201" spans="21:21" x14ac:dyDescent="0.3">
      <c r="U794201" s="25"/>
    </row>
    <row r="794223" spans="21:21" x14ac:dyDescent="0.3">
      <c r="U794223" s="25"/>
    </row>
    <row r="794245" spans="21:21" x14ac:dyDescent="0.3">
      <c r="U794245" s="25"/>
    </row>
    <row r="794267" spans="21:21" x14ac:dyDescent="0.3">
      <c r="U794267" s="25"/>
    </row>
    <row r="794289" spans="21:21" x14ac:dyDescent="0.3">
      <c r="U794289" s="25"/>
    </row>
    <row r="794311" spans="21:21" x14ac:dyDescent="0.3">
      <c r="U794311" s="25"/>
    </row>
    <row r="794333" spans="21:21" x14ac:dyDescent="0.3">
      <c r="U794333" s="25"/>
    </row>
    <row r="794355" spans="21:21" x14ac:dyDescent="0.3">
      <c r="U794355" s="25"/>
    </row>
    <row r="794377" spans="21:21" x14ac:dyDescent="0.3">
      <c r="U794377" s="25"/>
    </row>
    <row r="794399" spans="21:21" x14ac:dyDescent="0.3">
      <c r="U794399" s="25"/>
    </row>
    <row r="794421" spans="21:21" x14ac:dyDescent="0.3">
      <c r="U794421" s="25"/>
    </row>
    <row r="794443" spans="21:21" x14ac:dyDescent="0.3">
      <c r="U794443" s="25"/>
    </row>
    <row r="794465" spans="21:21" x14ac:dyDescent="0.3">
      <c r="U794465" s="25"/>
    </row>
    <row r="794487" spans="21:21" x14ac:dyDescent="0.3">
      <c r="U794487" s="25"/>
    </row>
    <row r="794509" spans="21:21" x14ac:dyDescent="0.3">
      <c r="U794509" s="25"/>
    </row>
    <row r="794531" spans="21:21" x14ac:dyDescent="0.3">
      <c r="U794531" s="25"/>
    </row>
    <row r="794553" spans="21:21" x14ac:dyDescent="0.3">
      <c r="U794553" s="25"/>
    </row>
    <row r="794575" spans="21:21" x14ac:dyDescent="0.3">
      <c r="U794575" s="25"/>
    </row>
    <row r="794597" spans="21:21" x14ac:dyDescent="0.3">
      <c r="U794597" s="25"/>
    </row>
    <row r="794619" spans="21:21" x14ac:dyDescent="0.3">
      <c r="U794619" s="25"/>
    </row>
    <row r="794641" spans="21:21" x14ac:dyDescent="0.3">
      <c r="U794641" s="25"/>
    </row>
    <row r="794663" spans="21:21" x14ac:dyDescent="0.3">
      <c r="U794663" s="25"/>
    </row>
    <row r="794685" spans="21:21" x14ac:dyDescent="0.3">
      <c r="U794685" s="25"/>
    </row>
    <row r="794707" spans="21:21" x14ac:dyDescent="0.3">
      <c r="U794707" s="25"/>
    </row>
    <row r="794729" spans="21:21" x14ac:dyDescent="0.3">
      <c r="U794729" s="25"/>
    </row>
    <row r="794751" spans="21:21" x14ac:dyDescent="0.3">
      <c r="U794751" s="25"/>
    </row>
    <row r="794773" spans="21:21" x14ac:dyDescent="0.3">
      <c r="U794773" s="25"/>
    </row>
    <row r="794795" spans="21:21" x14ac:dyDescent="0.3">
      <c r="U794795" s="25"/>
    </row>
    <row r="794817" spans="21:21" x14ac:dyDescent="0.3">
      <c r="U794817" s="25"/>
    </row>
    <row r="794839" spans="21:21" x14ac:dyDescent="0.3">
      <c r="U794839" s="25"/>
    </row>
    <row r="794861" spans="21:21" x14ac:dyDescent="0.3">
      <c r="U794861" s="25"/>
    </row>
    <row r="794883" spans="21:21" x14ac:dyDescent="0.3">
      <c r="U794883" s="25"/>
    </row>
    <row r="794905" spans="21:21" x14ac:dyDescent="0.3">
      <c r="U794905" s="25"/>
    </row>
    <row r="794927" spans="21:21" x14ac:dyDescent="0.3">
      <c r="U794927" s="25"/>
    </row>
    <row r="794949" spans="21:21" x14ac:dyDescent="0.3">
      <c r="U794949" s="25"/>
    </row>
    <row r="794971" spans="21:21" x14ac:dyDescent="0.3">
      <c r="U794971" s="25"/>
    </row>
    <row r="794993" spans="21:21" x14ac:dyDescent="0.3">
      <c r="U794993" s="25"/>
    </row>
    <row r="795015" spans="21:21" x14ac:dyDescent="0.3">
      <c r="U795015" s="25"/>
    </row>
    <row r="795037" spans="21:21" x14ac:dyDescent="0.3">
      <c r="U795037" s="25"/>
    </row>
    <row r="795059" spans="21:21" x14ac:dyDescent="0.3">
      <c r="U795059" s="25"/>
    </row>
    <row r="795081" spans="21:21" x14ac:dyDescent="0.3">
      <c r="U795081" s="25"/>
    </row>
    <row r="795103" spans="21:21" x14ac:dyDescent="0.3">
      <c r="U795103" s="25"/>
    </row>
    <row r="795125" spans="21:21" x14ac:dyDescent="0.3">
      <c r="U795125" s="25"/>
    </row>
    <row r="795147" spans="21:21" x14ac:dyDescent="0.3">
      <c r="U795147" s="25"/>
    </row>
    <row r="795169" spans="21:21" x14ac:dyDescent="0.3">
      <c r="U795169" s="25"/>
    </row>
    <row r="795191" spans="21:21" x14ac:dyDescent="0.3">
      <c r="U795191" s="25"/>
    </row>
    <row r="795213" spans="21:21" x14ac:dyDescent="0.3">
      <c r="U795213" s="25"/>
    </row>
    <row r="795235" spans="21:21" x14ac:dyDescent="0.3">
      <c r="U795235" s="25"/>
    </row>
    <row r="795257" spans="21:21" x14ac:dyDescent="0.3">
      <c r="U795257" s="25"/>
    </row>
    <row r="795279" spans="21:21" x14ac:dyDescent="0.3">
      <c r="U795279" s="25"/>
    </row>
    <row r="795301" spans="21:21" x14ac:dyDescent="0.3">
      <c r="U795301" s="25"/>
    </row>
    <row r="795323" spans="21:21" x14ac:dyDescent="0.3">
      <c r="U795323" s="25"/>
    </row>
    <row r="795345" spans="21:21" x14ac:dyDescent="0.3">
      <c r="U795345" s="25"/>
    </row>
    <row r="795367" spans="21:21" x14ac:dyDescent="0.3">
      <c r="U795367" s="25"/>
    </row>
    <row r="795389" spans="21:21" x14ac:dyDescent="0.3">
      <c r="U795389" s="25"/>
    </row>
    <row r="795411" spans="21:21" x14ac:dyDescent="0.3">
      <c r="U795411" s="25"/>
    </row>
    <row r="795433" spans="21:21" x14ac:dyDescent="0.3">
      <c r="U795433" s="25"/>
    </row>
    <row r="795455" spans="21:21" x14ac:dyDescent="0.3">
      <c r="U795455" s="25"/>
    </row>
    <row r="795477" spans="21:21" x14ac:dyDescent="0.3">
      <c r="U795477" s="25"/>
    </row>
    <row r="795499" spans="21:21" x14ac:dyDescent="0.3">
      <c r="U795499" s="25"/>
    </row>
    <row r="795521" spans="21:21" x14ac:dyDescent="0.3">
      <c r="U795521" s="25"/>
    </row>
    <row r="795543" spans="21:21" x14ac:dyDescent="0.3">
      <c r="U795543" s="25"/>
    </row>
    <row r="795565" spans="21:21" x14ac:dyDescent="0.3">
      <c r="U795565" s="25"/>
    </row>
    <row r="795587" spans="21:21" x14ac:dyDescent="0.3">
      <c r="U795587" s="25"/>
    </row>
    <row r="795609" spans="21:21" x14ac:dyDescent="0.3">
      <c r="U795609" s="25"/>
    </row>
    <row r="795631" spans="21:21" x14ac:dyDescent="0.3">
      <c r="U795631" s="25"/>
    </row>
    <row r="795653" spans="21:21" x14ac:dyDescent="0.3">
      <c r="U795653" s="25"/>
    </row>
    <row r="795675" spans="21:21" x14ac:dyDescent="0.3">
      <c r="U795675" s="25"/>
    </row>
    <row r="795697" spans="21:21" x14ac:dyDescent="0.3">
      <c r="U795697" s="25"/>
    </row>
    <row r="795719" spans="21:21" x14ac:dyDescent="0.3">
      <c r="U795719" s="25"/>
    </row>
    <row r="795741" spans="21:21" x14ac:dyDescent="0.3">
      <c r="U795741" s="25"/>
    </row>
    <row r="795763" spans="21:21" x14ac:dyDescent="0.3">
      <c r="U795763" s="25"/>
    </row>
    <row r="795785" spans="21:21" x14ac:dyDescent="0.3">
      <c r="U795785" s="25"/>
    </row>
    <row r="795807" spans="21:21" x14ac:dyDescent="0.3">
      <c r="U795807" s="25"/>
    </row>
    <row r="795829" spans="21:21" x14ac:dyDescent="0.3">
      <c r="U795829" s="25"/>
    </row>
    <row r="795851" spans="21:21" x14ac:dyDescent="0.3">
      <c r="U795851" s="25"/>
    </row>
    <row r="795873" spans="21:21" x14ac:dyDescent="0.3">
      <c r="U795873" s="25"/>
    </row>
    <row r="795895" spans="21:21" x14ac:dyDescent="0.3">
      <c r="U795895" s="25"/>
    </row>
    <row r="795917" spans="21:21" x14ac:dyDescent="0.3">
      <c r="U795917" s="25"/>
    </row>
    <row r="795939" spans="21:21" x14ac:dyDescent="0.3">
      <c r="U795939" s="25"/>
    </row>
    <row r="795961" spans="21:21" x14ac:dyDescent="0.3">
      <c r="U795961" s="25"/>
    </row>
    <row r="795983" spans="21:21" x14ac:dyDescent="0.3">
      <c r="U795983" s="25"/>
    </row>
    <row r="796005" spans="21:21" x14ac:dyDescent="0.3">
      <c r="U796005" s="25"/>
    </row>
    <row r="796027" spans="21:21" x14ac:dyDescent="0.3">
      <c r="U796027" s="25"/>
    </row>
    <row r="796049" spans="21:21" x14ac:dyDescent="0.3">
      <c r="U796049" s="25"/>
    </row>
    <row r="796071" spans="21:21" x14ac:dyDescent="0.3">
      <c r="U796071" s="25"/>
    </row>
    <row r="796093" spans="21:21" x14ac:dyDescent="0.3">
      <c r="U796093" s="25"/>
    </row>
    <row r="796115" spans="21:21" x14ac:dyDescent="0.3">
      <c r="U796115" s="25"/>
    </row>
    <row r="796137" spans="21:21" x14ac:dyDescent="0.3">
      <c r="U796137" s="25"/>
    </row>
    <row r="796159" spans="21:21" x14ac:dyDescent="0.3">
      <c r="U796159" s="25"/>
    </row>
    <row r="796181" spans="21:21" x14ac:dyDescent="0.3">
      <c r="U796181" s="25"/>
    </row>
    <row r="796203" spans="21:21" x14ac:dyDescent="0.3">
      <c r="U796203" s="25"/>
    </row>
    <row r="796225" spans="21:21" x14ac:dyDescent="0.3">
      <c r="U796225" s="25"/>
    </row>
    <row r="796247" spans="21:21" x14ac:dyDescent="0.3">
      <c r="U796247" s="25"/>
    </row>
    <row r="796269" spans="21:21" x14ac:dyDescent="0.3">
      <c r="U796269" s="25"/>
    </row>
    <row r="796291" spans="21:21" x14ac:dyDescent="0.3">
      <c r="U796291" s="25"/>
    </row>
    <row r="796313" spans="21:21" x14ac:dyDescent="0.3">
      <c r="U796313" s="25"/>
    </row>
    <row r="796335" spans="21:21" x14ac:dyDescent="0.3">
      <c r="U796335" s="25"/>
    </row>
    <row r="796357" spans="21:21" x14ac:dyDescent="0.3">
      <c r="U796357" s="25"/>
    </row>
    <row r="796379" spans="21:21" x14ac:dyDescent="0.3">
      <c r="U796379" s="25"/>
    </row>
    <row r="796401" spans="21:21" x14ac:dyDescent="0.3">
      <c r="U796401" s="25"/>
    </row>
    <row r="796423" spans="21:21" x14ac:dyDescent="0.3">
      <c r="U796423" s="25"/>
    </row>
    <row r="796445" spans="21:21" x14ac:dyDescent="0.3">
      <c r="U796445" s="25"/>
    </row>
    <row r="796467" spans="21:21" x14ac:dyDescent="0.3">
      <c r="U796467" s="25"/>
    </row>
    <row r="796489" spans="21:21" x14ac:dyDescent="0.3">
      <c r="U796489" s="25"/>
    </row>
    <row r="796511" spans="21:21" x14ac:dyDescent="0.3">
      <c r="U796511" s="25"/>
    </row>
    <row r="796533" spans="21:21" x14ac:dyDescent="0.3">
      <c r="U796533" s="25"/>
    </row>
    <row r="796555" spans="21:21" x14ac:dyDescent="0.3">
      <c r="U796555" s="25"/>
    </row>
    <row r="796577" spans="21:21" x14ac:dyDescent="0.3">
      <c r="U796577" s="25"/>
    </row>
    <row r="796599" spans="21:21" x14ac:dyDescent="0.3">
      <c r="U796599" s="25"/>
    </row>
    <row r="796621" spans="21:21" x14ac:dyDescent="0.3">
      <c r="U796621" s="25"/>
    </row>
    <row r="796643" spans="21:21" x14ac:dyDescent="0.3">
      <c r="U796643" s="25"/>
    </row>
    <row r="796665" spans="21:21" x14ac:dyDescent="0.3">
      <c r="U796665" s="25"/>
    </row>
    <row r="796687" spans="21:21" x14ac:dyDescent="0.3">
      <c r="U796687" s="25"/>
    </row>
    <row r="796709" spans="21:21" x14ac:dyDescent="0.3">
      <c r="U796709" s="25"/>
    </row>
    <row r="796731" spans="21:21" x14ac:dyDescent="0.3">
      <c r="U796731" s="25"/>
    </row>
    <row r="796753" spans="21:21" x14ac:dyDescent="0.3">
      <c r="U796753" s="25"/>
    </row>
    <row r="796775" spans="21:21" x14ac:dyDescent="0.3">
      <c r="U796775" s="25"/>
    </row>
    <row r="796797" spans="21:21" x14ac:dyDescent="0.3">
      <c r="U796797" s="25"/>
    </row>
    <row r="796819" spans="21:21" x14ac:dyDescent="0.3">
      <c r="U796819" s="25"/>
    </row>
    <row r="796841" spans="21:21" x14ac:dyDescent="0.3">
      <c r="U796841" s="25"/>
    </row>
    <row r="796863" spans="21:21" x14ac:dyDescent="0.3">
      <c r="U796863" s="25"/>
    </row>
    <row r="796885" spans="21:21" x14ac:dyDescent="0.3">
      <c r="U796885" s="25"/>
    </row>
    <row r="796907" spans="21:21" x14ac:dyDescent="0.3">
      <c r="U796907" s="25"/>
    </row>
    <row r="796929" spans="21:21" x14ac:dyDescent="0.3">
      <c r="U796929" s="25"/>
    </row>
    <row r="796951" spans="21:21" x14ac:dyDescent="0.3">
      <c r="U796951" s="25"/>
    </row>
    <row r="796973" spans="21:21" x14ac:dyDescent="0.3">
      <c r="U796973" s="25"/>
    </row>
    <row r="796995" spans="21:21" x14ac:dyDescent="0.3">
      <c r="U796995" s="25"/>
    </row>
    <row r="797017" spans="21:21" x14ac:dyDescent="0.3">
      <c r="U797017" s="25"/>
    </row>
    <row r="797039" spans="21:21" x14ac:dyDescent="0.3">
      <c r="U797039" s="25"/>
    </row>
    <row r="797061" spans="21:21" x14ac:dyDescent="0.3">
      <c r="U797061" s="25"/>
    </row>
    <row r="797083" spans="21:21" x14ac:dyDescent="0.3">
      <c r="U797083" s="25"/>
    </row>
    <row r="797105" spans="21:21" x14ac:dyDescent="0.3">
      <c r="U797105" s="25"/>
    </row>
    <row r="797127" spans="21:21" x14ac:dyDescent="0.3">
      <c r="U797127" s="25"/>
    </row>
    <row r="797149" spans="21:21" x14ac:dyDescent="0.3">
      <c r="U797149" s="25"/>
    </row>
    <row r="797171" spans="21:21" x14ac:dyDescent="0.3">
      <c r="U797171" s="25"/>
    </row>
    <row r="797193" spans="21:21" x14ac:dyDescent="0.3">
      <c r="U797193" s="25"/>
    </row>
    <row r="797215" spans="21:21" x14ac:dyDescent="0.3">
      <c r="U797215" s="25"/>
    </row>
    <row r="797237" spans="21:21" x14ac:dyDescent="0.3">
      <c r="U797237" s="25"/>
    </row>
    <row r="797259" spans="21:21" x14ac:dyDescent="0.3">
      <c r="U797259" s="25"/>
    </row>
    <row r="797281" spans="21:21" x14ac:dyDescent="0.3">
      <c r="U797281" s="25"/>
    </row>
    <row r="797303" spans="21:21" x14ac:dyDescent="0.3">
      <c r="U797303" s="25"/>
    </row>
    <row r="797325" spans="21:21" x14ac:dyDescent="0.3">
      <c r="U797325" s="25"/>
    </row>
    <row r="797347" spans="21:21" x14ac:dyDescent="0.3">
      <c r="U797347" s="25"/>
    </row>
    <row r="797369" spans="21:21" x14ac:dyDescent="0.3">
      <c r="U797369" s="25"/>
    </row>
    <row r="797391" spans="21:21" x14ac:dyDescent="0.3">
      <c r="U797391" s="25"/>
    </row>
    <row r="797413" spans="21:21" x14ac:dyDescent="0.3">
      <c r="U797413" s="25"/>
    </row>
    <row r="797435" spans="21:21" x14ac:dyDescent="0.3">
      <c r="U797435" s="25"/>
    </row>
    <row r="797457" spans="21:21" x14ac:dyDescent="0.3">
      <c r="U797457" s="25"/>
    </row>
    <row r="797479" spans="21:21" x14ac:dyDescent="0.3">
      <c r="U797479" s="25"/>
    </row>
    <row r="797501" spans="21:21" x14ac:dyDescent="0.3">
      <c r="U797501" s="25"/>
    </row>
    <row r="797523" spans="21:21" x14ac:dyDescent="0.3">
      <c r="U797523" s="25"/>
    </row>
    <row r="797545" spans="21:21" x14ac:dyDescent="0.3">
      <c r="U797545" s="25"/>
    </row>
    <row r="797567" spans="21:21" x14ac:dyDescent="0.3">
      <c r="U797567" s="25"/>
    </row>
    <row r="797589" spans="21:21" x14ac:dyDescent="0.3">
      <c r="U797589" s="25"/>
    </row>
    <row r="797611" spans="21:21" x14ac:dyDescent="0.3">
      <c r="U797611" s="25"/>
    </row>
    <row r="797633" spans="21:21" x14ac:dyDescent="0.3">
      <c r="U797633" s="25"/>
    </row>
    <row r="797655" spans="21:21" x14ac:dyDescent="0.3">
      <c r="U797655" s="25"/>
    </row>
    <row r="797677" spans="21:21" x14ac:dyDescent="0.3">
      <c r="U797677" s="25"/>
    </row>
    <row r="797699" spans="21:21" x14ac:dyDescent="0.3">
      <c r="U797699" s="25"/>
    </row>
    <row r="797721" spans="21:21" x14ac:dyDescent="0.3">
      <c r="U797721" s="25"/>
    </row>
    <row r="797743" spans="21:21" x14ac:dyDescent="0.3">
      <c r="U797743" s="25"/>
    </row>
    <row r="797765" spans="21:21" x14ac:dyDescent="0.3">
      <c r="U797765" s="25"/>
    </row>
    <row r="797787" spans="21:21" x14ac:dyDescent="0.3">
      <c r="U797787" s="25"/>
    </row>
    <row r="797809" spans="21:21" x14ac:dyDescent="0.3">
      <c r="U797809" s="25"/>
    </row>
    <row r="797831" spans="21:21" x14ac:dyDescent="0.3">
      <c r="U797831" s="25"/>
    </row>
    <row r="797853" spans="21:21" x14ac:dyDescent="0.3">
      <c r="U797853" s="25"/>
    </row>
    <row r="797875" spans="21:21" x14ac:dyDescent="0.3">
      <c r="U797875" s="25"/>
    </row>
    <row r="797897" spans="21:21" x14ac:dyDescent="0.3">
      <c r="U797897" s="25"/>
    </row>
    <row r="797919" spans="21:21" x14ac:dyDescent="0.3">
      <c r="U797919" s="25"/>
    </row>
    <row r="797941" spans="21:21" x14ac:dyDescent="0.3">
      <c r="U797941" s="25"/>
    </row>
    <row r="797963" spans="21:21" x14ac:dyDescent="0.3">
      <c r="U797963" s="25"/>
    </row>
    <row r="797985" spans="21:21" x14ac:dyDescent="0.3">
      <c r="U797985" s="25"/>
    </row>
    <row r="798007" spans="21:21" x14ac:dyDescent="0.3">
      <c r="U798007" s="25"/>
    </row>
    <row r="798029" spans="21:21" x14ac:dyDescent="0.3">
      <c r="U798029" s="25"/>
    </row>
    <row r="798051" spans="21:21" x14ac:dyDescent="0.3">
      <c r="U798051" s="25"/>
    </row>
    <row r="798073" spans="21:21" x14ac:dyDescent="0.3">
      <c r="U798073" s="25"/>
    </row>
    <row r="798095" spans="21:21" x14ac:dyDescent="0.3">
      <c r="U798095" s="25"/>
    </row>
    <row r="798117" spans="21:21" x14ac:dyDescent="0.3">
      <c r="U798117" s="25"/>
    </row>
    <row r="798139" spans="21:21" x14ac:dyDescent="0.3">
      <c r="U798139" s="25"/>
    </row>
    <row r="798161" spans="21:21" x14ac:dyDescent="0.3">
      <c r="U798161" s="25"/>
    </row>
    <row r="798183" spans="21:21" x14ac:dyDescent="0.3">
      <c r="U798183" s="25"/>
    </row>
    <row r="798205" spans="21:21" x14ac:dyDescent="0.3">
      <c r="U798205" s="25"/>
    </row>
    <row r="798227" spans="21:21" x14ac:dyDescent="0.3">
      <c r="U798227" s="25"/>
    </row>
    <row r="798249" spans="21:21" x14ac:dyDescent="0.3">
      <c r="U798249" s="25"/>
    </row>
    <row r="798271" spans="21:21" x14ac:dyDescent="0.3">
      <c r="U798271" s="25"/>
    </row>
    <row r="798293" spans="21:21" x14ac:dyDescent="0.3">
      <c r="U798293" s="25"/>
    </row>
    <row r="798315" spans="21:21" x14ac:dyDescent="0.3">
      <c r="U798315" s="25"/>
    </row>
    <row r="798337" spans="21:21" x14ac:dyDescent="0.3">
      <c r="U798337" s="25"/>
    </row>
    <row r="798359" spans="21:21" x14ac:dyDescent="0.3">
      <c r="U798359" s="25"/>
    </row>
    <row r="798381" spans="21:21" x14ac:dyDescent="0.3">
      <c r="U798381" s="25"/>
    </row>
    <row r="798403" spans="21:21" x14ac:dyDescent="0.3">
      <c r="U798403" s="25"/>
    </row>
    <row r="798425" spans="21:21" x14ac:dyDescent="0.3">
      <c r="U798425" s="25"/>
    </row>
    <row r="798447" spans="21:21" x14ac:dyDescent="0.3">
      <c r="U798447" s="25"/>
    </row>
    <row r="798469" spans="21:21" x14ac:dyDescent="0.3">
      <c r="U798469" s="25"/>
    </row>
    <row r="798491" spans="21:21" x14ac:dyDescent="0.3">
      <c r="U798491" s="25"/>
    </row>
    <row r="798513" spans="21:21" x14ac:dyDescent="0.3">
      <c r="U798513" s="25"/>
    </row>
    <row r="798535" spans="21:21" x14ac:dyDescent="0.3">
      <c r="U798535" s="25"/>
    </row>
    <row r="798557" spans="21:21" x14ac:dyDescent="0.3">
      <c r="U798557" s="25"/>
    </row>
    <row r="798579" spans="21:21" x14ac:dyDescent="0.3">
      <c r="U798579" s="25"/>
    </row>
    <row r="798601" spans="21:21" x14ac:dyDescent="0.3">
      <c r="U798601" s="25"/>
    </row>
    <row r="798623" spans="21:21" x14ac:dyDescent="0.3">
      <c r="U798623" s="25"/>
    </row>
    <row r="798645" spans="21:21" x14ac:dyDescent="0.3">
      <c r="U798645" s="25"/>
    </row>
    <row r="798667" spans="21:21" x14ac:dyDescent="0.3">
      <c r="U798667" s="25"/>
    </row>
    <row r="798689" spans="21:21" x14ac:dyDescent="0.3">
      <c r="U798689" s="25"/>
    </row>
    <row r="798711" spans="21:21" x14ac:dyDescent="0.3">
      <c r="U798711" s="25"/>
    </row>
    <row r="798733" spans="21:21" x14ac:dyDescent="0.3">
      <c r="U798733" s="25"/>
    </row>
    <row r="798755" spans="21:21" x14ac:dyDescent="0.3">
      <c r="U798755" s="25"/>
    </row>
    <row r="798777" spans="21:21" x14ac:dyDescent="0.3">
      <c r="U798777" s="25"/>
    </row>
    <row r="798799" spans="21:21" x14ac:dyDescent="0.3">
      <c r="U798799" s="25"/>
    </row>
    <row r="798821" spans="21:21" x14ac:dyDescent="0.3">
      <c r="U798821" s="25"/>
    </row>
    <row r="798843" spans="21:21" x14ac:dyDescent="0.3">
      <c r="U798843" s="25"/>
    </row>
    <row r="798865" spans="21:21" x14ac:dyDescent="0.3">
      <c r="U798865" s="25"/>
    </row>
    <row r="798887" spans="21:21" x14ac:dyDescent="0.3">
      <c r="U798887" s="25"/>
    </row>
    <row r="798909" spans="21:21" x14ac:dyDescent="0.3">
      <c r="U798909" s="25"/>
    </row>
    <row r="798931" spans="21:21" x14ac:dyDescent="0.3">
      <c r="U798931" s="25"/>
    </row>
    <row r="798953" spans="21:21" x14ac:dyDescent="0.3">
      <c r="U798953" s="25"/>
    </row>
    <row r="798975" spans="21:21" x14ac:dyDescent="0.3">
      <c r="U798975" s="25"/>
    </row>
    <row r="798997" spans="21:21" x14ac:dyDescent="0.3">
      <c r="U798997" s="25"/>
    </row>
    <row r="799019" spans="21:21" x14ac:dyDescent="0.3">
      <c r="U799019" s="25"/>
    </row>
    <row r="799041" spans="21:21" x14ac:dyDescent="0.3">
      <c r="U799041" s="25"/>
    </row>
    <row r="799063" spans="21:21" x14ac:dyDescent="0.3">
      <c r="U799063" s="25"/>
    </row>
    <row r="799085" spans="21:21" x14ac:dyDescent="0.3">
      <c r="U799085" s="25"/>
    </row>
    <row r="799107" spans="21:21" x14ac:dyDescent="0.3">
      <c r="U799107" s="25"/>
    </row>
    <row r="799129" spans="21:21" x14ac:dyDescent="0.3">
      <c r="U799129" s="25"/>
    </row>
    <row r="799151" spans="21:21" x14ac:dyDescent="0.3">
      <c r="U799151" s="25"/>
    </row>
    <row r="799173" spans="21:21" x14ac:dyDescent="0.3">
      <c r="U799173" s="25"/>
    </row>
    <row r="799195" spans="21:21" x14ac:dyDescent="0.3">
      <c r="U799195" s="25"/>
    </row>
    <row r="799217" spans="21:21" x14ac:dyDescent="0.3">
      <c r="U799217" s="25"/>
    </row>
    <row r="799239" spans="21:21" x14ac:dyDescent="0.3">
      <c r="U799239" s="25"/>
    </row>
    <row r="799261" spans="21:21" x14ac:dyDescent="0.3">
      <c r="U799261" s="25"/>
    </row>
    <row r="799283" spans="21:21" x14ac:dyDescent="0.3">
      <c r="U799283" s="25"/>
    </row>
    <row r="799305" spans="21:21" x14ac:dyDescent="0.3">
      <c r="U799305" s="25"/>
    </row>
    <row r="799327" spans="21:21" x14ac:dyDescent="0.3">
      <c r="U799327" s="25"/>
    </row>
    <row r="799349" spans="21:21" x14ac:dyDescent="0.3">
      <c r="U799349" s="25"/>
    </row>
    <row r="799371" spans="21:21" x14ac:dyDescent="0.3">
      <c r="U799371" s="25"/>
    </row>
    <row r="799393" spans="21:21" x14ac:dyDescent="0.3">
      <c r="U799393" s="25"/>
    </row>
    <row r="799415" spans="21:21" x14ac:dyDescent="0.3">
      <c r="U799415" s="25"/>
    </row>
    <row r="799437" spans="21:21" x14ac:dyDescent="0.3">
      <c r="U799437" s="25"/>
    </row>
    <row r="799459" spans="21:21" x14ac:dyDescent="0.3">
      <c r="U799459" s="25"/>
    </row>
    <row r="799481" spans="21:21" x14ac:dyDescent="0.3">
      <c r="U799481" s="25"/>
    </row>
    <row r="799503" spans="21:21" x14ac:dyDescent="0.3">
      <c r="U799503" s="25"/>
    </row>
    <row r="799525" spans="21:21" x14ac:dyDescent="0.3">
      <c r="U799525" s="25"/>
    </row>
    <row r="799547" spans="21:21" x14ac:dyDescent="0.3">
      <c r="U799547" s="25"/>
    </row>
    <row r="799569" spans="21:21" x14ac:dyDescent="0.3">
      <c r="U799569" s="25"/>
    </row>
    <row r="799591" spans="21:21" x14ac:dyDescent="0.3">
      <c r="U799591" s="25"/>
    </row>
    <row r="799613" spans="21:21" x14ac:dyDescent="0.3">
      <c r="U799613" s="25"/>
    </row>
    <row r="799635" spans="21:21" x14ac:dyDescent="0.3">
      <c r="U799635" s="25"/>
    </row>
    <row r="799657" spans="21:21" x14ac:dyDescent="0.3">
      <c r="U799657" s="25"/>
    </row>
    <row r="799679" spans="21:21" x14ac:dyDescent="0.3">
      <c r="U799679" s="25"/>
    </row>
    <row r="799701" spans="21:21" x14ac:dyDescent="0.3">
      <c r="U799701" s="25"/>
    </row>
    <row r="799723" spans="21:21" x14ac:dyDescent="0.3">
      <c r="U799723" s="25"/>
    </row>
    <row r="799745" spans="21:21" x14ac:dyDescent="0.3">
      <c r="U799745" s="25"/>
    </row>
    <row r="799767" spans="21:21" x14ac:dyDescent="0.3">
      <c r="U799767" s="25"/>
    </row>
    <row r="799789" spans="21:21" x14ac:dyDescent="0.3">
      <c r="U799789" s="25"/>
    </row>
    <row r="799811" spans="21:21" x14ac:dyDescent="0.3">
      <c r="U799811" s="25"/>
    </row>
    <row r="799833" spans="21:21" x14ac:dyDescent="0.3">
      <c r="U799833" s="25"/>
    </row>
    <row r="799855" spans="21:21" x14ac:dyDescent="0.3">
      <c r="U799855" s="25"/>
    </row>
    <row r="799877" spans="21:21" x14ac:dyDescent="0.3">
      <c r="U799877" s="25"/>
    </row>
    <row r="799899" spans="21:21" x14ac:dyDescent="0.3">
      <c r="U799899" s="25"/>
    </row>
    <row r="799921" spans="21:21" x14ac:dyDescent="0.3">
      <c r="U799921" s="25"/>
    </row>
    <row r="799943" spans="21:21" x14ac:dyDescent="0.3">
      <c r="U799943" s="25"/>
    </row>
    <row r="799965" spans="21:21" x14ac:dyDescent="0.3">
      <c r="U799965" s="25"/>
    </row>
    <row r="799987" spans="21:21" x14ac:dyDescent="0.3">
      <c r="U799987" s="25"/>
    </row>
    <row r="800009" spans="21:21" x14ac:dyDescent="0.3">
      <c r="U800009" s="25"/>
    </row>
    <row r="800031" spans="21:21" x14ac:dyDescent="0.3">
      <c r="U800031" s="25"/>
    </row>
    <row r="800053" spans="21:21" x14ac:dyDescent="0.3">
      <c r="U800053" s="25"/>
    </row>
    <row r="800075" spans="21:21" x14ac:dyDescent="0.3">
      <c r="U800075" s="25"/>
    </row>
    <row r="800097" spans="21:21" x14ac:dyDescent="0.3">
      <c r="U800097" s="25"/>
    </row>
    <row r="800119" spans="21:21" x14ac:dyDescent="0.3">
      <c r="U800119" s="25"/>
    </row>
    <row r="800141" spans="21:21" x14ac:dyDescent="0.3">
      <c r="U800141" s="25"/>
    </row>
    <row r="800163" spans="21:21" x14ac:dyDescent="0.3">
      <c r="U800163" s="25"/>
    </row>
    <row r="800185" spans="21:21" x14ac:dyDescent="0.3">
      <c r="U800185" s="25"/>
    </row>
    <row r="800207" spans="21:21" x14ac:dyDescent="0.3">
      <c r="U800207" s="25"/>
    </row>
    <row r="800229" spans="21:21" x14ac:dyDescent="0.3">
      <c r="U800229" s="25"/>
    </row>
    <row r="800251" spans="21:21" x14ac:dyDescent="0.3">
      <c r="U800251" s="25"/>
    </row>
    <row r="800273" spans="21:21" x14ac:dyDescent="0.3">
      <c r="U800273" s="25"/>
    </row>
    <row r="800295" spans="21:21" x14ac:dyDescent="0.3">
      <c r="U800295" s="25"/>
    </row>
    <row r="800317" spans="21:21" x14ac:dyDescent="0.3">
      <c r="U800317" s="25"/>
    </row>
    <row r="800339" spans="21:21" x14ac:dyDescent="0.3">
      <c r="U800339" s="25"/>
    </row>
    <row r="800361" spans="21:21" x14ac:dyDescent="0.3">
      <c r="U800361" s="25"/>
    </row>
    <row r="800383" spans="21:21" x14ac:dyDescent="0.3">
      <c r="U800383" s="25"/>
    </row>
    <row r="800405" spans="21:21" x14ac:dyDescent="0.3">
      <c r="U800405" s="25"/>
    </row>
    <row r="800427" spans="21:21" x14ac:dyDescent="0.3">
      <c r="U800427" s="25"/>
    </row>
    <row r="800449" spans="21:21" x14ac:dyDescent="0.3">
      <c r="U800449" s="25"/>
    </row>
    <row r="800471" spans="21:21" x14ac:dyDescent="0.3">
      <c r="U800471" s="25"/>
    </row>
    <row r="800493" spans="21:21" x14ac:dyDescent="0.3">
      <c r="U800493" s="25"/>
    </row>
    <row r="800515" spans="21:21" x14ac:dyDescent="0.3">
      <c r="U800515" s="25"/>
    </row>
    <row r="800537" spans="21:21" x14ac:dyDescent="0.3">
      <c r="U800537" s="25"/>
    </row>
    <row r="800559" spans="21:21" x14ac:dyDescent="0.3">
      <c r="U800559" s="25"/>
    </row>
    <row r="800581" spans="21:21" x14ac:dyDescent="0.3">
      <c r="U800581" s="25"/>
    </row>
    <row r="800603" spans="21:21" x14ac:dyDescent="0.3">
      <c r="U800603" s="25"/>
    </row>
    <row r="800625" spans="21:21" x14ac:dyDescent="0.3">
      <c r="U800625" s="25"/>
    </row>
    <row r="800647" spans="21:21" x14ac:dyDescent="0.3">
      <c r="U800647" s="25"/>
    </row>
    <row r="800669" spans="21:21" x14ac:dyDescent="0.3">
      <c r="U800669" s="25"/>
    </row>
    <row r="800691" spans="21:21" x14ac:dyDescent="0.3">
      <c r="U800691" s="25"/>
    </row>
    <row r="800713" spans="21:21" x14ac:dyDescent="0.3">
      <c r="U800713" s="25"/>
    </row>
    <row r="800735" spans="21:21" x14ac:dyDescent="0.3">
      <c r="U800735" s="25"/>
    </row>
    <row r="800757" spans="21:21" x14ac:dyDescent="0.3">
      <c r="U800757" s="25"/>
    </row>
    <row r="800779" spans="21:21" x14ac:dyDescent="0.3">
      <c r="U800779" s="25"/>
    </row>
    <row r="800801" spans="21:21" x14ac:dyDescent="0.3">
      <c r="U800801" s="25"/>
    </row>
    <row r="800823" spans="21:21" x14ac:dyDescent="0.3">
      <c r="U800823" s="25"/>
    </row>
    <row r="800845" spans="21:21" x14ac:dyDescent="0.3">
      <c r="U800845" s="25"/>
    </row>
    <row r="800867" spans="21:21" x14ac:dyDescent="0.3">
      <c r="U800867" s="25"/>
    </row>
    <row r="800889" spans="21:21" x14ac:dyDescent="0.3">
      <c r="U800889" s="25"/>
    </row>
    <row r="800911" spans="21:21" x14ac:dyDescent="0.3">
      <c r="U800911" s="25"/>
    </row>
    <row r="800933" spans="21:21" x14ac:dyDescent="0.3">
      <c r="U800933" s="25"/>
    </row>
    <row r="800955" spans="21:21" x14ac:dyDescent="0.3">
      <c r="U800955" s="25"/>
    </row>
    <row r="800977" spans="21:21" x14ac:dyDescent="0.3">
      <c r="U800977" s="25"/>
    </row>
    <row r="800999" spans="21:21" x14ac:dyDescent="0.3">
      <c r="U800999" s="25"/>
    </row>
    <row r="801021" spans="21:21" x14ac:dyDescent="0.3">
      <c r="U801021" s="25"/>
    </row>
    <row r="801043" spans="21:21" x14ac:dyDescent="0.3">
      <c r="U801043" s="25"/>
    </row>
    <row r="801065" spans="21:21" x14ac:dyDescent="0.3">
      <c r="U801065" s="25"/>
    </row>
    <row r="801087" spans="21:21" x14ac:dyDescent="0.3">
      <c r="U801087" s="25"/>
    </row>
    <row r="801109" spans="21:21" x14ac:dyDescent="0.3">
      <c r="U801109" s="25"/>
    </row>
    <row r="801131" spans="21:21" x14ac:dyDescent="0.3">
      <c r="U801131" s="25"/>
    </row>
    <row r="801153" spans="21:21" x14ac:dyDescent="0.3">
      <c r="U801153" s="25"/>
    </row>
    <row r="801175" spans="21:21" x14ac:dyDescent="0.3">
      <c r="U801175" s="25"/>
    </row>
    <row r="801197" spans="21:21" x14ac:dyDescent="0.3">
      <c r="U801197" s="25"/>
    </row>
    <row r="801219" spans="21:21" x14ac:dyDescent="0.3">
      <c r="U801219" s="25"/>
    </row>
    <row r="801241" spans="21:21" x14ac:dyDescent="0.3">
      <c r="U801241" s="25"/>
    </row>
    <row r="801263" spans="21:21" x14ac:dyDescent="0.3">
      <c r="U801263" s="25"/>
    </row>
    <row r="801285" spans="21:21" x14ac:dyDescent="0.3">
      <c r="U801285" s="25"/>
    </row>
    <row r="801307" spans="21:21" x14ac:dyDescent="0.3">
      <c r="U801307" s="25"/>
    </row>
    <row r="801329" spans="21:21" x14ac:dyDescent="0.3">
      <c r="U801329" s="25"/>
    </row>
    <row r="801351" spans="21:21" x14ac:dyDescent="0.3">
      <c r="U801351" s="25"/>
    </row>
    <row r="801373" spans="21:21" x14ac:dyDescent="0.3">
      <c r="U801373" s="25"/>
    </row>
    <row r="801395" spans="21:21" x14ac:dyDescent="0.3">
      <c r="U801395" s="25"/>
    </row>
    <row r="801417" spans="21:21" x14ac:dyDescent="0.3">
      <c r="U801417" s="25"/>
    </row>
    <row r="801439" spans="21:21" x14ac:dyDescent="0.3">
      <c r="U801439" s="25"/>
    </row>
    <row r="801461" spans="21:21" x14ac:dyDescent="0.3">
      <c r="U801461" s="25"/>
    </row>
    <row r="801483" spans="21:21" x14ac:dyDescent="0.3">
      <c r="U801483" s="25"/>
    </row>
    <row r="801505" spans="21:21" x14ac:dyDescent="0.3">
      <c r="U801505" s="25"/>
    </row>
    <row r="801527" spans="21:21" x14ac:dyDescent="0.3">
      <c r="U801527" s="25"/>
    </row>
    <row r="801549" spans="21:21" x14ac:dyDescent="0.3">
      <c r="U801549" s="25"/>
    </row>
    <row r="801571" spans="21:21" x14ac:dyDescent="0.3">
      <c r="U801571" s="25"/>
    </row>
    <row r="801593" spans="21:21" x14ac:dyDescent="0.3">
      <c r="U801593" s="25"/>
    </row>
    <row r="801615" spans="21:21" x14ac:dyDescent="0.3">
      <c r="U801615" s="25"/>
    </row>
    <row r="801637" spans="21:21" x14ac:dyDescent="0.3">
      <c r="U801637" s="25"/>
    </row>
    <row r="801659" spans="21:21" x14ac:dyDescent="0.3">
      <c r="U801659" s="25"/>
    </row>
    <row r="801681" spans="21:21" x14ac:dyDescent="0.3">
      <c r="U801681" s="25"/>
    </row>
    <row r="801703" spans="21:21" x14ac:dyDescent="0.3">
      <c r="U801703" s="25"/>
    </row>
    <row r="801725" spans="21:21" x14ac:dyDescent="0.3">
      <c r="U801725" s="25"/>
    </row>
    <row r="801747" spans="21:21" x14ac:dyDescent="0.3">
      <c r="U801747" s="25"/>
    </row>
    <row r="801769" spans="21:21" x14ac:dyDescent="0.3">
      <c r="U801769" s="25"/>
    </row>
    <row r="801791" spans="21:21" x14ac:dyDescent="0.3">
      <c r="U801791" s="25"/>
    </row>
    <row r="801813" spans="21:21" x14ac:dyDescent="0.3">
      <c r="U801813" s="25"/>
    </row>
    <row r="801835" spans="21:21" x14ac:dyDescent="0.3">
      <c r="U801835" s="25"/>
    </row>
    <row r="801857" spans="21:21" x14ac:dyDescent="0.3">
      <c r="U801857" s="25"/>
    </row>
    <row r="801879" spans="21:21" x14ac:dyDescent="0.3">
      <c r="U801879" s="25"/>
    </row>
    <row r="801901" spans="21:21" x14ac:dyDescent="0.3">
      <c r="U801901" s="25"/>
    </row>
    <row r="801923" spans="21:21" x14ac:dyDescent="0.3">
      <c r="U801923" s="25"/>
    </row>
    <row r="801945" spans="21:21" x14ac:dyDescent="0.3">
      <c r="U801945" s="25"/>
    </row>
    <row r="801967" spans="21:21" x14ac:dyDescent="0.3">
      <c r="U801967" s="25"/>
    </row>
    <row r="801989" spans="21:21" x14ac:dyDescent="0.3">
      <c r="U801989" s="25"/>
    </row>
    <row r="802011" spans="21:21" x14ac:dyDescent="0.3">
      <c r="U802011" s="25"/>
    </row>
    <row r="802033" spans="21:21" x14ac:dyDescent="0.3">
      <c r="U802033" s="25"/>
    </row>
    <row r="802055" spans="21:21" x14ac:dyDescent="0.3">
      <c r="U802055" s="25"/>
    </row>
    <row r="802077" spans="21:21" x14ac:dyDescent="0.3">
      <c r="U802077" s="25"/>
    </row>
    <row r="802099" spans="21:21" x14ac:dyDescent="0.3">
      <c r="U802099" s="25"/>
    </row>
    <row r="802121" spans="21:21" x14ac:dyDescent="0.3">
      <c r="U802121" s="25"/>
    </row>
    <row r="802143" spans="21:21" x14ac:dyDescent="0.3">
      <c r="U802143" s="25"/>
    </row>
    <row r="802165" spans="21:21" x14ac:dyDescent="0.3">
      <c r="U802165" s="25"/>
    </row>
    <row r="802187" spans="21:21" x14ac:dyDescent="0.3">
      <c r="U802187" s="25"/>
    </row>
    <row r="802209" spans="21:21" x14ac:dyDescent="0.3">
      <c r="U802209" s="25"/>
    </row>
    <row r="802231" spans="21:21" x14ac:dyDescent="0.3">
      <c r="U802231" s="25"/>
    </row>
    <row r="802253" spans="21:21" x14ac:dyDescent="0.3">
      <c r="U802253" s="25"/>
    </row>
    <row r="802275" spans="21:21" x14ac:dyDescent="0.3">
      <c r="U802275" s="25"/>
    </row>
    <row r="802297" spans="21:21" x14ac:dyDescent="0.3">
      <c r="U802297" s="25"/>
    </row>
    <row r="802319" spans="21:21" x14ac:dyDescent="0.3">
      <c r="U802319" s="25"/>
    </row>
    <row r="802341" spans="21:21" x14ac:dyDescent="0.3">
      <c r="U802341" s="25"/>
    </row>
    <row r="802363" spans="21:21" x14ac:dyDescent="0.3">
      <c r="U802363" s="25"/>
    </row>
    <row r="802385" spans="21:21" x14ac:dyDescent="0.3">
      <c r="U802385" s="25"/>
    </row>
    <row r="802407" spans="21:21" x14ac:dyDescent="0.3">
      <c r="U802407" s="25"/>
    </row>
    <row r="802429" spans="21:21" x14ac:dyDescent="0.3">
      <c r="U802429" s="25"/>
    </row>
    <row r="802451" spans="21:21" x14ac:dyDescent="0.3">
      <c r="U802451" s="25"/>
    </row>
    <row r="802473" spans="21:21" x14ac:dyDescent="0.3">
      <c r="U802473" s="25"/>
    </row>
    <row r="802495" spans="21:21" x14ac:dyDescent="0.3">
      <c r="U802495" s="25"/>
    </row>
    <row r="802517" spans="21:21" x14ac:dyDescent="0.3">
      <c r="U802517" s="25"/>
    </row>
    <row r="802539" spans="21:21" x14ac:dyDescent="0.3">
      <c r="U802539" s="25"/>
    </row>
    <row r="802561" spans="21:21" x14ac:dyDescent="0.3">
      <c r="U802561" s="25"/>
    </row>
    <row r="802583" spans="21:21" x14ac:dyDescent="0.3">
      <c r="U802583" s="25"/>
    </row>
    <row r="802605" spans="21:21" x14ac:dyDescent="0.3">
      <c r="U802605" s="25"/>
    </row>
    <row r="802627" spans="21:21" x14ac:dyDescent="0.3">
      <c r="U802627" s="25"/>
    </row>
    <row r="802649" spans="21:21" x14ac:dyDescent="0.3">
      <c r="U802649" s="25"/>
    </row>
    <row r="802671" spans="21:21" x14ac:dyDescent="0.3">
      <c r="U802671" s="25"/>
    </row>
    <row r="802693" spans="21:21" x14ac:dyDescent="0.3">
      <c r="U802693" s="25"/>
    </row>
    <row r="802715" spans="21:21" x14ac:dyDescent="0.3">
      <c r="U802715" s="25"/>
    </row>
    <row r="802737" spans="21:21" x14ac:dyDescent="0.3">
      <c r="U802737" s="25"/>
    </row>
    <row r="802759" spans="21:21" x14ac:dyDescent="0.3">
      <c r="U802759" s="25"/>
    </row>
    <row r="802781" spans="21:21" x14ac:dyDescent="0.3">
      <c r="U802781" s="25"/>
    </row>
    <row r="802803" spans="21:21" x14ac:dyDescent="0.3">
      <c r="U802803" s="25"/>
    </row>
    <row r="802825" spans="21:21" x14ac:dyDescent="0.3">
      <c r="U802825" s="25"/>
    </row>
    <row r="802847" spans="21:21" x14ac:dyDescent="0.3">
      <c r="U802847" s="25"/>
    </row>
    <row r="802869" spans="21:21" x14ac:dyDescent="0.3">
      <c r="U802869" s="25"/>
    </row>
    <row r="802891" spans="21:21" x14ac:dyDescent="0.3">
      <c r="U802891" s="25"/>
    </row>
    <row r="802913" spans="21:21" x14ac:dyDescent="0.3">
      <c r="U802913" s="25"/>
    </row>
    <row r="802935" spans="21:21" x14ac:dyDescent="0.3">
      <c r="U802935" s="25"/>
    </row>
    <row r="802957" spans="21:21" x14ac:dyDescent="0.3">
      <c r="U802957" s="25"/>
    </row>
    <row r="802979" spans="21:21" x14ac:dyDescent="0.3">
      <c r="U802979" s="25"/>
    </row>
    <row r="803001" spans="21:21" x14ac:dyDescent="0.3">
      <c r="U803001" s="25"/>
    </row>
    <row r="803023" spans="21:21" x14ac:dyDescent="0.3">
      <c r="U803023" s="25"/>
    </row>
    <row r="803045" spans="21:21" x14ac:dyDescent="0.3">
      <c r="U803045" s="25"/>
    </row>
    <row r="803067" spans="21:21" x14ac:dyDescent="0.3">
      <c r="U803067" s="25"/>
    </row>
    <row r="803089" spans="21:21" x14ac:dyDescent="0.3">
      <c r="U803089" s="25"/>
    </row>
    <row r="803111" spans="21:21" x14ac:dyDescent="0.3">
      <c r="U803111" s="25"/>
    </row>
    <row r="803133" spans="21:21" x14ac:dyDescent="0.3">
      <c r="U803133" s="25"/>
    </row>
    <row r="803155" spans="21:21" x14ac:dyDescent="0.3">
      <c r="U803155" s="25"/>
    </row>
    <row r="803177" spans="21:21" x14ac:dyDescent="0.3">
      <c r="U803177" s="25"/>
    </row>
    <row r="803199" spans="21:21" x14ac:dyDescent="0.3">
      <c r="U803199" s="25"/>
    </row>
    <row r="803221" spans="21:21" x14ac:dyDescent="0.3">
      <c r="U803221" s="25"/>
    </row>
    <row r="803243" spans="21:21" x14ac:dyDescent="0.3">
      <c r="U803243" s="25"/>
    </row>
    <row r="803265" spans="21:21" x14ac:dyDescent="0.3">
      <c r="U803265" s="25"/>
    </row>
    <row r="803287" spans="21:21" x14ac:dyDescent="0.3">
      <c r="U803287" s="25"/>
    </row>
    <row r="803309" spans="21:21" x14ac:dyDescent="0.3">
      <c r="U803309" s="25"/>
    </row>
    <row r="803331" spans="21:21" x14ac:dyDescent="0.3">
      <c r="U803331" s="25"/>
    </row>
    <row r="803353" spans="21:21" x14ac:dyDescent="0.3">
      <c r="U803353" s="25"/>
    </row>
    <row r="803375" spans="21:21" x14ac:dyDescent="0.3">
      <c r="U803375" s="25"/>
    </row>
    <row r="803397" spans="21:21" x14ac:dyDescent="0.3">
      <c r="U803397" s="25"/>
    </row>
    <row r="803419" spans="21:21" x14ac:dyDescent="0.3">
      <c r="U803419" s="25"/>
    </row>
    <row r="803441" spans="21:21" x14ac:dyDescent="0.3">
      <c r="U803441" s="25"/>
    </row>
    <row r="803463" spans="21:21" x14ac:dyDescent="0.3">
      <c r="U803463" s="25"/>
    </row>
    <row r="803485" spans="21:21" x14ac:dyDescent="0.3">
      <c r="U803485" s="25"/>
    </row>
    <row r="803507" spans="21:21" x14ac:dyDescent="0.3">
      <c r="U803507" s="25"/>
    </row>
    <row r="803529" spans="21:21" x14ac:dyDescent="0.3">
      <c r="U803529" s="25"/>
    </row>
    <row r="803551" spans="21:21" x14ac:dyDescent="0.3">
      <c r="U803551" s="25"/>
    </row>
    <row r="803573" spans="21:21" x14ac:dyDescent="0.3">
      <c r="U803573" s="25"/>
    </row>
    <row r="803595" spans="21:21" x14ac:dyDescent="0.3">
      <c r="U803595" s="25"/>
    </row>
    <row r="803617" spans="21:21" x14ac:dyDescent="0.3">
      <c r="U803617" s="25"/>
    </row>
    <row r="803639" spans="21:21" x14ac:dyDescent="0.3">
      <c r="U803639" s="25"/>
    </row>
    <row r="803661" spans="21:21" x14ac:dyDescent="0.3">
      <c r="U803661" s="25"/>
    </row>
    <row r="803683" spans="21:21" x14ac:dyDescent="0.3">
      <c r="U803683" s="25"/>
    </row>
    <row r="803705" spans="21:21" x14ac:dyDescent="0.3">
      <c r="U803705" s="25"/>
    </row>
    <row r="803727" spans="21:21" x14ac:dyDescent="0.3">
      <c r="U803727" s="25"/>
    </row>
    <row r="803749" spans="21:21" x14ac:dyDescent="0.3">
      <c r="U803749" s="25"/>
    </row>
    <row r="803771" spans="21:21" x14ac:dyDescent="0.3">
      <c r="U803771" s="25"/>
    </row>
    <row r="803793" spans="21:21" x14ac:dyDescent="0.3">
      <c r="U803793" s="25"/>
    </row>
    <row r="803815" spans="21:21" x14ac:dyDescent="0.3">
      <c r="U803815" s="25"/>
    </row>
    <row r="803837" spans="21:21" x14ac:dyDescent="0.3">
      <c r="U803837" s="25"/>
    </row>
    <row r="803859" spans="21:21" x14ac:dyDescent="0.3">
      <c r="U803859" s="25"/>
    </row>
    <row r="803881" spans="21:21" x14ac:dyDescent="0.3">
      <c r="U803881" s="25"/>
    </row>
    <row r="803903" spans="21:21" x14ac:dyDescent="0.3">
      <c r="U803903" s="25"/>
    </row>
    <row r="803925" spans="21:21" x14ac:dyDescent="0.3">
      <c r="U803925" s="25"/>
    </row>
    <row r="803947" spans="21:21" x14ac:dyDescent="0.3">
      <c r="U803947" s="25"/>
    </row>
    <row r="803969" spans="21:21" x14ac:dyDescent="0.3">
      <c r="U803969" s="25"/>
    </row>
    <row r="803991" spans="21:21" x14ac:dyDescent="0.3">
      <c r="U803991" s="25"/>
    </row>
    <row r="804013" spans="21:21" x14ac:dyDescent="0.3">
      <c r="U804013" s="25"/>
    </row>
    <row r="804035" spans="21:21" x14ac:dyDescent="0.3">
      <c r="U804035" s="25"/>
    </row>
    <row r="804057" spans="21:21" x14ac:dyDescent="0.3">
      <c r="U804057" s="25"/>
    </row>
    <row r="804079" spans="21:21" x14ac:dyDescent="0.3">
      <c r="U804079" s="25"/>
    </row>
    <row r="804101" spans="21:21" x14ac:dyDescent="0.3">
      <c r="U804101" s="25"/>
    </row>
    <row r="804123" spans="21:21" x14ac:dyDescent="0.3">
      <c r="U804123" s="25"/>
    </row>
    <row r="804145" spans="21:21" x14ac:dyDescent="0.3">
      <c r="U804145" s="25"/>
    </row>
    <row r="804167" spans="21:21" x14ac:dyDescent="0.3">
      <c r="U804167" s="25"/>
    </row>
    <row r="804189" spans="21:21" x14ac:dyDescent="0.3">
      <c r="U804189" s="25"/>
    </row>
    <row r="804211" spans="21:21" x14ac:dyDescent="0.3">
      <c r="U804211" s="25"/>
    </row>
    <row r="804233" spans="21:21" x14ac:dyDescent="0.3">
      <c r="U804233" s="25"/>
    </row>
    <row r="804255" spans="21:21" x14ac:dyDescent="0.3">
      <c r="U804255" s="25"/>
    </row>
    <row r="804277" spans="21:21" x14ac:dyDescent="0.3">
      <c r="U804277" s="25"/>
    </row>
    <row r="804299" spans="21:21" x14ac:dyDescent="0.3">
      <c r="U804299" s="25"/>
    </row>
    <row r="804321" spans="21:21" x14ac:dyDescent="0.3">
      <c r="U804321" s="25"/>
    </row>
    <row r="804343" spans="21:21" x14ac:dyDescent="0.3">
      <c r="U804343" s="25"/>
    </row>
    <row r="804365" spans="21:21" x14ac:dyDescent="0.3">
      <c r="U804365" s="25"/>
    </row>
    <row r="804387" spans="21:21" x14ac:dyDescent="0.3">
      <c r="U804387" s="25"/>
    </row>
    <row r="804409" spans="21:21" x14ac:dyDescent="0.3">
      <c r="U804409" s="25"/>
    </row>
    <row r="804431" spans="21:21" x14ac:dyDescent="0.3">
      <c r="U804431" s="25"/>
    </row>
    <row r="804453" spans="21:21" x14ac:dyDescent="0.3">
      <c r="U804453" s="25"/>
    </row>
    <row r="804475" spans="21:21" x14ac:dyDescent="0.3">
      <c r="U804475" s="25"/>
    </row>
    <row r="804497" spans="21:21" x14ac:dyDescent="0.3">
      <c r="U804497" s="25"/>
    </row>
    <row r="804519" spans="21:21" x14ac:dyDescent="0.3">
      <c r="U804519" s="25"/>
    </row>
    <row r="804541" spans="21:21" x14ac:dyDescent="0.3">
      <c r="U804541" s="25"/>
    </row>
    <row r="804563" spans="21:21" x14ac:dyDescent="0.3">
      <c r="U804563" s="25"/>
    </row>
    <row r="804585" spans="21:21" x14ac:dyDescent="0.3">
      <c r="U804585" s="25"/>
    </row>
    <row r="804607" spans="21:21" x14ac:dyDescent="0.3">
      <c r="U804607" s="25"/>
    </row>
    <row r="804629" spans="21:21" x14ac:dyDescent="0.3">
      <c r="U804629" s="25"/>
    </row>
    <row r="804651" spans="21:21" x14ac:dyDescent="0.3">
      <c r="U804651" s="25"/>
    </row>
    <row r="804673" spans="21:21" x14ac:dyDescent="0.3">
      <c r="U804673" s="25"/>
    </row>
    <row r="804695" spans="21:21" x14ac:dyDescent="0.3">
      <c r="U804695" s="25"/>
    </row>
    <row r="804717" spans="21:21" x14ac:dyDescent="0.3">
      <c r="U804717" s="25"/>
    </row>
    <row r="804739" spans="21:21" x14ac:dyDescent="0.3">
      <c r="U804739" s="25"/>
    </row>
    <row r="804761" spans="21:21" x14ac:dyDescent="0.3">
      <c r="U804761" s="25"/>
    </row>
    <row r="804783" spans="21:21" x14ac:dyDescent="0.3">
      <c r="U804783" s="25"/>
    </row>
    <row r="804805" spans="21:21" x14ac:dyDescent="0.3">
      <c r="U804805" s="25"/>
    </row>
    <row r="804827" spans="21:21" x14ac:dyDescent="0.3">
      <c r="U804827" s="25"/>
    </row>
    <row r="804849" spans="21:21" x14ac:dyDescent="0.3">
      <c r="U804849" s="25"/>
    </row>
    <row r="804871" spans="21:21" x14ac:dyDescent="0.3">
      <c r="U804871" s="25"/>
    </row>
    <row r="804893" spans="21:21" x14ac:dyDescent="0.3">
      <c r="U804893" s="25"/>
    </row>
    <row r="804915" spans="21:21" x14ac:dyDescent="0.3">
      <c r="U804915" s="25"/>
    </row>
    <row r="804937" spans="21:21" x14ac:dyDescent="0.3">
      <c r="U804937" s="25"/>
    </row>
    <row r="804959" spans="21:21" x14ac:dyDescent="0.3">
      <c r="U804959" s="25"/>
    </row>
    <row r="804981" spans="21:21" x14ac:dyDescent="0.3">
      <c r="U804981" s="25"/>
    </row>
    <row r="805003" spans="21:21" x14ac:dyDescent="0.3">
      <c r="U805003" s="25"/>
    </row>
    <row r="805025" spans="21:21" x14ac:dyDescent="0.3">
      <c r="U805025" s="25"/>
    </row>
    <row r="805047" spans="21:21" x14ac:dyDescent="0.3">
      <c r="U805047" s="25"/>
    </row>
    <row r="805069" spans="21:21" x14ac:dyDescent="0.3">
      <c r="U805069" s="25"/>
    </row>
    <row r="805091" spans="21:21" x14ac:dyDescent="0.3">
      <c r="U805091" s="25"/>
    </row>
    <row r="805113" spans="21:21" x14ac:dyDescent="0.3">
      <c r="U805113" s="25"/>
    </row>
    <row r="805135" spans="21:21" x14ac:dyDescent="0.3">
      <c r="U805135" s="25"/>
    </row>
    <row r="805157" spans="21:21" x14ac:dyDescent="0.3">
      <c r="U805157" s="25"/>
    </row>
    <row r="805179" spans="21:21" x14ac:dyDescent="0.3">
      <c r="U805179" s="25"/>
    </row>
    <row r="805201" spans="21:21" x14ac:dyDescent="0.3">
      <c r="U805201" s="25"/>
    </row>
    <row r="805223" spans="21:21" x14ac:dyDescent="0.3">
      <c r="U805223" s="25"/>
    </row>
    <row r="805245" spans="21:21" x14ac:dyDescent="0.3">
      <c r="U805245" s="25"/>
    </row>
    <row r="805267" spans="21:21" x14ac:dyDescent="0.3">
      <c r="U805267" s="25"/>
    </row>
    <row r="805289" spans="21:21" x14ac:dyDescent="0.3">
      <c r="U805289" s="25"/>
    </row>
    <row r="805311" spans="21:21" x14ac:dyDescent="0.3">
      <c r="U805311" s="25"/>
    </row>
    <row r="805333" spans="21:21" x14ac:dyDescent="0.3">
      <c r="U805333" s="25"/>
    </row>
    <row r="805355" spans="21:21" x14ac:dyDescent="0.3">
      <c r="U805355" s="25"/>
    </row>
    <row r="805377" spans="21:21" x14ac:dyDescent="0.3">
      <c r="U805377" s="25"/>
    </row>
    <row r="805399" spans="21:21" x14ac:dyDescent="0.3">
      <c r="U805399" s="25"/>
    </row>
    <row r="805421" spans="21:21" x14ac:dyDescent="0.3">
      <c r="U805421" s="25"/>
    </row>
    <row r="805443" spans="21:21" x14ac:dyDescent="0.3">
      <c r="U805443" s="25"/>
    </row>
    <row r="805465" spans="21:21" x14ac:dyDescent="0.3">
      <c r="U805465" s="25"/>
    </row>
    <row r="805487" spans="21:21" x14ac:dyDescent="0.3">
      <c r="U805487" s="25"/>
    </row>
    <row r="805509" spans="21:21" x14ac:dyDescent="0.3">
      <c r="U805509" s="25"/>
    </row>
    <row r="805531" spans="21:21" x14ac:dyDescent="0.3">
      <c r="U805531" s="25"/>
    </row>
    <row r="805553" spans="21:21" x14ac:dyDescent="0.3">
      <c r="U805553" s="25"/>
    </row>
    <row r="805575" spans="21:21" x14ac:dyDescent="0.3">
      <c r="U805575" s="25"/>
    </row>
    <row r="805597" spans="21:21" x14ac:dyDescent="0.3">
      <c r="U805597" s="25"/>
    </row>
    <row r="805619" spans="21:21" x14ac:dyDescent="0.3">
      <c r="U805619" s="25"/>
    </row>
    <row r="805641" spans="21:21" x14ac:dyDescent="0.3">
      <c r="U805641" s="25"/>
    </row>
    <row r="805663" spans="21:21" x14ac:dyDescent="0.3">
      <c r="U805663" s="25"/>
    </row>
    <row r="805685" spans="21:21" x14ac:dyDescent="0.3">
      <c r="U805685" s="25"/>
    </row>
    <row r="805707" spans="21:21" x14ac:dyDescent="0.3">
      <c r="U805707" s="25"/>
    </row>
    <row r="805729" spans="21:21" x14ac:dyDescent="0.3">
      <c r="U805729" s="25"/>
    </row>
    <row r="805751" spans="21:21" x14ac:dyDescent="0.3">
      <c r="U805751" s="25"/>
    </row>
    <row r="805773" spans="21:21" x14ac:dyDescent="0.3">
      <c r="U805773" s="25"/>
    </row>
    <row r="805795" spans="21:21" x14ac:dyDescent="0.3">
      <c r="U805795" s="25"/>
    </row>
    <row r="805817" spans="21:21" x14ac:dyDescent="0.3">
      <c r="U805817" s="25"/>
    </row>
    <row r="805839" spans="21:21" x14ac:dyDescent="0.3">
      <c r="U805839" s="25"/>
    </row>
    <row r="805861" spans="21:21" x14ac:dyDescent="0.3">
      <c r="U805861" s="25"/>
    </row>
    <row r="805883" spans="21:21" x14ac:dyDescent="0.3">
      <c r="U805883" s="25"/>
    </row>
    <row r="805905" spans="21:21" x14ac:dyDescent="0.3">
      <c r="U805905" s="25"/>
    </row>
    <row r="805927" spans="21:21" x14ac:dyDescent="0.3">
      <c r="U805927" s="25"/>
    </row>
    <row r="805949" spans="21:21" x14ac:dyDescent="0.3">
      <c r="U805949" s="25"/>
    </row>
    <row r="805971" spans="21:21" x14ac:dyDescent="0.3">
      <c r="U805971" s="25"/>
    </row>
    <row r="805993" spans="21:21" x14ac:dyDescent="0.3">
      <c r="U805993" s="25"/>
    </row>
    <row r="806015" spans="21:21" x14ac:dyDescent="0.3">
      <c r="U806015" s="25"/>
    </row>
    <row r="806037" spans="21:21" x14ac:dyDescent="0.3">
      <c r="U806037" s="25"/>
    </row>
    <row r="806059" spans="21:21" x14ac:dyDescent="0.3">
      <c r="U806059" s="25"/>
    </row>
    <row r="806081" spans="21:21" x14ac:dyDescent="0.3">
      <c r="U806081" s="25"/>
    </row>
    <row r="806103" spans="21:21" x14ac:dyDescent="0.3">
      <c r="U806103" s="25"/>
    </row>
    <row r="806125" spans="21:21" x14ac:dyDescent="0.3">
      <c r="U806125" s="25"/>
    </row>
    <row r="806147" spans="21:21" x14ac:dyDescent="0.3">
      <c r="U806147" s="25"/>
    </row>
    <row r="806169" spans="21:21" x14ac:dyDescent="0.3">
      <c r="U806169" s="25"/>
    </row>
    <row r="806191" spans="21:21" x14ac:dyDescent="0.3">
      <c r="U806191" s="25"/>
    </row>
    <row r="806213" spans="21:21" x14ac:dyDescent="0.3">
      <c r="U806213" s="25"/>
    </row>
    <row r="806235" spans="21:21" x14ac:dyDescent="0.3">
      <c r="U806235" s="25"/>
    </row>
    <row r="806257" spans="21:21" x14ac:dyDescent="0.3">
      <c r="U806257" s="25"/>
    </row>
    <row r="806279" spans="21:21" x14ac:dyDescent="0.3">
      <c r="U806279" s="25"/>
    </row>
    <row r="806301" spans="21:21" x14ac:dyDescent="0.3">
      <c r="U806301" s="25"/>
    </row>
    <row r="806323" spans="21:21" x14ac:dyDescent="0.3">
      <c r="U806323" s="25"/>
    </row>
    <row r="806345" spans="21:21" x14ac:dyDescent="0.3">
      <c r="U806345" s="25"/>
    </row>
    <row r="806367" spans="21:21" x14ac:dyDescent="0.3">
      <c r="U806367" s="25"/>
    </row>
    <row r="806389" spans="21:21" x14ac:dyDescent="0.3">
      <c r="U806389" s="25"/>
    </row>
    <row r="806411" spans="21:21" x14ac:dyDescent="0.3">
      <c r="U806411" s="25"/>
    </row>
    <row r="806433" spans="21:21" x14ac:dyDescent="0.3">
      <c r="U806433" s="25"/>
    </row>
    <row r="806455" spans="21:21" x14ac:dyDescent="0.3">
      <c r="U806455" s="25"/>
    </row>
    <row r="806477" spans="21:21" x14ac:dyDescent="0.3">
      <c r="U806477" s="25"/>
    </row>
    <row r="806499" spans="21:21" x14ac:dyDescent="0.3">
      <c r="U806499" s="25"/>
    </row>
    <row r="806521" spans="21:21" x14ac:dyDescent="0.3">
      <c r="U806521" s="25"/>
    </row>
    <row r="806543" spans="21:21" x14ac:dyDescent="0.3">
      <c r="U806543" s="25"/>
    </row>
    <row r="806565" spans="21:21" x14ac:dyDescent="0.3">
      <c r="U806565" s="25"/>
    </row>
    <row r="806587" spans="21:21" x14ac:dyDescent="0.3">
      <c r="U806587" s="25"/>
    </row>
    <row r="806609" spans="21:21" x14ac:dyDescent="0.3">
      <c r="U806609" s="25"/>
    </row>
    <row r="806631" spans="21:21" x14ac:dyDescent="0.3">
      <c r="U806631" s="25"/>
    </row>
    <row r="806653" spans="21:21" x14ac:dyDescent="0.3">
      <c r="U806653" s="25"/>
    </row>
    <row r="806675" spans="21:21" x14ac:dyDescent="0.3">
      <c r="U806675" s="25"/>
    </row>
    <row r="806697" spans="21:21" x14ac:dyDescent="0.3">
      <c r="U806697" s="25"/>
    </row>
    <row r="806719" spans="21:21" x14ac:dyDescent="0.3">
      <c r="U806719" s="25"/>
    </row>
    <row r="806741" spans="21:21" x14ac:dyDescent="0.3">
      <c r="U806741" s="25"/>
    </row>
    <row r="806763" spans="21:21" x14ac:dyDescent="0.3">
      <c r="U806763" s="25"/>
    </row>
    <row r="806785" spans="21:21" x14ac:dyDescent="0.3">
      <c r="U806785" s="25"/>
    </row>
    <row r="806807" spans="21:21" x14ac:dyDescent="0.3">
      <c r="U806807" s="25"/>
    </row>
    <row r="806829" spans="21:21" x14ac:dyDescent="0.3">
      <c r="U806829" s="25"/>
    </row>
    <row r="806851" spans="21:21" x14ac:dyDescent="0.3">
      <c r="U806851" s="25"/>
    </row>
    <row r="806873" spans="21:21" x14ac:dyDescent="0.3">
      <c r="U806873" s="25"/>
    </row>
    <row r="806895" spans="21:21" x14ac:dyDescent="0.3">
      <c r="U806895" s="25"/>
    </row>
    <row r="806917" spans="21:21" x14ac:dyDescent="0.3">
      <c r="U806917" s="25"/>
    </row>
    <row r="806939" spans="21:21" x14ac:dyDescent="0.3">
      <c r="U806939" s="25"/>
    </row>
    <row r="806961" spans="21:21" x14ac:dyDescent="0.3">
      <c r="U806961" s="25"/>
    </row>
    <row r="806983" spans="21:21" x14ac:dyDescent="0.3">
      <c r="U806983" s="25"/>
    </row>
    <row r="807005" spans="21:21" x14ac:dyDescent="0.3">
      <c r="U807005" s="25"/>
    </row>
    <row r="807027" spans="21:21" x14ac:dyDescent="0.3">
      <c r="U807027" s="25"/>
    </row>
    <row r="807049" spans="21:21" x14ac:dyDescent="0.3">
      <c r="U807049" s="25"/>
    </row>
    <row r="807071" spans="21:21" x14ac:dyDescent="0.3">
      <c r="U807071" s="25"/>
    </row>
    <row r="807093" spans="21:21" x14ac:dyDescent="0.3">
      <c r="U807093" s="25"/>
    </row>
    <row r="807115" spans="21:21" x14ac:dyDescent="0.3">
      <c r="U807115" s="25"/>
    </row>
    <row r="807137" spans="21:21" x14ac:dyDescent="0.3">
      <c r="U807137" s="25"/>
    </row>
    <row r="807159" spans="21:21" x14ac:dyDescent="0.3">
      <c r="U807159" s="25"/>
    </row>
    <row r="807181" spans="21:21" x14ac:dyDescent="0.3">
      <c r="U807181" s="25"/>
    </row>
    <row r="807203" spans="21:21" x14ac:dyDescent="0.3">
      <c r="U807203" s="25"/>
    </row>
    <row r="807225" spans="21:21" x14ac:dyDescent="0.3">
      <c r="U807225" s="25"/>
    </row>
    <row r="807247" spans="21:21" x14ac:dyDescent="0.3">
      <c r="U807247" s="25"/>
    </row>
    <row r="807269" spans="21:21" x14ac:dyDescent="0.3">
      <c r="U807269" s="25"/>
    </row>
    <row r="807291" spans="21:21" x14ac:dyDescent="0.3">
      <c r="U807291" s="25"/>
    </row>
    <row r="807313" spans="21:21" x14ac:dyDescent="0.3">
      <c r="U807313" s="25"/>
    </row>
    <row r="807335" spans="21:21" x14ac:dyDescent="0.3">
      <c r="U807335" s="25"/>
    </row>
    <row r="807357" spans="21:21" x14ac:dyDescent="0.3">
      <c r="U807357" s="25"/>
    </row>
    <row r="807379" spans="21:21" x14ac:dyDescent="0.3">
      <c r="U807379" s="25"/>
    </row>
    <row r="807401" spans="21:21" x14ac:dyDescent="0.3">
      <c r="U807401" s="25"/>
    </row>
    <row r="807423" spans="21:21" x14ac:dyDescent="0.3">
      <c r="U807423" s="25"/>
    </row>
    <row r="807445" spans="21:21" x14ac:dyDescent="0.3">
      <c r="U807445" s="25"/>
    </row>
    <row r="807467" spans="21:21" x14ac:dyDescent="0.3">
      <c r="U807467" s="25"/>
    </row>
    <row r="807489" spans="21:21" x14ac:dyDescent="0.3">
      <c r="U807489" s="25"/>
    </row>
    <row r="807511" spans="21:21" x14ac:dyDescent="0.3">
      <c r="U807511" s="25"/>
    </row>
    <row r="807533" spans="21:21" x14ac:dyDescent="0.3">
      <c r="U807533" s="25"/>
    </row>
    <row r="807555" spans="21:21" x14ac:dyDescent="0.3">
      <c r="U807555" s="25"/>
    </row>
    <row r="807577" spans="21:21" x14ac:dyDescent="0.3">
      <c r="U807577" s="25"/>
    </row>
    <row r="807599" spans="21:21" x14ac:dyDescent="0.3">
      <c r="U807599" s="25"/>
    </row>
    <row r="807621" spans="21:21" x14ac:dyDescent="0.3">
      <c r="U807621" s="25"/>
    </row>
    <row r="807643" spans="21:21" x14ac:dyDescent="0.3">
      <c r="U807643" s="25"/>
    </row>
    <row r="807665" spans="21:21" x14ac:dyDescent="0.3">
      <c r="U807665" s="25"/>
    </row>
    <row r="807687" spans="21:21" x14ac:dyDescent="0.3">
      <c r="U807687" s="25"/>
    </row>
    <row r="807709" spans="21:21" x14ac:dyDescent="0.3">
      <c r="U807709" s="25"/>
    </row>
    <row r="807731" spans="21:21" x14ac:dyDescent="0.3">
      <c r="U807731" s="25"/>
    </row>
    <row r="807753" spans="21:21" x14ac:dyDescent="0.3">
      <c r="U807753" s="25"/>
    </row>
    <row r="807775" spans="21:21" x14ac:dyDescent="0.3">
      <c r="U807775" s="25"/>
    </row>
    <row r="807797" spans="21:21" x14ac:dyDescent="0.3">
      <c r="U807797" s="25"/>
    </row>
    <row r="807819" spans="21:21" x14ac:dyDescent="0.3">
      <c r="U807819" s="25"/>
    </row>
    <row r="807841" spans="21:21" x14ac:dyDescent="0.3">
      <c r="U807841" s="25"/>
    </row>
    <row r="807863" spans="21:21" x14ac:dyDescent="0.3">
      <c r="U807863" s="25"/>
    </row>
    <row r="807885" spans="21:21" x14ac:dyDescent="0.3">
      <c r="U807885" s="25"/>
    </row>
    <row r="807907" spans="21:21" x14ac:dyDescent="0.3">
      <c r="U807907" s="25"/>
    </row>
    <row r="807929" spans="21:21" x14ac:dyDescent="0.3">
      <c r="U807929" s="25"/>
    </row>
    <row r="807951" spans="21:21" x14ac:dyDescent="0.3">
      <c r="U807951" s="25"/>
    </row>
    <row r="807973" spans="21:21" x14ac:dyDescent="0.3">
      <c r="U807973" s="25"/>
    </row>
    <row r="807995" spans="21:21" x14ac:dyDescent="0.3">
      <c r="U807995" s="25"/>
    </row>
    <row r="808017" spans="21:21" x14ac:dyDescent="0.3">
      <c r="U808017" s="25"/>
    </row>
    <row r="808039" spans="21:21" x14ac:dyDescent="0.3">
      <c r="U808039" s="25"/>
    </row>
    <row r="808061" spans="21:21" x14ac:dyDescent="0.3">
      <c r="U808061" s="25"/>
    </row>
    <row r="808083" spans="21:21" x14ac:dyDescent="0.3">
      <c r="U808083" s="25"/>
    </row>
    <row r="808105" spans="21:21" x14ac:dyDescent="0.3">
      <c r="U808105" s="25"/>
    </row>
    <row r="808127" spans="21:21" x14ac:dyDescent="0.3">
      <c r="U808127" s="25"/>
    </row>
    <row r="808149" spans="21:21" x14ac:dyDescent="0.3">
      <c r="U808149" s="25"/>
    </row>
    <row r="808171" spans="21:21" x14ac:dyDescent="0.3">
      <c r="U808171" s="25"/>
    </row>
    <row r="808193" spans="21:21" x14ac:dyDescent="0.3">
      <c r="U808193" s="25"/>
    </row>
    <row r="808215" spans="21:21" x14ac:dyDescent="0.3">
      <c r="U808215" s="25"/>
    </row>
    <row r="808237" spans="21:21" x14ac:dyDescent="0.3">
      <c r="U808237" s="25"/>
    </row>
    <row r="808259" spans="21:21" x14ac:dyDescent="0.3">
      <c r="U808259" s="25"/>
    </row>
    <row r="808281" spans="21:21" x14ac:dyDescent="0.3">
      <c r="U808281" s="25"/>
    </row>
    <row r="808303" spans="21:21" x14ac:dyDescent="0.3">
      <c r="U808303" s="25"/>
    </row>
    <row r="808325" spans="21:21" x14ac:dyDescent="0.3">
      <c r="U808325" s="25"/>
    </row>
    <row r="808347" spans="21:21" x14ac:dyDescent="0.3">
      <c r="U808347" s="25"/>
    </row>
    <row r="808369" spans="21:21" x14ac:dyDescent="0.3">
      <c r="U808369" s="25"/>
    </row>
    <row r="808391" spans="21:21" x14ac:dyDescent="0.3">
      <c r="U808391" s="25"/>
    </row>
    <row r="808413" spans="21:21" x14ac:dyDescent="0.3">
      <c r="U808413" s="25"/>
    </row>
    <row r="808435" spans="21:21" x14ac:dyDescent="0.3">
      <c r="U808435" s="25"/>
    </row>
    <row r="808457" spans="21:21" x14ac:dyDescent="0.3">
      <c r="U808457" s="25"/>
    </row>
    <row r="808479" spans="21:21" x14ac:dyDescent="0.3">
      <c r="U808479" s="25"/>
    </row>
    <row r="808501" spans="21:21" x14ac:dyDescent="0.3">
      <c r="U808501" s="25"/>
    </row>
    <row r="808523" spans="21:21" x14ac:dyDescent="0.3">
      <c r="U808523" s="25"/>
    </row>
    <row r="808545" spans="21:21" x14ac:dyDescent="0.3">
      <c r="U808545" s="25"/>
    </row>
    <row r="808567" spans="21:21" x14ac:dyDescent="0.3">
      <c r="U808567" s="25"/>
    </row>
    <row r="808589" spans="21:21" x14ac:dyDescent="0.3">
      <c r="U808589" s="25"/>
    </row>
    <row r="808611" spans="21:21" x14ac:dyDescent="0.3">
      <c r="U808611" s="25"/>
    </row>
    <row r="808633" spans="21:21" x14ac:dyDescent="0.3">
      <c r="U808633" s="25"/>
    </row>
    <row r="808655" spans="21:21" x14ac:dyDescent="0.3">
      <c r="U808655" s="25"/>
    </row>
    <row r="808677" spans="21:21" x14ac:dyDescent="0.3">
      <c r="U808677" s="25"/>
    </row>
    <row r="808699" spans="21:21" x14ac:dyDescent="0.3">
      <c r="U808699" s="25"/>
    </row>
    <row r="808721" spans="21:21" x14ac:dyDescent="0.3">
      <c r="U808721" s="25"/>
    </row>
    <row r="808743" spans="21:21" x14ac:dyDescent="0.3">
      <c r="U808743" s="25"/>
    </row>
    <row r="808765" spans="21:21" x14ac:dyDescent="0.3">
      <c r="U808765" s="25"/>
    </row>
    <row r="808787" spans="21:21" x14ac:dyDescent="0.3">
      <c r="U808787" s="25"/>
    </row>
    <row r="808809" spans="21:21" x14ac:dyDescent="0.3">
      <c r="U808809" s="25"/>
    </row>
    <row r="808831" spans="21:21" x14ac:dyDescent="0.3">
      <c r="U808831" s="25"/>
    </row>
    <row r="808853" spans="21:21" x14ac:dyDescent="0.3">
      <c r="U808853" s="25"/>
    </row>
    <row r="808875" spans="21:21" x14ac:dyDescent="0.3">
      <c r="U808875" s="25"/>
    </row>
    <row r="808897" spans="21:21" x14ac:dyDescent="0.3">
      <c r="U808897" s="25"/>
    </row>
    <row r="808919" spans="21:21" x14ac:dyDescent="0.3">
      <c r="U808919" s="25"/>
    </row>
    <row r="808941" spans="21:21" x14ac:dyDescent="0.3">
      <c r="U808941" s="25"/>
    </row>
    <row r="808963" spans="21:21" x14ac:dyDescent="0.3">
      <c r="U808963" s="25"/>
    </row>
    <row r="808985" spans="21:21" x14ac:dyDescent="0.3">
      <c r="U808985" s="25"/>
    </row>
    <row r="809007" spans="21:21" x14ac:dyDescent="0.3">
      <c r="U809007" s="25"/>
    </row>
    <row r="809029" spans="21:21" x14ac:dyDescent="0.3">
      <c r="U809029" s="25"/>
    </row>
    <row r="809051" spans="21:21" x14ac:dyDescent="0.3">
      <c r="U809051" s="25"/>
    </row>
    <row r="809073" spans="21:21" x14ac:dyDescent="0.3">
      <c r="U809073" s="25"/>
    </row>
    <row r="809095" spans="21:21" x14ac:dyDescent="0.3">
      <c r="U809095" s="25"/>
    </row>
    <row r="809117" spans="21:21" x14ac:dyDescent="0.3">
      <c r="U809117" s="25"/>
    </row>
    <row r="809139" spans="21:21" x14ac:dyDescent="0.3">
      <c r="U809139" s="25"/>
    </row>
    <row r="809161" spans="21:21" x14ac:dyDescent="0.3">
      <c r="U809161" s="25"/>
    </row>
    <row r="809183" spans="21:21" x14ac:dyDescent="0.3">
      <c r="U809183" s="25"/>
    </row>
    <row r="809205" spans="21:21" x14ac:dyDescent="0.3">
      <c r="U809205" s="25"/>
    </row>
    <row r="809227" spans="21:21" x14ac:dyDescent="0.3">
      <c r="U809227" s="25"/>
    </row>
    <row r="809249" spans="21:21" x14ac:dyDescent="0.3">
      <c r="U809249" s="25"/>
    </row>
    <row r="809271" spans="21:21" x14ac:dyDescent="0.3">
      <c r="U809271" s="25"/>
    </row>
    <row r="809293" spans="21:21" x14ac:dyDescent="0.3">
      <c r="U809293" s="25"/>
    </row>
    <row r="809315" spans="21:21" x14ac:dyDescent="0.3">
      <c r="U809315" s="25"/>
    </row>
    <row r="809337" spans="21:21" x14ac:dyDescent="0.3">
      <c r="U809337" s="25"/>
    </row>
    <row r="809359" spans="21:21" x14ac:dyDescent="0.3">
      <c r="U809359" s="25"/>
    </row>
    <row r="809381" spans="21:21" x14ac:dyDescent="0.3">
      <c r="U809381" s="25"/>
    </row>
    <row r="809403" spans="21:21" x14ac:dyDescent="0.3">
      <c r="U809403" s="25"/>
    </row>
    <row r="809425" spans="21:21" x14ac:dyDescent="0.3">
      <c r="U809425" s="25"/>
    </row>
    <row r="809447" spans="21:21" x14ac:dyDescent="0.3">
      <c r="U809447" s="25"/>
    </row>
    <row r="809469" spans="21:21" x14ac:dyDescent="0.3">
      <c r="U809469" s="25"/>
    </row>
    <row r="809491" spans="21:21" x14ac:dyDescent="0.3">
      <c r="U809491" s="25"/>
    </row>
    <row r="809513" spans="21:21" x14ac:dyDescent="0.3">
      <c r="U809513" s="25"/>
    </row>
    <row r="809535" spans="21:21" x14ac:dyDescent="0.3">
      <c r="U809535" s="25"/>
    </row>
    <row r="809557" spans="21:21" x14ac:dyDescent="0.3">
      <c r="U809557" s="25"/>
    </row>
    <row r="809579" spans="21:21" x14ac:dyDescent="0.3">
      <c r="U809579" s="25"/>
    </row>
    <row r="809601" spans="21:21" x14ac:dyDescent="0.3">
      <c r="U809601" s="25"/>
    </row>
    <row r="809623" spans="21:21" x14ac:dyDescent="0.3">
      <c r="U809623" s="25"/>
    </row>
    <row r="809645" spans="21:21" x14ac:dyDescent="0.3">
      <c r="U809645" s="25"/>
    </row>
    <row r="809667" spans="21:21" x14ac:dyDescent="0.3">
      <c r="U809667" s="25"/>
    </row>
    <row r="809689" spans="21:21" x14ac:dyDescent="0.3">
      <c r="U809689" s="25"/>
    </row>
    <row r="809711" spans="21:21" x14ac:dyDescent="0.3">
      <c r="U809711" s="25"/>
    </row>
    <row r="809733" spans="21:21" x14ac:dyDescent="0.3">
      <c r="U809733" s="25"/>
    </row>
    <row r="809755" spans="21:21" x14ac:dyDescent="0.3">
      <c r="U809755" s="25"/>
    </row>
    <row r="809777" spans="21:21" x14ac:dyDescent="0.3">
      <c r="U809777" s="25"/>
    </row>
    <row r="809799" spans="21:21" x14ac:dyDescent="0.3">
      <c r="U809799" s="25"/>
    </row>
    <row r="809821" spans="21:21" x14ac:dyDescent="0.3">
      <c r="U809821" s="25"/>
    </row>
    <row r="809843" spans="21:21" x14ac:dyDescent="0.3">
      <c r="U809843" s="25"/>
    </row>
    <row r="809865" spans="21:21" x14ac:dyDescent="0.3">
      <c r="U809865" s="25"/>
    </row>
    <row r="809887" spans="21:21" x14ac:dyDescent="0.3">
      <c r="U809887" s="25"/>
    </row>
    <row r="809909" spans="21:21" x14ac:dyDescent="0.3">
      <c r="U809909" s="25"/>
    </row>
    <row r="809931" spans="21:21" x14ac:dyDescent="0.3">
      <c r="U809931" s="25"/>
    </row>
    <row r="809953" spans="21:21" x14ac:dyDescent="0.3">
      <c r="U809953" s="25"/>
    </row>
    <row r="809975" spans="21:21" x14ac:dyDescent="0.3">
      <c r="U809975" s="25"/>
    </row>
    <row r="809997" spans="21:21" x14ac:dyDescent="0.3">
      <c r="U809997" s="25"/>
    </row>
    <row r="810019" spans="21:21" x14ac:dyDescent="0.3">
      <c r="U810019" s="25"/>
    </row>
    <row r="810041" spans="21:21" x14ac:dyDescent="0.3">
      <c r="U810041" s="25"/>
    </row>
    <row r="810063" spans="21:21" x14ac:dyDescent="0.3">
      <c r="U810063" s="25"/>
    </row>
    <row r="810085" spans="21:21" x14ac:dyDescent="0.3">
      <c r="U810085" s="25"/>
    </row>
    <row r="810107" spans="21:21" x14ac:dyDescent="0.3">
      <c r="U810107" s="25"/>
    </row>
    <row r="810129" spans="21:21" x14ac:dyDescent="0.3">
      <c r="U810129" s="25"/>
    </row>
    <row r="810151" spans="21:21" x14ac:dyDescent="0.3">
      <c r="U810151" s="25"/>
    </row>
    <row r="810173" spans="21:21" x14ac:dyDescent="0.3">
      <c r="U810173" s="25"/>
    </row>
    <row r="810195" spans="21:21" x14ac:dyDescent="0.3">
      <c r="U810195" s="25"/>
    </row>
    <row r="810217" spans="21:21" x14ac:dyDescent="0.3">
      <c r="U810217" s="25"/>
    </row>
    <row r="810239" spans="21:21" x14ac:dyDescent="0.3">
      <c r="U810239" s="25"/>
    </row>
    <row r="810261" spans="21:21" x14ac:dyDescent="0.3">
      <c r="U810261" s="25"/>
    </row>
    <row r="810283" spans="21:21" x14ac:dyDescent="0.3">
      <c r="U810283" s="25"/>
    </row>
    <row r="810305" spans="21:21" x14ac:dyDescent="0.3">
      <c r="U810305" s="25"/>
    </row>
    <row r="810327" spans="21:21" x14ac:dyDescent="0.3">
      <c r="U810327" s="25"/>
    </row>
    <row r="810349" spans="21:21" x14ac:dyDescent="0.3">
      <c r="U810349" s="25"/>
    </row>
    <row r="810371" spans="21:21" x14ac:dyDescent="0.3">
      <c r="U810371" s="25"/>
    </row>
    <row r="810393" spans="21:21" x14ac:dyDescent="0.3">
      <c r="U810393" s="25"/>
    </row>
    <row r="810415" spans="21:21" x14ac:dyDescent="0.3">
      <c r="U810415" s="25"/>
    </row>
    <row r="810437" spans="21:21" x14ac:dyDescent="0.3">
      <c r="U810437" s="25"/>
    </row>
    <row r="810459" spans="21:21" x14ac:dyDescent="0.3">
      <c r="U810459" s="25"/>
    </row>
    <row r="810481" spans="21:21" x14ac:dyDescent="0.3">
      <c r="U810481" s="25"/>
    </row>
    <row r="810503" spans="21:21" x14ac:dyDescent="0.3">
      <c r="U810503" s="25"/>
    </row>
    <row r="810525" spans="21:21" x14ac:dyDescent="0.3">
      <c r="U810525" s="25"/>
    </row>
    <row r="810547" spans="21:21" x14ac:dyDescent="0.3">
      <c r="U810547" s="25"/>
    </row>
    <row r="810569" spans="21:21" x14ac:dyDescent="0.3">
      <c r="U810569" s="25"/>
    </row>
    <row r="810591" spans="21:21" x14ac:dyDescent="0.3">
      <c r="U810591" s="25"/>
    </row>
    <row r="810613" spans="21:21" x14ac:dyDescent="0.3">
      <c r="U810613" s="25"/>
    </row>
    <row r="810635" spans="21:21" x14ac:dyDescent="0.3">
      <c r="U810635" s="25"/>
    </row>
    <row r="810657" spans="21:21" x14ac:dyDescent="0.3">
      <c r="U810657" s="25"/>
    </row>
    <row r="810679" spans="21:21" x14ac:dyDescent="0.3">
      <c r="U810679" s="25"/>
    </row>
    <row r="810701" spans="21:21" x14ac:dyDescent="0.3">
      <c r="U810701" s="25"/>
    </row>
    <row r="810723" spans="21:21" x14ac:dyDescent="0.3">
      <c r="U810723" s="25"/>
    </row>
    <row r="810745" spans="21:21" x14ac:dyDescent="0.3">
      <c r="U810745" s="25"/>
    </row>
    <row r="810767" spans="21:21" x14ac:dyDescent="0.3">
      <c r="U810767" s="25"/>
    </row>
    <row r="810789" spans="21:21" x14ac:dyDescent="0.3">
      <c r="U810789" s="25"/>
    </row>
    <row r="810811" spans="21:21" x14ac:dyDescent="0.3">
      <c r="U810811" s="25"/>
    </row>
    <row r="810833" spans="21:21" x14ac:dyDescent="0.3">
      <c r="U810833" s="25"/>
    </row>
    <row r="810855" spans="21:21" x14ac:dyDescent="0.3">
      <c r="U810855" s="25"/>
    </row>
    <row r="810877" spans="21:21" x14ac:dyDescent="0.3">
      <c r="U810877" s="25"/>
    </row>
    <row r="810899" spans="21:21" x14ac:dyDescent="0.3">
      <c r="U810899" s="25"/>
    </row>
    <row r="810921" spans="21:21" x14ac:dyDescent="0.3">
      <c r="U810921" s="25"/>
    </row>
    <row r="810943" spans="21:21" x14ac:dyDescent="0.3">
      <c r="U810943" s="25"/>
    </row>
    <row r="810965" spans="21:21" x14ac:dyDescent="0.3">
      <c r="U810965" s="25"/>
    </row>
    <row r="810987" spans="21:21" x14ac:dyDescent="0.3">
      <c r="U810987" s="25"/>
    </row>
    <row r="811009" spans="21:21" x14ac:dyDescent="0.3">
      <c r="U811009" s="25"/>
    </row>
    <row r="811031" spans="21:21" x14ac:dyDescent="0.3">
      <c r="U811031" s="25"/>
    </row>
    <row r="811053" spans="21:21" x14ac:dyDescent="0.3">
      <c r="U811053" s="25"/>
    </row>
    <row r="811075" spans="21:21" x14ac:dyDescent="0.3">
      <c r="U811075" s="25"/>
    </row>
    <row r="811097" spans="21:21" x14ac:dyDescent="0.3">
      <c r="U811097" s="25"/>
    </row>
    <row r="811119" spans="21:21" x14ac:dyDescent="0.3">
      <c r="U811119" s="25"/>
    </row>
    <row r="811141" spans="21:21" x14ac:dyDescent="0.3">
      <c r="U811141" s="25"/>
    </row>
    <row r="811163" spans="21:21" x14ac:dyDescent="0.3">
      <c r="U811163" s="25"/>
    </row>
    <row r="811185" spans="21:21" x14ac:dyDescent="0.3">
      <c r="U811185" s="25"/>
    </row>
    <row r="811207" spans="21:21" x14ac:dyDescent="0.3">
      <c r="U811207" s="25"/>
    </row>
    <row r="811229" spans="21:21" x14ac:dyDescent="0.3">
      <c r="U811229" s="25"/>
    </row>
    <row r="811251" spans="21:21" x14ac:dyDescent="0.3">
      <c r="U811251" s="25"/>
    </row>
    <row r="811273" spans="21:21" x14ac:dyDescent="0.3">
      <c r="U811273" s="25"/>
    </row>
    <row r="811295" spans="21:21" x14ac:dyDescent="0.3">
      <c r="U811295" s="25"/>
    </row>
    <row r="811317" spans="21:21" x14ac:dyDescent="0.3">
      <c r="U811317" s="25"/>
    </row>
    <row r="811339" spans="21:21" x14ac:dyDescent="0.3">
      <c r="U811339" s="25"/>
    </row>
    <row r="811361" spans="21:21" x14ac:dyDescent="0.3">
      <c r="U811361" s="25"/>
    </row>
    <row r="811383" spans="21:21" x14ac:dyDescent="0.3">
      <c r="U811383" s="25"/>
    </row>
    <row r="811405" spans="21:21" x14ac:dyDescent="0.3">
      <c r="U811405" s="25"/>
    </row>
    <row r="811427" spans="21:21" x14ac:dyDescent="0.3">
      <c r="U811427" s="25"/>
    </row>
    <row r="811449" spans="21:21" x14ac:dyDescent="0.3">
      <c r="U811449" s="25"/>
    </row>
    <row r="811471" spans="21:21" x14ac:dyDescent="0.3">
      <c r="U811471" s="25"/>
    </row>
    <row r="811493" spans="21:21" x14ac:dyDescent="0.3">
      <c r="U811493" s="25"/>
    </row>
    <row r="811515" spans="21:21" x14ac:dyDescent="0.3">
      <c r="U811515" s="25"/>
    </row>
    <row r="811537" spans="21:21" x14ac:dyDescent="0.3">
      <c r="U811537" s="25"/>
    </row>
    <row r="811559" spans="21:21" x14ac:dyDescent="0.3">
      <c r="U811559" s="25"/>
    </row>
    <row r="811581" spans="21:21" x14ac:dyDescent="0.3">
      <c r="U811581" s="25"/>
    </row>
    <row r="811603" spans="21:21" x14ac:dyDescent="0.3">
      <c r="U811603" s="25"/>
    </row>
    <row r="811625" spans="21:21" x14ac:dyDescent="0.3">
      <c r="U811625" s="25"/>
    </row>
    <row r="811647" spans="21:21" x14ac:dyDescent="0.3">
      <c r="U811647" s="25"/>
    </row>
    <row r="811669" spans="21:21" x14ac:dyDescent="0.3">
      <c r="U811669" s="25"/>
    </row>
    <row r="811691" spans="21:21" x14ac:dyDescent="0.3">
      <c r="U811691" s="25"/>
    </row>
    <row r="811713" spans="21:21" x14ac:dyDescent="0.3">
      <c r="U811713" s="25"/>
    </row>
    <row r="811735" spans="21:21" x14ac:dyDescent="0.3">
      <c r="U811735" s="25"/>
    </row>
    <row r="811757" spans="21:21" x14ac:dyDescent="0.3">
      <c r="U811757" s="25"/>
    </row>
    <row r="811779" spans="21:21" x14ac:dyDescent="0.3">
      <c r="U811779" s="25"/>
    </row>
    <row r="811801" spans="21:21" x14ac:dyDescent="0.3">
      <c r="U811801" s="25"/>
    </row>
    <row r="811823" spans="21:21" x14ac:dyDescent="0.3">
      <c r="U811823" s="25"/>
    </row>
    <row r="811845" spans="21:21" x14ac:dyDescent="0.3">
      <c r="U811845" s="25"/>
    </row>
    <row r="811867" spans="21:21" x14ac:dyDescent="0.3">
      <c r="U811867" s="25"/>
    </row>
    <row r="811889" spans="21:21" x14ac:dyDescent="0.3">
      <c r="U811889" s="25"/>
    </row>
    <row r="811911" spans="21:21" x14ac:dyDescent="0.3">
      <c r="U811911" s="25"/>
    </row>
    <row r="811933" spans="21:21" x14ac:dyDescent="0.3">
      <c r="U811933" s="25"/>
    </row>
    <row r="811955" spans="21:21" x14ac:dyDescent="0.3">
      <c r="U811955" s="25"/>
    </row>
    <row r="811977" spans="21:21" x14ac:dyDescent="0.3">
      <c r="U811977" s="25"/>
    </row>
    <row r="811999" spans="21:21" x14ac:dyDescent="0.3">
      <c r="U811999" s="25"/>
    </row>
    <row r="812021" spans="21:21" x14ac:dyDescent="0.3">
      <c r="U812021" s="25"/>
    </row>
    <row r="812043" spans="21:21" x14ac:dyDescent="0.3">
      <c r="U812043" s="25"/>
    </row>
    <row r="812065" spans="21:21" x14ac:dyDescent="0.3">
      <c r="U812065" s="25"/>
    </row>
    <row r="812087" spans="21:21" x14ac:dyDescent="0.3">
      <c r="U812087" s="25"/>
    </row>
    <row r="812109" spans="21:21" x14ac:dyDescent="0.3">
      <c r="U812109" s="25"/>
    </row>
    <row r="812131" spans="21:21" x14ac:dyDescent="0.3">
      <c r="U812131" s="25"/>
    </row>
    <row r="812153" spans="21:21" x14ac:dyDescent="0.3">
      <c r="U812153" s="25"/>
    </row>
    <row r="812175" spans="21:21" x14ac:dyDescent="0.3">
      <c r="U812175" s="25"/>
    </row>
    <row r="812197" spans="21:21" x14ac:dyDescent="0.3">
      <c r="U812197" s="25"/>
    </row>
    <row r="812219" spans="21:21" x14ac:dyDescent="0.3">
      <c r="U812219" s="25"/>
    </row>
    <row r="812241" spans="21:21" x14ac:dyDescent="0.3">
      <c r="U812241" s="25"/>
    </row>
    <row r="812263" spans="21:21" x14ac:dyDescent="0.3">
      <c r="U812263" s="25"/>
    </row>
    <row r="812285" spans="21:21" x14ac:dyDescent="0.3">
      <c r="U812285" s="25"/>
    </row>
    <row r="812307" spans="21:21" x14ac:dyDescent="0.3">
      <c r="U812307" s="25"/>
    </row>
    <row r="812329" spans="21:21" x14ac:dyDescent="0.3">
      <c r="U812329" s="25"/>
    </row>
    <row r="812351" spans="21:21" x14ac:dyDescent="0.3">
      <c r="U812351" s="25"/>
    </row>
    <row r="812373" spans="21:21" x14ac:dyDescent="0.3">
      <c r="U812373" s="25"/>
    </row>
    <row r="812395" spans="21:21" x14ac:dyDescent="0.3">
      <c r="U812395" s="25"/>
    </row>
    <row r="812417" spans="21:21" x14ac:dyDescent="0.3">
      <c r="U812417" s="25"/>
    </row>
    <row r="812439" spans="21:21" x14ac:dyDescent="0.3">
      <c r="U812439" s="25"/>
    </row>
    <row r="812461" spans="21:21" x14ac:dyDescent="0.3">
      <c r="U812461" s="25"/>
    </row>
    <row r="812483" spans="21:21" x14ac:dyDescent="0.3">
      <c r="U812483" s="25"/>
    </row>
    <row r="812505" spans="21:21" x14ac:dyDescent="0.3">
      <c r="U812505" s="25"/>
    </row>
    <row r="812527" spans="21:21" x14ac:dyDescent="0.3">
      <c r="U812527" s="25"/>
    </row>
    <row r="812549" spans="21:21" x14ac:dyDescent="0.3">
      <c r="U812549" s="25"/>
    </row>
    <row r="812571" spans="21:21" x14ac:dyDescent="0.3">
      <c r="U812571" s="25"/>
    </row>
    <row r="812593" spans="21:21" x14ac:dyDescent="0.3">
      <c r="U812593" s="25"/>
    </row>
    <row r="812615" spans="21:21" x14ac:dyDescent="0.3">
      <c r="U812615" s="25"/>
    </row>
    <row r="812637" spans="21:21" x14ac:dyDescent="0.3">
      <c r="U812637" s="25"/>
    </row>
    <row r="812659" spans="21:21" x14ac:dyDescent="0.3">
      <c r="U812659" s="25"/>
    </row>
    <row r="812681" spans="21:21" x14ac:dyDescent="0.3">
      <c r="U812681" s="25"/>
    </row>
    <row r="812703" spans="21:21" x14ac:dyDescent="0.3">
      <c r="U812703" s="25"/>
    </row>
    <row r="812725" spans="21:21" x14ac:dyDescent="0.3">
      <c r="U812725" s="25"/>
    </row>
    <row r="812747" spans="21:21" x14ac:dyDescent="0.3">
      <c r="U812747" s="25"/>
    </row>
    <row r="812769" spans="21:21" x14ac:dyDescent="0.3">
      <c r="U812769" s="25"/>
    </row>
    <row r="812791" spans="21:21" x14ac:dyDescent="0.3">
      <c r="U812791" s="25"/>
    </row>
    <row r="812813" spans="21:21" x14ac:dyDescent="0.3">
      <c r="U812813" s="25"/>
    </row>
    <row r="812835" spans="21:21" x14ac:dyDescent="0.3">
      <c r="U812835" s="25"/>
    </row>
    <row r="812857" spans="21:21" x14ac:dyDescent="0.3">
      <c r="U812857" s="25"/>
    </row>
    <row r="812879" spans="21:21" x14ac:dyDescent="0.3">
      <c r="U812879" s="25"/>
    </row>
    <row r="812901" spans="21:21" x14ac:dyDescent="0.3">
      <c r="U812901" s="25"/>
    </row>
    <row r="812923" spans="21:21" x14ac:dyDescent="0.3">
      <c r="U812923" s="25"/>
    </row>
    <row r="812945" spans="21:21" x14ac:dyDescent="0.3">
      <c r="U812945" s="25"/>
    </row>
    <row r="812967" spans="21:21" x14ac:dyDescent="0.3">
      <c r="U812967" s="25"/>
    </row>
    <row r="812989" spans="21:21" x14ac:dyDescent="0.3">
      <c r="U812989" s="25"/>
    </row>
    <row r="813011" spans="21:21" x14ac:dyDescent="0.3">
      <c r="U813011" s="25"/>
    </row>
    <row r="813033" spans="21:21" x14ac:dyDescent="0.3">
      <c r="U813033" s="25"/>
    </row>
    <row r="813055" spans="21:21" x14ac:dyDescent="0.3">
      <c r="U813055" s="25"/>
    </row>
    <row r="813077" spans="21:21" x14ac:dyDescent="0.3">
      <c r="U813077" s="25"/>
    </row>
    <row r="813099" spans="21:21" x14ac:dyDescent="0.3">
      <c r="U813099" s="25"/>
    </row>
    <row r="813121" spans="21:21" x14ac:dyDescent="0.3">
      <c r="U813121" s="25"/>
    </row>
    <row r="813143" spans="21:21" x14ac:dyDescent="0.3">
      <c r="U813143" s="25"/>
    </row>
    <row r="813165" spans="21:21" x14ac:dyDescent="0.3">
      <c r="U813165" s="25"/>
    </row>
    <row r="813187" spans="21:21" x14ac:dyDescent="0.3">
      <c r="U813187" s="25"/>
    </row>
    <row r="813209" spans="21:21" x14ac:dyDescent="0.3">
      <c r="U813209" s="25"/>
    </row>
    <row r="813231" spans="21:21" x14ac:dyDescent="0.3">
      <c r="U813231" s="25"/>
    </row>
    <row r="813253" spans="21:21" x14ac:dyDescent="0.3">
      <c r="U813253" s="25"/>
    </row>
    <row r="813275" spans="21:21" x14ac:dyDescent="0.3">
      <c r="U813275" s="25"/>
    </row>
    <row r="813297" spans="21:21" x14ac:dyDescent="0.3">
      <c r="U813297" s="25"/>
    </row>
    <row r="813319" spans="21:21" x14ac:dyDescent="0.3">
      <c r="U813319" s="25"/>
    </row>
    <row r="813341" spans="21:21" x14ac:dyDescent="0.3">
      <c r="U813341" s="25"/>
    </row>
    <row r="813363" spans="21:21" x14ac:dyDescent="0.3">
      <c r="U813363" s="25"/>
    </row>
    <row r="813385" spans="21:21" x14ac:dyDescent="0.3">
      <c r="U813385" s="25"/>
    </row>
    <row r="813407" spans="21:21" x14ac:dyDescent="0.3">
      <c r="U813407" s="25"/>
    </row>
    <row r="813429" spans="21:21" x14ac:dyDescent="0.3">
      <c r="U813429" s="25"/>
    </row>
    <row r="813451" spans="21:21" x14ac:dyDescent="0.3">
      <c r="U813451" s="25"/>
    </row>
    <row r="813473" spans="21:21" x14ac:dyDescent="0.3">
      <c r="U813473" s="25"/>
    </row>
    <row r="813495" spans="21:21" x14ac:dyDescent="0.3">
      <c r="U813495" s="25"/>
    </row>
    <row r="813517" spans="21:21" x14ac:dyDescent="0.3">
      <c r="U813517" s="25"/>
    </row>
    <row r="813539" spans="21:21" x14ac:dyDescent="0.3">
      <c r="U813539" s="25"/>
    </row>
    <row r="813561" spans="21:21" x14ac:dyDescent="0.3">
      <c r="U813561" s="25"/>
    </row>
    <row r="813583" spans="21:21" x14ac:dyDescent="0.3">
      <c r="U813583" s="25"/>
    </row>
    <row r="813605" spans="21:21" x14ac:dyDescent="0.3">
      <c r="U813605" s="25"/>
    </row>
    <row r="813627" spans="21:21" x14ac:dyDescent="0.3">
      <c r="U813627" s="25"/>
    </row>
    <row r="813649" spans="21:21" x14ac:dyDescent="0.3">
      <c r="U813649" s="25"/>
    </row>
    <row r="813671" spans="21:21" x14ac:dyDescent="0.3">
      <c r="U813671" s="25"/>
    </row>
    <row r="813693" spans="21:21" x14ac:dyDescent="0.3">
      <c r="U813693" s="25"/>
    </row>
    <row r="813715" spans="21:21" x14ac:dyDescent="0.3">
      <c r="U813715" s="25"/>
    </row>
    <row r="813737" spans="21:21" x14ac:dyDescent="0.3">
      <c r="U813737" s="25"/>
    </row>
    <row r="813759" spans="21:21" x14ac:dyDescent="0.3">
      <c r="U813759" s="25"/>
    </row>
    <row r="813781" spans="21:21" x14ac:dyDescent="0.3">
      <c r="U813781" s="25"/>
    </row>
    <row r="813803" spans="21:21" x14ac:dyDescent="0.3">
      <c r="U813803" s="25"/>
    </row>
    <row r="813825" spans="21:21" x14ac:dyDescent="0.3">
      <c r="U813825" s="25"/>
    </row>
    <row r="813847" spans="21:21" x14ac:dyDescent="0.3">
      <c r="U813847" s="25"/>
    </row>
    <row r="813869" spans="21:21" x14ac:dyDescent="0.3">
      <c r="U813869" s="25"/>
    </row>
    <row r="813891" spans="21:21" x14ac:dyDescent="0.3">
      <c r="U813891" s="25"/>
    </row>
    <row r="813913" spans="21:21" x14ac:dyDescent="0.3">
      <c r="U813913" s="25"/>
    </row>
    <row r="813935" spans="21:21" x14ac:dyDescent="0.3">
      <c r="U813935" s="25"/>
    </row>
    <row r="813957" spans="21:21" x14ac:dyDescent="0.3">
      <c r="U813957" s="25"/>
    </row>
    <row r="813979" spans="21:21" x14ac:dyDescent="0.3">
      <c r="U813979" s="25"/>
    </row>
    <row r="814001" spans="21:21" x14ac:dyDescent="0.3">
      <c r="U814001" s="25"/>
    </row>
    <row r="814023" spans="21:21" x14ac:dyDescent="0.3">
      <c r="U814023" s="25"/>
    </row>
    <row r="814045" spans="21:21" x14ac:dyDescent="0.3">
      <c r="U814045" s="25"/>
    </row>
    <row r="814067" spans="21:21" x14ac:dyDescent="0.3">
      <c r="U814067" s="25"/>
    </row>
    <row r="814089" spans="21:21" x14ac:dyDescent="0.3">
      <c r="U814089" s="25"/>
    </row>
    <row r="814111" spans="21:21" x14ac:dyDescent="0.3">
      <c r="U814111" s="25"/>
    </row>
    <row r="814133" spans="21:21" x14ac:dyDescent="0.3">
      <c r="U814133" s="25"/>
    </row>
    <row r="814155" spans="21:21" x14ac:dyDescent="0.3">
      <c r="U814155" s="25"/>
    </row>
    <row r="814177" spans="21:21" x14ac:dyDescent="0.3">
      <c r="U814177" s="25"/>
    </row>
    <row r="814199" spans="21:21" x14ac:dyDescent="0.3">
      <c r="U814199" s="25"/>
    </row>
    <row r="814221" spans="21:21" x14ac:dyDescent="0.3">
      <c r="U814221" s="25"/>
    </row>
    <row r="814243" spans="21:21" x14ac:dyDescent="0.3">
      <c r="U814243" s="25"/>
    </row>
    <row r="814265" spans="21:21" x14ac:dyDescent="0.3">
      <c r="U814265" s="25"/>
    </row>
    <row r="814287" spans="21:21" x14ac:dyDescent="0.3">
      <c r="U814287" s="25"/>
    </row>
    <row r="814309" spans="21:21" x14ac:dyDescent="0.3">
      <c r="U814309" s="25"/>
    </row>
    <row r="814331" spans="21:21" x14ac:dyDescent="0.3">
      <c r="U814331" s="25"/>
    </row>
    <row r="814353" spans="21:21" x14ac:dyDescent="0.3">
      <c r="U814353" s="25"/>
    </row>
    <row r="814375" spans="21:21" x14ac:dyDescent="0.3">
      <c r="U814375" s="25"/>
    </row>
    <row r="814397" spans="21:21" x14ac:dyDescent="0.3">
      <c r="U814397" s="25"/>
    </row>
    <row r="814419" spans="21:21" x14ac:dyDescent="0.3">
      <c r="U814419" s="25"/>
    </row>
    <row r="814441" spans="21:21" x14ac:dyDescent="0.3">
      <c r="U814441" s="25"/>
    </row>
    <row r="814463" spans="21:21" x14ac:dyDescent="0.3">
      <c r="U814463" s="25"/>
    </row>
    <row r="814485" spans="21:21" x14ac:dyDescent="0.3">
      <c r="U814485" s="25"/>
    </row>
    <row r="814507" spans="21:21" x14ac:dyDescent="0.3">
      <c r="U814507" s="25"/>
    </row>
    <row r="814529" spans="21:21" x14ac:dyDescent="0.3">
      <c r="U814529" s="25"/>
    </row>
    <row r="814551" spans="21:21" x14ac:dyDescent="0.3">
      <c r="U814551" s="25"/>
    </row>
    <row r="814573" spans="21:21" x14ac:dyDescent="0.3">
      <c r="U814573" s="25"/>
    </row>
    <row r="814595" spans="21:21" x14ac:dyDescent="0.3">
      <c r="U814595" s="25"/>
    </row>
    <row r="814617" spans="21:21" x14ac:dyDescent="0.3">
      <c r="U814617" s="25"/>
    </row>
    <row r="814639" spans="21:21" x14ac:dyDescent="0.3">
      <c r="U814639" s="25"/>
    </row>
    <row r="814661" spans="21:21" x14ac:dyDescent="0.3">
      <c r="U814661" s="25"/>
    </row>
    <row r="814683" spans="21:21" x14ac:dyDescent="0.3">
      <c r="U814683" s="25"/>
    </row>
    <row r="814705" spans="21:21" x14ac:dyDescent="0.3">
      <c r="U814705" s="25"/>
    </row>
    <row r="814727" spans="21:21" x14ac:dyDescent="0.3">
      <c r="U814727" s="25"/>
    </row>
    <row r="814749" spans="21:21" x14ac:dyDescent="0.3">
      <c r="U814749" s="25"/>
    </row>
    <row r="814771" spans="21:21" x14ac:dyDescent="0.3">
      <c r="U814771" s="25"/>
    </row>
    <row r="814793" spans="21:21" x14ac:dyDescent="0.3">
      <c r="U814793" s="25"/>
    </row>
    <row r="814815" spans="21:21" x14ac:dyDescent="0.3">
      <c r="U814815" s="25"/>
    </row>
    <row r="814837" spans="21:21" x14ac:dyDescent="0.3">
      <c r="U814837" s="25"/>
    </row>
    <row r="814859" spans="21:21" x14ac:dyDescent="0.3">
      <c r="U814859" s="25"/>
    </row>
    <row r="814881" spans="21:21" x14ac:dyDescent="0.3">
      <c r="U814881" s="25"/>
    </row>
    <row r="814903" spans="21:21" x14ac:dyDescent="0.3">
      <c r="U814903" s="25"/>
    </row>
    <row r="814925" spans="21:21" x14ac:dyDescent="0.3">
      <c r="U814925" s="25"/>
    </row>
    <row r="814947" spans="21:21" x14ac:dyDescent="0.3">
      <c r="U814947" s="25"/>
    </row>
    <row r="814969" spans="21:21" x14ac:dyDescent="0.3">
      <c r="U814969" s="25"/>
    </row>
    <row r="814991" spans="21:21" x14ac:dyDescent="0.3">
      <c r="U814991" s="25"/>
    </row>
    <row r="815013" spans="21:21" x14ac:dyDescent="0.3">
      <c r="U815013" s="25"/>
    </row>
    <row r="815035" spans="21:21" x14ac:dyDescent="0.3">
      <c r="U815035" s="25"/>
    </row>
    <row r="815057" spans="21:21" x14ac:dyDescent="0.3">
      <c r="U815057" s="25"/>
    </row>
    <row r="815079" spans="21:21" x14ac:dyDescent="0.3">
      <c r="U815079" s="25"/>
    </row>
    <row r="815101" spans="21:21" x14ac:dyDescent="0.3">
      <c r="U815101" s="25"/>
    </row>
    <row r="815123" spans="21:21" x14ac:dyDescent="0.3">
      <c r="U815123" s="25"/>
    </row>
    <row r="815145" spans="21:21" x14ac:dyDescent="0.3">
      <c r="U815145" s="25"/>
    </row>
    <row r="815167" spans="21:21" x14ac:dyDescent="0.3">
      <c r="U815167" s="25"/>
    </row>
    <row r="815189" spans="21:21" x14ac:dyDescent="0.3">
      <c r="U815189" s="25"/>
    </row>
    <row r="815211" spans="21:21" x14ac:dyDescent="0.3">
      <c r="U815211" s="25"/>
    </row>
    <row r="815233" spans="21:21" x14ac:dyDescent="0.3">
      <c r="U815233" s="25"/>
    </row>
    <row r="815255" spans="21:21" x14ac:dyDescent="0.3">
      <c r="U815255" s="25"/>
    </row>
    <row r="815277" spans="21:21" x14ac:dyDescent="0.3">
      <c r="U815277" s="25"/>
    </row>
    <row r="815299" spans="21:21" x14ac:dyDescent="0.3">
      <c r="U815299" s="25"/>
    </row>
    <row r="815321" spans="21:21" x14ac:dyDescent="0.3">
      <c r="U815321" s="25"/>
    </row>
    <row r="815343" spans="21:21" x14ac:dyDescent="0.3">
      <c r="U815343" s="25"/>
    </row>
    <row r="815365" spans="21:21" x14ac:dyDescent="0.3">
      <c r="U815365" s="25"/>
    </row>
    <row r="815387" spans="21:21" x14ac:dyDescent="0.3">
      <c r="U815387" s="25"/>
    </row>
    <row r="815409" spans="21:21" x14ac:dyDescent="0.3">
      <c r="U815409" s="25"/>
    </row>
    <row r="815431" spans="21:21" x14ac:dyDescent="0.3">
      <c r="U815431" s="25"/>
    </row>
    <row r="815453" spans="21:21" x14ac:dyDescent="0.3">
      <c r="U815453" s="25"/>
    </row>
    <row r="815475" spans="21:21" x14ac:dyDescent="0.3">
      <c r="U815475" s="25"/>
    </row>
    <row r="815497" spans="21:21" x14ac:dyDescent="0.3">
      <c r="U815497" s="25"/>
    </row>
    <row r="815519" spans="21:21" x14ac:dyDescent="0.3">
      <c r="U815519" s="25"/>
    </row>
    <row r="815541" spans="21:21" x14ac:dyDescent="0.3">
      <c r="U815541" s="25"/>
    </row>
    <row r="815563" spans="21:21" x14ac:dyDescent="0.3">
      <c r="U815563" s="25"/>
    </row>
    <row r="815585" spans="21:21" x14ac:dyDescent="0.3">
      <c r="U815585" s="25"/>
    </row>
    <row r="815607" spans="21:21" x14ac:dyDescent="0.3">
      <c r="U815607" s="25"/>
    </row>
    <row r="815629" spans="21:21" x14ac:dyDescent="0.3">
      <c r="U815629" s="25"/>
    </row>
    <row r="815651" spans="21:21" x14ac:dyDescent="0.3">
      <c r="U815651" s="25"/>
    </row>
    <row r="815673" spans="21:21" x14ac:dyDescent="0.3">
      <c r="U815673" s="25"/>
    </row>
    <row r="815695" spans="21:21" x14ac:dyDescent="0.3">
      <c r="U815695" s="25"/>
    </row>
    <row r="815717" spans="21:21" x14ac:dyDescent="0.3">
      <c r="U815717" s="25"/>
    </row>
    <row r="815739" spans="21:21" x14ac:dyDescent="0.3">
      <c r="U815739" s="25"/>
    </row>
    <row r="815761" spans="21:21" x14ac:dyDescent="0.3">
      <c r="U815761" s="25"/>
    </row>
    <row r="815783" spans="21:21" x14ac:dyDescent="0.3">
      <c r="U815783" s="25"/>
    </row>
    <row r="815805" spans="21:21" x14ac:dyDescent="0.3">
      <c r="U815805" s="25"/>
    </row>
    <row r="815827" spans="21:21" x14ac:dyDescent="0.3">
      <c r="U815827" s="25"/>
    </row>
    <row r="815849" spans="21:21" x14ac:dyDescent="0.3">
      <c r="U815849" s="25"/>
    </row>
    <row r="815871" spans="21:21" x14ac:dyDescent="0.3">
      <c r="U815871" s="25"/>
    </row>
    <row r="815893" spans="21:21" x14ac:dyDescent="0.3">
      <c r="U815893" s="25"/>
    </row>
    <row r="815915" spans="21:21" x14ac:dyDescent="0.3">
      <c r="U815915" s="25"/>
    </row>
    <row r="815937" spans="21:21" x14ac:dyDescent="0.3">
      <c r="U815937" s="25"/>
    </row>
    <row r="815959" spans="21:21" x14ac:dyDescent="0.3">
      <c r="U815959" s="25"/>
    </row>
    <row r="815981" spans="21:21" x14ac:dyDescent="0.3">
      <c r="U815981" s="25"/>
    </row>
    <row r="816003" spans="21:21" x14ac:dyDescent="0.3">
      <c r="U816003" s="25"/>
    </row>
    <row r="816025" spans="21:21" x14ac:dyDescent="0.3">
      <c r="U816025" s="25"/>
    </row>
    <row r="816047" spans="21:21" x14ac:dyDescent="0.3">
      <c r="U816047" s="25"/>
    </row>
    <row r="816069" spans="21:21" x14ac:dyDescent="0.3">
      <c r="U816069" s="25"/>
    </row>
    <row r="816091" spans="21:21" x14ac:dyDescent="0.3">
      <c r="U816091" s="25"/>
    </row>
    <row r="816113" spans="21:21" x14ac:dyDescent="0.3">
      <c r="U816113" s="25"/>
    </row>
    <row r="816135" spans="21:21" x14ac:dyDescent="0.3">
      <c r="U816135" s="25"/>
    </row>
    <row r="816157" spans="21:21" x14ac:dyDescent="0.3">
      <c r="U816157" s="25"/>
    </row>
    <row r="816179" spans="21:21" x14ac:dyDescent="0.3">
      <c r="U816179" s="25"/>
    </row>
    <row r="816201" spans="21:21" x14ac:dyDescent="0.3">
      <c r="U816201" s="25"/>
    </row>
    <row r="816223" spans="21:21" x14ac:dyDescent="0.3">
      <c r="U816223" s="25"/>
    </row>
    <row r="816245" spans="21:21" x14ac:dyDescent="0.3">
      <c r="U816245" s="25"/>
    </row>
    <row r="816267" spans="21:21" x14ac:dyDescent="0.3">
      <c r="U816267" s="25"/>
    </row>
    <row r="816289" spans="21:21" x14ac:dyDescent="0.3">
      <c r="U816289" s="25"/>
    </row>
    <row r="816311" spans="21:21" x14ac:dyDescent="0.3">
      <c r="U816311" s="25"/>
    </row>
    <row r="816333" spans="21:21" x14ac:dyDescent="0.3">
      <c r="U816333" s="25"/>
    </row>
    <row r="816355" spans="21:21" x14ac:dyDescent="0.3">
      <c r="U816355" s="25"/>
    </row>
    <row r="816377" spans="21:21" x14ac:dyDescent="0.3">
      <c r="U816377" s="25"/>
    </row>
    <row r="816399" spans="21:21" x14ac:dyDescent="0.3">
      <c r="U816399" s="25"/>
    </row>
    <row r="816421" spans="21:21" x14ac:dyDescent="0.3">
      <c r="U816421" s="25"/>
    </row>
    <row r="816443" spans="21:21" x14ac:dyDescent="0.3">
      <c r="U816443" s="25"/>
    </row>
    <row r="816465" spans="21:21" x14ac:dyDescent="0.3">
      <c r="U816465" s="25"/>
    </row>
    <row r="816487" spans="21:21" x14ac:dyDescent="0.3">
      <c r="U816487" s="25"/>
    </row>
    <row r="816509" spans="21:21" x14ac:dyDescent="0.3">
      <c r="U816509" s="25"/>
    </row>
    <row r="816531" spans="21:21" x14ac:dyDescent="0.3">
      <c r="U816531" s="25"/>
    </row>
    <row r="816553" spans="21:21" x14ac:dyDescent="0.3">
      <c r="U816553" s="25"/>
    </row>
    <row r="816575" spans="21:21" x14ac:dyDescent="0.3">
      <c r="U816575" s="25"/>
    </row>
    <row r="816597" spans="21:21" x14ac:dyDescent="0.3">
      <c r="U816597" s="25"/>
    </row>
    <row r="816619" spans="21:21" x14ac:dyDescent="0.3">
      <c r="U816619" s="25"/>
    </row>
    <row r="816641" spans="21:21" x14ac:dyDescent="0.3">
      <c r="U816641" s="25"/>
    </row>
    <row r="816663" spans="21:21" x14ac:dyDescent="0.3">
      <c r="U816663" s="25"/>
    </row>
    <row r="816685" spans="21:21" x14ac:dyDescent="0.3">
      <c r="U816685" s="25"/>
    </row>
    <row r="816707" spans="21:21" x14ac:dyDescent="0.3">
      <c r="U816707" s="25"/>
    </row>
    <row r="816729" spans="21:21" x14ac:dyDescent="0.3">
      <c r="U816729" s="25"/>
    </row>
    <row r="816751" spans="21:21" x14ac:dyDescent="0.3">
      <c r="U816751" s="25"/>
    </row>
    <row r="816773" spans="21:21" x14ac:dyDescent="0.3">
      <c r="U816773" s="25"/>
    </row>
    <row r="816795" spans="21:21" x14ac:dyDescent="0.3">
      <c r="U816795" s="25"/>
    </row>
    <row r="816817" spans="21:21" x14ac:dyDescent="0.3">
      <c r="U816817" s="25"/>
    </row>
    <row r="816839" spans="21:21" x14ac:dyDescent="0.3">
      <c r="U816839" s="25"/>
    </row>
    <row r="816861" spans="21:21" x14ac:dyDescent="0.3">
      <c r="U816861" s="25"/>
    </row>
    <row r="816883" spans="21:21" x14ac:dyDescent="0.3">
      <c r="U816883" s="25"/>
    </row>
    <row r="816905" spans="21:21" x14ac:dyDescent="0.3">
      <c r="U816905" s="25"/>
    </row>
    <row r="816927" spans="21:21" x14ac:dyDescent="0.3">
      <c r="U816927" s="25"/>
    </row>
    <row r="816949" spans="21:21" x14ac:dyDescent="0.3">
      <c r="U816949" s="25"/>
    </row>
    <row r="816971" spans="21:21" x14ac:dyDescent="0.3">
      <c r="U816971" s="25"/>
    </row>
    <row r="816993" spans="21:21" x14ac:dyDescent="0.3">
      <c r="U816993" s="25"/>
    </row>
    <row r="817015" spans="21:21" x14ac:dyDescent="0.3">
      <c r="U817015" s="25"/>
    </row>
    <row r="817037" spans="21:21" x14ac:dyDescent="0.3">
      <c r="U817037" s="25"/>
    </row>
    <row r="817059" spans="21:21" x14ac:dyDescent="0.3">
      <c r="U817059" s="25"/>
    </row>
    <row r="817081" spans="21:21" x14ac:dyDescent="0.3">
      <c r="U817081" s="25"/>
    </row>
    <row r="817103" spans="21:21" x14ac:dyDescent="0.3">
      <c r="U817103" s="25"/>
    </row>
    <row r="817125" spans="21:21" x14ac:dyDescent="0.3">
      <c r="U817125" s="25"/>
    </row>
    <row r="817147" spans="21:21" x14ac:dyDescent="0.3">
      <c r="U817147" s="25"/>
    </row>
    <row r="817169" spans="21:21" x14ac:dyDescent="0.3">
      <c r="U817169" s="25"/>
    </row>
    <row r="817191" spans="21:21" x14ac:dyDescent="0.3">
      <c r="U817191" s="25"/>
    </row>
    <row r="817213" spans="21:21" x14ac:dyDescent="0.3">
      <c r="U817213" s="25"/>
    </row>
    <row r="817235" spans="21:21" x14ac:dyDescent="0.3">
      <c r="U817235" s="25"/>
    </row>
    <row r="817257" spans="21:21" x14ac:dyDescent="0.3">
      <c r="U817257" s="25"/>
    </row>
    <row r="817279" spans="21:21" x14ac:dyDescent="0.3">
      <c r="U817279" s="25"/>
    </row>
    <row r="817301" spans="21:21" x14ac:dyDescent="0.3">
      <c r="U817301" s="25"/>
    </row>
    <row r="817323" spans="21:21" x14ac:dyDescent="0.3">
      <c r="U817323" s="25"/>
    </row>
    <row r="817345" spans="21:21" x14ac:dyDescent="0.3">
      <c r="U817345" s="25"/>
    </row>
    <row r="817367" spans="21:21" x14ac:dyDescent="0.3">
      <c r="U817367" s="25"/>
    </row>
    <row r="817389" spans="21:21" x14ac:dyDescent="0.3">
      <c r="U817389" s="25"/>
    </row>
    <row r="817411" spans="21:21" x14ac:dyDescent="0.3">
      <c r="U817411" s="25"/>
    </row>
    <row r="817433" spans="21:21" x14ac:dyDescent="0.3">
      <c r="U817433" s="25"/>
    </row>
    <row r="817455" spans="21:21" x14ac:dyDescent="0.3">
      <c r="U817455" s="25"/>
    </row>
    <row r="817477" spans="21:21" x14ac:dyDescent="0.3">
      <c r="U817477" s="25"/>
    </row>
    <row r="817499" spans="21:21" x14ac:dyDescent="0.3">
      <c r="U817499" s="25"/>
    </row>
    <row r="817521" spans="21:21" x14ac:dyDescent="0.3">
      <c r="U817521" s="25"/>
    </row>
    <row r="817543" spans="21:21" x14ac:dyDescent="0.3">
      <c r="U817543" s="25"/>
    </row>
    <row r="817565" spans="21:21" x14ac:dyDescent="0.3">
      <c r="U817565" s="25"/>
    </row>
    <row r="817587" spans="21:21" x14ac:dyDescent="0.3">
      <c r="U817587" s="25"/>
    </row>
    <row r="817609" spans="21:21" x14ac:dyDescent="0.3">
      <c r="U817609" s="25"/>
    </row>
    <row r="817631" spans="21:21" x14ac:dyDescent="0.3">
      <c r="U817631" s="25"/>
    </row>
    <row r="817653" spans="21:21" x14ac:dyDescent="0.3">
      <c r="U817653" s="25"/>
    </row>
    <row r="817675" spans="21:21" x14ac:dyDescent="0.3">
      <c r="U817675" s="25"/>
    </row>
    <row r="817697" spans="21:21" x14ac:dyDescent="0.3">
      <c r="U817697" s="25"/>
    </row>
    <row r="817719" spans="21:21" x14ac:dyDescent="0.3">
      <c r="U817719" s="25"/>
    </row>
    <row r="817741" spans="21:21" x14ac:dyDescent="0.3">
      <c r="U817741" s="25"/>
    </row>
    <row r="817763" spans="21:21" x14ac:dyDescent="0.3">
      <c r="U817763" s="25"/>
    </row>
    <row r="817785" spans="21:21" x14ac:dyDescent="0.3">
      <c r="U817785" s="25"/>
    </row>
    <row r="817807" spans="21:21" x14ac:dyDescent="0.3">
      <c r="U817807" s="25"/>
    </row>
    <row r="817829" spans="21:21" x14ac:dyDescent="0.3">
      <c r="U817829" s="25"/>
    </row>
    <row r="817851" spans="21:21" x14ac:dyDescent="0.3">
      <c r="U817851" s="25"/>
    </row>
    <row r="817873" spans="21:21" x14ac:dyDescent="0.3">
      <c r="U817873" s="25"/>
    </row>
    <row r="817895" spans="21:21" x14ac:dyDescent="0.3">
      <c r="U817895" s="25"/>
    </row>
    <row r="817917" spans="21:21" x14ac:dyDescent="0.3">
      <c r="U817917" s="25"/>
    </row>
    <row r="817939" spans="21:21" x14ac:dyDescent="0.3">
      <c r="U817939" s="25"/>
    </row>
    <row r="817961" spans="21:21" x14ac:dyDescent="0.3">
      <c r="U817961" s="25"/>
    </row>
    <row r="817983" spans="21:21" x14ac:dyDescent="0.3">
      <c r="U817983" s="25"/>
    </row>
    <row r="818005" spans="21:21" x14ac:dyDescent="0.3">
      <c r="U818005" s="25"/>
    </row>
    <row r="818027" spans="21:21" x14ac:dyDescent="0.3">
      <c r="U818027" s="25"/>
    </row>
    <row r="818049" spans="21:21" x14ac:dyDescent="0.3">
      <c r="U818049" s="25"/>
    </row>
    <row r="818071" spans="21:21" x14ac:dyDescent="0.3">
      <c r="U818071" s="25"/>
    </row>
    <row r="818093" spans="21:21" x14ac:dyDescent="0.3">
      <c r="U818093" s="25"/>
    </row>
    <row r="818115" spans="21:21" x14ac:dyDescent="0.3">
      <c r="U818115" s="25"/>
    </row>
    <row r="818137" spans="21:21" x14ac:dyDescent="0.3">
      <c r="U818137" s="25"/>
    </row>
    <row r="818159" spans="21:21" x14ac:dyDescent="0.3">
      <c r="U818159" s="25"/>
    </row>
    <row r="818181" spans="21:21" x14ac:dyDescent="0.3">
      <c r="U818181" s="25"/>
    </row>
    <row r="818203" spans="21:21" x14ac:dyDescent="0.3">
      <c r="U818203" s="25"/>
    </row>
    <row r="818225" spans="21:21" x14ac:dyDescent="0.3">
      <c r="U818225" s="25"/>
    </row>
    <row r="818247" spans="21:21" x14ac:dyDescent="0.3">
      <c r="U818247" s="25"/>
    </row>
    <row r="818269" spans="21:21" x14ac:dyDescent="0.3">
      <c r="U818269" s="25"/>
    </row>
    <row r="818291" spans="21:21" x14ac:dyDescent="0.3">
      <c r="U818291" s="25"/>
    </row>
    <row r="818313" spans="21:21" x14ac:dyDescent="0.3">
      <c r="U818313" s="25"/>
    </row>
    <row r="818335" spans="21:21" x14ac:dyDescent="0.3">
      <c r="U818335" s="25"/>
    </row>
    <row r="818357" spans="21:21" x14ac:dyDescent="0.3">
      <c r="U818357" s="25"/>
    </row>
    <row r="818379" spans="21:21" x14ac:dyDescent="0.3">
      <c r="U818379" s="25"/>
    </row>
    <row r="818401" spans="21:21" x14ac:dyDescent="0.3">
      <c r="U818401" s="25"/>
    </row>
    <row r="818423" spans="21:21" x14ac:dyDescent="0.3">
      <c r="U818423" s="25"/>
    </row>
    <row r="818445" spans="21:21" x14ac:dyDescent="0.3">
      <c r="U818445" s="25"/>
    </row>
    <row r="818467" spans="21:21" x14ac:dyDescent="0.3">
      <c r="U818467" s="25"/>
    </row>
    <row r="818489" spans="21:21" x14ac:dyDescent="0.3">
      <c r="U818489" s="25"/>
    </row>
    <row r="818511" spans="21:21" x14ac:dyDescent="0.3">
      <c r="U818511" s="25"/>
    </row>
    <row r="818533" spans="21:21" x14ac:dyDescent="0.3">
      <c r="U818533" s="25"/>
    </row>
    <row r="818555" spans="21:21" x14ac:dyDescent="0.3">
      <c r="U818555" s="25"/>
    </row>
    <row r="818577" spans="21:21" x14ac:dyDescent="0.3">
      <c r="U818577" s="25"/>
    </row>
    <row r="818599" spans="21:21" x14ac:dyDescent="0.3">
      <c r="U818599" s="25"/>
    </row>
    <row r="818621" spans="21:21" x14ac:dyDescent="0.3">
      <c r="U818621" s="25"/>
    </row>
    <row r="818643" spans="21:21" x14ac:dyDescent="0.3">
      <c r="U818643" s="25"/>
    </row>
    <row r="818665" spans="21:21" x14ac:dyDescent="0.3">
      <c r="U818665" s="25"/>
    </row>
    <row r="818687" spans="21:21" x14ac:dyDescent="0.3">
      <c r="U818687" s="25"/>
    </row>
    <row r="818709" spans="21:21" x14ac:dyDescent="0.3">
      <c r="U818709" s="25"/>
    </row>
    <row r="818731" spans="21:21" x14ac:dyDescent="0.3">
      <c r="U818731" s="25"/>
    </row>
    <row r="818753" spans="21:21" x14ac:dyDescent="0.3">
      <c r="U818753" s="25"/>
    </row>
    <row r="818775" spans="21:21" x14ac:dyDescent="0.3">
      <c r="U818775" s="25"/>
    </row>
    <row r="818797" spans="21:21" x14ac:dyDescent="0.3">
      <c r="U818797" s="25"/>
    </row>
    <row r="818819" spans="21:21" x14ac:dyDescent="0.3">
      <c r="U818819" s="25"/>
    </row>
    <row r="818841" spans="21:21" x14ac:dyDescent="0.3">
      <c r="U818841" s="25"/>
    </row>
    <row r="818863" spans="21:21" x14ac:dyDescent="0.3">
      <c r="U818863" s="25"/>
    </row>
    <row r="818885" spans="21:21" x14ac:dyDescent="0.3">
      <c r="U818885" s="25"/>
    </row>
    <row r="818907" spans="21:21" x14ac:dyDescent="0.3">
      <c r="U818907" s="25"/>
    </row>
    <row r="818929" spans="21:21" x14ac:dyDescent="0.3">
      <c r="U818929" s="25"/>
    </row>
    <row r="818951" spans="21:21" x14ac:dyDescent="0.3">
      <c r="U818951" s="25"/>
    </row>
    <row r="818973" spans="21:21" x14ac:dyDescent="0.3">
      <c r="U818973" s="25"/>
    </row>
    <row r="818995" spans="21:21" x14ac:dyDescent="0.3">
      <c r="U818995" s="25"/>
    </row>
    <row r="819017" spans="21:21" x14ac:dyDescent="0.3">
      <c r="U819017" s="25"/>
    </row>
    <row r="819039" spans="21:21" x14ac:dyDescent="0.3">
      <c r="U819039" s="25"/>
    </row>
    <row r="819061" spans="21:21" x14ac:dyDescent="0.3">
      <c r="U819061" s="25"/>
    </row>
    <row r="819083" spans="21:21" x14ac:dyDescent="0.3">
      <c r="U819083" s="25"/>
    </row>
    <row r="819105" spans="21:21" x14ac:dyDescent="0.3">
      <c r="U819105" s="25"/>
    </row>
    <row r="819127" spans="21:21" x14ac:dyDescent="0.3">
      <c r="U819127" s="25"/>
    </row>
    <row r="819149" spans="21:21" x14ac:dyDescent="0.3">
      <c r="U819149" s="25"/>
    </row>
    <row r="819171" spans="21:21" x14ac:dyDescent="0.3">
      <c r="U819171" s="25"/>
    </row>
    <row r="819193" spans="21:21" x14ac:dyDescent="0.3">
      <c r="U819193" s="25"/>
    </row>
    <row r="819215" spans="21:21" x14ac:dyDescent="0.3">
      <c r="U819215" s="25"/>
    </row>
    <row r="819237" spans="21:21" x14ac:dyDescent="0.3">
      <c r="U819237" s="25"/>
    </row>
    <row r="819259" spans="21:21" x14ac:dyDescent="0.3">
      <c r="U819259" s="25"/>
    </row>
    <row r="819281" spans="21:21" x14ac:dyDescent="0.3">
      <c r="U819281" s="25"/>
    </row>
    <row r="819303" spans="21:21" x14ac:dyDescent="0.3">
      <c r="U819303" s="25"/>
    </row>
    <row r="819325" spans="21:21" x14ac:dyDescent="0.3">
      <c r="U819325" s="25"/>
    </row>
    <row r="819347" spans="21:21" x14ac:dyDescent="0.3">
      <c r="U819347" s="25"/>
    </row>
    <row r="819369" spans="21:21" x14ac:dyDescent="0.3">
      <c r="U819369" s="25"/>
    </row>
    <row r="819391" spans="21:21" x14ac:dyDescent="0.3">
      <c r="U819391" s="25"/>
    </row>
    <row r="819413" spans="21:21" x14ac:dyDescent="0.3">
      <c r="U819413" s="25"/>
    </row>
    <row r="819435" spans="21:21" x14ac:dyDescent="0.3">
      <c r="U819435" s="25"/>
    </row>
    <row r="819457" spans="21:21" x14ac:dyDescent="0.3">
      <c r="U819457" s="25"/>
    </row>
    <row r="819479" spans="21:21" x14ac:dyDescent="0.3">
      <c r="U819479" s="25"/>
    </row>
    <row r="819501" spans="21:21" x14ac:dyDescent="0.3">
      <c r="U819501" s="25"/>
    </row>
    <row r="819523" spans="21:21" x14ac:dyDescent="0.3">
      <c r="U819523" s="25"/>
    </row>
    <row r="819545" spans="21:21" x14ac:dyDescent="0.3">
      <c r="U819545" s="25"/>
    </row>
    <row r="819567" spans="21:21" x14ac:dyDescent="0.3">
      <c r="U819567" s="25"/>
    </row>
    <row r="819589" spans="21:21" x14ac:dyDescent="0.3">
      <c r="U819589" s="25"/>
    </row>
    <row r="819611" spans="21:21" x14ac:dyDescent="0.3">
      <c r="U819611" s="25"/>
    </row>
    <row r="819633" spans="21:21" x14ac:dyDescent="0.3">
      <c r="U819633" s="25"/>
    </row>
    <row r="819655" spans="21:21" x14ac:dyDescent="0.3">
      <c r="U819655" s="25"/>
    </row>
    <row r="819677" spans="21:21" x14ac:dyDescent="0.3">
      <c r="U819677" s="25"/>
    </row>
    <row r="819699" spans="21:21" x14ac:dyDescent="0.3">
      <c r="U819699" s="25"/>
    </row>
    <row r="819721" spans="21:21" x14ac:dyDescent="0.3">
      <c r="U819721" s="25"/>
    </row>
    <row r="819743" spans="21:21" x14ac:dyDescent="0.3">
      <c r="U819743" s="25"/>
    </row>
    <row r="819765" spans="21:21" x14ac:dyDescent="0.3">
      <c r="U819765" s="25"/>
    </row>
    <row r="819787" spans="21:21" x14ac:dyDescent="0.3">
      <c r="U819787" s="25"/>
    </row>
    <row r="819809" spans="21:21" x14ac:dyDescent="0.3">
      <c r="U819809" s="25"/>
    </row>
    <row r="819831" spans="21:21" x14ac:dyDescent="0.3">
      <c r="U819831" s="25"/>
    </row>
    <row r="819853" spans="21:21" x14ac:dyDescent="0.3">
      <c r="U819853" s="25"/>
    </row>
    <row r="819875" spans="21:21" x14ac:dyDescent="0.3">
      <c r="U819875" s="25"/>
    </row>
    <row r="819897" spans="21:21" x14ac:dyDescent="0.3">
      <c r="U819897" s="25"/>
    </row>
    <row r="819919" spans="21:21" x14ac:dyDescent="0.3">
      <c r="U819919" s="25"/>
    </row>
    <row r="819941" spans="21:21" x14ac:dyDescent="0.3">
      <c r="U819941" s="25"/>
    </row>
    <row r="819963" spans="21:21" x14ac:dyDescent="0.3">
      <c r="U819963" s="25"/>
    </row>
    <row r="819985" spans="21:21" x14ac:dyDescent="0.3">
      <c r="U819985" s="25"/>
    </row>
    <row r="820007" spans="21:21" x14ac:dyDescent="0.3">
      <c r="U820007" s="25"/>
    </row>
    <row r="820029" spans="21:21" x14ac:dyDescent="0.3">
      <c r="U820029" s="25"/>
    </row>
    <row r="820051" spans="21:21" x14ac:dyDescent="0.3">
      <c r="U820051" s="25"/>
    </row>
    <row r="820073" spans="21:21" x14ac:dyDescent="0.3">
      <c r="U820073" s="25"/>
    </row>
    <row r="820095" spans="21:21" x14ac:dyDescent="0.3">
      <c r="U820095" s="25"/>
    </row>
    <row r="820117" spans="21:21" x14ac:dyDescent="0.3">
      <c r="U820117" s="25"/>
    </row>
    <row r="820139" spans="21:21" x14ac:dyDescent="0.3">
      <c r="U820139" s="25"/>
    </row>
    <row r="820161" spans="21:21" x14ac:dyDescent="0.3">
      <c r="U820161" s="25"/>
    </row>
    <row r="820183" spans="21:21" x14ac:dyDescent="0.3">
      <c r="U820183" s="25"/>
    </row>
    <row r="820205" spans="21:21" x14ac:dyDescent="0.3">
      <c r="U820205" s="25"/>
    </row>
    <row r="820227" spans="21:21" x14ac:dyDescent="0.3">
      <c r="U820227" s="25"/>
    </row>
    <row r="820249" spans="21:21" x14ac:dyDescent="0.3">
      <c r="U820249" s="25"/>
    </row>
    <row r="820271" spans="21:21" x14ac:dyDescent="0.3">
      <c r="U820271" s="25"/>
    </row>
    <row r="820293" spans="21:21" x14ac:dyDescent="0.3">
      <c r="U820293" s="25"/>
    </row>
    <row r="820315" spans="21:21" x14ac:dyDescent="0.3">
      <c r="U820315" s="25"/>
    </row>
    <row r="820337" spans="21:21" x14ac:dyDescent="0.3">
      <c r="U820337" s="25"/>
    </row>
    <row r="820359" spans="21:21" x14ac:dyDescent="0.3">
      <c r="U820359" s="25"/>
    </row>
    <row r="820381" spans="21:21" x14ac:dyDescent="0.3">
      <c r="U820381" s="25"/>
    </row>
    <row r="820403" spans="21:21" x14ac:dyDescent="0.3">
      <c r="U820403" s="25"/>
    </row>
    <row r="820425" spans="21:21" x14ac:dyDescent="0.3">
      <c r="U820425" s="25"/>
    </row>
    <row r="820447" spans="21:21" x14ac:dyDescent="0.3">
      <c r="U820447" s="25"/>
    </row>
    <row r="820469" spans="21:21" x14ac:dyDescent="0.3">
      <c r="U820469" s="25"/>
    </row>
    <row r="820491" spans="21:21" x14ac:dyDescent="0.3">
      <c r="U820491" s="25"/>
    </row>
    <row r="820513" spans="21:21" x14ac:dyDescent="0.3">
      <c r="U820513" s="25"/>
    </row>
    <row r="820535" spans="21:21" x14ac:dyDescent="0.3">
      <c r="U820535" s="25"/>
    </row>
    <row r="820557" spans="21:21" x14ac:dyDescent="0.3">
      <c r="U820557" s="25"/>
    </row>
    <row r="820579" spans="21:21" x14ac:dyDescent="0.3">
      <c r="U820579" s="25"/>
    </row>
    <row r="820601" spans="21:21" x14ac:dyDescent="0.3">
      <c r="U820601" s="25"/>
    </row>
    <row r="820623" spans="21:21" x14ac:dyDescent="0.3">
      <c r="U820623" s="25"/>
    </row>
    <row r="820645" spans="21:21" x14ac:dyDescent="0.3">
      <c r="U820645" s="25"/>
    </row>
    <row r="820667" spans="21:21" x14ac:dyDescent="0.3">
      <c r="U820667" s="25"/>
    </row>
    <row r="820689" spans="21:21" x14ac:dyDescent="0.3">
      <c r="U820689" s="25"/>
    </row>
    <row r="820711" spans="21:21" x14ac:dyDescent="0.3">
      <c r="U820711" s="25"/>
    </row>
    <row r="820733" spans="21:21" x14ac:dyDescent="0.3">
      <c r="U820733" s="25"/>
    </row>
    <row r="820755" spans="21:21" x14ac:dyDescent="0.3">
      <c r="U820755" s="25"/>
    </row>
    <row r="820777" spans="21:21" x14ac:dyDescent="0.3">
      <c r="U820777" s="25"/>
    </row>
    <row r="820799" spans="21:21" x14ac:dyDescent="0.3">
      <c r="U820799" s="25"/>
    </row>
    <row r="820821" spans="21:21" x14ac:dyDescent="0.3">
      <c r="U820821" s="25"/>
    </row>
    <row r="820843" spans="21:21" x14ac:dyDescent="0.3">
      <c r="U820843" s="25"/>
    </row>
    <row r="820865" spans="21:21" x14ac:dyDescent="0.3">
      <c r="U820865" s="25"/>
    </row>
    <row r="820887" spans="21:21" x14ac:dyDescent="0.3">
      <c r="U820887" s="25"/>
    </row>
    <row r="820909" spans="21:21" x14ac:dyDescent="0.3">
      <c r="U820909" s="25"/>
    </row>
    <row r="820931" spans="21:21" x14ac:dyDescent="0.3">
      <c r="U820931" s="25"/>
    </row>
    <row r="820953" spans="21:21" x14ac:dyDescent="0.3">
      <c r="U820953" s="25"/>
    </row>
    <row r="820975" spans="21:21" x14ac:dyDescent="0.3">
      <c r="U820975" s="25"/>
    </row>
    <row r="820997" spans="21:21" x14ac:dyDescent="0.3">
      <c r="U820997" s="25"/>
    </row>
    <row r="821019" spans="21:21" x14ac:dyDescent="0.3">
      <c r="U821019" s="25"/>
    </row>
    <row r="821041" spans="21:21" x14ac:dyDescent="0.3">
      <c r="U821041" s="25"/>
    </row>
    <row r="821063" spans="21:21" x14ac:dyDescent="0.3">
      <c r="U821063" s="25"/>
    </row>
    <row r="821085" spans="21:21" x14ac:dyDescent="0.3">
      <c r="U821085" s="25"/>
    </row>
    <row r="821107" spans="21:21" x14ac:dyDescent="0.3">
      <c r="U821107" s="25"/>
    </row>
    <row r="821129" spans="21:21" x14ac:dyDescent="0.3">
      <c r="U821129" s="25"/>
    </row>
    <row r="821151" spans="21:21" x14ac:dyDescent="0.3">
      <c r="U821151" s="25"/>
    </row>
    <row r="821173" spans="21:21" x14ac:dyDescent="0.3">
      <c r="U821173" s="25"/>
    </row>
    <row r="821195" spans="21:21" x14ac:dyDescent="0.3">
      <c r="U821195" s="25"/>
    </row>
    <row r="821217" spans="21:21" x14ac:dyDescent="0.3">
      <c r="U821217" s="25"/>
    </row>
    <row r="821239" spans="21:21" x14ac:dyDescent="0.3">
      <c r="U821239" s="25"/>
    </row>
    <row r="821261" spans="21:21" x14ac:dyDescent="0.3">
      <c r="U821261" s="25"/>
    </row>
    <row r="821283" spans="21:21" x14ac:dyDescent="0.3">
      <c r="U821283" s="25"/>
    </row>
    <row r="821305" spans="21:21" x14ac:dyDescent="0.3">
      <c r="U821305" s="25"/>
    </row>
    <row r="821327" spans="21:21" x14ac:dyDescent="0.3">
      <c r="U821327" s="25"/>
    </row>
    <row r="821349" spans="21:21" x14ac:dyDescent="0.3">
      <c r="U821349" s="25"/>
    </row>
    <row r="821371" spans="21:21" x14ac:dyDescent="0.3">
      <c r="U821371" s="25"/>
    </row>
    <row r="821393" spans="21:21" x14ac:dyDescent="0.3">
      <c r="U821393" s="25"/>
    </row>
    <row r="821415" spans="21:21" x14ac:dyDescent="0.3">
      <c r="U821415" s="25"/>
    </row>
    <row r="821437" spans="21:21" x14ac:dyDescent="0.3">
      <c r="U821437" s="25"/>
    </row>
    <row r="821459" spans="21:21" x14ac:dyDescent="0.3">
      <c r="U821459" s="25"/>
    </row>
    <row r="821481" spans="21:21" x14ac:dyDescent="0.3">
      <c r="U821481" s="25"/>
    </row>
    <row r="821503" spans="21:21" x14ac:dyDescent="0.3">
      <c r="U821503" s="25"/>
    </row>
    <row r="821525" spans="21:21" x14ac:dyDescent="0.3">
      <c r="U821525" s="25"/>
    </row>
    <row r="821547" spans="21:21" x14ac:dyDescent="0.3">
      <c r="U821547" s="25"/>
    </row>
    <row r="821569" spans="21:21" x14ac:dyDescent="0.3">
      <c r="U821569" s="25"/>
    </row>
    <row r="821591" spans="21:21" x14ac:dyDescent="0.3">
      <c r="U821591" s="25"/>
    </row>
    <row r="821613" spans="21:21" x14ac:dyDescent="0.3">
      <c r="U821613" s="25"/>
    </row>
    <row r="821635" spans="21:21" x14ac:dyDescent="0.3">
      <c r="U821635" s="25"/>
    </row>
    <row r="821657" spans="21:21" x14ac:dyDescent="0.3">
      <c r="U821657" s="25"/>
    </row>
    <row r="821679" spans="21:21" x14ac:dyDescent="0.3">
      <c r="U821679" s="25"/>
    </row>
    <row r="821701" spans="21:21" x14ac:dyDescent="0.3">
      <c r="U821701" s="25"/>
    </row>
    <row r="821723" spans="21:21" x14ac:dyDescent="0.3">
      <c r="U821723" s="25"/>
    </row>
    <row r="821745" spans="21:21" x14ac:dyDescent="0.3">
      <c r="U821745" s="25"/>
    </row>
    <row r="821767" spans="21:21" x14ac:dyDescent="0.3">
      <c r="U821767" s="25"/>
    </row>
    <row r="821789" spans="21:21" x14ac:dyDescent="0.3">
      <c r="U821789" s="25"/>
    </row>
    <row r="821811" spans="21:21" x14ac:dyDescent="0.3">
      <c r="U821811" s="25"/>
    </row>
    <row r="821833" spans="21:21" x14ac:dyDescent="0.3">
      <c r="U821833" s="25"/>
    </row>
    <row r="821855" spans="21:21" x14ac:dyDescent="0.3">
      <c r="U821855" s="25"/>
    </row>
    <row r="821877" spans="21:21" x14ac:dyDescent="0.3">
      <c r="U821877" s="25"/>
    </row>
    <row r="821899" spans="21:21" x14ac:dyDescent="0.3">
      <c r="U821899" s="25"/>
    </row>
    <row r="821921" spans="21:21" x14ac:dyDescent="0.3">
      <c r="U821921" s="25"/>
    </row>
    <row r="821943" spans="21:21" x14ac:dyDescent="0.3">
      <c r="U821943" s="25"/>
    </row>
    <row r="821965" spans="21:21" x14ac:dyDescent="0.3">
      <c r="U821965" s="25"/>
    </row>
    <row r="821987" spans="21:21" x14ac:dyDescent="0.3">
      <c r="U821987" s="25"/>
    </row>
    <row r="822009" spans="21:21" x14ac:dyDescent="0.3">
      <c r="U822009" s="25"/>
    </row>
    <row r="822031" spans="21:21" x14ac:dyDescent="0.3">
      <c r="U822031" s="25"/>
    </row>
    <row r="822053" spans="21:21" x14ac:dyDescent="0.3">
      <c r="U822053" s="25"/>
    </row>
    <row r="822075" spans="21:21" x14ac:dyDescent="0.3">
      <c r="U822075" s="25"/>
    </row>
    <row r="822097" spans="21:21" x14ac:dyDescent="0.3">
      <c r="U822097" s="25"/>
    </row>
    <row r="822119" spans="21:21" x14ac:dyDescent="0.3">
      <c r="U822119" s="25"/>
    </row>
    <row r="822141" spans="21:21" x14ac:dyDescent="0.3">
      <c r="U822141" s="25"/>
    </row>
    <row r="822163" spans="21:21" x14ac:dyDescent="0.3">
      <c r="U822163" s="25"/>
    </row>
    <row r="822185" spans="21:21" x14ac:dyDescent="0.3">
      <c r="U822185" s="25"/>
    </row>
    <row r="822207" spans="21:21" x14ac:dyDescent="0.3">
      <c r="U822207" s="25"/>
    </row>
    <row r="822229" spans="21:21" x14ac:dyDescent="0.3">
      <c r="U822229" s="25"/>
    </row>
    <row r="822251" spans="21:21" x14ac:dyDescent="0.3">
      <c r="U822251" s="25"/>
    </row>
    <row r="822273" spans="21:21" x14ac:dyDescent="0.3">
      <c r="U822273" s="25"/>
    </row>
    <row r="822295" spans="21:21" x14ac:dyDescent="0.3">
      <c r="U822295" s="25"/>
    </row>
    <row r="822317" spans="21:21" x14ac:dyDescent="0.3">
      <c r="U822317" s="25"/>
    </row>
    <row r="822339" spans="21:21" x14ac:dyDescent="0.3">
      <c r="U822339" s="25"/>
    </row>
    <row r="822361" spans="21:21" x14ac:dyDescent="0.3">
      <c r="U822361" s="25"/>
    </row>
    <row r="822383" spans="21:21" x14ac:dyDescent="0.3">
      <c r="U822383" s="25"/>
    </row>
    <row r="822405" spans="21:21" x14ac:dyDescent="0.3">
      <c r="U822405" s="25"/>
    </row>
    <row r="822427" spans="21:21" x14ac:dyDescent="0.3">
      <c r="U822427" s="25"/>
    </row>
    <row r="822449" spans="21:21" x14ac:dyDescent="0.3">
      <c r="U822449" s="25"/>
    </row>
    <row r="822471" spans="21:21" x14ac:dyDescent="0.3">
      <c r="U822471" s="25"/>
    </row>
    <row r="822493" spans="21:21" x14ac:dyDescent="0.3">
      <c r="U822493" s="25"/>
    </row>
    <row r="822515" spans="21:21" x14ac:dyDescent="0.3">
      <c r="U822515" s="25"/>
    </row>
    <row r="822537" spans="21:21" x14ac:dyDescent="0.3">
      <c r="U822537" s="25"/>
    </row>
    <row r="822559" spans="21:21" x14ac:dyDescent="0.3">
      <c r="U822559" s="25"/>
    </row>
    <row r="822581" spans="21:21" x14ac:dyDescent="0.3">
      <c r="U822581" s="25"/>
    </row>
    <row r="822603" spans="21:21" x14ac:dyDescent="0.3">
      <c r="U822603" s="25"/>
    </row>
    <row r="822625" spans="21:21" x14ac:dyDescent="0.3">
      <c r="U822625" s="25"/>
    </row>
    <row r="822647" spans="21:21" x14ac:dyDescent="0.3">
      <c r="U822647" s="25"/>
    </row>
    <row r="822669" spans="21:21" x14ac:dyDescent="0.3">
      <c r="U822669" s="25"/>
    </row>
    <row r="822691" spans="21:21" x14ac:dyDescent="0.3">
      <c r="U822691" s="25"/>
    </row>
    <row r="822713" spans="21:21" x14ac:dyDescent="0.3">
      <c r="U822713" s="25"/>
    </row>
    <row r="822735" spans="21:21" x14ac:dyDescent="0.3">
      <c r="U822735" s="25"/>
    </row>
    <row r="822757" spans="21:21" x14ac:dyDescent="0.3">
      <c r="U822757" s="25"/>
    </row>
    <row r="822779" spans="21:21" x14ac:dyDescent="0.3">
      <c r="U822779" s="25"/>
    </row>
    <row r="822801" spans="21:21" x14ac:dyDescent="0.3">
      <c r="U822801" s="25"/>
    </row>
    <row r="822823" spans="21:21" x14ac:dyDescent="0.3">
      <c r="U822823" s="25"/>
    </row>
    <row r="822845" spans="21:21" x14ac:dyDescent="0.3">
      <c r="U822845" s="25"/>
    </row>
    <row r="822867" spans="21:21" x14ac:dyDescent="0.3">
      <c r="U822867" s="25"/>
    </row>
    <row r="822889" spans="21:21" x14ac:dyDescent="0.3">
      <c r="U822889" s="25"/>
    </row>
    <row r="822911" spans="21:21" x14ac:dyDescent="0.3">
      <c r="U822911" s="25"/>
    </row>
    <row r="822933" spans="21:21" x14ac:dyDescent="0.3">
      <c r="U822933" s="25"/>
    </row>
    <row r="822955" spans="21:21" x14ac:dyDescent="0.3">
      <c r="U822955" s="25"/>
    </row>
    <row r="822977" spans="21:21" x14ac:dyDescent="0.3">
      <c r="U822977" s="25"/>
    </row>
    <row r="822999" spans="21:21" x14ac:dyDescent="0.3">
      <c r="U822999" s="25"/>
    </row>
    <row r="823021" spans="21:21" x14ac:dyDescent="0.3">
      <c r="U823021" s="25"/>
    </row>
    <row r="823043" spans="21:21" x14ac:dyDescent="0.3">
      <c r="U823043" s="25"/>
    </row>
    <row r="823065" spans="21:21" x14ac:dyDescent="0.3">
      <c r="U823065" s="25"/>
    </row>
    <row r="823087" spans="21:21" x14ac:dyDescent="0.3">
      <c r="U823087" s="25"/>
    </row>
    <row r="823109" spans="21:21" x14ac:dyDescent="0.3">
      <c r="U823109" s="25"/>
    </row>
    <row r="823131" spans="21:21" x14ac:dyDescent="0.3">
      <c r="U823131" s="25"/>
    </row>
    <row r="823153" spans="21:21" x14ac:dyDescent="0.3">
      <c r="U823153" s="25"/>
    </row>
    <row r="823175" spans="21:21" x14ac:dyDescent="0.3">
      <c r="U823175" s="25"/>
    </row>
    <row r="823197" spans="21:21" x14ac:dyDescent="0.3">
      <c r="U823197" s="25"/>
    </row>
    <row r="823219" spans="21:21" x14ac:dyDescent="0.3">
      <c r="U823219" s="25"/>
    </row>
    <row r="823241" spans="21:21" x14ac:dyDescent="0.3">
      <c r="U823241" s="25"/>
    </row>
    <row r="823263" spans="21:21" x14ac:dyDescent="0.3">
      <c r="U823263" s="25"/>
    </row>
    <row r="823285" spans="21:21" x14ac:dyDescent="0.3">
      <c r="U823285" s="25"/>
    </row>
    <row r="823307" spans="21:21" x14ac:dyDescent="0.3">
      <c r="U823307" s="25"/>
    </row>
    <row r="823329" spans="21:21" x14ac:dyDescent="0.3">
      <c r="U823329" s="25"/>
    </row>
    <row r="823351" spans="21:21" x14ac:dyDescent="0.3">
      <c r="U823351" s="25"/>
    </row>
    <row r="823373" spans="21:21" x14ac:dyDescent="0.3">
      <c r="U823373" s="25"/>
    </row>
    <row r="823395" spans="21:21" x14ac:dyDescent="0.3">
      <c r="U823395" s="25"/>
    </row>
    <row r="823417" spans="21:21" x14ac:dyDescent="0.3">
      <c r="U823417" s="25"/>
    </row>
    <row r="823439" spans="21:21" x14ac:dyDescent="0.3">
      <c r="U823439" s="25"/>
    </row>
    <row r="823461" spans="21:21" x14ac:dyDescent="0.3">
      <c r="U823461" s="25"/>
    </row>
    <row r="823483" spans="21:21" x14ac:dyDescent="0.3">
      <c r="U823483" s="25"/>
    </row>
    <row r="823505" spans="21:21" x14ac:dyDescent="0.3">
      <c r="U823505" s="25"/>
    </row>
    <row r="823527" spans="21:21" x14ac:dyDescent="0.3">
      <c r="U823527" s="25"/>
    </row>
    <row r="823549" spans="21:21" x14ac:dyDescent="0.3">
      <c r="U823549" s="25"/>
    </row>
    <row r="823571" spans="21:21" x14ac:dyDescent="0.3">
      <c r="U823571" s="25"/>
    </row>
    <row r="823593" spans="21:21" x14ac:dyDescent="0.3">
      <c r="U823593" s="25"/>
    </row>
    <row r="823615" spans="21:21" x14ac:dyDescent="0.3">
      <c r="U823615" s="25"/>
    </row>
    <row r="823637" spans="21:21" x14ac:dyDescent="0.3">
      <c r="U823637" s="25"/>
    </row>
    <row r="823659" spans="21:21" x14ac:dyDescent="0.3">
      <c r="U823659" s="25"/>
    </row>
    <row r="823681" spans="21:21" x14ac:dyDescent="0.3">
      <c r="U823681" s="25"/>
    </row>
    <row r="823703" spans="21:21" x14ac:dyDescent="0.3">
      <c r="U823703" s="25"/>
    </row>
    <row r="823725" spans="21:21" x14ac:dyDescent="0.3">
      <c r="U823725" s="25"/>
    </row>
    <row r="823747" spans="21:21" x14ac:dyDescent="0.3">
      <c r="U823747" s="25"/>
    </row>
    <row r="823769" spans="21:21" x14ac:dyDescent="0.3">
      <c r="U823769" s="25"/>
    </row>
    <row r="823791" spans="21:21" x14ac:dyDescent="0.3">
      <c r="U823791" s="25"/>
    </row>
    <row r="823813" spans="21:21" x14ac:dyDescent="0.3">
      <c r="U823813" s="25"/>
    </row>
    <row r="823835" spans="21:21" x14ac:dyDescent="0.3">
      <c r="U823835" s="25"/>
    </row>
    <row r="823857" spans="21:21" x14ac:dyDescent="0.3">
      <c r="U823857" s="25"/>
    </row>
    <row r="823879" spans="21:21" x14ac:dyDescent="0.3">
      <c r="U823879" s="25"/>
    </row>
    <row r="823901" spans="21:21" x14ac:dyDescent="0.3">
      <c r="U823901" s="25"/>
    </row>
    <row r="823923" spans="21:21" x14ac:dyDescent="0.3">
      <c r="U823923" s="25"/>
    </row>
    <row r="823945" spans="21:21" x14ac:dyDescent="0.3">
      <c r="U823945" s="25"/>
    </row>
    <row r="823967" spans="21:21" x14ac:dyDescent="0.3">
      <c r="U823967" s="25"/>
    </row>
    <row r="823989" spans="21:21" x14ac:dyDescent="0.3">
      <c r="U823989" s="25"/>
    </row>
    <row r="824011" spans="21:21" x14ac:dyDescent="0.3">
      <c r="U824011" s="25"/>
    </row>
    <row r="824033" spans="21:21" x14ac:dyDescent="0.3">
      <c r="U824033" s="25"/>
    </row>
    <row r="824055" spans="21:21" x14ac:dyDescent="0.3">
      <c r="U824055" s="25"/>
    </row>
    <row r="824077" spans="21:21" x14ac:dyDescent="0.3">
      <c r="U824077" s="25"/>
    </row>
    <row r="824099" spans="21:21" x14ac:dyDescent="0.3">
      <c r="U824099" s="25"/>
    </row>
    <row r="824121" spans="21:21" x14ac:dyDescent="0.3">
      <c r="U824121" s="25"/>
    </row>
    <row r="824143" spans="21:21" x14ac:dyDescent="0.3">
      <c r="U824143" s="25"/>
    </row>
    <row r="824165" spans="21:21" x14ac:dyDescent="0.3">
      <c r="U824165" s="25"/>
    </row>
    <row r="824187" spans="21:21" x14ac:dyDescent="0.3">
      <c r="U824187" s="25"/>
    </row>
    <row r="824209" spans="21:21" x14ac:dyDescent="0.3">
      <c r="U824209" s="25"/>
    </row>
    <row r="824231" spans="21:21" x14ac:dyDescent="0.3">
      <c r="U824231" s="25"/>
    </row>
    <row r="824253" spans="21:21" x14ac:dyDescent="0.3">
      <c r="U824253" s="25"/>
    </row>
    <row r="824275" spans="21:21" x14ac:dyDescent="0.3">
      <c r="U824275" s="25"/>
    </row>
    <row r="824297" spans="21:21" x14ac:dyDescent="0.3">
      <c r="U824297" s="25"/>
    </row>
    <row r="824319" spans="21:21" x14ac:dyDescent="0.3">
      <c r="U824319" s="25"/>
    </row>
    <row r="824341" spans="21:21" x14ac:dyDescent="0.3">
      <c r="U824341" s="25"/>
    </row>
    <row r="824363" spans="21:21" x14ac:dyDescent="0.3">
      <c r="U824363" s="25"/>
    </row>
    <row r="824385" spans="21:21" x14ac:dyDescent="0.3">
      <c r="U824385" s="25"/>
    </row>
    <row r="824407" spans="21:21" x14ac:dyDescent="0.3">
      <c r="U824407" s="25"/>
    </row>
    <row r="824429" spans="21:21" x14ac:dyDescent="0.3">
      <c r="U824429" s="25"/>
    </row>
    <row r="824451" spans="21:21" x14ac:dyDescent="0.3">
      <c r="U824451" s="25"/>
    </row>
    <row r="824473" spans="21:21" x14ac:dyDescent="0.3">
      <c r="U824473" s="25"/>
    </row>
    <row r="824495" spans="21:21" x14ac:dyDescent="0.3">
      <c r="U824495" s="25"/>
    </row>
    <row r="824517" spans="21:21" x14ac:dyDescent="0.3">
      <c r="U824517" s="25"/>
    </row>
    <row r="824539" spans="21:21" x14ac:dyDescent="0.3">
      <c r="U824539" s="25"/>
    </row>
    <row r="824561" spans="21:21" x14ac:dyDescent="0.3">
      <c r="U824561" s="25"/>
    </row>
    <row r="824583" spans="21:21" x14ac:dyDescent="0.3">
      <c r="U824583" s="25"/>
    </row>
    <row r="824605" spans="21:21" x14ac:dyDescent="0.3">
      <c r="U824605" s="25"/>
    </row>
    <row r="824627" spans="21:21" x14ac:dyDescent="0.3">
      <c r="U824627" s="25"/>
    </row>
    <row r="824649" spans="21:21" x14ac:dyDescent="0.3">
      <c r="U824649" s="25"/>
    </row>
    <row r="824671" spans="21:21" x14ac:dyDescent="0.3">
      <c r="U824671" s="25"/>
    </row>
    <row r="824693" spans="21:21" x14ac:dyDescent="0.3">
      <c r="U824693" s="25"/>
    </row>
    <row r="824715" spans="21:21" x14ac:dyDescent="0.3">
      <c r="U824715" s="25"/>
    </row>
    <row r="824737" spans="21:21" x14ac:dyDescent="0.3">
      <c r="U824737" s="25"/>
    </row>
    <row r="824759" spans="21:21" x14ac:dyDescent="0.3">
      <c r="U824759" s="25"/>
    </row>
    <row r="824781" spans="21:21" x14ac:dyDescent="0.3">
      <c r="U824781" s="25"/>
    </row>
    <row r="824803" spans="21:21" x14ac:dyDescent="0.3">
      <c r="U824803" s="25"/>
    </row>
    <row r="824825" spans="21:21" x14ac:dyDescent="0.3">
      <c r="U824825" s="25"/>
    </row>
    <row r="824847" spans="21:21" x14ac:dyDescent="0.3">
      <c r="U824847" s="25"/>
    </row>
    <row r="824869" spans="21:21" x14ac:dyDescent="0.3">
      <c r="U824869" s="25"/>
    </row>
    <row r="824891" spans="21:21" x14ac:dyDescent="0.3">
      <c r="U824891" s="25"/>
    </row>
    <row r="824913" spans="21:21" x14ac:dyDescent="0.3">
      <c r="U824913" s="25"/>
    </row>
    <row r="824935" spans="21:21" x14ac:dyDescent="0.3">
      <c r="U824935" s="25"/>
    </row>
    <row r="824957" spans="21:21" x14ac:dyDescent="0.3">
      <c r="U824957" s="25"/>
    </row>
    <row r="824979" spans="21:21" x14ac:dyDescent="0.3">
      <c r="U824979" s="25"/>
    </row>
    <row r="825001" spans="21:21" x14ac:dyDescent="0.3">
      <c r="U825001" s="25"/>
    </row>
    <row r="825023" spans="21:21" x14ac:dyDescent="0.3">
      <c r="U825023" s="25"/>
    </row>
    <row r="825045" spans="21:21" x14ac:dyDescent="0.3">
      <c r="U825045" s="25"/>
    </row>
    <row r="825067" spans="21:21" x14ac:dyDescent="0.3">
      <c r="U825067" s="25"/>
    </row>
    <row r="825089" spans="21:21" x14ac:dyDescent="0.3">
      <c r="U825089" s="25"/>
    </row>
    <row r="825111" spans="21:21" x14ac:dyDescent="0.3">
      <c r="U825111" s="25"/>
    </row>
    <row r="825133" spans="21:21" x14ac:dyDescent="0.3">
      <c r="U825133" s="25"/>
    </row>
    <row r="825155" spans="21:21" x14ac:dyDescent="0.3">
      <c r="U825155" s="25"/>
    </row>
    <row r="825177" spans="21:21" x14ac:dyDescent="0.3">
      <c r="U825177" s="25"/>
    </row>
    <row r="825199" spans="21:21" x14ac:dyDescent="0.3">
      <c r="U825199" s="25"/>
    </row>
    <row r="825221" spans="21:21" x14ac:dyDescent="0.3">
      <c r="U825221" s="25"/>
    </row>
    <row r="825243" spans="21:21" x14ac:dyDescent="0.3">
      <c r="U825243" s="25"/>
    </row>
    <row r="825265" spans="21:21" x14ac:dyDescent="0.3">
      <c r="U825265" s="25"/>
    </row>
    <row r="825287" spans="21:21" x14ac:dyDescent="0.3">
      <c r="U825287" s="25"/>
    </row>
    <row r="825309" spans="21:21" x14ac:dyDescent="0.3">
      <c r="U825309" s="25"/>
    </row>
    <row r="825331" spans="21:21" x14ac:dyDescent="0.3">
      <c r="U825331" s="25"/>
    </row>
    <row r="825353" spans="21:21" x14ac:dyDescent="0.3">
      <c r="U825353" s="25"/>
    </row>
    <row r="825375" spans="21:21" x14ac:dyDescent="0.3">
      <c r="U825375" s="25"/>
    </row>
    <row r="825397" spans="21:21" x14ac:dyDescent="0.3">
      <c r="U825397" s="25"/>
    </row>
    <row r="825419" spans="21:21" x14ac:dyDescent="0.3">
      <c r="U825419" s="25"/>
    </row>
    <row r="825441" spans="21:21" x14ac:dyDescent="0.3">
      <c r="U825441" s="25"/>
    </row>
    <row r="825463" spans="21:21" x14ac:dyDescent="0.3">
      <c r="U825463" s="25"/>
    </row>
    <row r="825485" spans="21:21" x14ac:dyDescent="0.3">
      <c r="U825485" s="25"/>
    </row>
    <row r="825507" spans="21:21" x14ac:dyDescent="0.3">
      <c r="U825507" s="25"/>
    </row>
    <row r="825529" spans="21:21" x14ac:dyDescent="0.3">
      <c r="U825529" s="25"/>
    </row>
    <row r="825551" spans="21:21" x14ac:dyDescent="0.3">
      <c r="U825551" s="25"/>
    </row>
    <row r="825573" spans="21:21" x14ac:dyDescent="0.3">
      <c r="U825573" s="25"/>
    </row>
    <row r="825595" spans="21:21" x14ac:dyDescent="0.3">
      <c r="U825595" s="25"/>
    </row>
    <row r="825617" spans="21:21" x14ac:dyDescent="0.3">
      <c r="U825617" s="25"/>
    </row>
    <row r="825639" spans="21:21" x14ac:dyDescent="0.3">
      <c r="U825639" s="25"/>
    </row>
    <row r="825661" spans="21:21" x14ac:dyDescent="0.3">
      <c r="U825661" s="25"/>
    </row>
    <row r="825683" spans="21:21" x14ac:dyDescent="0.3">
      <c r="U825683" s="25"/>
    </row>
    <row r="825705" spans="21:21" x14ac:dyDescent="0.3">
      <c r="U825705" s="25"/>
    </row>
    <row r="825727" spans="21:21" x14ac:dyDescent="0.3">
      <c r="U825727" s="25"/>
    </row>
    <row r="825749" spans="21:21" x14ac:dyDescent="0.3">
      <c r="U825749" s="25"/>
    </row>
    <row r="825771" spans="21:21" x14ac:dyDescent="0.3">
      <c r="U825771" s="25"/>
    </row>
    <row r="825793" spans="21:21" x14ac:dyDescent="0.3">
      <c r="U825793" s="25"/>
    </row>
    <row r="825815" spans="21:21" x14ac:dyDescent="0.3">
      <c r="U825815" s="25"/>
    </row>
    <row r="825837" spans="21:21" x14ac:dyDescent="0.3">
      <c r="U825837" s="25"/>
    </row>
    <row r="825859" spans="21:21" x14ac:dyDescent="0.3">
      <c r="U825859" s="25"/>
    </row>
    <row r="825881" spans="21:21" x14ac:dyDescent="0.3">
      <c r="U825881" s="25"/>
    </row>
    <row r="825903" spans="21:21" x14ac:dyDescent="0.3">
      <c r="U825903" s="25"/>
    </row>
    <row r="825925" spans="21:21" x14ac:dyDescent="0.3">
      <c r="U825925" s="25"/>
    </row>
    <row r="825947" spans="21:21" x14ac:dyDescent="0.3">
      <c r="U825947" s="25"/>
    </row>
    <row r="825969" spans="21:21" x14ac:dyDescent="0.3">
      <c r="U825969" s="25"/>
    </row>
    <row r="825991" spans="21:21" x14ac:dyDescent="0.3">
      <c r="U825991" s="25"/>
    </row>
    <row r="826013" spans="21:21" x14ac:dyDescent="0.3">
      <c r="U826013" s="25"/>
    </row>
    <row r="826035" spans="21:21" x14ac:dyDescent="0.3">
      <c r="U826035" s="25"/>
    </row>
    <row r="826057" spans="21:21" x14ac:dyDescent="0.3">
      <c r="U826057" s="25"/>
    </row>
    <row r="826079" spans="21:21" x14ac:dyDescent="0.3">
      <c r="U826079" s="25"/>
    </row>
    <row r="826101" spans="21:21" x14ac:dyDescent="0.3">
      <c r="U826101" s="25"/>
    </row>
    <row r="826123" spans="21:21" x14ac:dyDescent="0.3">
      <c r="U826123" s="25"/>
    </row>
    <row r="826145" spans="21:21" x14ac:dyDescent="0.3">
      <c r="U826145" s="25"/>
    </row>
    <row r="826167" spans="21:21" x14ac:dyDescent="0.3">
      <c r="U826167" s="25"/>
    </row>
    <row r="826189" spans="21:21" x14ac:dyDescent="0.3">
      <c r="U826189" s="25"/>
    </row>
    <row r="826211" spans="21:21" x14ac:dyDescent="0.3">
      <c r="U826211" s="25"/>
    </row>
    <row r="826233" spans="21:21" x14ac:dyDescent="0.3">
      <c r="U826233" s="25"/>
    </row>
    <row r="826255" spans="21:21" x14ac:dyDescent="0.3">
      <c r="U826255" s="25"/>
    </row>
    <row r="826277" spans="21:21" x14ac:dyDescent="0.3">
      <c r="U826277" s="25"/>
    </row>
    <row r="826299" spans="21:21" x14ac:dyDescent="0.3">
      <c r="U826299" s="25"/>
    </row>
    <row r="826321" spans="21:21" x14ac:dyDescent="0.3">
      <c r="U826321" s="25"/>
    </row>
    <row r="826343" spans="21:21" x14ac:dyDescent="0.3">
      <c r="U826343" s="25"/>
    </row>
    <row r="826365" spans="21:21" x14ac:dyDescent="0.3">
      <c r="U826365" s="25"/>
    </row>
    <row r="826387" spans="21:21" x14ac:dyDescent="0.3">
      <c r="U826387" s="25"/>
    </row>
    <row r="826409" spans="21:21" x14ac:dyDescent="0.3">
      <c r="U826409" s="25"/>
    </row>
    <row r="826431" spans="21:21" x14ac:dyDescent="0.3">
      <c r="U826431" s="25"/>
    </row>
    <row r="826453" spans="21:21" x14ac:dyDescent="0.3">
      <c r="U826453" s="25"/>
    </row>
    <row r="826475" spans="21:21" x14ac:dyDescent="0.3">
      <c r="U826475" s="25"/>
    </row>
    <row r="826497" spans="21:21" x14ac:dyDescent="0.3">
      <c r="U826497" s="25"/>
    </row>
    <row r="826519" spans="21:21" x14ac:dyDescent="0.3">
      <c r="U826519" s="25"/>
    </row>
    <row r="826541" spans="21:21" x14ac:dyDescent="0.3">
      <c r="U826541" s="25"/>
    </row>
    <row r="826563" spans="21:21" x14ac:dyDescent="0.3">
      <c r="U826563" s="25"/>
    </row>
    <row r="826585" spans="21:21" x14ac:dyDescent="0.3">
      <c r="U826585" s="25"/>
    </row>
    <row r="826607" spans="21:21" x14ac:dyDescent="0.3">
      <c r="U826607" s="25"/>
    </row>
    <row r="826629" spans="21:21" x14ac:dyDescent="0.3">
      <c r="U826629" s="25"/>
    </row>
    <row r="826651" spans="21:21" x14ac:dyDescent="0.3">
      <c r="U826651" s="25"/>
    </row>
    <row r="826673" spans="21:21" x14ac:dyDescent="0.3">
      <c r="U826673" s="25"/>
    </row>
    <row r="826695" spans="21:21" x14ac:dyDescent="0.3">
      <c r="U826695" s="25"/>
    </row>
    <row r="826717" spans="21:21" x14ac:dyDescent="0.3">
      <c r="U826717" s="25"/>
    </row>
    <row r="826739" spans="21:21" x14ac:dyDescent="0.3">
      <c r="U826739" s="25"/>
    </row>
    <row r="826761" spans="21:21" x14ac:dyDescent="0.3">
      <c r="U826761" s="25"/>
    </row>
    <row r="826783" spans="21:21" x14ac:dyDescent="0.3">
      <c r="U826783" s="25"/>
    </row>
    <row r="826805" spans="21:21" x14ac:dyDescent="0.3">
      <c r="U826805" s="25"/>
    </row>
    <row r="826827" spans="21:21" x14ac:dyDescent="0.3">
      <c r="U826827" s="25"/>
    </row>
    <row r="826849" spans="21:21" x14ac:dyDescent="0.3">
      <c r="U826849" s="25"/>
    </row>
    <row r="826871" spans="21:21" x14ac:dyDescent="0.3">
      <c r="U826871" s="25"/>
    </row>
    <row r="826893" spans="21:21" x14ac:dyDescent="0.3">
      <c r="U826893" s="25"/>
    </row>
    <row r="826915" spans="21:21" x14ac:dyDescent="0.3">
      <c r="U826915" s="25"/>
    </row>
    <row r="826937" spans="21:21" x14ac:dyDescent="0.3">
      <c r="U826937" s="25"/>
    </row>
    <row r="826959" spans="21:21" x14ac:dyDescent="0.3">
      <c r="U826959" s="25"/>
    </row>
    <row r="826981" spans="21:21" x14ac:dyDescent="0.3">
      <c r="U826981" s="25"/>
    </row>
    <row r="827003" spans="21:21" x14ac:dyDescent="0.3">
      <c r="U827003" s="25"/>
    </row>
    <row r="827025" spans="21:21" x14ac:dyDescent="0.3">
      <c r="U827025" s="25"/>
    </row>
    <row r="827047" spans="21:21" x14ac:dyDescent="0.3">
      <c r="U827047" s="25"/>
    </row>
    <row r="827069" spans="21:21" x14ac:dyDescent="0.3">
      <c r="U827069" s="25"/>
    </row>
    <row r="827091" spans="21:21" x14ac:dyDescent="0.3">
      <c r="U827091" s="25"/>
    </row>
    <row r="827113" spans="21:21" x14ac:dyDescent="0.3">
      <c r="U827113" s="25"/>
    </row>
    <row r="827135" spans="21:21" x14ac:dyDescent="0.3">
      <c r="U827135" s="25"/>
    </row>
    <row r="827157" spans="21:21" x14ac:dyDescent="0.3">
      <c r="U827157" s="25"/>
    </row>
    <row r="827179" spans="21:21" x14ac:dyDescent="0.3">
      <c r="U827179" s="25"/>
    </row>
    <row r="827201" spans="21:21" x14ac:dyDescent="0.3">
      <c r="U827201" s="25"/>
    </row>
    <row r="827223" spans="21:21" x14ac:dyDescent="0.3">
      <c r="U827223" s="25"/>
    </row>
    <row r="827245" spans="21:21" x14ac:dyDescent="0.3">
      <c r="U827245" s="25"/>
    </row>
    <row r="827267" spans="21:21" x14ac:dyDescent="0.3">
      <c r="U827267" s="25"/>
    </row>
    <row r="827289" spans="21:21" x14ac:dyDescent="0.3">
      <c r="U827289" s="25"/>
    </row>
    <row r="827311" spans="21:21" x14ac:dyDescent="0.3">
      <c r="U827311" s="25"/>
    </row>
    <row r="827333" spans="21:21" x14ac:dyDescent="0.3">
      <c r="U827333" s="25"/>
    </row>
    <row r="827355" spans="21:21" x14ac:dyDescent="0.3">
      <c r="U827355" s="25"/>
    </row>
    <row r="827377" spans="21:21" x14ac:dyDescent="0.3">
      <c r="U827377" s="25"/>
    </row>
    <row r="827399" spans="21:21" x14ac:dyDescent="0.3">
      <c r="U827399" s="25"/>
    </row>
    <row r="827421" spans="21:21" x14ac:dyDescent="0.3">
      <c r="U827421" s="25"/>
    </row>
    <row r="827443" spans="21:21" x14ac:dyDescent="0.3">
      <c r="U827443" s="25"/>
    </row>
    <row r="827465" spans="21:21" x14ac:dyDescent="0.3">
      <c r="U827465" s="25"/>
    </row>
    <row r="827487" spans="21:21" x14ac:dyDescent="0.3">
      <c r="U827487" s="25"/>
    </row>
    <row r="827509" spans="21:21" x14ac:dyDescent="0.3">
      <c r="U827509" s="25"/>
    </row>
    <row r="827531" spans="21:21" x14ac:dyDescent="0.3">
      <c r="U827531" s="25"/>
    </row>
    <row r="827553" spans="21:21" x14ac:dyDescent="0.3">
      <c r="U827553" s="25"/>
    </row>
    <row r="827575" spans="21:21" x14ac:dyDescent="0.3">
      <c r="U827575" s="25"/>
    </row>
    <row r="827597" spans="21:21" x14ac:dyDescent="0.3">
      <c r="U827597" s="25"/>
    </row>
    <row r="827619" spans="21:21" x14ac:dyDescent="0.3">
      <c r="U827619" s="25"/>
    </row>
    <row r="827641" spans="21:21" x14ac:dyDescent="0.3">
      <c r="U827641" s="25"/>
    </row>
    <row r="827663" spans="21:21" x14ac:dyDescent="0.3">
      <c r="U827663" s="25"/>
    </row>
    <row r="827685" spans="21:21" x14ac:dyDescent="0.3">
      <c r="U827685" s="25"/>
    </row>
    <row r="827707" spans="21:21" x14ac:dyDescent="0.3">
      <c r="U827707" s="25"/>
    </row>
    <row r="827729" spans="21:21" x14ac:dyDescent="0.3">
      <c r="U827729" s="25"/>
    </row>
    <row r="827751" spans="21:21" x14ac:dyDescent="0.3">
      <c r="U827751" s="25"/>
    </row>
    <row r="827773" spans="21:21" x14ac:dyDescent="0.3">
      <c r="U827773" s="25"/>
    </row>
    <row r="827795" spans="21:21" x14ac:dyDescent="0.3">
      <c r="U827795" s="25"/>
    </row>
    <row r="827817" spans="21:21" x14ac:dyDescent="0.3">
      <c r="U827817" s="25"/>
    </row>
    <row r="827839" spans="21:21" x14ac:dyDescent="0.3">
      <c r="U827839" s="25"/>
    </row>
    <row r="827861" spans="21:21" x14ac:dyDescent="0.3">
      <c r="U827861" s="25"/>
    </row>
    <row r="827883" spans="21:21" x14ac:dyDescent="0.3">
      <c r="U827883" s="25"/>
    </row>
    <row r="827905" spans="21:21" x14ac:dyDescent="0.3">
      <c r="U827905" s="25"/>
    </row>
    <row r="827927" spans="21:21" x14ac:dyDescent="0.3">
      <c r="U827927" s="25"/>
    </row>
    <row r="827949" spans="21:21" x14ac:dyDescent="0.3">
      <c r="U827949" s="25"/>
    </row>
    <row r="827971" spans="21:21" x14ac:dyDescent="0.3">
      <c r="U827971" s="25"/>
    </row>
    <row r="827993" spans="21:21" x14ac:dyDescent="0.3">
      <c r="U827993" s="25"/>
    </row>
    <row r="828015" spans="21:21" x14ac:dyDescent="0.3">
      <c r="U828015" s="25"/>
    </row>
    <row r="828037" spans="21:21" x14ac:dyDescent="0.3">
      <c r="U828037" s="25"/>
    </row>
    <row r="828059" spans="21:21" x14ac:dyDescent="0.3">
      <c r="U828059" s="25"/>
    </row>
    <row r="828081" spans="21:21" x14ac:dyDescent="0.3">
      <c r="U828081" s="25"/>
    </row>
    <row r="828103" spans="21:21" x14ac:dyDescent="0.3">
      <c r="U828103" s="25"/>
    </row>
    <row r="828125" spans="21:21" x14ac:dyDescent="0.3">
      <c r="U828125" s="25"/>
    </row>
    <row r="828147" spans="21:21" x14ac:dyDescent="0.3">
      <c r="U828147" s="25"/>
    </row>
    <row r="828169" spans="21:21" x14ac:dyDescent="0.3">
      <c r="U828169" s="25"/>
    </row>
    <row r="828191" spans="21:21" x14ac:dyDescent="0.3">
      <c r="U828191" s="25"/>
    </row>
    <row r="828213" spans="21:21" x14ac:dyDescent="0.3">
      <c r="U828213" s="25"/>
    </row>
    <row r="828235" spans="21:21" x14ac:dyDescent="0.3">
      <c r="U828235" s="25"/>
    </row>
    <row r="828257" spans="21:21" x14ac:dyDescent="0.3">
      <c r="U828257" s="25"/>
    </row>
    <row r="828279" spans="21:21" x14ac:dyDescent="0.3">
      <c r="U828279" s="25"/>
    </row>
    <row r="828301" spans="21:21" x14ac:dyDescent="0.3">
      <c r="U828301" s="25"/>
    </row>
    <row r="828323" spans="21:21" x14ac:dyDescent="0.3">
      <c r="U828323" s="25"/>
    </row>
    <row r="828345" spans="21:21" x14ac:dyDescent="0.3">
      <c r="U828345" s="25"/>
    </row>
    <row r="828367" spans="21:21" x14ac:dyDescent="0.3">
      <c r="U828367" s="25"/>
    </row>
    <row r="828389" spans="21:21" x14ac:dyDescent="0.3">
      <c r="U828389" s="25"/>
    </row>
    <row r="828411" spans="21:21" x14ac:dyDescent="0.3">
      <c r="U828411" s="25"/>
    </row>
    <row r="828433" spans="21:21" x14ac:dyDescent="0.3">
      <c r="U828433" s="25"/>
    </row>
    <row r="828455" spans="21:21" x14ac:dyDescent="0.3">
      <c r="U828455" s="25"/>
    </row>
    <row r="828477" spans="21:21" x14ac:dyDescent="0.3">
      <c r="U828477" s="25"/>
    </row>
    <row r="828499" spans="21:21" x14ac:dyDescent="0.3">
      <c r="U828499" s="25"/>
    </row>
    <row r="828521" spans="21:21" x14ac:dyDescent="0.3">
      <c r="U828521" s="25"/>
    </row>
    <row r="828543" spans="21:21" x14ac:dyDescent="0.3">
      <c r="U828543" s="25"/>
    </row>
    <row r="828565" spans="21:21" x14ac:dyDescent="0.3">
      <c r="U828565" s="25"/>
    </row>
    <row r="828587" spans="21:21" x14ac:dyDescent="0.3">
      <c r="U828587" s="25"/>
    </row>
    <row r="828609" spans="21:21" x14ac:dyDescent="0.3">
      <c r="U828609" s="25"/>
    </row>
    <row r="828631" spans="21:21" x14ac:dyDescent="0.3">
      <c r="U828631" s="25"/>
    </row>
    <row r="828653" spans="21:21" x14ac:dyDescent="0.3">
      <c r="U828653" s="25"/>
    </row>
    <row r="828675" spans="21:21" x14ac:dyDescent="0.3">
      <c r="U828675" s="25"/>
    </row>
    <row r="828697" spans="21:21" x14ac:dyDescent="0.3">
      <c r="U828697" s="25"/>
    </row>
    <row r="828719" spans="21:21" x14ac:dyDescent="0.3">
      <c r="U828719" s="25"/>
    </row>
    <row r="828741" spans="21:21" x14ac:dyDescent="0.3">
      <c r="U828741" s="25"/>
    </row>
    <row r="828763" spans="21:21" x14ac:dyDescent="0.3">
      <c r="U828763" s="25"/>
    </row>
    <row r="828785" spans="21:21" x14ac:dyDescent="0.3">
      <c r="U828785" s="25"/>
    </row>
    <row r="828807" spans="21:21" x14ac:dyDescent="0.3">
      <c r="U828807" s="25"/>
    </row>
    <row r="828829" spans="21:21" x14ac:dyDescent="0.3">
      <c r="U828829" s="25"/>
    </row>
    <row r="828851" spans="21:21" x14ac:dyDescent="0.3">
      <c r="U828851" s="25"/>
    </row>
    <row r="828873" spans="21:21" x14ac:dyDescent="0.3">
      <c r="U828873" s="25"/>
    </row>
    <row r="828895" spans="21:21" x14ac:dyDescent="0.3">
      <c r="U828895" s="25"/>
    </row>
    <row r="828917" spans="21:21" x14ac:dyDescent="0.3">
      <c r="U828917" s="25"/>
    </row>
    <row r="828939" spans="21:21" x14ac:dyDescent="0.3">
      <c r="U828939" s="25"/>
    </row>
    <row r="828961" spans="21:21" x14ac:dyDescent="0.3">
      <c r="U828961" s="25"/>
    </row>
    <row r="828983" spans="21:21" x14ac:dyDescent="0.3">
      <c r="U828983" s="25"/>
    </row>
    <row r="829005" spans="21:21" x14ac:dyDescent="0.3">
      <c r="U829005" s="25"/>
    </row>
    <row r="829027" spans="21:21" x14ac:dyDescent="0.3">
      <c r="U829027" s="25"/>
    </row>
    <row r="829049" spans="21:21" x14ac:dyDescent="0.3">
      <c r="U829049" s="25"/>
    </row>
    <row r="829071" spans="21:21" x14ac:dyDescent="0.3">
      <c r="U829071" s="25"/>
    </row>
    <row r="829093" spans="21:21" x14ac:dyDescent="0.3">
      <c r="U829093" s="25"/>
    </row>
    <row r="829115" spans="21:21" x14ac:dyDescent="0.3">
      <c r="U829115" s="25"/>
    </row>
    <row r="829137" spans="21:21" x14ac:dyDescent="0.3">
      <c r="U829137" s="25"/>
    </row>
    <row r="829159" spans="21:21" x14ac:dyDescent="0.3">
      <c r="U829159" s="25"/>
    </row>
    <row r="829181" spans="21:21" x14ac:dyDescent="0.3">
      <c r="U829181" s="25"/>
    </row>
    <row r="829203" spans="21:21" x14ac:dyDescent="0.3">
      <c r="U829203" s="25"/>
    </row>
    <row r="829225" spans="21:21" x14ac:dyDescent="0.3">
      <c r="U829225" s="25"/>
    </row>
    <row r="829247" spans="21:21" x14ac:dyDescent="0.3">
      <c r="U829247" s="25"/>
    </row>
    <row r="829269" spans="21:21" x14ac:dyDescent="0.3">
      <c r="U829269" s="25"/>
    </row>
    <row r="829291" spans="21:21" x14ac:dyDescent="0.3">
      <c r="U829291" s="25"/>
    </row>
    <row r="829313" spans="21:21" x14ac:dyDescent="0.3">
      <c r="U829313" s="25"/>
    </row>
    <row r="829335" spans="21:21" x14ac:dyDescent="0.3">
      <c r="U829335" s="25"/>
    </row>
    <row r="829357" spans="21:21" x14ac:dyDescent="0.3">
      <c r="U829357" s="25"/>
    </row>
    <row r="829379" spans="21:21" x14ac:dyDescent="0.3">
      <c r="U829379" s="25"/>
    </row>
    <row r="829401" spans="21:21" x14ac:dyDescent="0.3">
      <c r="U829401" s="25"/>
    </row>
    <row r="829423" spans="21:21" x14ac:dyDescent="0.3">
      <c r="U829423" s="25"/>
    </row>
    <row r="829445" spans="21:21" x14ac:dyDescent="0.3">
      <c r="U829445" s="25"/>
    </row>
    <row r="829467" spans="21:21" x14ac:dyDescent="0.3">
      <c r="U829467" s="25"/>
    </row>
    <row r="829489" spans="21:21" x14ac:dyDescent="0.3">
      <c r="U829489" s="25"/>
    </row>
    <row r="829511" spans="21:21" x14ac:dyDescent="0.3">
      <c r="U829511" s="25"/>
    </row>
    <row r="829533" spans="21:21" x14ac:dyDescent="0.3">
      <c r="U829533" s="25"/>
    </row>
    <row r="829555" spans="21:21" x14ac:dyDescent="0.3">
      <c r="U829555" s="25"/>
    </row>
    <row r="829577" spans="21:21" x14ac:dyDescent="0.3">
      <c r="U829577" s="25"/>
    </row>
    <row r="829599" spans="21:21" x14ac:dyDescent="0.3">
      <c r="U829599" s="25"/>
    </row>
    <row r="829621" spans="21:21" x14ac:dyDescent="0.3">
      <c r="U829621" s="25"/>
    </row>
    <row r="829643" spans="21:21" x14ac:dyDescent="0.3">
      <c r="U829643" s="25"/>
    </row>
    <row r="829665" spans="21:21" x14ac:dyDescent="0.3">
      <c r="U829665" s="25"/>
    </row>
    <row r="829687" spans="21:21" x14ac:dyDescent="0.3">
      <c r="U829687" s="25"/>
    </row>
    <row r="829709" spans="21:21" x14ac:dyDescent="0.3">
      <c r="U829709" s="25"/>
    </row>
    <row r="829731" spans="21:21" x14ac:dyDescent="0.3">
      <c r="U829731" s="25"/>
    </row>
    <row r="829753" spans="21:21" x14ac:dyDescent="0.3">
      <c r="U829753" s="25"/>
    </row>
    <row r="829775" spans="21:21" x14ac:dyDescent="0.3">
      <c r="U829775" s="25"/>
    </row>
    <row r="829797" spans="21:21" x14ac:dyDescent="0.3">
      <c r="U829797" s="25"/>
    </row>
    <row r="829819" spans="21:21" x14ac:dyDescent="0.3">
      <c r="U829819" s="25"/>
    </row>
    <row r="829841" spans="21:21" x14ac:dyDescent="0.3">
      <c r="U829841" s="25"/>
    </row>
    <row r="829863" spans="21:21" x14ac:dyDescent="0.3">
      <c r="U829863" s="25"/>
    </row>
    <row r="829885" spans="21:21" x14ac:dyDescent="0.3">
      <c r="U829885" s="25"/>
    </row>
    <row r="829907" spans="21:21" x14ac:dyDescent="0.3">
      <c r="U829907" s="25"/>
    </row>
    <row r="829929" spans="21:21" x14ac:dyDescent="0.3">
      <c r="U829929" s="25"/>
    </row>
    <row r="829951" spans="21:21" x14ac:dyDescent="0.3">
      <c r="U829951" s="25"/>
    </row>
    <row r="829973" spans="21:21" x14ac:dyDescent="0.3">
      <c r="U829973" s="25"/>
    </row>
    <row r="829995" spans="21:21" x14ac:dyDescent="0.3">
      <c r="U829995" s="25"/>
    </row>
    <row r="830017" spans="21:21" x14ac:dyDescent="0.3">
      <c r="U830017" s="25"/>
    </row>
    <row r="830039" spans="21:21" x14ac:dyDescent="0.3">
      <c r="U830039" s="25"/>
    </row>
    <row r="830061" spans="21:21" x14ac:dyDescent="0.3">
      <c r="U830061" s="25"/>
    </row>
    <row r="830083" spans="21:21" x14ac:dyDescent="0.3">
      <c r="U830083" s="25"/>
    </row>
    <row r="830105" spans="21:21" x14ac:dyDescent="0.3">
      <c r="U830105" s="25"/>
    </row>
    <row r="830127" spans="21:21" x14ac:dyDescent="0.3">
      <c r="U830127" s="25"/>
    </row>
    <row r="830149" spans="21:21" x14ac:dyDescent="0.3">
      <c r="U830149" s="25"/>
    </row>
    <row r="830171" spans="21:21" x14ac:dyDescent="0.3">
      <c r="U830171" s="25"/>
    </row>
    <row r="830193" spans="21:21" x14ac:dyDescent="0.3">
      <c r="U830193" s="25"/>
    </row>
    <row r="830215" spans="21:21" x14ac:dyDescent="0.3">
      <c r="U830215" s="25"/>
    </row>
    <row r="830237" spans="21:21" x14ac:dyDescent="0.3">
      <c r="U830237" s="25"/>
    </row>
    <row r="830259" spans="21:21" x14ac:dyDescent="0.3">
      <c r="U830259" s="25"/>
    </row>
    <row r="830281" spans="21:21" x14ac:dyDescent="0.3">
      <c r="U830281" s="25"/>
    </row>
    <row r="830303" spans="21:21" x14ac:dyDescent="0.3">
      <c r="U830303" s="25"/>
    </row>
    <row r="830325" spans="21:21" x14ac:dyDescent="0.3">
      <c r="U830325" s="25"/>
    </row>
    <row r="830347" spans="21:21" x14ac:dyDescent="0.3">
      <c r="U830347" s="25"/>
    </row>
    <row r="830369" spans="21:21" x14ac:dyDescent="0.3">
      <c r="U830369" s="25"/>
    </row>
    <row r="830391" spans="21:21" x14ac:dyDescent="0.3">
      <c r="U830391" s="25"/>
    </row>
    <row r="830413" spans="21:21" x14ac:dyDescent="0.3">
      <c r="U830413" s="25"/>
    </row>
    <row r="830435" spans="21:21" x14ac:dyDescent="0.3">
      <c r="U830435" s="25"/>
    </row>
    <row r="830457" spans="21:21" x14ac:dyDescent="0.3">
      <c r="U830457" s="25"/>
    </row>
    <row r="830479" spans="21:21" x14ac:dyDescent="0.3">
      <c r="U830479" s="25"/>
    </row>
    <row r="830501" spans="21:21" x14ac:dyDescent="0.3">
      <c r="U830501" s="25"/>
    </row>
    <row r="830523" spans="21:21" x14ac:dyDescent="0.3">
      <c r="U830523" s="25"/>
    </row>
    <row r="830545" spans="21:21" x14ac:dyDescent="0.3">
      <c r="U830545" s="25"/>
    </row>
    <row r="830567" spans="21:21" x14ac:dyDescent="0.3">
      <c r="U830567" s="25"/>
    </row>
    <row r="830589" spans="21:21" x14ac:dyDescent="0.3">
      <c r="U830589" s="25"/>
    </row>
    <row r="830611" spans="21:21" x14ac:dyDescent="0.3">
      <c r="U830611" s="25"/>
    </row>
    <row r="830633" spans="21:21" x14ac:dyDescent="0.3">
      <c r="U830633" s="25"/>
    </row>
    <row r="830655" spans="21:21" x14ac:dyDescent="0.3">
      <c r="U830655" s="25"/>
    </row>
    <row r="830677" spans="21:21" x14ac:dyDescent="0.3">
      <c r="U830677" s="25"/>
    </row>
    <row r="830699" spans="21:21" x14ac:dyDescent="0.3">
      <c r="U830699" s="25"/>
    </row>
    <row r="830721" spans="21:21" x14ac:dyDescent="0.3">
      <c r="U830721" s="25"/>
    </row>
    <row r="830743" spans="21:21" x14ac:dyDescent="0.3">
      <c r="U830743" s="25"/>
    </row>
    <row r="830765" spans="21:21" x14ac:dyDescent="0.3">
      <c r="U830765" s="25"/>
    </row>
    <row r="830787" spans="21:21" x14ac:dyDescent="0.3">
      <c r="U830787" s="25"/>
    </row>
    <row r="830809" spans="21:21" x14ac:dyDescent="0.3">
      <c r="U830809" s="25"/>
    </row>
    <row r="830831" spans="21:21" x14ac:dyDescent="0.3">
      <c r="U830831" s="25"/>
    </row>
    <row r="830853" spans="21:21" x14ac:dyDescent="0.3">
      <c r="U830853" s="25"/>
    </row>
    <row r="830875" spans="21:21" x14ac:dyDescent="0.3">
      <c r="U830875" s="25"/>
    </row>
    <row r="830897" spans="21:21" x14ac:dyDescent="0.3">
      <c r="U830897" s="25"/>
    </row>
    <row r="830919" spans="21:21" x14ac:dyDescent="0.3">
      <c r="U830919" s="25"/>
    </row>
    <row r="830941" spans="21:21" x14ac:dyDescent="0.3">
      <c r="U830941" s="25"/>
    </row>
    <row r="830963" spans="21:21" x14ac:dyDescent="0.3">
      <c r="U830963" s="25"/>
    </row>
    <row r="830985" spans="21:21" x14ac:dyDescent="0.3">
      <c r="U830985" s="25"/>
    </row>
    <row r="831007" spans="21:21" x14ac:dyDescent="0.3">
      <c r="U831007" s="25"/>
    </row>
    <row r="831029" spans="21:21" x14ac:dyDescent="0.3">
      <c r="U831029" s="25"/>
    </row>
    <row r="831051" spans="21:21" x14ac:dyDescent="0.3">
      <c r="U831051" s="25"/>
    </row>
    <row r="831073" spans="21:21" x14ac:dyDescent="0.3">
      <c r="U831073" s="25"/>
    </row>
    <row r="831095" spans="21:21" x14ac:dyDescent="0.3">
      <c r="U831095" s="25"/>
    </row>
    <row r="831117" spans="21:21" x14ac:dyDescent="0.3">
      <c r="U831117" s="25"/>
    </row>
    <row r="831139" spans="21:21" x14ac:dyDescent="0.3">
      <c r="U831139" s="25"/>
    </row>
    <row r="831161" spans="21:21" x14ac:dyDescent="0.3">
      <c r="U831161" s="25"/>
    </row>
    <row r="831183" spans="21:21" x14ac:dyDescent="0.3">
      <c r="U831183" s="25"/>
    </row>
    <row r="831205" spans="21:21" x14ac:dyDescent="0.3">
      <c r="U831205" s="25"/>
    </row>
    <row r="831227" spans="21:21" x14ac:dyDescent="0.3">
      <c r="U831227" s="25"/>
    </row>
    <row r="831249" spans="21:21" x14ac:dyDescent="0.3">
      <c r="U831249" s="25"/>
    </row>
    <row r="831271" spans="21:21" x14ac:dyDescent="0.3">
      <c r="U831271" s="25"/>
    </row>
    <row r="831293" spans="21:21" x14ac:dyDescent="0.3">
      <c r="U831293" s="25"/>
    </row>
    <row r="831315" spans="21:21" x14ac:dyDescent="0.3">
      <c r="U831315" s="25"/>
    </row>
    <row r="831337" spans="21:21" x14ac:dyDescent="0.3">
      <c r="U831337" s="25"/>
    </row>
    <row r="831359" spans="21:21" x14ac:dyDescent="0.3">
      <c r="U831359" s="25"/>
    </row>
    <row r="831381" spans="21:21" x14ac:dyDescent="0.3">
      <c r="U831381" s="25"/>
    </row>
    <row r="831403" spans="21:21" x14ac:dyDescent="0.3">
      <c r="U831403" s="25"/>
    </row>
    <row r="831425" spans="21:21" x14ac:dyDescent="0.3">
      <c r="U831425" s="25"/>
    </row>
    <row r="831447" spans="21:21" x14ac:dyDescent="0.3">
      <c r="U831447" s="25"/>
    </row>
    <row r="831469" spans="21:21" x14ac:dyDescent="0.3">
      <c r="U831469" s="25"/>
    </row>
    <row r="831491" spans="21:21" x14ac:dyDescent="0.3">
      <c r="U831491" s="25"/>
    </row>
    <row r="831513" spans="21:21" x14ac:dyDescent="0.3">
      <c r="U831513" s="25"/>
    </row>
    <row r="831535" spans="21:21" x14ac:dyDescent="0.3">
      <c r="U831535" s="25"/>
    </row>
    <row r="831557" spans="21:21" x14ac:dyDescent="0.3">
      <c r="U831557" s="25"/>
    </row>
    <row r="831579" spans="21:21" x14ac:dyDescent="0.3">
      <c r="U831579" s="25"/>
    </row>
    <row r="831601" spans="21:21" x14ac:dyDescent="0.3">
      <c r="U831601" s="25"/>
    </row>
    <row r="831623" spans="21:21" x14ac:dyDescent="0.3">
      <c r="U831623" s="25"/>
    </row>
    <row r="831645" spans="21:21" x14ac:dyDescent="0.3">
      <c r="U831645" s="25"/>
    </row>
    <row r="831667" spans="21:21" x14ac:dyDescent="0.3">
      <c r="U831667" s="25"/>
    </row>
    <row r="831689" spans="21:21" x14ac:dyDescent="0.3">
      <c r="U831689" s="25"/>
    </row>
    <row r="831711" spans="21:21" x14ac:dyDescent="0.3">
      <c r="U831711" s="25"/>
    </row>
    <row r="831733" spans="21:21" x14ac:dyDescent="0.3">
      <c r="U831733" s="25"/>
    </row>
    <row r="831755" spans="21:21" x14ac:dyDescent="0.3">
      <c r="U831755" s="25"/>
    </row>
    <row r="831777" spans="21:21" x14ac:dyDescent="0.3">
      <c r="U831777" s="25"/>
    </row>
    <row r="831799" spans="21:21" x14ac:dyDescent="0.3">
      <c r="U831799" s="25"/>
    </row>
    <row r="831821" spans="21:21" x14ac:dyDescent="0.3">
      <c r="U831821" s="25"/>
    </row>
    <row r="831843" spans="21:21" x14ac:dyDescent="0.3">
      <c r="U831843" s="25"/>
    </row>
    <row r="831865" spans="21:21" x14ac:dyDescent="0.3">
      <c r="U831865" s="25"/>
    </row>
    <row r="831887" spans="21:21" x14ac:dyDescent="0.3">
      <c r="U831887" s="25"/>
    </row>
    <row r="831909" spans="21:21" x14ac:dyDescent="0.3">
      <c r="U831909" s="25"/>
    </row>
    <row r="831931" spans="21:21" x14ac:dyDescent="0.3">
      <c r="U831931" s="25"/>
    </row>
    <row r="831953" spans="21:21" x14ac:dyDescent="0.3">
      <c r="U831953" s="25"/>
    </row>
    <row r="831975" spans="21:21" x14ac:dyDescent="0.3">
      <c r="U831975" s="25"/>
    </row>
    <row r="831997" spans="21:21" x14ac:dyDescent="0.3">
      <c r="U831997" s="25"/>
    </row>
    <row r="832019" spans="21:21" x14ac:dyDescent="0.3">
      <c r="U832019" s="25"/>
    </row>
    <row r="832041" spans="21:21" x14ac:dyDescent="0.3">
      <c r="U832041" s="25"/>
    </row>
    <row r="832063" spans="21:21" x14ac:dyDescent="0.3">
      <c r="U832063" s="25"/>
    </row>
    <row r="832085" spans="21:21" x14ac:dyDescent="0.3">
      <c r="U832085" s="25"/>
    </row>
    <row r="832107" spans="21:21" x14ac:dyDescent="0.3">
      <c r="U832107" s="25"/>
    </row>
    <row r="832129" spans="21:21" x14ac:dyDescent="0.3">
      <c r="U832129" s="25"/>
    </row>
    <row r="832151" spans="21:21" x14ac:dyDescent="0.3">
      <c r="U832151" s="25"/>
    </row>
    <row r="832173" spans="21:21" x14ac:dyDescent="0.3">
      <c r="U832173" s="25"/>
    </row>
    <row r="832195" spans="21:21" x14ac:dyDescent="0.3">
      <c r="U832195" s="25"/>
    </row>
    <row r="832217" spans="21:21" x14ac:dyDescent="0.3">
      <c r="U832217" s="25"/>
    </row>
    <row r="832239" spans="21:21" x14ac:dyDescent="0.3">
      <c r="U832239" s="25"/>
    </row>
    <row r="832261" spans="21:21" x14ac:dyDescent="0.3">
      <c r="U832261" s="25"/>
    </row>
    <row r="832283" spans="21:21" x14ac:dyDescent="0.3">
      <c r="U832283" s="25"/>
    </row>
    <row r="832305" spans="21:21" x14ac:dyDescent="0.3">
      <c r="U832305" s="25"/>
    </row>
    <row r="832327" spans="21:21" x14ac:dyDescent="0.3">
      <c r="U832327" s="25"/>
    </row>
    <row r="832349" spans="21:21" x14ac:dyDescent="0.3">
      <c r="U832349" s="25"/>
    </row>
    <row r="832371" spans="21:21" x14ac:dyDescent="0.3">
      <c r="U832371" s="25"/>
    </row>
    <row r="832393" spans="21:21" x14ac:dyDescent="0.3">
      <c r="U832393" s="25"/>
    </row>
    <row r="832415" spans="21:21" x14ac:dyDescent="0.3">
      <c r="U832415" s="25"/>
    </row>
    <row r="832437" spans="21:21" x14ac:dyDescent="0.3">
      <c r="U832437" s="25"/>
    </row>
    <row r="832459" spans="21:21" x14ac:dyDescent="0.3">
      <c r="U832459" s="25"/>
    </row>
    <row r="832481" spans="21:21" x14ac:dyDescent="0.3">
      <c r="U832481" s="25"/>
    </row>
    <row r="832503" spans="21:21" x14ac:dyDescent="0.3">
      <c r="U832503" s="25"/>
    </row>
    <row r="832525" spans="21:21" x14ac:dyDescent="0.3">
      <c r="U832525" s="25"/>
    </row>
    <row r="832547" spans="21:21" x14ac:dyDescent="0.3">
      <c r="U832547" s="25"/>
    </row>
    <row r="832569" spans="21:21" x14ac:dyDescent="0.3">
      <c r="U832569" s="25"/>
    </row>
    <row r="832591" spans="21:21" x14ac:dyDescent="0.3">
      <c r="U832591" s="25"/>
    </row>
    <row r="832613" spans="21:21" x14ac:dyDescent="0.3">
      <c r="U832613" s="25"/>
    </row>
    <row r="832635" spans="21:21" x14ac:dyDescent="0.3">
      <c r="U832635" s="25"/>
    </row>
    <row r="832657" spans="21:21" x14ac:dyDescent="0.3">
      <c r="U832657" s="25"/>
    </row>
    <row r="832679" spans="21:21" x14ac:dyDescent="0.3">
      <c r="U832679" s="25"/>
    </row>
    <row r="832701" spans="21:21" x14ac:dyDescent="0.3">
      <c r="U832701" s="25"/>
    </row>
    <row r="832723" spans="21:21" x14ac:dyDescent="0.3">
      <c r="U832723" s="25"/>
    </row>
    <row r="832745" spans="21:21" x14ac:dyDescent="0.3">
      <c r="U832745" s="25"/>
    </row>
    <row r="832767" spans="21:21" x14ac:dyDescent="0.3">
      <c r="U832767" s="25"/>
    </row>
    <row r="832789" spans="21:21" x14ac:dyDescent="0.3">
      <c r="U832789" s="25"/>
    </row>
    <row r="832811" spans="21:21" x14ac:dyDescent="0.3">
      <c r="U832811" s="25"/>
    </row>
    <row r="832833" spans="21:21" x14ac:dyDescent="0.3">
      <c r="U832833" s="25"/>
    </row>
    <row r="832855" spans="21:21" x14ac:dyDescent="0.3">
      <c r="U832855" s="25"/>
    </row>
    <row r="832877" spans="21:21" x14ac:dyDescent="0.3">
      <c r="U832877" s="25"/>
    </row>
    <row r="832899" spans="21:21" x14ac:dyDescent="0.3">
      <c r="U832899" s="25"/>
    </row>
    <row r="832921" spans="21:21" x14ac:dyDescent="0.3">
      <c r="U832921" s="25"/>
    </row>
    <row r="832943" spans="21:21" x14ac:dyDescent="0.3">
      <c r="U832943" s="25"/>
    </row>
    <row r="832965" spans="21:21" x14ac:dyDescent="0.3">
      <c r="U832965" s="25"/>
    </row>
    <row r="832987" spans="21:21" x14ac:dyDescent="0.3">
      <c r="U832987" s="25"/>
    </row>
    <row r="833009" spans="21:21" x14ac:dyDescent="0.3">
      <c r="U833009" s="25"/>
    </row>
    <row r="833031" spans="21:21" x14ac:dyDescent="0.3">
      <c r="U833031" s="25"/>
    </row>
    <row r="833053" spans="21:21" x14ac:dyDescent="0.3">
      <c r="U833053" s="25"/>
    </row>
    <row r="833075" spans="21:21" x14ac:dyDescent="0.3">
      <c r="U833075" s="25"/>
    </row>
    <row r="833097" spans="21:21" x14ac:dyDescent="0.3">
      <c r="U833097" s="25"/>
    </row>
    <row r="833119" spans="21:21" x14ac:dyDescent="0.3">
      <c r="U833119" s="25"/>
    </row>
    <row r="833141" spans="21:21" x14ac:dyDescent="0.3">
      <c r="U833141" s="25"/>
    </row>
    <row r="833163" spans="21:21" x14ac:dyDescent="0.3">
      <c r="U833163" s="25"/>
    </row>
    <row r="833185" spans="21:21" x14ac:dyDescent="0.3">
      <c r="U833185" s="25"/>
    </row>
    <row r="833207" spans="21:21" x14ac:dyDescent="0.3">
      <c r="U833207" s="25"/>
    </row>
    <row r="833229" spans="21:21" x14ac:dyDescent="0.3">
      <c r="U833229" s="25"/>
    </row>
    <row r="833251" spans="21:21" x14ac:dyDescent="0.3">
      <c r="U833251" s="25"/>
    </row>
    <row r="833273" spans="21:21" x14ac:dyDescent="0.3">
      <c r="U833273" s="25"/>
    </row>
    <row r="833295" spans="21:21" x14ac:dyDescent="0.3">
      <c r="U833295" s="25"/>
    </row>
    <row r="833317" spans="21:21" x14ac:dyDescent="0.3">
      <c r="U833317" s="25"/>
    </row>
    <row r="833339" spans="21:21" x14ac:dyDescent="0.3">
      <c r="U833339" s="25"/>
    </row>
    <row r="833361" spans="21:21" x14ac:dyDescent="0.3">
      <c r="U833361" s="25"/>
    </row>
    <row r="833383" spans="21:21" x14ac:dyDescent="0.3">
      <c r="U833383" s="25"/>
    </row>
    <row r="833405" spans="21:21" x14ac:dyDescent="0.3">
      <c r="U833405" s="25"/>
    </row>
    <row r="833427" spans="21:21" x14ac:dyDescent="0.3">
      <c r="U833427" s="25"/>
    </row>
    <row r="833449" spans="21:21" x14ac:dyDescent="0.3">
      <c r="U833449" s="25"/>
    </row>
    <row r="833471" spans="21:21" x14ac:dyDescent="0.3">
      <c r="U833471" s="25"/>
    </row>
    <row r="833493" spans="21:21" x14ac:dyDescent="0.3">
      <c r="U833493" s="25"/>
    </row>
    <row r="833515" spans="21:21" x14ac:dyDescent="0.3">
      <c r="U833515" s="25"/>
    </row>
    <row r="833537" spans="21:21" x14ac:dyDescent="0.3">
      <c r="U833537" s="25"/>
    </row>
    <row r="833559" spans="21:21" x14ac:dyDescent="0.3">
      <c r="U833559" s="25"/>
    </row>
    <row r="833581" spans="21:21" x14ac:dyDescent="0.3">
      <c r="U833581" s="25"/>
    </row>
    <row r="833603" spans="21:21" x14ac:dyDescent="0.3">
      <c r="U833603" s="25"/>
    </row>
    <row r="833625" spans="21:21" x14ac:dyDescent="0.3">
      <c r="U833625" s="25"/>
    </row>
    <row r="833647" spans="21:21" x14ac:dyDescent="0.3">
      <c r="U833647" s="25"/>
    </row>
    <row r="833669" spans="21:21" x14ac:dyDescent="0.3">
      <c r="U833669" s="25"/>
    </row>
    <row r="833691" spans="21:21" x14ac:dyDescent="0.3">
      <c r="U833691" s="25"/>
    </row>
    <row r="833713" spans="21:21" x14ac:dyDescent="0.3">
      <c r="U833713" s="25"/>
    </row>
    <row r="833735" spans="21:21" x14ac:dyDescent="0.3">
      <c r="U833735" s="25"/>
    </row>
    <row r="833757" spans="21:21" x14ac:dyDescent="0.3">
      <c r="U833757" s="25"/>
    </row>
    <row r="833779" spans="21:21" x14ac:dyDescent="0.3">
      <c r="U833779" s="25"/>
    </row>
    <row r="833801" spans="21:21" x14ac:dyDescent="0.3">
      <c r="U833801" s="25"/>
    </row>
    <row r="833823" spans="21:21" x14ac:dyDescent="0.3">
      <c r="U833823" s="25"/>
    </row>
    <row r="833845" spans="21:21" x14ac:dyDescent="0.3">
      <c r="U833845" s="25"/>
    </row>
    <row r="833867" spans="21:21" x14ac:dyDescent="0.3">
      <c r="U833867" s="25"/>
    </row>
    <row r="833889" spans="21:21" x14ac:dyDescent="0.3">
      <c r="U833889" s="25"/>
    </row>
    <row r="833911" spans="21:21" x14ac:dyDescent="0.3">
      <c r="U833911" s="25"/>
    </row>
    <row r="833933" spans="21:21" x14ac:dyDescent="0.3">
      <c r="U833933" s="25"/>
    </row>
    <row r="833955" spans="21:21" x14ac:dyDescent="0.3">
      <c r="U833955" s="25"/>
    </row>
    <row r="833977" spans="21:21" x14ac:dyDescent="0.3">
      <c r="U833977" s="25"/>
    </row>
    <row r="833999" spans="21:21" x14ac:dyDescent="0.3">
      <c r="U833999" s="25"/>
    </row>
    <row r="834021" spans="21:21" x14ac:dyDescent="0.3">
      <c r="U834021" s="25"/>
    </row>
    <row r="834043" spans="21:21" x14ac:dyDescent="0.3">
      <c r="U834043" s="25"/>
    </row>
    <row r="834065" spans="21:21" x14ac:dyDescent="0.3">
      <c r="U834065" s="25"/>
    </row>
    <row r="834087" spans="21:21" x14ac:dyDescent="0.3">
      <c r="U834087" s="25"/>
    </row>
    <row r="834109" spans="21:21" x14ac:dyDescent="0.3">
      <c r="U834109" s="25"/>
    </row>
    <row r="834131" spans="21:21" x14ac:dyDescent="0.3">
      <c r="U834131" s="25"/>
    </row>
    <row r="834153" spans="21:21" x14ac:dyDescent="0.3">
      <c r="U834153" s="25"/>
    </row>
    <row r="834175" spans="21:21" x14ac:dyDescent="0.3">
      <c r="U834175" s="25"/>
    </row>
    <row r="834197" spans="21:21" x14ac:dyDescent="0.3">
      <c r="U834197" s="25"/>
    </row>
    <row r="834219" spans="21:21" x14ac:dyDescent="0.3">
      <c r="U834219" s="25"/>
    </row>
    <row r="834241" spans="21:21" x14ac:dyDescent="0.3">
      <c r="U834241" s="25"/>
    </row>
    <row r="834263" spans="21:21" x14ac:dyDescent="0.3">
      <c r="U834263" s="25"/>
    </row>
    <row r="834285" spans="21:21" x14ac:dyDescent="0.3">
      <c r="U834285" s="25"/>
    </row>
    <row r="834307" spans="21:21" x14ac:dyDescent="0.3">
      <c r="U834307" s="25"/>
    </row>
    <row r="834329" spans="21:21" x14ac:dyDescent="0.3">
      <c r="U834329" s="25"/>
    </row>
    <row r="834351" spans="21:21" x14ac:dyDescent="0.3">
      <c r="U834351" s="25"/>
    </row>
    <row r="834373" spans="21:21" x14ac:dyDescent="0.3">
      <c r="U834373" s="25"/>
    </row>
    <row r="834395" spans="21:21" x14ac:dyDescent="0.3">
      <c r="U834395" s="25"/>
    </row>
    <row r="834417" spans="21:21" x14ac:dyDescent="0.3">
      <c r="U834417" s="25"/>
    </row>
    <row r="834439" spans="21:21" x14ac:dyDescent="0.3">
      <c r="U834439" s="25"/>
    </row>
    <row r="834461" spans="21:21" x14ac:dyDescent="0.3">
      <c r="U834461" s="25"/>
    </row>
    <row r="834483" spans="21:21" x14ac:dyDescent="0.3">
      <c r="U834483" s="25"/>
    </row>
    <row r="834505" spans="21:21" x14ac:dyDescent="0.3">
      <c r="U834505" s="25"/>
    </row>
    <row r="834527" spans="21:21" x14ac:dyDescent="0.3">
      <c r="U834527" s="25"/>
    </row>
    <row r="834549" spans="21:21" x14ac:dyDescent="0.3">
      <c r="U834549" s="25"/>
    </row>
    <row r="834571" spans="21:21" x14ac:dyDescent="0.3">
      <c r="U834571" s="25"/>
    </row>
    <row r="834593" spans="21:21" x14ac:dyDescent="0.3">
      <c r="U834593" s="25"/>
    </row>
    <row r="834615" spans="21:21" x14ac:dyDescent="0.3">
      <c r="U834615" s="25"/>
    </row>
    <row r="834637" spans="21:21" x14ac:dyDescent="0.3">
      <c r="U834637" s="25"/>
    </row>
    <row r="834659" spans="21:21" x14ac:dyDescent="0.3">
      <c r="U834659" s="25"/>
    </row>
    <row r="834681" spans="21:21" x14ac:dyDescent="0.3">
      <c r="U834681" s="25"/>
    </row>
    <row r="834703" spans="21:21" x14ac:dyDescent="0.3">
      <c r="U834703" s="25"/>
    </row>
    <row r="834725" spans="21:21" x14ac:dyDescent="0.3">
      <c r="U834725" s="25"/>
    </row>
    <row r="834747" spans="21:21" x14ac:dyDescent="0.3">
      <c r="U834747" s="25"/>
    </row>
    <row r="834769" spans="21:21" x14ac:dyDescent="0.3">
      <c r="U834769" s="25"/>
    </row>
    <row r="834791" spans="21:21" x14ac:dyDescent="0.3">
      <c r="U834791" s="25"/>
    </row>
    <row r="834813" spans="21:21" x14ac:dyDescent="0.3">
      <c r="U834813" s="25"/>
    </row>
    <row r="834835" spans="21:21" x14ac:dyDescent="0.3">
      <c r="U834835" s="25"/>
    </row>
    <row r="834857" spans="21:21" x14ac:dyDescent="0.3">
      <c r="U834857" s="25"/>
    </row>
    <row r="834879" spans="21:21" x14ac:dyDescent="0.3">
      <c r="U834879" s="25"/>
    </row>
    <row r="834901" spans="21:21" x14ac:dyDescent="0.3">
      <c r="U834901" s="25"/>
    </row>
    <row r="834923" spans="21:21" x14ac:dyDescent="0.3">
      <c r="U834923" s="25"/>
    </row>
    <row r="834945" spans="21:21" x14ac:dyDescent="0.3">
      <c r="U834945" s="25"/>
    </row>
    <row r="834967" spans="21:21" x14ac:dyDescent="0.3">
      <c r="U834967" s="25"/>
    </row>
    <row r="834989" spans="21:21" x14ac:dyDescent="0.3">
      <c r="U834989" s="25"/>
    </row>
    <row r="835011" spans="21:21" x14ac:dyDescent="0.3">
      <c r="U835011" s="25"/>
    </row>
    <row r="835033" spans="21:21" x14ac:dyDescent="0.3">
      <c r="U835033" s="25"/>
    </row>
    <row r="835055" spans="21:21" x14ac:dyDescent="0.3">
      <c r="U835055" s="25"/>
    </row>
    <row r="835077" spans="21:21" x14ac:dyDescent="0.3">
      <c r="U835077" s="25"/>
    </row>
    <row r="835099" spans="21:21" x14ac:dyDescent="0.3">
      <c r="U835099" s="25"/>
    </row>
    <row r="835121" spans="21:21" x14ac:dyDescent="0.3">
      <c r="U835121" s="25"/>
    </row>
    <row r="835143" spans="21:21" x14ac:dyDescent="0.3">
      <c r="U835143" s="25"/>
    </row>
    <row r="835165" spans="21:21" x14ac:dyDescent="0.3">
      <c r="U835165" s="25"/>
    </row>
    <row r="835187" spans="21:21" x14ac:dyDescent="0.3">
      <c r="U835187" s="25"/>
    </row>
    <row r="835209" spans="21:21" x14ac:dyDescent="0.3">
      <c r="U835209" s="25"/>
    </row>
    <row r="835231" spans="21:21" x14ac:dyDescent="0.3">
      <c r="U835231" s="25"/>
    </row>
    <row r="835253" spans="21:21" x14ac:dyDescent="0.3">
      <c r="U835253" s="25"/>
    </row>
    <row r="835275" spans="21:21" x14ac:dyDescent="0.3">
      <c r="U835275" s="25"/>
    </row>
    <row r="835297" spans="21:21" x14ac:dyDescent="0.3">
      <c r="U835297" s="25"/>
    </row>
    <row r="835319" spans="21:21" x14ac:dyDescent="0.3">
      <c r="U835319" s="25"/>
    </row>
    <row r="835341" spans="21:21" x14ac:dyDescent="0.3">
      <c r="U835341" s="25"/>
    </row>
    <row r="835363" spans="21:21" x14ac:dyDescent="0.3">
      <c r="U835363" s="25"/>
    </row>
    <row r="835385" spans="21:21" x14ac:dyDescent="0.3">
      <c r="U835385" s="25"/>
    </row>
    <row r="835407" spans="21:21" x14ac:dyDescent="0.3">
      <c r="U835407" s="25"/>
    </row>
    <row r="835429" spans="21:21" x14ac:dyDescent="0.3">
      <c r="U835429" s="25"/>
    </row>
    <row r="835451" spans="21:21" x14ac:dyDescent="0.3">
      <c r="U835451" s="25"/>
    </row>
    <row r="835473" spans="21:21" x14ac:dyDescent="0.3">
      <c r="U835473" s="25"/>
    </row>
    <row r="835495" spans="21:21" x14ac:dyDescent="0.3">
      <c r="U835495" s="25"/>
    </row>
    <row r="835517" spans="21:21" x14ac:dyDescent="0.3">
      <c r="U835517" s="25"/>
    </row>
    <row r="835539" spans="21:21" x14ac:dyDescent="0.3">
      <c r="U835539" s="25"/>
    </row>
    <row r="835561" spans="21:21" x14ac:dyDescent="0.3">
      <c r="U835561" s="25"/>
    </row>
    <row r="835583" spans="21:21" x14ac:dyDescent="0.3">
      <c r="U835583" s="25"/>
    </row>
    <row r="835605" spans="21:21" x14ac:dyDescent="0.3">
      <c r="U835605" s="25"/>
    </row>
    <row r="835627" spans="21:21" x14ac:dyDescent="0.3">
      <c r="U835627" s="25"/>
    </row>
    <row r="835649" spans="21:21" x14ac:dyDescent="0.3">
      <c r="U835649" s="25"/>
    </row>
    <row r="835671" spans="21:21" x14ac:dyDescent="0.3">
      <c r="U835671" s="25"/>
    </row>
    <row r="835693" spans="21:21" x14ac:dyDescent="0.3">
      <c r="U835693" s="25"/>
    </row>
    <row r="835715" spans="21:21" x14ac:dyDescent="0.3">
      <c r="U835715" s="25"/>
    </row>
    <row r="835737" spans="21:21" x14ac:dyDescent="0.3">
      <c r="U835737" s="25"/>
    </row>
    <row r="835759" spans="21:21" x14ac:dyDescent="0.3">
      <c r="U835759" s="25"/>
    </row>
    <row r="835781" spans="21:21" x14ac:dyDescent="0.3">
      <c r="U835781" s="25"/>
    </row>
    <row r="835803" spans="21:21" x14ac:dyDescent="0.3">
      <c r="U835803" s="25"/>
    </row>
    <row r="835825" spans="21:21" x14ac:dyDescent="0.3">
      <c r="U835825" s="25"/>
    </row>
    <row r="835847" spans="21:21" x14ac:dyDescent="0.3">
      <c r="U835847" s="25"/>
    </row>
    <row r="835869" spans="21:21" x14ac:dyDescent="0.3">
      <c r="U835869" s="25"/>
    </row>
    <row r="835891" spans="21:21" x14ac:dyDescent="0.3">
      <c r="U835891" s="25"/>
    </row>
    <row r="835913" spans="21:21" x14ac:dyDescent="0.3">
      <c r="U835913" s="25"/>
    </row>
    <row r="835935" spans="21:21" x14ac:dyDescent="0.3">
      <c r="U835935" s="25"/>
    </row>
    <row r="835957" spans="21:21" x14ac:dyDescent="0.3">
      <c r="U835957" s="25"/>
    </row>
    <row r="835979" spans="21:21" x14ac:dyDescent="0.3">
      <c r="U835979" s="25"/>
    </row>
    <row r="836001" spans="21:21" x14ac:dyDescent="0.3">
      <c r="U836001" s="25"/>
    </row>
    <row r="836023" spans="21:21" x14ac:dyDescent="0.3">
      <c r="U836023" s="25"/>
    </row>
    <row r="836045" spans="21:21" x14ac:dyDescent="0.3">
      <c r="U836045" s="25"/>
    </row>
    <row r="836067" spans="21:21" x14ac:dyDescent="0.3">
      <c r="U836067" s="25"/>
    </row>
    <row r="836089" spans="21:21" x14ac:dyDescent="0.3">
      <c r="U836089" s="25"/>
    </row>
    <row r="836111" spans="21:21" x14ac:dyDescent="0.3">
      <c r="U836111" s="25"/>
    </row>
    <row r="836133" spans="21:21" x14ac:dyDescent="0.3">
      <c r="U836133" s="25"/>
    </row>
    <row r="836155" spans="21:21" x14ac:dyDescent="0.3">
      <c r="U836155" s="25"/>
    </row>
    <row r="836177" spans="21:21" x14ac:dyDescent="0.3">
      <c r="U836177" s="25"/>
    </row>
    <row r="836199" spans="21:21" x14ac:dyDescent="0.3">
      <c r="U836199" s="25"/>
    </row>
    <row r="836221" spans="21:21" x14ac:dyDescent="0.3">
      <c r="U836221" s="25"/>
    </row>
    <row r="836243" spans="21:21" x14ac:dyDescent="0.3">
      <c r="U836243" s="25"/>
    </row>
    <row r="836265" spans="21:21" x14ac:dyDescent="0.3">
      <c r="U836265" s="25"/>
    </row>
    <row r="836287" spans="21:21" x14ac:dyDescent="0.3">
      <c r="U836287" s="25"/>
    </row>
    <row r="836309" spans="21:21" x14ac:dyDescent="0.3">
      <c r="U836309" s="25"/>
    </row>
    <row r="836331" spans="21:21" x14ac:dyDescent="0.3">
      <c r="U836331" s="25"/>
    </row>
    <row r="836353" spans="21:21" x14ac:dyDescent="0.3">
      <c r="U836353" s="25"/>
    </row>
    <row r="836375" spans="21:21" x14ac:dyDescent="0.3">
      <c r="U836375" s="25"/>
    </row>
    <row r="836397" spans="21:21" x14ac:dyDescent="0.3">
      <c r="U836397" s="25"/>
    </row>
    <row r="836419" spans="21:21" x14ac:dyDescent="0.3">
      <c r="U836419" s="25"/>
    </row>
    <row r="836441" spans="21:21" x14ac:dyDescent="0.3">
      <c r="U836441" s="25"/>
    </row>
    <row r="836463" spans="21:21" x14ac:dyDescent="0.3">
      <c r="U836463" s="25"/>
    </row>
    <row r="836485" spans="21:21" x14ac:dyDescent="0.3">
      <c r="U836485" s="25"/>
    </row>
    <row r="836507" spans="21:21" x14ac:dyDescent="0.3">
      <c r="U836507" s="25"/>
    </row>
    <row r="836529" spans="21:21" x14ac:dyDescent="0.3">
      <c r="U836529" s="25"/>
    </row>
    <row r="836551" spans="21:21" x14ac:dyDescent="0.3">
      <c r="U836551" s="25"/>
    </row>
    <row r="836573" spans="21:21" x14ac:dyDescent="0.3">
      <c r="U836573" s="25"/>
    </row>
    <row r="836595" spans="21:21" x14ac:dyDescent="0.3">
      <c r="U836595" s="25"/>
    </row>
    <row r="836617" spans="21:21" x14ac:dyDescent="0.3">
      <c r="U836617" s="25"/>
    </row>
    <row r="836639" spans="21:21" x14ac:dyDescent="0.3">
      <c r="U836639" s="25"/>
    </row>
    <row r="836661" spans="21:21" x14ac:dyDescent="0.3">
      <c r="U836661" s="25"/>
    </row>
    <row r="836683" spans="21:21" x14ac:dyDescent="0.3">
      <c r="U836683" s="25"/>
    </row>
    <row r="836705" spans="21:21" x14ac:dyDescent="0.3">
      <c r="U836705" s="25"/>
    </row>
    <row r="836727" spans="21:21" x14ac:dyDescent="0.3">
      <c r="U836727" s="25"/>
    </row>
    <row r="836749" spans="21:21" x14ac:dyDescent="0.3">
      <c r="U836749" s="25"/>
    </row>
    <row r="836771" spans="21:21" x14ac:dyDescent="0.3">
      <c r="U836771" s="25"/>
    </row>
    <row r="836793" spans="21:21" x14ac:dyDescent="0.3">
      <c r="U836793" s="25"/>
    </row>
    <row r="836815" spans="21:21" x14ac:dyDescent="0.3">
      <c r="U836815" s="25"/>
    </row>
    <row r="836837" spans="21:21" x14ac:dyDescent="0.3">
      <c r="U836837" s="25"/>
    </row>
    <row r="836859" spans="21:21" x14ac:dyDescent="0.3">
      <c r="U836859" s="25"/>
    </row>
    <row r="836881" spans="21:21" x14ac:dyDescent="0.3">
      <c r="U836881" s="25"/>
    </row>
    <row r="836903" spans="21:21" x14ac:dyDescent="0.3">
      <c r="U836903" s="25"/>
    </row>
    <row r="836925" spans="21:21" x14ac:dyDescent="0.3">
      <c r="U836925" s="25"/>
    </row>
    <row r="836947" spans="21:21" x14ac:dyDescent="0.3">
      <c r="U836947" s="25"/>
    </row>
    <row r="836969" spans="21:21" x14ac:dyDescent="0.3">
      <c r="U836969" s="25"/>
    </row>
    <row r="836991" spans="21:21" x14ac:dyDescent="0.3">
      <c r="U836991" s="25"/>
    </row>
    <row r="837013" spans="21:21" x14ac:dyDescent="0.3">
      <c r="U837013" s="25"/>
    </row>
    <row r="837035" spans="21:21" x14ac:dyDescent="0.3">
      <c r="U837035" s="25"/>
    </row>
    <row r="837057" spans="21:21" x14ac:dyDescent="0.3">
      <c r="U837057" s="25"/>
    </row>
    <row r="837079" spans="21:21" x14ac:dyDescent="0.3">
      <c r="U837079" s="25"/>
    </row>
    <row r="837101" spans="21:21" x14ac:dyDescent="0.3">
      <c r="U837101" s="25"/>
    </row>
    <row r="837123" spans="21:21" x14ac:dyDescent="0.3">
      <c r="U837123" s="25"/>
    </row>
    <row r="837145" spans="21:21" x14ac:dyDescent="0.3">
      <c r="U837145" s="25"/>
    </row>
    <row r="837167" spans="21:21" x14ac:dyDescent="0.3">
      <c r="U837167" s="25"/>
    </row>
    <row r="837189" spans="21:21" x14ac:dyDescent="0.3">
      <c r="U837189" s="25"/>
    </row>
    <row r="837211" spans="21:21" x14ac:dyDescent="0.3">
      <c r="U837211" s="25"/>
    </row>
    <row r="837233" spans="21:21" x14ac:dyDescent="0.3">
      <c r="U837233" s="25"/>
    </row>
    <row r="837255" spans="21:21" x14ac:dyDescent="0.3">
      <c r="U837255" s="25"/>
    </row>
    <row r="837277" spans="21:21" x14ac:dyDescent="0.3">
      <c r="U837277" s="25"/>
    </row>
    <row r="837299" spans="21:21" x14ac:dyDescent="0.3">
      <c r="U837299" s="25"/>
    </row>
    <row r="837321" spans="21:21" x14ac:dyDescent="0.3">
      <c r="U837321" s="25"/>
    </row>
    <row r="837343" spans="21:21" x14ac:dyDescent="0.3">
      <c r="U837343" s="25"/>
    </row>
    <row r="837365" spans="21:21" x14ac:dyDescent="0.3">
      <c r="U837365" s="25"/>
    </row>
    <row r="837387" spans="21:21" x14ac:dyDescent="0.3">
      <c r="U837387" s="25"/>
    </row>
    <row r="837409" spans="21:21" x14ac:dyDescent="0.3">
      <c r="U837409" s="25"/>
    </row>
    <row r="837431" spans="21:21" x14ac:dyDescent="0.3">
      <c r="U837431" s="25"/>
    </row>
    <row r="837453" spans="21:21" x14ac:dyDescent="0.3">
      <c r="U837453" s="25"/>
    </row>
    <row r="837475" spans="21:21" x14ac:dyDescent="0.3">
      <c r="U837475" s="25"/>
    </row>
    <row r="837497" spans="21:21" x14ac:dyDescent="0.3">
      <c r="U837497" s="25"/>
    </row>
    <row r="837519" spans="21:21" x14ac:dyDescent="0.3">
      <c r="U837519" s="25"/>
    </row>
    <row r="837541" spans="21:21" x14ac:dyDescent="0.3">
      <c r="U837541" s="25"/>
    </row>
    <row r="837563" spans="21:21" x14ac:dyDescent="0.3">
      <c r="U837563" s="25"/>
    </row>
    <row r="837585" spans="21:21" x14ac:dyDescent="0.3">
      <c r="U837585" s="25"/>
    </row>
    <row r="837607" spans="21:21" x14ac:dyDescent="0.3">
      <c r="U837607" s="25"/>
    </row>
    <row r="837629" spans="21:21" x14ac:dyDescent="0.3">
      <c r="U837629" s="25"/>
    </row>
    <row r="837651" spans="21:21" x14ac:dyDescent="0.3">
      <c r="U837651" s="25"/>
    </row>
    <row r="837673" spans="21:21" x14ac:dyDescent="0.3">
      <c r="U837673" s="25"/>
    </row>
    <row r="837695" spans="21:21" x14ac:dyDescent="0.3">
      <c r="U837695" s="25"/>
    </row>
    <row r="837717" spans="21:21" x14ac:dyDescent="0.3">
      <c r="U837717" s="25"/>
    </row>
    <row r="837739" spans="21:21" x14ac:dyDescent="0.3">
      <c r="U837739" s="25"/>
    </row>
    <row r="837761" spans="21:21" x14ac:dyDescent="0.3">
      <c r="U837761" s="25"/>
    </row>
    <row r="837783" spans="21:21" x14ac:dyDescent="0.3">
      <c r="U837783" s="25"/>
    </row>
    <row r="837805" spans="21:21" x14ac:dyDescent="0.3">
      <c r="U837805" s="25"/>
    </row>
    <row r="837827" spans="21:21" x14ac:dyDescent="0.3">
      <c r="U837827" s="25"/>
    </row>
    <row r="837849" spans="21:21" x14ac:dyDescent="0.3">
      <c r="U837849" s="25"/>
    </row>
    <row r="837871" spans="21:21" x14ac:dyDescent="0.3">
      <c r="U837871" s="25"/>
    </row>
    <row r="837893" spans="21:21" x14ac:dyDescent="0.3">
      <c r="U837893" s="25"/>
    </row>
    <row r="837915" spans="21:21" x14ac:dyDescent="0.3">
      <c r="U837915" s="25"/>
    </row>
    <row r="837937" spans="21:21" x14ac:dyDescent="0.3">
      <c r="U837937" s="25"/>
    </row>
    <row r="837959" spans="21:21" x14ac:dyDescent="0.3">
      <c r="U837959" s="25"/>
    </row>
    <row r="837981" spans="21:21" x14ac:dyDescent="0.3">
      <c r="U837981" s="25"/>
    </row>
    <row r="838003" spans="21:21" x14ac:dyDescent="0.3">
      <c r="U838003" s="25"/>
    </row>
    <row r="838025" spans="21:21" x14ac:dyDescent="0.3">
      <c r="U838025" s="25"/>
    </row>
    <row r="838047" spans="21:21" x14ac:dyDescent="0.3">
      <c r="U838047" s="25"/>
    </row>
    <row r="838069" spans="21:21" x14ac:dyDescent="0.3">
      <c r="U838069" s="25"/>
    </row>
    <row r="838091" spans="21:21" x14ac:dyDescent="0.3">
      <c r="U838091" s="25"/>
    </row>
    <row r="838113" spans="21:21" x14ac:dyDescent="0.3">
      <c r="U838113" s="25"/>
    </row>
    <row r="838135" spans="21:21" x14ac:dyDescent="0.3">
      <c r="U838135" s="25"/>
    </row>
    <row r="838157" spans="21:21" x14ac:dyDescent="0.3">
      <c r="U838157" s="25"/>
    </row>
    <row r="838179" spans="21:21" x14ac:dyDescent="0.3">
      <c r="U838179" s="25"/>
    </row>
    <row r="838201" spans="21:21" x14ac:dyDescent="0.3">
      <c r="U838201" s="25"/>
    </row>
    <row r="838223" spans="21:21" x14ac:dyDescent="0.3">
      <c r="U838223" s="25"/>
    </row>
    <row r="838245" spans="21:21" x14ac:dyDescent="0.3">
      <c r="U838245" s="25"/>
    </row>
    <row r="838267" spans="21:21" x14ac:dyDescent="0.3">
      <c r="U838267" s="25"/>
    </row>
    <row r="838289" spans="21:21" x14ac:dyDescent="0.3">
      <c r="U838289" s="25"/>
    </row>
    <row r="838311" spans="21:21" x14ac:dyDescent="0.3">
      <c r="U838311" s="25"/>
    </row>
    <row r="838333" spans="21:21" x14ac:dyDescent="0.3">
      <c r="U838333" s="25"/>
    </row>
    <row r="838355" spans="21:21" x14ac:dyDescent="0.3">
      <c r="U838355" s="25"/>
    </row>
    <row r="838377" spans="21:21" x14ac:dyDescent="0.3">
      <c r="U838377" s="25"/>
    </row>
    <row r="838399" spans="21:21" x14ac:dyDescent="0.3">
      <c r="U838399" s="25"/>
    </row>
    <row r="838421" spans="21:21" x14ac:dyDescent="0.3">
      <c r="U838421" s="25"/>
    </row>
    <row r="838443" spans="21:21" x14ac:dyDescent="0.3">
      <c r="U838443" s="25"/>
    </row>
    <row r="838465" spans="21:21" x14ac:dyDescent="0.3">
      <c r="U838465" s="25"/>
    </row>
    <row r="838487" spans="21:21" x14ac:dyDescent="0.3">
      <c r="U838487" s="25"/>
    </row>
    <row r="838509" spans="21:21" x14ac:dyDescent="0.3">
      <c r="U838509" s="25"/>
    </row>
    <row r="838531" spans="21:21" x14ac:dyDescent="0.3">
      <c r="U838531" s="25"/>
    </row>
    <row r="838553" spans="21:21" x14ac:dyDescent="0.3">
      <c r="U838553" s="25"/>
    </row>
    <row r="838575" spans="21:21" x14ac:dyDescent="0.3">
      <c r="U838575" s="25"/>
    </row>
    <row r="838597" spans="21:21" x14ac:dyDescent="0.3">
      <c r="U838597" s="25"/>
    </row>
    <row r="838619" spans="21:21" x14ac:dyDescent="0.3">
      <c r="U838619" s="25"/>
    </row>
    <row r="838641" spans="21:21" x14ac:dyDescent="0.3">
      <c r="U838641" s="25"/>
    </row>
    <row r="838663" spans="21:21" x14ac:dyDescent="0.3">
      <c r="U838663" s="25"/>
    </row>
    <row r="838685" spans="21:21" x14ac:dyDescent="0.3">
      <c r="U838685" s="25"/>
    </row>
    <row r="838707" spans="21:21" x14ac:dyDescent="0.3">
      <c r="U838707" s="25"/>
    </row>
    <row r="838729" spans="21:21" x14ac:dyDescent="0.3">
      <c r="U838729" s="25"/>
    </row>
    <row r="838751" spans="21:21" x14ac:dyDescent="0.3">
      <c r="U838751" s="25"/>
    </row>
    <row r="838773" spans="21:21" x14ac:dyDescent="0.3">
      <c r="U838773" s="25"/>
    </row>
    <row r="838795" spans="21:21" x14ac:dyDescent="0.3">
      <c r="U838795" s="25"/>
    </row>
    <row r="838817" spans="21:21" x14ac:dyDescent="0.3">
      <c r="U838817" s="25"/>
    </row>
    <row r="838839" spans="21:21" x14ac:dyDescent="0.3">
      <c r="U838839" s="25"/>
    </row>
    <row r="838861" spans="21:21" x14ac:dyDescent="0.3">
      <c r="U838861" s="25"/>
    </row>
    <row r="838883" spans="21:21" x14ac:dyDescent="0.3">
      <c r="U838883" s="25"/>
    </row>
    <row r="838905" spans="21:21" x14ac:dyDescent="0.3">
      <c r="U838905" s="25"/>
    </row>
    <row r="838927" spans="21:21" x14ac:dyDescent="0.3">
      <c r="U838927" s="25"/>
    </row>
    <row r="838949" spans="21:21" x14ac:dyDescent="0.3">
      <c r="U838949" s="25"/>
    </row>
    <row r="838971" spans="21:21" x14ac:dyDescent="0.3">
      <c r="U838971" s="25"/>
    </row>
    <row r="838993" spans="21:21" x14ac:dyDescent="0.3">
      <c r="U838993" s="25"/>
    </row>
    <row r="839015" spans="21:21" x14ac:dyDescent="0.3">
      <c r="U839015" s="25"/>
    </row>
    <row r="839037" spans="21:21" x14ac:dyDescent="0.3">
      <c r="U839037" s="25"/>
    </row>
    <row r="839059" spans="21:21" x14ac:dyDescent="0.3">
      <c r="U839059" s="25"/>
    </row>
    <row r="839081" spans="21:21" x14ac:dyDescent="0.3">
      <c r="U839081" s="25"/>
    </row>
    <row r="839103" spans="21:21" x14ac:dyDescent="0.3">
      <c r="U839103" s="25"/>
    </row>
    <row r="839125" spans="21:21" x14ac:dyDescent="0.3">
      <c r="U839125" s="25"/>
    </row>
    <row r="839147" spans="21:21" x14ac:dyDescent="0.3">
      <c r="U839147" s="25"/>
    </row>
    <row r="839169" spans="21:21" x14ac:dyDescent="0.3">
      <c r="U839169" s="25"/>
    </row>
    <row r="839191" spans="21:21" x14ac:dyDescent="0.3">
      <c r="U839191" s="25"/>
    </row>
    <row r="839213" spans="21:21" x14ac:dyDescent="0.3">
      <c r="U839213" s="25"/>
    </row>
    <row r="839235" spans="21:21" x14ac:dyDescent="0.3">
      <c r="U839235" s="25"/>
    </row>
    <row r="839257" spans="21:21" x14ac:dyDescent="0.3">
      <c r="U839257" s="25"/>
    </row>
    <row r="839279" spans="21:21" x14ac:dyDescent="0.3">
      <c r="U839279" s="25"/>
    </row>
    <row r="839301" spans="21:21" x14ac:dyDescent="0.3">
      <c r="U839301" s="25"/>
    </row>
    <row r="839323" spans="21:21" x14ac:dyDescent="0.3">
      <c r="U839323" s="25"/>
    </row>
    <row r="839345" spans="21:21" x14ac:dyDescent="0.3">
      <c r="U839345" s="25"/>
    </row>
    <row r="839367" spans="21:21" x14ac:dyDescent="0.3">
      <c r="U839367" s="25"/>
    </row>
    <row r="839389" spans="21:21" x14ac:dyDescent="0.3">
      <c r="U839389" s="25"/>
    </row>
    <row r="839411" spans="21:21" x14ac:dyDescent="0.3">
      <c r="U839411" s="25"/>
    </row>
    <row r="839433" spans="21:21" x14ac:dyDescent="0.3">
      <c r="U839433" s="25"/>
    </row>
    <row r="839455" spans="21:21" x14ac:dyDescent="0.3">
      <c r="U839455" s="25"/>
    </row>
    <row r="839477" spans="21:21" x14ac:dyDescent="0.3">
      <c r="U839477" s="25"/>
    </row>
    <row r="839499" spans="21:21" x14ac:dyDescent="0.3">
      <c r="U839499" s="25"/>
    </row>
    <row r="839521" spans="21:21" x14ac:dyDescent="0.3">
      <c r="U839521" s="25"/>
    </row>
    <row r="839543" spans="21:21" x14ac:dyDescent="0.3">
      <c r="U839543" s="25"/>
    </row>
    <row r="839565" spans="21:21" x14ac:dyDescent="0.3">
      <c r="U839565" s="25"/>
    </row>
    <row r="839587" spans="21:21" x14ac:dyDescent="0.3">
      <c r="U839587" s="25"/>
    </row>
    <row r="839609" spans="21:21" x14ac:dyDescent="0.3">
      <c r="U839609" s="25"/>
    </row>
    <row r="839631" spans="21:21" x14ac:dyDescent="0.3">
      <c r="U839631" s="25"/>
    </row>
    <row r="839653" spans="21:21" x14ac:dyDescent="0.3">
      <c r="U839653" s="25"/>
    </row>
    <row r="839675" spans="21:21" x14ac:dyDescent="0.3">
      <c r="U839675" s="25"/>
    </row>
    <row r="839697" spans="21:21" x14ac:dyDescent="0.3">
      <c r="U839697" s="25"/>
    </row>
    <row r="839719" spans="21:21" x14ac:dyDescent="0.3">
      <c r="U839719" s="25"/>
    </row>
    <row r="839741" spans="21:21" x14ac:dyDescent="0.3">
      <c r="U839741" s="25"/>
    </row>
    <row r="839763" spans="21:21" x14ac:dyDescent="0.3">
      <c r="U839763" s="25"/>
    </row>
    <row r="839785" spans="21:21" x14ac:dyDescent="0.3">
      <c r="U839785" s="25"/>
    </row>
    <row r="839807" spans="21:21" x14ac:dyDescent="0.3">
      <c r="U839807" s="25"/>
    </row>
    <row r="839829" spans="21:21" x14ac:dyDescent="0.3">
      <c r="U839829" s="25"/>
    </row>
    <row r="839851" spans="21:21" x14ac:dyDescent="0.3">
      <c r="U839851" s="25"/>
    </row>
    <row r="839873" spans="21:21" x14ac:dyDescent="0.3">
      <c r="U839873" s="25"/>
    </row>
    <row r="839895" spans="21:21" x14ac:dyDescent="0.3">
      <c r="U839895" s="25"/>
    </row>
    <row r="839917" spans="21:21" x14ac:dyDescent="0.3">
      <c r="U839917" s="25"/>
    </row>
    <row r="839939" spans="21:21" x14ac:dyDescent="0.3">
      <c r="U839939" s="25"/>
    </row>
    <row r="839961" spans="21:21" x14ac:dyDescent="0.3">
      <c r="U839961" s="25"/>
    </row>
    <row r="839983" spans="21:21" x14ac:dyDescent="0.3">
      <c r="U839983" s="25"/>
    </row>
    <row r="840005" spans="21:21" x14ac:dyDescent="0.3">
      <c r="U840005" s="25"/>
    </row>
    <row r="840027" spans="21:21" x14ac:dyDescent="0.3">
      <c r="U840027" s="25"/>
    </row>
    <row r="840049" spans="21:21" x14ac:dyDescent="0.3">
      <c r="U840049" s="25"/>
    </row>
    <row r="840071" spans="21:21" x14ac:dyDescent="0.3">
      <c r="U840071" s="25"/>
    </row>
    <row r="840093" spans="21:21" x14ac:dyDescent="0.3">
      <c r="U840093" s="25"/>
    </row>
    <row r="840115" spans="21:21" x14ac:dyDescent="0.3">
      <c r="U840115" s="25"/>
    </row>
    <row r="840137" spans="21:21" x14ac:dyDescent="0.3">
      <c r="U840137" s="25"/>
    </row>
    <row r="840159" spans="21:21" x14ac:dyDescent="0.3">
      <c r="U840159" s="25"/>
    </row>
    <row r="840181" spans="21:21" x14ac:dyDescent="0.3">
      <c r="U840181" s="25"/>
    </row>
    <row r="840203" spans="21:21" x14ac:dyDescent="0.3">
      <c r="U840203" s="25"/>
    </row>
    <row r="840225" spans="21:21" x14ac:dyDescent="0.3">
      <c r="U840225" s="25"/>
    </row>
    <row r="840247" spans="21:21" x14ac:dyDescent="0.3">
      <c r="U840247" s="25"/>
    </row>
    <row r="840269" spans="21:21" x14ac:dyDescent="0.3">
      <c r="U840269" s="25"/>
    </row>
    <row r="840291" spans="21:21" x14ac:dyDescent="0.3">
      <c r="U840291" s="25"/>
    </row>
    <row r="840313" spans="21:21" x14ac:dyDescent="0.3">
      <c r="U840313" s="25"/>
    </row>
    <row r="840335" spans="21:21" x14ac:dyDescent="0.3">
      <c r="U840335" s="25"/>
    </row>
    <row r="840357" spans="21:21" x14ac:dyDescent="0.3">
      <c r="U840357" s="25"/>
    </row>
    <row r="840379" spans="21:21" x14ac:dyDescent="0.3">
      <c r="U840379" s="25"/>
    </row>
    <row r="840401" spans="21:21" x14ac:dyDescent="0.3">
      <c r="U840401" s="25"/>
    </row>
    <row r="840423" spans="21:21" x14ac:dyDescent="0.3">
      <c r="U840423" s="25"/>
    </row>
    <row r="840445" spans="21:21" x14ac:dyDescent="0.3">
      <c r="U840445" s="25"/>
    </row>
    <row r="840467" spans="21:21" x14ac:dyDescent="0.3">
      <c r="U840467" s="25"/>
    </row>
    <row r="840489" spans="21:21" x14ac:dyDescent="0.3">
      <c r="U840489" s="25"/>
    </row>
    <row r="840511" spans="21:21" x14ac:dyDescent="0.3">
      <c r="U840511" s="25"/>
    </row>
    <row r="840533" spans="21:21" x14ac:dyDescent="0.3">
      <c r="U840533" s="25"/>
    </row>
    <row r="840555" spans="21:21" x14ac:dyDescent="0.3">
      <c r="U840555" s="25"/>
    </row>
    <row r="840577" spans="21:21" x14ac:dyDescent="0.3">
      <c r="U840577" s="25"/>
    </row>
    <row r="840599" spans="21:21" x14ac:dyDescent="0.3">
      <c r="U840599" s="25"/>
    </row>
    <row r="840621" spans="21:21" x14ac:dyDescent="0.3">
      <c r="U840621" s="25"/>
    </row>
    <row r="840643" spans="21:21" x14ac:dyDescent="0.3">
      <c r="U840643" s="25"/>
    </row>
    <row r="840665" spans="21:21" x14ac:dyDescent="0.3">
      <c r="U840665" s="25"/>
    </row>
    <row r="840687" spans="21:21" x14ac:dyDescent="0.3">
      <c r="U840687" s="25"/>
    </row>
    <row r="840709" spans="21:21" x14ac:dyDescent="0.3">
      <c r="U840709" s="25"/>
    </row>
    <row r="840731" spans="21:21" x14ac:dyDescent="0.3">
      <c r="U840731" s="25"/>
    </row>
    <row r="840753" spans="21:21" x14ac:dyDescent="0.3">
      <c r="U840753" s="25"/>
    </row>
    <row r="840775" spans="21:21" x14ac:dyDescent="0.3">
      <c r="U840775" s="25"/>
    </row>
    <row r="840797" spans="21:21" x14ac:dyDescent="0.3">
      <c r="U840797" s="25"/>
    </row>
    <row r="840819" spans="21:21" x14ac:dyDescent="0.3">
      <c r="U840819" s="25"/>
    </row>
    <row r="840841" spans="21:21" x14ac:dyDescent="0.3">
      <c r="U840841" s="25"/>
    </row>
    <row r="840863" spans="21:21" x14ac:dyDescent="0.3">
      <c r="U840863" s="25"/>
    </row>
    <row r="840885" spans="21:21" x14ac:dyDescent="0.3">
      <c r="U840885" s="25"/>
    </row>
    <row r="840907" spans="21:21" x14ac:dyDescent="0.3">
      <c r="U840907" s="25"/>
    </row>
    <row r="840929" spans="21:21" x14ac:dyDescent="0.3">
      <c r="U840929" s="25"/>
    </row>
    <row r="840951" spans="21:21" x14ac:dyDescent="0.3">
      <c r="U840951" s="25"/>
    </row>
    <row r="840973" spans="21:21" x14ac:dyDescent="0.3">
      <c r="U840973" s="25"/>
    </row>
    <row r="840995" spans="21:21" x14ac:dyDescent="0.3">
      <c r="U840995" s="25"/>
    </row>
    <row r="841017" spans="21:21" x14ac:dyDescent="0.3">
      <c r="U841017" s="25"/>
    </row>
    <row r="841039" spans="21:21" x14ac:dyDescent="0.3">
      <c r="U841039" s="25"/>
    </row>
    <row r="841061" spans="21:21" x14ac:dyDescent="0.3">
      <c r="U841061" s="25"/>
    </row>
    <row r="841083" spans="21:21" x14ac:dyDescent="0.3">
      <c r="U841083" s="25"/>
    </row>
    <row r="841105" spans="21:21" x14ac:dyDescent="0.3">
      <c r="U841105" s="25"/>
    </row>
    <row r="841127" spans="21:21" x14ac:dyDescent="0.3">
      <c r="U841127" s="25"/>
    </row>
    <row r="841149" spans="21:21" x14ac:dyDescent="0.3">
      <c r="U841149" s="25"/>
    </row>
    <row r="841171" spans="21:21" x14ac:dyDescent="0.3">
      <c r="U841171" s="25"/>
    </row>
    <row r="841193" spans="21:21" x14ac:dyDescent="0.3">
      <c r="U841193" s="25"/>
    </row>
    <row r="841215" spans="21:21" x14ac:dyDescent="0.3">
      <c r="U841215" s="25"/>
    </row>
    <row r="841237" spans="21:21" x14ac:dyDescent="0.3">
      <c r="U841237" s="25"/>
    </row>
    <row r="841259" spans="21:21" x14ac:dyDescent="0.3">
      <c r="U841259" s="25"/>
    </row>
    <row r="841281" spans="21:21" x14ac:dyDescent="0.3">
      <c r="U841281" s="25"/>
    </row>
    <row r="841303" spans="21:21" x14ac:dyDescent="0.3">
      <c r="U841303" s="25"/>
    </row>
    <row r="841325" spans="21:21" x14ac:dyDescent="0.3">
      <c r="U841325" s="25"/>
    </row>
    <row r="841347" spans="21:21" x14ac:dyDescent="0.3">
      <c r="U841347" s="25"/>
    </row>
    <row r="841369" spans="21:21" x14ac:dyDescent="0.3">
      <c r="U841369" s="25"/>
    </row>
    <row r="841391" spans="21:21" x14ac:dyDescent="0.3">
      <c r="U841391" s="25"/>
    </row>
    <row r="841413" spans="21:21" x14ac:dyDescent="0.3">
      <c r="U841413" s="25"/>
    </row>
    <row r="841435" spans="21:21" x14ac:dyDescent="0.3">
      <c r="U841435" s="25"/>
    </row>
    <row r="841457" spans="21:21" x14ac:dyDescent="0.3">
      <c r="U841457" s="25"/>
    </row>
    <row r="841479" spans="21:21" x14ac:dyDescent="0.3">
      <c r="U841479" s="25"/>
    </row>
    <row r="841501" spans="21:21" x14ac:dyDescent="0.3">
      <c r="U841501" s="25"/>
    </row>
    <row r="841523" spans="21:21" x14ac:dyDescent="0.3">
      <c r="U841523" s="25"/>
    </row>
    <row r="841545" spans="21:21" x14ac:dyDescent="0.3">
      <c r="U841545" s="25"/>
    </row>
    <row r="841567" spans="21:21" x14ac:dyDescent="0.3">
      <c r="U841567" s="25"/>
    </row>
    <row r="841589" spans="21:21" x14ac:dyDescent="0.3">
      <c r="U841589" s="25"/>
    </row>
    <row r="841611" spans="21:21" x14ac:dyDescent="0.3">
      <c r="U841611" s="25"/>
    </row>
    <row r="841633" spans="21:21" x14ac:dyDescent="0.3">
      <c r="U841633" s="25"/>
    </row>
    <row r="841655" spans="21:21" x14ac:dyDescent="0.3">
      <c r="U841655" s="25"/>
    </row>
    <row r="841677" spans="21:21" x14ac:dyDescent="0.3">
      <c r="U841677" s="25"/>
    </row>
    <row r="841699" spans="21:21" x14ac:dyDescent="0.3">
      <c r="U841699" s="25"/>
    </row>
    <row r="841721" spans="21:21" x14ac:dyDescent="0.3">
      <c r="U841721" s="25"/>
    </row>
    <row r="841743" spans="21:21" x14ac:dyDescent="0.3">
      <c r="U841743" s="25"/>
    </row>
    <row r="841765" spans="21:21" x14ac:dyDescent="0.3">
      <c r="U841765" s="25"/>
    </row>
    <row r="841787" spans="21:21" x14ac:dyDescent="0.3">
      <c r="U841787" s="25"/>
    </row>
    <row r="841809" spans="21:21" x14ac:dyDescent="0.3">
      <c r="U841809" s="25"/>
    </row>
    <row r="841831" spans="21:21" x14ac:dyDescent="0.3">
      <c r="U841831" s="25"/>
    </row>
    <row r="841853" spans="21:21" x14ac:dyDescent="0.3">
      <c r="U841853" s="25"/>
    </row>
    <row r="841875" spans="21:21" x14ac:dyDescent="0.3">
      <c r="U841875" s="25"/>
    </row>
    <row r="841897" spans="21:21" x14ac:dyDescent="0.3">
      <c r="U841897" s="25"/>
    </row>
    <row r="841919" spans="21:21" x14ac:dyDescent="0.3">
      <c r="U841919" s="25"/>
    </row>
    <row r="841941" spans="21:21" x14ac:dyDescent="0.3">
      <c r="U841941" s="25"/>
    </row>
    <row r="841963" spans="21:21" x14ac:dyDescent="0.3">
      <c r="U841963" s="25"/>
    </row>
    <row r="841985" spans="21:21" x14ac:dyDescent="0.3">
      <c r="U841985" s="25"/>
    </row>
    <row r="842007" spans="21:21" x14ac:dyDescent="0.3">
      <c r="U842007" s="25"/>
    </row>
    <row r="842029" spans="21:21" x14ac:dyDescent="0.3">
      <c r="U842029" s="25"/>
    </row>
    <row r="842051" spans="21:21" x14ac:dyDescent="0.3">
      <c r="U842051" s="25"/>
    </row>
    <row r="842073" spans="21:21" x14ac:dyDescent="0.3">
      <c r="U842073" s="25"/>
    </row>
    <row r="842095" spans="21:21" x14ac:dyDescent="0.3">
      <c r="U842095" s="25"/>
    </row>
    <row r="842117" spans="21:21" x14ac:dyDescent="0.3">
      <c r="U842117" s="25"/>
    </row>
    <row r="842139" spans="21:21" x14ac:dyDescent="0.3">
      <c r="U842139" s="25"/>
    </row>
    <row r="842161" spans="21:21" x14ac:dyDescent="0.3">
      <c r="U842161" s="25"/>
    </row>
    <row r="842183" spans="21:21" x14ac:dyDescent="0.3">
      <c r="U842183" s="25"/>
    </row>
    <row r="842205" spans="21:21" x14ac:dyDescent="0.3">
      <c r="U842205" s="25"/>
    </row>
    <row r="842227" spans="21:21" x14ac:dyDescent="0.3">
      <c r="U842227" s="25"/>
    </row>
    <row r="842249" spans="21:21" x14ac:dyDescent="0.3">
      <c r="U842249" s="25"/>
    </row>
    <row r="842271" spans="21:21" x14ac:dyDescent="0.3">
      <c r="U842271" s="25"/>
    </row>
    <row r="842293" spans="21:21" x14ac:dyDescent="0.3">
      <c r="U842293" s="25"/>
    </row>
    <row r="842315" spans="21:21" x14ac:dyDescent="0.3">
      <c r="U842315" s="25"/>
    </row>
    <row r="842337" spans="21:21" x14ac:dyDescent="0.3">
      <c r="U842337" s="25"/>
    </row>
    <row r="842359" spans="21:21" x14ac:dyDescent="0.3">
      <c r="U842359" s="25"/>
    </row>
    <row r="842381" spans="21:21" x14ac:dyDescent="0.3">
      <c r="U842381" s="25"/>
    </row>
    <row r="842403" spans="21:21" x14ac:dyDescent="0.3">
      <c r="U842403" s="25"/>
    </row>
    <row r="842425" spans="21:21" x14ac:dyDescent="0.3">
      <c r="U842425" s="25"/>
    </row>
    <row r="842447" spans="21:21" x14ac:dyDescent="0.3">
      <c r="U842447" s="25"/>
    </row>
    <row r="842469" spans="21:21" x14ac:dyDescent="0.3">
      <c r="U842469" s="25"/>
    </row>
    <row r="842491" spans="21:21" x14ac:dyDescent="0.3">
      <c r="U842491" s="25"/>
    </row>
    <row r="842513" spans="21:21" x14ac:dyDescent="0.3">
      <c r="U842513" s="25"/>
    </row>
    <row r="842535" spans="21:21" x14ac:dyDescent="0.3">
      <c r="U842535" s="25"/>
    </row>
    <row r="842557" spans="21:21" x14ac:dyDescent="0.3">
      <c r="U842557" s="25"/>
    </row>
    <row r="842579" spans="21:21" x14ac:dyDescent="0.3">
      <c r="U842579" s="25"/>
    </row>
    <row r="842601" spans="21:21" x14ac:dyDescent="0.3">
      <c r="U842601" s="25"/>
    </row>
    <row r="842623" spans="21:21" x14ac:dyDescent="0.3">
      <c r="U842623" s="25"/>
    </row>
    <row r="842645" spans="21:21" x14ac:dyDescent="0.3">
      <c r="U842645" s="25"/>
    </row>
    <row r="842667" spans="21:21" x14ac:dyDescent="0.3">
      <c r="U842667" s="25"/>
    </row>
    <row r="842689" spans="21:21" x14ac:dyDescent="0.3">
      <c r="U842689" s="25"/>
    </row>
    <row r="842711" spans="21:21" x14ac:dyDescent="0.3">
      <c r="U842711" s="25"/>
    </row>
    <row r="842733" spans="21:21" x14ac:dyDescent="0.3">
      <c r="U842733" s="25"/>
    </row>
    <row r="842755" spans="21:21" x14ac:dyDescent="0.3">
      <c r="U842755" s="25"/>
    </row>
    <row r="842777" spans="21:21" x14ac:dyDescent="0.3">
      <c r="U842777" s="25"/>
    </row>
    <row r="842799" spans="21:21" x14ac:dyDescent="0.3">
      <c r="U842799" s="25"/>
    </row>
    <row r="842821" spans="21:21" x14ac:dyDescent="0.3">
      <c r="U842821" s="25"/>
    </row>
    <row r="842843" spans="21:21" x14ac:dyDescent="0.3">
      <c r="U842843" s="25"/>
    </row>
    <row r="842865" spans="21:21" x14ac:dyDescent="0.3">
      <c r="U842865" s="25"/>
    </row>
    <row r="842887" spans="21:21" x14ac:dyDescent="0.3">
      <c r="U842887" s="25"/>
    </row>
    <row r="842909" spans="21:21" x14ac:dyDescent="0.3">
      <c r="U842909" s="25"/>
    </row>
    <row r="842931" spans="21:21" x14ac:dyDescent="0.3">
      <c r="U842931" s="25"/>
    </row>
    <row r="842953" spans="21:21" x14ac:dyDescent="0.3">
      <c r="U842953" s="25"/>
    </row>
    <row r="842975" spans="21:21" x14ac:dyDescent="0.3">
      <c r="U842975" s="25"/>
    </row>
    <row r="842997" spans="21:21" x14ac:dyDescent="0.3">
      <c r="U842997" s="25"/>
    </row>
    <row r="843019" spans="21:21" x14ac:dyDescent="0.3">
      <c r="U843019" s="25"/>
    </row>
    <row r="843041" spans="21:21" x14ac:dyDescent="0.3">
      <c r="U843041" s="25"/>
    </row>
    <row r="843063" spans="21:21" x14ac:dyDescent="0.3">
      <c r="U843063" s="25"/>
    </row>
    <row r="843085" spans="21:21" x14ac:dyDescent="0.3">
      <c r="U843085" s="25"/>
    </row>
    <row r="843107" spans="21:21" x14ac:dyDescent="0.3">
      <c r="U843107" s="25"/>
    </row>
    <row r="843129" spans="21:21" x14ac:dyDescent="0.3">
      <c r="U843129" s="25"/>
    </row>
    <row r="843151" spans="21:21" x14ac:dyDescent="0.3">
      <c r="U843151" s="25"/>
    </row>
    <row r="843173" spans="21:21" x14ac:dyDescent="0.3">
      <c r="U843173" s="25"/>
    </row>
    <row r="843195" spans="21:21" x14ac:dyDescent="0.3">
      <c r="U843195" s="25"/>
    </row>
    <row r="843217" spans="21:21" x14ac:dyDescent="0.3">
      <c r="U843217" s="25"/>
    </row>
    <row r="843239" spans="21:21" x14ac:dyDescent="0.3">
      <c r="U843239" s="25"/>
    </row>
    <row r="843261" spans="21:21" x14ac:dyDescent="0.3">
      <c r="U843261" s="25"/>
    </row>
    <row r="843283" spans="21:21" x14ac:dyDescent="0.3">
      <c r="U843283" s="25"/>
    </row>
    <row r="843305" spans="21:21" x14ac:dyDescent="0.3">
      <c r="U843305" s="25"/>
    </row>
    <row r="843327" spans="21:21" x14ac:dyDescent="0.3">
      <c r="U843327" s="25"/>
    </row>
    <row r="843349" spans="21:21" x14ac:dyDescent="0.3">
      <c r="U843349" s="25"/>
    </row>
    <row r="843371" spans="21:21" x14ac:dyDescent="0.3">
      <c r="U843371" s="25"/>
    </row>
    <row r="843393" spans="21:21" x14ac:dyDescent="0.3">
      <c r="U843393" s="25"/>
    </row>
    <row r="843415" spans="21:21" x14ac:dyDescent="0.3">
      <c r="U843415" s="25"/>
    </row>
    <row r="843437" spans="21:21" x14ac:dyDescent="0.3">
      <c r="U843437" s="25"/>
    </row>
    <row r="843459" spans="21:21" x14ac:dyDescent="0.3">
      <c r="U843459" s="25"/>
    </row>
    <row r="843481" spans="21:21" x14ac:dyDescent="0.3">
      <c r="U843481" s="25"/>
    </row>
    <row r="843503" spans="21:21" x14ac:dyDescent="0.3">
      <c r="U843503" s="25"/>
    </row>
    <row r="843525" spans="21:21" x14ac:dyDescent="0.3">
      <c r="U843525" s="25"/>
    </row>
    <row r="843547" spans="21:21" x14ac:dyDescent="0.3">
      <c r="U843547" s="25"/>
    </row>
    <row r="843569" spans="21:21" x14ac:dyDescent="0.3">
      <c r="U843569" s="25"/>
    </row>
    <row r="843591" spans="21:21" x14ac:dyDescent="0.3">
      <c r="U843591" s="25"/>
    </row>
    <row r="843613" spans="21:21" x14ac:dyDescent="0.3">
      <c r="U843613" s="25"/>
    </row>
    <row r="843635" spans="21:21" x14ac:dyDescent="0.3">
      <c r="U843635" s="25"/>
    </row>
    <row r="843657" spans="21:21" x14ac:dyDescent="0.3">
      <c r="U843657" s="25"/>
    </row>
    <row r="843679" spans="21:21" x14ac:dyDescent="0.3">
      <c r="U843679" s="25"/>
    </row>
    <row r="843701" spans="21:21" x14ac:dyDescent="0.3">
      <c r="U843701" s="25"/>
    </row>
    <row r="843723" spans="21:21" x14ac:dyDescent="0.3">
      <c r="U843723" s="25"/>
    </row>
    <row r="843745" spans="21:21" x14ac:dyDescent="0.3">
      <c r="U843745" s="25"/>
    </row>
    <row r="843767" spans="21:21" x14ac:dyDescent="0.3">
      <c r="U843767" s="25"/>
    </row>
    <row r="843789" spans="21:21" x14ac:dyDescent="0.3">
      <c r="U843789" s="25"/>
    </row>
    <row r="843811" spans="21:21" x14ac:dyDescent="0.3">
      <c r="U843811" s="25"/>
    </row>
    <row r="843833" spans="21:21" x14ac:dyDescent="0.3">
      <c r="U843833" s="25"/>
    </row>
    <row r="843855" spans="21:21" x14ac:dyDescent="0.3">
      <c r="U843855" s="25"/>
    </row>
    <row r="843877" spans="21:21" x14ac:dyDescent="0.3">
      <c r="U843877" s="25"/>
    </row>
    <row r="843899" spans="21:21" x14ac:dyDescent="0.3">
      <c r="U843899" s="25"/>
    </row>
    <row r="843921" spans="21:21" x14ac:dyDescent="0.3">
      <c r="U843921" s="25"/>
    </row>
    <row r="843943" spans="21:21" x14ac:dyDescent="0.3">
      <c r="U843943" s="25"/>
    </row>
    <row r="843965" spans="21:21" x14ac:dyDescent="0.3">
      <c r="U843965" s="25"/>
    </row>
    <row r="843987" spans="21:21" x14ac:dyDescent="0.3">
      <c r="U843987" s="25"/>
    </row>
    <row r="844009" spans="21:21" x14ac:dyDescent="0.3">
      <c r="U844009" s="25"/>
    </row>
    <row r="844031" spans="21:21" x14ac:dyDescent="0.3">
      <c r="U844031" s="25"/>
    </row>
    <row r="844053" spans="21:21" x14ac:dyDescent="0.3">
      <c r="U844053" s="25"/>
    </row>
    <row r="844075" spans="21:21" x14ac:dyDescent="0.3">
      <c r="U844075" s="25"/>
    </row>
    <row r="844097" spans="21:21" x14ac:dyDescent="0.3">
      <c r="U844097" s="25"/>
    </row>
    <row r="844119" spans="21:21" x14ac:dyDescent="0.3">
      <c r="U844119" s="25"/>
    </row>
    <row r="844141" spans="21:21" x14ac:dyDescent="0.3">
      <c r="U844141" s="25"/>
    </row>
    <row r="844163" spans="21:21" x14ac:dyDescent="0.3">
      <c r="U844163" s="25"/>
    </row>
    <row r="844185" spans="21:21" x14ac:dyDescent="0.3">
      <c r="U844185" s="25"/>
    </row>
    <row r="844207" spans="21:21" x14ac:dyDescent="0.3">
      <c r="U844207" s="25"/>
    </row>
    <row r="844229" spans="21:21" x14ac:dyDescent="0.3">
      <c r="U844229" s="25"/>
    </row>
    <row r="844251" spans="21:21" x14ac:dyDescent="0.3">
      <c r="U844251" s="25"/>
    </row>
    <row r="844273" spans="21:21" x14ac:dyDescent="0.3">
      <c r="U844273" s="25"/>
    </row>
    <row r="844295" spans="21:21" x14ac:dyDescent="0.3">
      <c r="U844295" s="25"/>
    </row>
    <row r="844317" spans="21:21" x14ac:dyDescent="0.3">
      <c r="U844317" s="25"/>
    </row>
    <row r="844339" spans="21:21" x14ac:dyDescent="0.3">
      <c r="U844339" s="25"/>
    </row>
    <row r="844361" spans="21:21" x14ac:dyDescent="0.3">
      <c r="U844361" s="25"/>
    </row>
    <row r="844383" spans="21:21" x14ac:dyDescent="0.3">
      <c r="U844383" s="25"/>
    </row>
    <row r="844405" spans="21:21" x14ac:dyDescent="0.3">
      <c r="U844405" s="25"/>
    </row>
    <row r="844427" spans="21:21" x14ac:dyDescent="0.3">
      <c r="U844427" s="25"/>
    </row>
    <row r="844449" spans="21:21" x14ac:dyDescent="0.3">
      <c r="U844449" s="25"/>
    </row>
    <row r="844471" spans="21:21" x14ac:dyDescent="0.3">
      <c r="U844471" s="25"/>
    </row>
    <row r="844493" spans="21:21" x14ac:dyDescent="0.3">
      <c r="U844493" s="25"/>
    </row>
    <row r="844515" spans="21:21" x14ac:dyDescent="0.3">
      <c r="U844515" s="25"/>
    </row>
    <row r="844537" spans="21:21" x14ac:dyDescent="0.3">
      <c r="U844537" s="25"/>
    </row>
    <row r="844559" spans="21:21" x14ac:dyDescent="0.3">
      <c r="U844559" s="25"/>
    </row>
    <row r="844581" spans="21:21" x14ac:dyDescent="0.3">
      <c r="U844581" s="25"/>
    </row>
    <row r="844603" spans="21:21" x14ac:dyDescent="0.3">
      <c r="U844603" s="25"/>
    </row>
    <row r="844625" spans="21:21" x14ac:dyDescent="0.3">
      <c r="U844625" s="25"/>
    </row>
    <row r="844647" spans="21:21" x14ac:dyDescent="0.3">
      <c r="U844647" s="25"/>
    </row>
    <row r="844669" spans="21:21" x14ac:dyDescent="0.3">
      <c r="U844669" s="25"/>
    </row>
    <row r="844691" spans="21:21" x14ac:dyDescent="0.3">
      <c r="U844691" s="25"/>
    </row>
    <row r="844713" spans="21:21" x14ac:dyDescent="0.3">
      <c r="U844713" s="25"/>
    </row>
    <row r="844735" spans="21:21" x14ac:dyDescent="0.3">
      <c r="U844735" s="25"/>
    </row>
    <row r="844757" spans="21:21" x14ac:dyDescent="0.3">
      <c r="U844757" s="25"/>
    </row>
    <row r="844779" spans="21:21" x14ac:dyDescent="0.3">
      <c r="U844779" s="25"/>
    </row>
    <row r="844801" spans="21:21" x14ac:dyDescent="0.3">
      <c r="U844801" s="25"/>
    </row>
    <row r="844823" spans="21:21" x14ac:dyDescent="0.3">
      <c r="U844823" s="25"/>
    </row>
    <row r="844845" spans="21:21" x14ac:dyDescent="0.3">
      <c r="U844845" s="25"/>
    </row>
    <row r="844867" spans="21:21" x14ac:dyDescent="0.3">
      <c r="U844867" s="25"/>
    </row>
    <row r="844889" spans="21:21" x14ac:dyDescent="0.3">
      <c r="U844889" s="25"/>
    </row>
    <row r="844911" spans="21:21" x14ac:dyDescent="0.3">
      <c r="U844911" s="25"/>
    </row>
    <row r="844933" spans="21:21" x14ac:dyDescent="0.3">
      <c r="U844933" s="25"/>
    </row>
    <row r="844955" spans="21:21" x14ac:dyDescent="0.3">
      <c r="U844955" s="25"/>
    </row>
    <row r="844977" spans="21:21" x14ac:dyDescent="0.3">
      <c r="U844977" s="25"/>
    </row>
    <row r="844999" spans="21:21" x14ac:dyDescent="0.3">
      <c r="U844999" s="25"/>
    </row>
    <row r="845021" spans="21:21" x14ac:dyDescent="0.3">
      <c r="U845021" s="25"/>
    </row>
    <row r="845043" spans="21:21" x14ac:dyDescent="0.3">
      <c r="U845043" s="25"/>
    </row>
    <row r="845065" spans="21:21" x14ac:dyDescent="0.3">
      <c r="U845065" s="25"/>
    </row>
    <row r="845087" spans="21:21" x14ac:dyDescent="0.3">
      <c r="U845087" s="25"/>
    </row>
    <row r="845109" spans="21:21" x14ac:dyDescent="0.3">
      <c r="U845109" s="25"/>
    </row>
    <row r="845131" spans="21:21" x14ac:dyDescent="0.3">
      <c r="U845131" s="25"/>
    </row>
    <row r="845153" spans="21:21" x14ac:dyDescent="0.3">
      <c r="U845153" s="25"/>
    </row>
    <row r="845175" spans="21:21" x14ac:dyDescent="0.3">
      <c r="U845175" s="25"/>
    </row>
    <row r="845197" spans="21:21" x14ac:dyDescent="0.3">
      <c r="U845197" s="25"/>
    </row>
    <row r="845219" spans="21:21" x14ac:dyDescent="0.3">
      <c r="U845219" s="25"/>
    </row>
    <row r="845241" spans="21:21" x14ac:dyDescent="0.3">
      <c r="U845241" s="25"/>
    </row>
    <row r="845263" spans="21:21" x14ac:dyDescent="0.3">
      <c r="U845263" s="25"/>
    </row>
    <row r="845285" spans="21:21" x14ac:dyDescent="0.3">
      <c r="U845285" s="25"/>
    </row>
    <row r="845307" spans="21:21" x14ac:dyDescent="0.3">
      <c r="U845307" s="25"/>
    </row>
    <row r="845329" spans="21:21" x14ac:dyDescent="0.3">
      <c r="U845329" s="25"/>
    </row>
    <row r="845351" spans="21:21" x14ac:dyDescent="0.3">
      <c r="U845351" s="25"/>
    </row>
    <row r="845373" spans="21:21" x14ac:dyDescent="0.3">
      <c r="U845373" s="25"/>
    </row>
    <row r="845395" spans="21:21" x14ac:dyDescent="0.3">
      <c r="U845395" s="25"/>
    </row>
    <row r="845417" spans="21:21" x14ac:dyDescent="0.3">
      <c r="U845417" s="25"/>
    </row>
    <row r="845439" spans="21:21" x14ac:dyDescent="0.3">
      <c r="U845439" s="25"/>
    </row>
    <row r="845461" spans="21:21" x14ac:dyDescent="0.3">
      <c r="U845461" s="25"/>
    </row>
    <row r="845483" spans="21:21" x14ac:dyDescent="0.3">
      <c r="U845483" s="25"/>
    </row>
    <row r="845505" spans="21:21" x14ac:dyDescent="0.3">
      <c r="U845505" s="25"/>
    </row>
    <row r="845527" spans="21:21" x14ac:dyDescent="0.3">
      <c r="U845527" s="25"/>
    </row>
    <row r="845549" spans="21:21" x14ac:dyDescent="0.3">
      <c r="U845549" s="25"/>
    </row>
    <row r="845571" spans="21:21" x14ac:dyDescent="0.3">
      <c r="U845571" s="25"/>
    </row>
    <row r="845593" spans="21:21" x14ac:dyDescent="0.3">
      <c r="U845593" s="25"/>
    </row>
    <row r="845615" spans="21:21" x14ac:dyDescent="0.3">
      <c r="U845615" s="25"/>
    </row>
    <row r="845637" spans="21:21" x14ac:dyDescent="0.3">
      <c r="U845637" s="25"/>
    </row>
    <row r="845659" spans="21:21" x14ac:dyDescent="0.3">
      <c r="U845659" s="25"/>
    </row>
    <row r="845681" spans="21:21" x14ac:dyDescent="0.3">
      <c r="U845681" s="25"/>
    </row>
    <row r="845703" spans="21:21" x14ac:dyDescent="0.3">
      <c r="U845703" s="25"/>
    </row>
    <row r="845725" spans="21:21" x14ac:dyDescent="0.3">
      <c r="U845725" s="25"/>
    </row>
    <row r="845747" spans="21:21" x14ac:dyDescent="0.3">
      <c r="U845747" s="25"/>
    </row>
    <row r="845769" spans="21:21" x14ac:dyDescent="0.3">
      <c r="U845769" s="25"/>
    </row>
    <row r="845791" spans="21:21" x14ac:dyDescent="0.3">
      <c r="U845791" s="25"/>
    </row>
    <row r="845813" spans="21:21" x14ac:dyDescent="0.3">
      <c r="U845813" s="25"/>
    </row>
    <row r="845835" spans="21:21" x14ac:dyDescent="0.3">
      <c r="U845835" s="25"/>
    </row>
    <row r="845857" spans="21:21" x14ac:dyDescent="0.3">
      <c r="U845857" s="25"/>
    </row>
    <row r="845879" spans="21:21" x14ac:dyDescent="0.3">
      <c r="U845879" s="25"/>
    </row>
    <row r="845901" spans="21:21" x14ac:dyDescent="0.3">
      <c r="U845901" s="25"/>
    </row>
    <row r="845923" spans="21:21" x14ac:dyDescent="0.3">
      <c r="U845923" s="25"/>
    </row>
    <row r="845945" spans="21:21" x14ac:dyDescent="0.3">
      <c r="U845945" s="25"/>
    </row>
    <row r="845967" spans="21:21" x14ac:dyDescent="0.3">
      <c r="U845967" s="25"/>
    </row>
    <row r="845989" spans="21:21" x14ac:dyDescent="0.3">
      <c r="U845989" s="25"/>
    </row>
    <row r="846011" spans="21:21" x14ac:dyDescent="0.3">
      <c r="U846011" s="25"/>
    </row>
    <row r="846033" spans="21:21" x14ac:dyDescent="0.3">
      <c r="U846033" s="25"/>
    </row>
    <row r="846055" spans="21:21" x14ac:dyDescent="0.3">
      <c r="U846055" s="25"/>
    </row>
    <row r="846077" spans="21:21" x14ac:dyDescent="0.3">
      <c r="U846077" s="25"/>
    </row>
    <row r="846099" spans="21:21" x14ac:dyDescent="0.3">
      <c r="U846099" s="25"/>
    </row>
    <row r="846121" spans="21:21" x14ac:dyDescent="0.3">
      <c r="U846121" s="25"/>
    </row>
    <row r="846143" spans="21:21" x14ac:dyDescent="0.3">
      <c r="U846143" s="25"/>
    </row>
    <row r="846165" spans="21:21" x14ac:dyDescent="0.3">
      <c r="U846165" s="25"/>
    </row>
    <row r="846187" spans="21:21" x14ac:dyDescent="0.3">
      <c r="U846187" s="25"/>
    </row>
    <row r="846209" spans="21:21" x14ac:dyDescent="0.3">
      <c r="U846209" s="25"/>
    </row>
    <row r="846231" spans="21:21" x14ac:dyDescent="0.3">
      <c r="U846231" s="25"/>
    </row>
    <row r="846253" spans="21:21" x14ac:dyDescent="0.3">
      <c r="U846253" s="25"/>
    </row>
    <row r="846275" spans="21:21" x14ac:dyDescent="0.3">
      <c r="U846275" s="25"/>
    </row>
    <row r="846297" spans="21:21" x14ac:dyDescent="0.3">
      <c r="U846297" s="25"/>
    </row>
    <row r="846319" spans="21:21" x14ac:dyDescent="0.3">
      <c r="U846319" s="25"/>
    </row>
    <row r="846341" spans="21:21" x14ac:dyDescent="0.3">
      <c r="U846341" s="25"/>
    </row>
    <row r="846363" spans="21:21" x14ac:dyDescent="0.3">
      <c r="U846363" s="25"/>
    </row>
    <row r="846385" spans="21:21" x14ac:dyDescent="0.3">
      <c r="U846385" s="25"/>
    </row>
    <row r="846407" spans="21:21" x14ac:dyDescent="0.3">
      <c r="U846407" s="25"/>
    </row>
    <row r="846429" spans="21:21" x14ac:dyDescent="0.3">
      <c r="U846429" s="25"/>
    </row>
    <row r="846451" spans="21:21" x14ac:dyDescent="0.3">
      <c r="U846451" s="25"/>
    </row>
    <row r="846473" spans="21:21" x14ac:dyDescent="0.3">
      <c r="U846473" s="25"/>
    </row>
    <row r="846495" spans="21:21" x14ac:dyDescent="0.3">
      <c r="U846495" s="25"/>
    </row>
    <row r="846517" spans="21:21" x14ac:dyDescent="0.3">
      <c r="U846517" s="25"/>
    </row>
    <row r="846539" spans="21:21" x14ac:dyDescent="0.3">
      <c r="U846539" s="25"/>
    </row>
    <row r="846561" spans="21:21" x14ac:dyDescent="0.3">
      <c r="U846561" s="25"/>
    </row>
    <row r="846583" spans="21:21" x14ac:dyDescent="0.3">
      <c r="U846583" s="25"/>
    </row>
    <row r="846605" spans="21:21" x14ac:dyDescent="0.3">
      <c r="U846605" s="25"/>
    </row>
    <row r="846627" spans="21:21" x14ac:dyDescent="0.3">
      <c r="U846627" s="25"/>
    </row>
    <row r="846649" spans="21:21" x14ac:dyDescent="0.3">
      <c r="U846649" s="25"/>
    </row>
    <row r="846671" spans="21:21" x14ac:dyDescent="0.3">
      <c r="U846671" s="25"/>
    </row>
    <row r="846693" spans="21:21" x14ac:dyDescent="0.3">
      <c r="U846693" s="25"/>
    </row>
    <row r="846715" spans="21:21" x14ac:dyDescent="0.3">
      <c r="U846715" s="25"/>
    </row>
    <row r="846737" spans="21:21" x14ac:dyDescent="0.3">
      <c r="U846737" s="25"/>
    </row>
    <row r="846759" spans="21:21" x14ac:dyDescent="0.3">
      <c r="U846759" s="25"/>
    </row>
    <row r="846781" spans="21:21" x14ac:dyDescent="0.3">
      <c r="U846781" s="25"/>
    </row>
    <row r="846803" spans="21:21" x14ac:dyDescent="0.3">
      <c r="U846803" s="25"/>
    </row>
    <row r="846825" spans="21:21" x14ac:dyDescent="0.3">
      <c r="U846825" s="25"/>
    </row>
    <row r="846847" spans="21:21" x14ac:dyDescent="0.3">
      <c r="U846847" s="25"/>
    </row>
    <row r="846869" spans="21:21" x14ac:dyDescent="0.3">
      <c r="U846869" s="25"/>
    </row>
    <row r="846891" spans="21:21" x14ac:dyDescent="0.3">
      <c r="U846891" s="25"/>
    </row>
    <row r="846913" spans="21:21" x14ac:dyDescent="0.3">
      <c r="U846913" s="25"/>
    </row>
    <row r="846935" spans="21:21" x14ac:dyDescent="0.3">
      <c r="U846935" s="25"/>
    </row>
    <row r="846957" spans="21:21" x14ac:dyDescent="0.3">
      <c r="U846957" s="25"/>
    </row>
    <row r="846979" spans="21:21" x14ac:dyDescent="0.3">
      <c r="U846979" s="25"/>
    </row>
    <row r="847001" spans="21:21" x14ac:dyDescent="0.3">
      <c r="U847001" s="25"/>
    </row>
    <row r="847023" spans="21:21" x14ac:dyDescent="0.3">
      <c r="U847023" s="25"/>
    </row>
    <row r="847045" spans="21:21" x14ac:dyDescent="0.3">
      <c r="U847045" s="25"/>
    </row>
    <row r="847067" spans="21:21" x14ac:dyDescent="0.3">
      <c r="U847067" s="25"/>
    </row>
    <row r="847089" spans="21:21" x14ac:dyDescent="0.3">
      <c r="U847089" s="25"/>
    </row>
    <row r="847111" spans="21:21" x14ac:dyDescent="0.3">
      <c r="U847111" s="25"/>
    </row>
    <row r="847133" spans="21:21" x14ac:dyDescent="0.3">
      <c r="U847133" s="25"/>
    </row>
    <row r="847155" spans="21:21" x14ac:dyDescent="0.3">
      <c r="U847155" s="25"/>
    </row>
    <row r="847177" spans="21:21" x14ac:dyDescent="0.3">
      <c r="U847177" s="25"/>
    </row>
    <row r="847199" spans="21:21" x14ac:dyDescent="0.3">
      <c r="U847199" s="25"/>
    </row>
    <row r="847221" spans="21:21" x14ac:dyDescent="0.3">
      <c r="U847221" s="25"/>
    </row>
    <row r="847243" spans="21:21" x14ac:dyDescent="0.3">
      <c r="U847243" s="25"/>
    </row>
    <row r="847265" spans="21:21" x14ac:dyDescent="0.3">
      <c r="U847265" s="25"/>
    </row>
    <row r="847287" spans="21:21" x14ac:dyDescent="0.3">
      <c r="U847287" s="25"/>
    </row>
    <row r="847309" spans="21:21" x14ac:dyDescent="0.3">
      <c r="U847309" s="25"/>
    </row>
    <row r="847331" spans="21:21" x14ac:dyDescent="0.3">
      <c r="U847331" s="25"/>
    </row>
    <row r="847353" spans="21:21" x14ac:dyDescent="0.3">
      <c r="U847353" s="25"/>
    </row>
    <row r="847375" spans="21:21" x14ac:dyDescent="0.3">
      <c r="U847375" s="25"/>
    </row>
    <row r="847397" spans="21:21" x14ac:dyDescent="0.3">
      <c r="U847397" s="25"/>
    </row>
    <row r="847419" spans="21:21" x14ac:dyDescent="0.3">
      <c r="U847419" s="25"/>
    </row>
    <row r="847441" spans="21:21" x14ac:dyDescent="0.3">
      <c r="U847441" s="25"/>
    </row>
    <row r="847463" spans="21:21" x14ac:dyDescent="0.3">
      <c r="U847463" s="25"/>
    </row>
    <row r="847485" spans="21:21" x14ac:dyDescent="0.3">
      <c r="U847485" s="25"/>
    </row>
    <row r="847507" spans="21:21" x14ac:dyDescent="0.3">
      <c r="U847507" s="25"/>
    </row>
    <row r="847529" spans="21:21" x14ac:dyDescent="0.3">
      <c r="U847529" s="25"/>
    </row>
    <row r="847551" spans="21:21" x14ac:dyDescent="0.3">
      <c r="U847551" s="25"/>
    </row>
    <row r="847573" spans="21:21" x14ac:dyDescent="0.3">
      <c r="U847573" s="25"/>
    </row>
    <row r="847595" spans="21:21" x14ac:dyDescent="0.3">
      <c r="U847595" s="25"/>
    </row>
    <row r="847617" spans="21:21" x14ac:dyDescent="0.3">
      <c r="U847617" s="25"/>
    </row>
    <row r="847639" spans="21:21" x14ac:dyDescent="0.3">
      <c r="U847639" s="25"/>
    </row>
    <row r="847661" spans="21:21" x14ac:dyDescent="0.3">
      <c r="U847661" s="25"/>
    </row>
    <row r="847683" spans="21:21" x14ac:dyDescent="0.3">
      <c r="U847683" s="25"/>
    </row>
    <row r="847705" spans="21:21" x14ac:dyDescent="0.3">
      <c r="U847705" s="25"/>
    </row>
    <row r="847727" spans="21:21" x14ac:dyDescent="0.3">
      <c r="U847727" s="25"/>
    </row>
    <row r="847749" spans="21:21" x14ac:dyDescent="0.3">
      <c r="U847749" s="25"/>
    </row>
    <row r="847771" spans="21:21" x14ac:dyDescent="0.3">
      <c r="U847771" s="25"/>
    </row>
    <row r="847793" spans="21:21" x14ac:dyDescent="0.3">
      <c r="U847793" s="25"/>
    </row>
    <row r="847815" spans="21:21" x14ac:dyDescent="0.3">
      <c r="U847815" s="25"/>
    </row>
    <row r="847837" spans="21:21" x14ac:dyDescent="0.3">
      <c r="U847837" s="25"/>
    </row>
    <row r="847859" spans="21:21" x14ac:dyDescent="0.3">
      <c r="U847859" s="25"/>
    </row>
    <row r="847881" spans="21:21" x14ac:dyDescent="0.3">
      <c r="U847881" s="25"/>
    </row>
    <row r="847903" spans="21:21" x14ac:dyDescent="0.3">
      <c r="U847903" s="25"/>
    </row>
    <row r="847925" spans="21:21" x14ac:dyDescent="0.3">
      <c r="U847925" s="25"/>
    </row>
    <row r="847947" spans="21:21" x14ac:dyDescent="0.3">
      <c r="U847947" s="25"/>
    </row>
    <row r="847969" spans="21:21" x14ac:dyDescent="0.3">
      <c r="U847969" s="25"/>
    </row>
    <row r="847991" spans="21:21" x14ac:dyDescent="0.3">
      <c r="U847991" s="25"/>
    </row>
    <row r="848013" spans="21:21" x14ac:dyDescent="0.3">
      <c r="U848013" s="25"/>
    </row>
    <row r="848035" spans="21:21" x14ac:dyDescent="0.3">
      <c r="U848035" s="25"/>
    </row>
    <row r="848057" spans="21:21" x14ac:dyDescent="0.3">
      <c r="U848057" s="25"/>
    </row>
    <row r="848079" spans="21:21" x14ac:dyDescent="0.3">
      <c r="U848079" s="25"/>
    </row>
    <row r="848101" spans="21:21" x14ac:dyDescent="0.3">
      <c r="U848101" s="25"/>
    </row>
    <row r="848123" spans="21:21" x14ac:dyDescent="0.3">
      <c r="U848123" s="25"/>
    </row>
    <row r="848145" spans="21:21" x14ac:dyDescent="0.3">
      <c r="U848145" s="25"/>
    </row>
    <row r="848167" spans="21:21" x14ac:dyDescent="0.3">
      <c r="U848167" s="25"/>
    </row>
    <row r="848189" spans="21:21" x14ac:dyDescent="0.3">
      <c r="U848189" s="25"/>
    </row>
    <row r="848211" spans="21:21" x14ac:dyDescent="0.3">
      <c r="U848211" s="25"/>
    </row>
    <row r="848233" spans="21:21" x14ac:dyDescent="0.3">
      <c r="U848233" s="25"/>
    </row>
    <row r="848255" spans="21:21" x14ac:dyDescent="0.3">
      <c r="U848255" s="25"/>
    </row>
    <row r="848277" spans="21:21" x14ac:dyDescent="0.3">
      <c r="U848277" s="25"/>
    </row>
    <row r="848299" spans="21:21" x14ac:dyDescent="0.3">
      <c r="U848299" s="25"/>
    </row>
    <row r="848321" spans="21:21" x14ac:dyDescent="0.3">
      <c r="U848321" s="25"/>
    </row>
    <row r="848343" spans="21:21" x14ac:dyDescent="0.3">
      <c r="U848343" s="25"/>
    </row>
    <row r="848365" spans="21:21" x14ac:dyDescent="0.3">
      <c r="U848365" s="25"/>
    </row>
    <row r="848387" spans="21:21" x14ac:dyDescent="0.3">
      <c r="U848387" s="25"/>
    </row>
    <row r="848409" spans="21:21" x14ac:dyDescent="0.3">
      <c r="U848409" s="25"/>
    </row>
    <row r="848431" spans="21:21" x14ac:dyDescent="0.3">
      <c r="U848431" s="25"/>
    </row>
    <row r="848453" spans="21:21" x14ac:dyDescent="0.3">
      <c r="U848453" s="25"/>
    </row>
    <row r="848475" spans="21:21" x14ac:dyDescent="0.3">
      <c r="U848475" s="25"/>
    </row>
    <row r="848497" spans="21:21" x14ac:dyDescent="0.3">
      <c r="U848497" s="25"/>
    </row>
    <row r="848519" spans="21:21" x14ac:dyDescent="0.3">
      <c r="U848519" s="25"/>
    </row>
    <row r="848541" spans="21:21" x14ac:dyDescent="0.3">
      <c r="U848541" s="25"/>
    </row>
    <row r="848563" spans="21:21" x14ac:dyDescent="0.3">
      <c r="U848563" s="25"/>
    </row>
    <row r="848585" spans="21:21" x14ac:dyDescent="0.3">
      <c r="U848585" s="25"/>
    </row>
    <row r="848607" spans="21:21" x14ac:dyDescent="0.3">
      <c r="U848607" s="25"/>
    </row>
    <row r="848629" spans="21:21" x14ac:dyDescent="0.3">
      <c r="U848629" s="25"/>
    </row>
    <row r="848651" spans="21:21" x14ac:dyDescent="0.3">
      <c r="U848651" s="25"/>
    </row>
    <row r="848673" spans="21:21" x14ac:dyDescent="0.3">
      <c r="U848673" s="25"/>
    </row>
    <row r="848695" spans="21:21" x14ac:dyDescent="0.3">
      <c r="U848695" s="25"/>
    </row>
    <row r="848717" spans="21:21" x14ac:dyDescent="0.3">
      <c r="U848717" s="25"/>
    </row>
    <row r="848739" spans="21:21" x14ac:dyDescent="0.3">
      <c r="U848739" s="25"/>
    </row>
    <row r="848761" spans="21:21" x14ac:dyDescent="0.3">
      <c r="U848761" s="25"/>
    </row>
    <row r="848783" spans="21:21" x14ac:dyDescent="0.3">
      <c r="U848783" s="25"/>
    </row>
    <row r="848805" spans="21:21" x14ac:dyDescent="0.3">
      <c r="U848805" s="25"/>
    </row>
    <row r="848827" spans="21:21" x14ac:dyDescent="0.3">
      <c r="U848827" s="25"/>
    </row>
    <row r="848849" spans="21:21" x14ac:dyDescent="0.3">
      <c r="U848849" s="25"/>
    </row>
    <row r="848871" spans="21:21" x14ac:dyDescent="0.3">
      <c r="U848871" s="25"/>
    </row>
    <row r="848893" spans="21:21" x14ac:dyDescent="0.3">
      <c r="U848893" s="25"/>
    </row>
    <row r="848915" spans="21:21" x14ac:dyDescent="0.3">
      <c r="U848915" s="25"/>
    </row>
    <row r="848937" spans="21:21" x14ac:dyDescent="0.3">
      <c r="U848937" s="25"/>
    </row>
    <row r="848959" spans="21:21" x14ac:dyDescent="0.3">
      <c r="U848959" s="25"/>
    </row>
    <row r="848981" spans="21:21" x14ac:dyDescent="0.3">
      <c r="U848981" s="25"/>
    </row>
    <row r="849003" spans="21:21" x14ac:dyDescent="0.3">
      <c r="U849003" s="25"/>
    </row>
    <row r="849025" spans="21:21" x14ac:dyDescent="0.3">
      <c r="U849025" s="25"/>
    </row>
    <row r="849047" spans="21:21" x14ac:dyDescent="0.3">
      <c r="U849047" s="25"/>
    </row>
    <row r="849069" spans="21:21" x14ac:dyDescent="0.3">
      <c r="U849069" s="25"/>
    </row>
    <row r="849091" spans="21:21" x14ac:dyDescent="0.3">
      <c r="U849091" s="25"/>
    </row>
    <row r="849113" spans="21:21" x14ac:dyDescent="0.3">
      <c r="U849113" s="25"/>
    </row>
    <row r="849135" spans="21:21" x14ac:dyDescent="0.3">
      <c r="U849135" s="25"/>
    </row>
    <row r="849157" spans="21:21" x14ac:dyDescent="0.3">
      <c r="U849157" s="25"/>
    </row>
    <row r="849179" spans="21:21" x14ac:dyDescent="0.3">
      <c r="U849179" s="25"/>
    </row>
    <row r="849201" spans="21:21" x14ac:dyDescent="0.3">
      <c r="U849201" s="25"/>
    </row>
    <row r="849223" spans="21:21" x14ac:dyDescent="0.3">
      <c r="U849223" s="25"/>
    </row>
    <row r="849245" spans="21:21" x14ac:dyDescent="0.3">
      <c r="U849245" s="25"/>
    </row>
    <row r="849267" spans="21:21" x14ac:dyDescent="0.3">
      <c r="U849267" s="25"/>
    </row>
    <row r="849289" spans="21:21" x14ac:dyDescent="0.3">
      <c r="U849289" s="25"/>
    </row>
    <row r="849311" spans="21:21" x14ac:dyDescent="0.3">
      <c r="U849311" s="25"/>
    </row>
    <row r="849333" spans="21:21" x14ac:dyDescent="0.3">
      <c r="U849333" s="25"/>
    </row>
    <row r="849355" spans="21:21" x14ac:dyDescent="0.3">
      <c r="U849355" s="25"/>
    </row>
    <row r="849377" spans="21:21" x14ac:dyDescent="0.3">
      <c r="U849377" s="25"/>
    </row>
    <row r="849399" spans="21:21" x14ac:dyDescent="0.3">
      <c r="U849399" s="25"/>
    </row>
    <row r="849421" spans="21:21" x14ac:dyDescent="0.3">
      <c r="U849421" s="25"/>
    </row>
    <row r="849443" spans="21:21" x14ac:dyDescent="0.3">
      <c r="U849443" s="25"/>
    </row>
    <row r="849465" spans="21:21" x14ac:dyDescent="0.3">
      <c r="U849465" s="25"/>
    </row>
    <row r="849487" spans="21:21" x14ac:dyDescent="0.3">
      <c r="U849487" s="25"/>
    </row>
    <row r="849509" spans="21:21" x14ac:dyDescent="0.3">
      <c r="U849509" s="25"/>
    </row>
    <row r="849531" spans="21:21" x14ac:dyDescent="0.3">
      <c r="U849531" s="25"/>
    </row>
    <row r="849553" spans="21:21" x14ac:dyDescent="0.3">
      <c r="U849553" s="25"/>
    </row>
    <row r="849575" spans="21:21" x14ac:dyDescent="0.3">
      <c r="U849575" s="25"/>
    </row>
    <row r="849597" spans="21:21" x14ac:dyDescent="0.3">
      <c r="U849597" s="25"/>
    </row>
    <row r="849619" spans="21:21" x14ac:dyDescent="0.3">
      <c r="U849619" s="25"/>
    </row>
    <row r="849641" spans="21:21" x14ac:dyDescent="0.3">
      <c r="U849641" s="25"/>
    </row>
    <row r="849663" spans="21:21" x14ac:dyDescent="0.3">
      <c r="U849663" s="25"/>
    </row>
    <row r="849685" spans="21:21" x14ac:dyDescent="0.3">
      <c r="U849685" s="25"/>
    </row>
    <row r="849707" spans="21:21" x14ac:dyDescent="0.3">
      <c r="U849707" s="25"/>
    </row>
    <row r="849729" spans="21:21" x14ac:dyDescent="0.3">
      <c r="U849729" s="25"/>
    </row>
    <row r="849751" spans="21:21" x14ac:dyDescent="0.3">
      <c r="U849751" s="25"/>
    </row>
    <row r="849773" spans="21:21" x14ac:dyDescent="0.3">
      <c r="U849773" s="25"/>
    </row>
    <row r="849795" spans="21:21" x14ac:dyDescent="0.3">
      <c r="U849795" s="25"/>
    </row>
    <row r="849817" spans="21:21" x14ac:dyDescent="0.3">
      <c r="U849817" s="25"/>
    </row>
    <row r="849839" spans="21:21" x14ac:dyDescent="0.3">
      <c r="U849839" s="25"/>
    </row>
    <row r="849861" spans="21:21" x14ac:dyDescent="0.3">
      <c r="U849861" s="25"/>
    </row>
    <row r="849883" spans="21:21" x14ac:dyDescent="0.3">
      <c r="U849883" s="25"/>
    </row>
    <row r="849905" spans="21:21" x14ac:dyDescent="0.3">
      <c r="U849905" s="25"/>
    </row>
    <row r="849927" spans="21:21" x14ac:dyDescent="0.3">
      <c r="U849927" s="25"/>
    </row>
    <row r="849949" spans="21:21" x14ac:dyDescent="0.3">
      <c r="U849949" s="25"/>
    </row>
    <row r="849971" spans="21:21" x14ac:dyDescent="0.3">
      <c r="U849971" s="25"/>
    </row>
    <row r="849993" spans="21:21" x14ac:dyDescent="0.3">
      <c r="U849993" s="25"/>
    </row>
    <row r="850015" spans="21:21" x14ac:dyDescent="0.3">
      <c r="U850015" s="25"/>
    </row>
    <row r="850037" spans="21:21" x14ac:dyDescent="0.3">
      <c r="U850037" s="25"/>
    </row>
    <row r="850059" spans="21:21" x14ac:dyDescent="0.3">
      <c r="U850059" s="25"/>
    </row>
    <row r="850081" spans="21:21" x14ac:dyDescent="0.3">
      <c r="U850081" s="25"/>
    </row>
    <row r="850103" spans="21:21" x14ac:dyDescent="0.3">
      <c r="U850103" s="25"/>
    </row>
    <row r="850125" spans="21:21" x14ac:dyDescent="0.3">
      <c r="U850125" s="25"/>
    </row>
    <row r="850147" spans="21:21" x14ac:dyDescent="0.3">
      <c r="U850147" s="25"/>
    </row>
    <row r="850169" spans="21:21" x14ac:dyDescent="0.3">
      <c r="U850169" s="25"/>
    </row>
    <row r="850191" spans="21:21" x14ac:dyDescent="0.3">
      <c r="U850191" s="25"/>
    </row>
    <row r="850213" spans="21:21" x14ac:dyDescent="0.3">
      <c r="U850213" s="25"/>
    </row>
    <row r="850235" spans="21:21" x14ac:dyDescent="0.3">
      <c r="U850235" s="25"/>
    </row>
    <row r="850257" spans="21:21" x14ac:dyDescent="0.3">
      <c r="U850257" s="25"/>
    </row>
    <row r="850279" spans="21:21" x14ac:dyDescent="0.3">
      <c r="U850279" s="25"/>
    </row>
    <row r="850301" spans="21:21" x14ac:dyDescent="0.3">
      <c r="U850301" s="25"/>
    </row>
    <row r="850323" spans="21:21" x14ac:dyDescent="0.3">
      <c r="U850323" s="25"/>
    </row>
    <row r="850345" spans="21:21" x14ac:dyDescent="0.3">
      <c r="U850345" s="25"/>
    </row>
    <row r="850367" spans="21:21" x14ac:dyDescent="0.3">
      <c r="U850367" s="25"/>
    </row>
    <row r="850389" spans="21:21" x14ac:dyDescent="0.3">
      <c r="U850389" s="25"/>
    </row>
    <row r="850411" spans="21:21" x14ac:dyDescent="0.3">
      <c r="U850411" s="25"/>
    </row>
    <row r="850433" spans="21:21" x14ac:dyDescent="0.3">
      <c r="U850433" s="25"/>
    </row>
    <row r="850455" spans="21:21" x14ac:dyDescent="0.3">
      <c r="U850455" s="25"/>
    </row>
    <row r="850477" spans="21:21" x14ac:dyDescent="0.3">
      <c r="U850477" s="25"/>
    </row>
    <row r="850499" spans="21:21" x14ac:dyDescent="0.3">
      <c r="U850499" s="25"/>
    </row>
    <row r="850521" spans="21:21" x14ac:dyDescent="0.3">
      <c r="U850521" s="25"/>
    </row>
    <row r="850543" spans="21:21" x14ac:dyDescent="0.3">
      <c r="U850543" s="25"/>
    </row>
    <row r="850565" spans="21:21" x14ac:dyDescent="0.3">
      <c r="U850565" s="25"/>
    </row>
    <row r="850587" spans="21:21" x14ac:dyDescent="0.3">
      <c r="U850587" s="25"/>
    </row>
    <row r="850609" spans="21:21" x14ac:dyDescent="0.3">
      <c r="U850609" s="25"/>
    </row>
    <row r="850631" spans="21:21" x14ac:dyDescent="0.3">
      <c r="U850631" s="25"/>
    </row>
    <row r="850653" spans="21:21" x14ac:dyDescent="0.3">
      <c r="U850653" s="25"/>
    </row>
    <row r="850675" spans="21:21" x14ac:dyDescent="0.3">
      <c r="U850675" s="25"/>
    </row>
    <row r="850697" spans="21:21" x14ac:dyDescent="0.3">
      <c r="U850697" s="25"/>
    </row>
    <row r="850719" spans="21:21" x14ac:dyDescent="0.3">
      <c r="U850719" s="25"/>
    </row>
    <row r="850741" spans="21:21" x14ac:dyDescent="0.3">
      <c r="U850741" s="25"/>
    </row>
    <row r="850763" spans="21:21" x14ac:dyDescent="0.3">
      <c r="U850763" s="25"/>
    </row>
    <row r="850785" spans="21:21" x14ac:dyDescent="0.3">
      <c r="U850785" s="25"/>
    </row>
    <row r="850807" spans="21:21" x14ac:dyDescent="0.3">
      <c r="U850807" s="25"/>
    </row>
    <row r="850829" spans="21:21" x14ac:dyDescent="0.3">
      <c r="U850829" s="25"/>
    </row>
    <row r="850851" spans="21:21" x14ac:dyDescent="0.3">
      <c r="U850851" s="25"/>
    </row>
    <row r="850873" spans="21:21" x14ac:dyDescent="0.3">
      <c r="U850873" s="25"/>
    </row>
    <row r="850895" spans="21:21" x14ac:dyDescent="0.3">
      <c r="U850895" s="25"/>
    </row>
    <row r="850917" spans="21:21" x14ac:dyDescent="0.3">
      <c r="U850917" s="25"/>
    </row>
    <row r="850939" spans="21:21" x14ac:dyDescent="0.3">
      <c r="U850939" s="25"/>
    </row>
    <row r="850961" spans="21:21" x14ac:dyDescent="0.3">
      <c r="U850961" s="25"/>
    </row>
    <row r="850983" spans="21:21" x14ac:dyDescent="0.3">
      <c r="U850983" s="25"/>
    </row>
    <row r="851005" spans="21:21" x14ac:dyDescent="0.3">
      <c r="U851005" s="25"/>
    </row>
    <row r="851027" spans="21:21" x14ac:dyDescent="0.3">
      <c r="U851027" s="25"/>
    </row>
    <row r="851049" spans="21:21" x14ac:dyDescent="0.3">
      <c r="U851049" s="25"/>
    </row>
    <row r="851071" spans="21:21" x14ac:dyDescent="0.3">
      <c r="U851071" s="25"/>
    </row>
    <row r="851093" spans="21:21" x14ac:dyDescent="0.3">
      <c r="U851093" s="25"/>
    </row>
    <row r="851115" spans="21:21" x14ac:dyDescent="0.3">
      <c r="U851115" s="25"/>
    </row>
    <row r="851137" spans="21:21" x14ac:dyDescent="0.3">
      <c r="U851137" s="25"/>
    </row>
    <row r="851159" spans="21:21" x14ac:dyDescent="0.3">
      <c r="U851159" s="25"/>
    </row>
    <row r="851181" spans="21:21" x14ac:dyDescent="0.3">
      <c r="U851181" s="25"/>
    </row>
    <row r="851203" spans="21:21" x14ac:dyDescent="0.3">
      <c r="U851203" s="25"/>
    </row>
    <row r="851225" spans="21:21" x14ac:dyDescent="0.3">
      <c r="U851225" s="25"/>
    </row>
    <row r="851247" spans="21:21" x14ac:dyDescent="0.3">
      <c r="U851247" s="25"/>
    </row>
    <row r="851269" spans="21:21" x14ac:dyDescent="0.3">
      <c r="U851269" s="25"/>
    </row>
    <row r="851291" spans="21:21" x14ac:dyDescent="0.3">
      <c r="U851291" s="25"/>
    </row>
    <row r="851313" spans="21:21" x14ac:dyDescent="0.3">
      <c r="U851313" s="25"/>
    </row>
    <row r="851335" spans="21:21" x14ac:dyDescent="0.3">
      <c r="U851335" s="25"/>
    </row>
    <row r="851357" spans="21:21" x14ac:dyDescent="0.3">
      <c r="U851357" s="25"/>
    </row>
    <row r="851379" spans="21:21" x14ac:dyDescent="0.3">
      <c r="U851379" s="25"/>
    </row>
    <row r="851401" spans="21:21" x14ac:dyDescent="0.3">
      <c r="U851401" s="25"/>
    </row>
    <row r="851423" spans="21:21" x14ac:dyDescent="0.3">
      <c r="U851423" s="25"/>
    </row>
    <row r="851445" spans="21:21" x14ac:dyDescent="0.3">
      <c r="U851445" s="25"/>
    </row>
    <row r="851467" spans="21:21" x14ac:dyDescent="0.3">
      <c r="U851467" s="25"/>
    </row>
    <row r="851489" spans="21:21" x14ac:dyDescent="0.3">
      <c r="U851489" s="25"/>
    </row>
    <row r="851511" spans="21:21" x14ac:dyDescent="0.3">
      <c r="U851511" s="25"/>
    </row>
    <row r="851533" spans="21:21" x14ac:dyDescent="0.3">
      <c r="U851533" s="25"/>
    </row>
    <row r="851555" spans="21:21" x14ac:dyDescent="0.3">
      <c r="U851555" s="25"/>
    </row>
    <row r="851577" spans="21:21" x14ac:dyDescent="0.3">
      <c r="U851577" s="25"/>
    </row>
    <row r="851599" spans="21:21" x14ac:dyDescent="0.3">
      <c r="U851599" s="25"/>
    </row>
    <row r="851621" spans="21:21" x14ac:dyDescent="0.3">
      <c r="U851621" s="25"/>
    </row>
    <row r="851643" spans="21:21" x14ac:dyDescent="0.3">
      <c r="U851643" s="25"/>
    </row>
    <row r="851665" spans="21:21" x14ac:dyDescent="0.3">
      <c r="U851665" s="25"/>
    </row>
    <row r="851687" spans="21:21" x14ac:dyDescent="0.3">
      <c r="U851687" s="25"/>
    </row>
    <row r="851709" spans="21:21" x14ac:dyDescent="0.3">
      <c r="U851709" s="25"/>
    </row>
    <row r="851731" spans="21:21" x14ac:dyDescent="0.3">
      <c r="U851731" s="25"/>
    </row>
    <row r="851753" spans="21:21" x14ac:dyDescent="0.3">
      <c r="U851753" s="25"/>
    </row>
    <row r="851775" spans="21:21" x14ac:dyDescent="0.3">
      <c r="U851775" s="25"/>
    </row>
    <row r="851797" spans="21:21" x14ac:dyDescent="0.3">
      <c r="U851797" s="25"/>
    </row>
    <row r="851819" spans="21:21" x14ac:dyDescent="0.3">
      <c r="U851819" s="25"/>
    </row>
    <row r="851841" spans="21:21" x14ac:dyDescent="0.3">
      <c r="U851841" s="25"/>
    </row>
    <row r="851863" spans="21:21" x14ac:dyDescent="0.3">
      <c r="U851863" s="25"/>
    </row>
    <row r="851885" spans="21:21" x14ac:dyDescent="0.3">
      <c r="U851885" s="25"/>
    </row>
    <row r="851907" spans="21:21" x14ac:dyDescent="0.3">
      <c r="U851907" s="25"/>
    </row>
    <row r="851929" spans="21:21" x14ac:dyDescent="0.3">
      <c r="U851929" s="25"/>
    </row>
    <row r="851951" spans="21:21" x14ac:dyDescent="0.3">
      <c r="U851951" s="25"/>
    </row>
    <row r="851973" spans="21:21" x14ac:dyDescent="0.3">
      <c r="U851973" s="25"/>
    </row>
    <row r="851995" spans="21:21" x14ac:dyDescent="0.3">
      <c r="U851995" s="25"/>
    </row>
    <row r="852017" spans="21:21" x14ac:dyDescent="0.3">
      <c r="U852017" s="25"/>
    </row>
    <row r="852039" spans="21:21" x14ac:dyDescent="0.3">
      <c r="U852039" s="25"/>
    </row>
    <row r="852061" spans="21:21" x14ac:dyDescent="0.3">
      <c r="U852061" s="25"/>
    </row>
    <row r="852083" spans="21:21" x14ac:dyDescent="0.3">
      <c r="U852083" s="25"/>
    </row>
    <row r="852105" spans="21:21" x14ac:dyDescent="0.3">
      <c r="U852105" s="25"/>
    </row>
    <row r="852127" spans="21:21" x14ac:dyDescent="0.3">
      <c r="U852127" s="25"/>
    </row>
    <row r="852149" spans="21:21" x14ac:dyDescent="0.3">
      <c r="U852149" s="25"/>
    </row>
    <row r="852171" spans="21:21" x14ac:dyDescent="0.3">
      <c r="U852171" s="25"/>
    </row>
    <row r="852193" spans="21:21" x14ac:dyDescent="0.3">
      <c r="U852193" s="25"/>
    </row>
    <row r="852215" spans="21:21" x14ac:dyDescent="0.3">
      <c r="U852215" s="25"/>
    </row>
    <row r="852237" spans="21:21" x14ac:dyDescent="0.3">
      <c r="U852237" s="25"/>
    </row>
    <row r="852259" spans="21:21" x14ac:dyDescent="0.3">
      <c r="U852259" s="25"/>
    </row>
    <row r="852281" spans="21:21" x14ac:dyDescent="0.3">
      <c r="U852281" s="25"/>
    </row>
    <row r="852303" spans="21:21" x14ac:dyDescent="0.3">
      <c r="U852303" s="25"/>
    </row>
    <row r="852325" spans="21:21" x14ac:dyDescent="0.3">
      <c r="U852325" s="25"/>
    </row>
    <row r="852347" spans="21:21" x14ac:dyDescent="0.3">
      <c r="U852347" s="25"/>
    </row>
    <row r="852369" spans="21:21" x14ac:dyDescent="0.3">
      <c r="U852369" s="25"/>
    </row>
    <row r="852391" spans="21:21" x14ac:dyDescent="0.3">
      <c r="U852391" s="25"/>
    </row>
    <row r="852413" spans="21:21" x14ac:dyDescent="0.3">
      <c r="U852413" s="25"/>
    </row>
    <row r="852435" spans="21:21" x14ac:dyDescent="0.3">
      <c r="U852435" s="25"/>
    </row>
    <row r="852457" spans="21:21" x14ac:dyDescent="0.3">
      <c r="U852457" s="25"/>
    </row>
    <row r="852479" spans="21:21" x14ac:dyDescent="0.3">
      <c r="U852479" s="25"/>
    </row>
    <row r="852501" spans="21:21" x14ac:dyDescent="0.3">
      <c r="U852501" s="25"/>
    </row>
    <row r="852523" spans="21:21" x14ac:dyDescent="0.3">
      <c r="U852523" s="25"/>
    </row>
    <row r="852545" spans="21:21" x14ac:dyDescent="0.3">
      <c r="U852545" s="25"/>
    </row>
    <row r="852567" spans="21:21" x14ac:dyDescent="0.3">
      <c r="U852567" s="25"/>
    </row>
    <row r="852589" spans="21:21" x14ac:dyDescent="0.3">
      <c r="U852589" s="25"/>
    </row>
    <row r="852611" spans="21:21" x14ac:dyDescent="0.3">
      <c r="U852611" s="25"/>
    </row>
    <row r="852633" spans="21:21" x14ac:dyDescent="0.3">
      <c r="U852633" s="25"/>
    </row>
    <row r="852655" spans="21:21" x14ac:dyDescent="0.3">
      <c r="U852655" s="25"/>
    </row>
    <row r="852677" spans="21:21" x14ac:dyDescent="0.3">
      <c r="U852677" s="25"/>
    </row>
    <row r="852699" spans="21:21" x14ac:dyDescent="0.3">
      <c r="U852699" s="25"/>
    </row>
    <row r="852721" spans="21:21" x14ac:dyDescent="0.3">
      <c r="U852721" s="25"/>
    </row>
    <row r="852743" spans="21:21" x14ac:dyDescent="0.3">
      <c r="U852743" s="25"/>
    </row>
    <row r="852765" spans="21:21" x14ac:dyDescent="0.3">
      <c r="U852765" s="25"/>
    </row>
    <row r="852787" spans="21:21" x14ac:dyDescent="0.3">
      <c r="U852787" s="25"/>
    </row>
    <row r="852809" spans="21:21" x14ac:dyDescent="0.3">
      <c r="U852809" s="25"/>
    </row>
    <row r="852831" spans="21:21" x14ac:dyDescent="0.3">
      <c r="U852831" s="25"/>
    </row>
    <row r="852853" spans="21:21" x14ac:dyDescent="0.3">
      <c r="U852853" s="25"/>
    </row>
    <row r="852875" spans="21:21" x14ac:dyDescent="0.3">
      <c r="U852875" s="25"/>
    </row>
    <row r="852897" spans="21:21" x14ac:dyDescent="0.3">
      <c r="U852897" s="25"/>
    </row>
    <row r="852919" spans="21:21" x14ac:dyDescent="0.3">
      <c r="U852919" s="25"/>
    </row>
    <row r="852941" spans="21:21" x14ac:dyDescent="0.3">
      <c r="U852941" s="25"/>
    </row>
    <row r="852963" spans="21:21" x14ac:dyDescent="0.3">
      <c r="U852963" s="25"/>
    </row>
    <row r="852985" spans="21:21" x14ac:dyDescent="0.3">
      <c r="U852985" s="25"/>
    </row>
    <row r="853007" spans="21:21" x14ac:dyDescent="0.3">
      <c r="U853007" s="25"/>
    </row>
    <row r="853029" spans="21:21" x14ac:dyDescent="0.3">
      <c r="U853029" s="25"/>
    </row>
    <row r="853051" spans="21:21" x14ac:dyDescent="0.3">
      <c r="U853051" s="25"/>
    </row>
    <row r="853073" spans="21:21" x14ac:dyDescent="0.3">
      <c r="U853073" s="25"/>
    </row>
    <row r="853095" spans="21:21" x14ac:dyDescent="0.3">
      <c r="U853095" s="25"/>
    </row>
    <row r="853117" spans="21:21" x14ac:dyDescent="0.3">
      <c r="U853117" s="25"/>
    </row>
    <row r="853139" spans="21:21" x14ac:dyDescent="0.3">
      <c r="U853139" s="25"/>
    </row>
    <row r="853161" spans="21:21" x14ac:dyDescent="0.3">
      <c r="U853161" s="25"/>
    </row>
    <row r="853183" spans="21:21" x14ac:dyDescent="0.3">
      <c r="U853183" s="25"/>
    </row>
    <row r="853205" spans="21:21" x14ac:dyDescent="0.3">
      <c r="U853205" s="25"/>
    </row>
    <row r="853227" spans="21:21" x14ac:dyDescent="0.3">
      <c r="U853227" s="25"/>
    </row>
    <row r="853249" spans="21:21" x14ac:dyDescent="0.3">
      <c r="U853249" s="25"/>
    </row>
    <row r="853271" spans="21:21" x14ac:dyDescent="0.3">
      <c r="U853271" s="25"/>
    </row>
    <row r="853293" spans="21:21" x14ac:dyDescent="0.3">
      <c r="U853293" s="25"/>
    </row>
    <row r="853315" spans="21:21" x14ac:dyDescent="0.3">
      <c r="U853315" s="25"/>
    </row>
    <row r="853337" spans="21:21" x14ac:dyDescent="0.3">
      <c r="U853337" s="25"/>
    </row>
    <row r="853359" spans="21:21" x14ac:dyDescent="0.3">
      <c r="U853359" s="25"/>
    </row>
    <row r="853381" spans="21:21" x14ac:dyDescent="0.3">
      <c r="U853381" s="25"/>
    </row>
    <row r="853403" spans="21:21" x14ac:dyDescent="0.3">
      <c r="U853403" s="25"/>
    </row>
    <row r="853425" spans="21:21" x14ac:dyDescent="0.3">
      <c r="U853425" s="25"/>
    </row>
    <row r="853447" spans="21:21" x14ac:dyDescent="0.3">
      <c r="U853447" s="25"/>
    </row>
    <row r="853469" spans="21:21" x14ac:dyDescent="0.3">
      <c r="U853469" s="25"/>
    </row>
    <row r="853491" spans="21:21" x14ac:dyDescent="0.3">
      <c r="U853491" s="25"/>
    </row>
    <row r="853513" spans="21:21" x14ac:dyDescent="0.3">
      <c r="U853513" s="25"/>
    </row>
    <row r="853535" spans="21:21" x14ac:dyDescent="0.3">
      <c r="U853535" s="25"/>
    </row>
    <row r="853557" spans="21:21" x14ac:dyDescent="0.3">
      <c r="U853557" s="25"/>
    </row>
    <row r="853579" spans="21:21" x14ac:dyDescent="0.3">
      <c r="U853579" s="25"/>
    </row>
    <row r="853601" spans="21:21" x14ac:dyDescent="0.3">
      <c r="U853601" s="25"/>
    </row>
    <row r="853623" spans="21:21" x14ac:dyDescent="0.3">
      <c r="U853623" s="25"/>
    </row>
    <row r="853645" spans="21:21" x14ac:dyDescent="0.3">
      <c r="U853645" s="25"/>
    </row>
    <row r="853667" spans="21:21" x14ac:dyDescent="0.3">
      <c r="U853667" s="25"/>
    </row>
    <row r="853689" spans="21:21" x14ac:dyDescent="0.3">
      <c r="U853689" s="25"/>
    </row>
    <row r="853711" spans="21:21" x14ac:dyDescent="0.3">
      <c r="U853711" s="25"/>
    </row>
    <row r="853733" spans="21:21" x14ac:dyDescent="0.3">
      <c r="U853733" s="25"/>
    </row>
    <row r="853755" spans="21:21" x14ac:dyDescent="0.3">
      <c r="U853755" s="25"/>
    </row>
    <row r="853777" spans="21:21" x14ac:dyDescent="0.3">
      <c r="U853777" s="25"/>
    </row>
    <row r="853799" spans="21:21" x14ac:dyDescent="0.3">
      <c r="U853799" s="25"/>
    </row>
    <row r="853821" spans="21:21" x14ac:dyDescent="0.3">
      <c r="U853821" s="25"/>
    </row>
    <row r="853843" spans="21:21" x14ac:dyDescent="0.3">
      <c r="U853843" s="25"/>
    </row>
    <row r="853865" spans="21:21" x14ac:dyDescent="0.3">
      <c r="U853865" s="25"/>
    </row>
    <row r="853887" spans="21:21" x14ac:dyDescent="0.3">
      <c r="U853887" s="25"/>
    </row>
    <row r="853909" spans="21:21" x14ac:dyDescent="0.3">
      <c r="U853909" s="25"/>
    </row>
    <row r="853931" spans="21:21" x14ac:dyDescent="0.3">
      <c r="U853931" s="25"/>
    </row>
    <row r="853953" spans="21:21" x14ac:dyDescent="0.3">
      <c r="U853953" s="25"/>
    </row>
    <row r="853975" spans="21:21" x14ac:dyDescent="0.3">
      <c r="U853975" s="25"/>
    </row>
    <row r="853997" spans="21:21" x14ac:dyDescent="0.3">
      <c r="U853997" s="25"/>
    </row>
    <row r="854019" spans="21:21" x14ac:dyDescent="0.3">
      <c r="U854019" s="25"/>
    </row>
    <row r="854041" spans="21:21" x14ac:dyDescent="0.3">
      <c r="U854041" s="25"/>
    </row>
    <row r="854063" spans="21:21" x14ac:dyDescent="0.3">
      <c r="U854063" s="25"/>
    </row>
    <row r="854085" spans="21:21" x14ac:dyDescent="0.3">
      <c r="U854085" s="25"/>
    </row>
    <row r="854107" spans="21:21" x14ac:dyDescent="0.3">
      <c r="U854107" s="25"/>
    </row>
    <row r="854129" spans="21:21" x14ac:dyDescent="0.3">
      <c r="U854129" s="25"/>
    </row>
    <row r="854151" spans="21:21" x14ac:dyDescent="0.3">
      <c r="U854151" s="25"/>
    </row>
    <row r="854173" spans="21:21" x14ac:dyDescent="0.3">
      <c r="U854173" s="25"/>
    </row>
    <row r="854195" spans="21:21" x14ac:dyDescent="0.3">
      <c r="U854195" s="25"/>
    </row>
    <row r="854217" spans="21:21" x14ac:dyDescent="0.3">
      <c r="U854217" s="25"/>
    </row>
    <row r="854239" spans="21:21" x14ac:dyDescent="0.3">
      <c r="U854239" s="25"/>
    </row>
    <row r="854261" spans="21:21" x14ac:dyDescent="0.3">
      <c r="U854261" s="25"/>
    </row>
    <row r="854283" spans="21:21" x14ac:dyDescent="0.3">
      <c r="U854283" s="25"/>
    </row>
    <row r="854305" spans="21:21" x14ac:dyDescent="0.3">
      <c r="U854305" s="25"/>
    </row>
    <row r="854327" spans="21:21" x14ac:dyDescent="0.3">
      <c r="U854327" s="25"/>
    </row>
    <row r="854349" spans="21:21" x14ac:dyDescent="0.3">
      <c r="U854349" s="25"/>
    </row>
    <row r="854371" spans="21:21" x14ac:dyDescent="0.3">
      <c r="U854371" s="25"/>
    </row>
    <row r="854393" spans="21:21" x14ac:dyDescent="0.3">
      <c r="U854393" s="25"/>
    </row>
    <row r="854415" spans="21:21" x14ac:dyDescent="0.3">
      <c r="U854415" s="25"/>
    </row>
    <row r="854437" spans="21:21" x14ac:dyDescent="0.3">
      <c r="U854437" s="25"/>
    </row>
    <row r="854459" spans="21:21" x14ac:dyDescent="0.3">
      <c r="U854459" s="25"/>
    </row>
    <row r="854481" spans="21:21" x14ac:dyDescent="0.3">
      <c r="U854481" s="25"/>
    </row>
    <row r="854503" spans="21:21" x14ac:dyDescent="0.3">
      <c r="U854503" s="25"/>
    </row>
    <row r="854525" spans="21:21" x14ac:dyDescent="0.3">
      <c r="U854525" s="25"/>
    </row>
    <row r="854547" spans="21:21" x14ac:dyDescent="0.3">
      <c r="U854547" s="25"/>
    </row>
    <row r="854569" spans="21:21" x14ac:dyDescent="0.3">
      <c r="U854569" s="25"/>
    </row>
    <row r="854591" spans="21:21" x14ac:dyDescent="0.3">
      <c r="U854591" s="25"/>
    </row>
    <row r="854613" spans="21:21" x14ac:dyDescent="0.3">
      <c r="U854613" s="25"/>
    </row>
    <row r="854635" spans="21:21" x14ac:dyDescent="0.3">
      <c r="U854635" s="25"/>
    </row>
    <row r="854657" spans="21:21" x14ac:dyDescent="0.3">
      <c r="U854657" s="25"/>
    </row>
    <row r="854679" spans="21:21" x14ac:dyDescent="0.3">
      <c r="U854679" s="25"/>
    </row>
    <row r="854701" spans="21:21" x14ac:dyDescent="0.3">
      <c r="U854701" s="25"/>
    </row>
    <row r="854723" spans="21:21" x14ac:dyDescent="0.3">
      <c r="U854723" s="25"/>
    </row>
    <row r="854745" spans="21:21" x14ac:dyDescent="0.3">
      <c r="U854745" s="25"/>
    </row>
    <row r="854767" spans="21:21" x14ac:dyDescent="0.3">
      <c r="U854767" s="25"/>
    </row>
    <row r="854789" spans="21:21" x14ac:dyDescent="0.3">
      <c r="U854789" s="25"/>
    </row>
    <row r="854811" spans="21:21" x14ac:dyDescent="0.3">
      <c r="U854811" s="25"/>
    </row>
    <row r="854833" spans="21:21" x14ac:dyDescent="0.3">
      <c r="U854833" s="25"/>
    </row>
    <row r="854855" spans="21:21" x14ac:dyDescent="0.3">
      <c r="U854855" s="25"/>
    </row>
    <row r="854877" spans="21:21" x14ac:dyDescent="0.3">
      <c r="U854877" s="25"/>
    </row>
    <row r="854899" spans="21:21" x14ac:dyDescent="0.3">
      <c r="U854899" s="25"/>
    </row>
    <row r="854921" spans="21:21" x14ac:dyDescent="0.3">
      <c r="U854921" s="25"/>
    </row>
    <row r="854943" spans="21:21" x14ac:dyDescent="0.3">
      <c r="U854943" s="25"/>
    </row>
    <row r="854965" spans="21:21" x14ac:dyDescent="0.3">
      <c r="U854965" s="25"/>
    </row>
    <row r="854987" spans="21:21" x14ac:dyDescent="0.3">
      <c r="U854987" s="25"/>
    </row>
    <row r="855009" spans="21:21" x14ac:dyDescent="0.3">
      <c r="U855009" s="25"/>
    </row>
    <row r="855031" spans="21:21" x14ac:dyDescent="0.3">
      <c r="U855031" s="25"/>
    </row>
    <row r="855053" spans="21:21" x14ac:dyDescent="0.3">
      <c r="U855053" s="25"/>
    </row>
    <row r="855075" spans="21:21" x14ac:dyDescent="0.3">
      <c r="U855075" s="25"/>
    </row>
    <row r="855097" spans="21:21" x14ac:dyDescent="0.3">
      <c r="U855097" s="25"/>
    </row>
    <row r="855119" spans="21:21" x14ac:dyDescent="0.3">
      <c r="U855119" s="25"/>
    </row>
    <row r="855141" spans="21:21" x14ac:dyDescent="0.3">
      <c r="U855141" s="25"/>
    </row>
    <row r="855163" spans="21:21" x14ac:dyDescent="0.3">
      <c r="U855163" s="25"/>
    </row>
    <row r="855185" spans="21:21" x14ac:dyDescent="0.3">
      <c r="U855185" s="25"/>
    </row>
    <row r="855207" spans="21:21" x14ac:dyDescent="0.3">
      <c r="U855207" s="25"/>
    </row>
    <row r="855229" spans="21:21" x14ac:dyDescent="0.3">
      <c r="U855229" s="25"/>
    </row>
    <row r="855251" spans="21:21" x14ac:dyDescent="0.3">
      <c r="U855251" s="25"/>
    </row>
    <row r="855273" spans="21:21" x14ac:dyDescent="0.3">
      <c r="U855273" s="25"/>
    </row>
    <row r="855295" spans="21:21" x14ac:dyDescent="0.3">
      <c r="U855295" s="25"/>
    </row>
    <row r="855317" spans="21:21" x14ac:dyDescent="0.3">
      <c r="U855317" s="25"/>
    </row>
    <row r="855339" spans="21:21" x14ac:dyDescent="0.3">
      <c r="U855339" s="25"/>
    </row>
    <row r="855361" spans="21:21" x14ac:dyDescent="0.3">
      <c r="U855361" s="25"/>
    </row>
    <row r="855383" spans="21:21" x14ac:dyDescent="0.3">
      <c r="U855383" s="25"/>
    </row>
    <row r="855405" spans="21:21" x14ac:dyDescent="0.3">
      <c r="U855405" s="25"/>
    </row>
    <row r="855427" spans="21:21" x14ac:dyDescent="0.3">
      <c r="U855427" s="25"/>
    </row>
    <row r="855449" spans="21:21" x14ac:dyDescent="0.3">
      <c r="U855449" s="25"/>
    </row>
    <row r="855471" spans="21:21" x14ac:dyDescent="0.3">
      <c r="U855471" s="25"/>
    </row>
    <row r="855493" spans="21:21" x14ac:dyDescent="0.3">
      <c r="U855493" s="25"/>
    </row>
    <row r="855515" spans="21:21" x14ac:dyDescent="0.3">
      <c r="U855515" s="25"/>
    </row>
    <row r="855537" spans="21:21" x14ac:dyDescent="0.3">
      <c r="U855537" s="25"/>
    </row>
    <row r="855559" spans="21:21" x14ac:dyDescent="0.3">
      <c r="U855559" s="25"/>
    </row>
    <row r="855581" spans="21:21" x14ac:dyDescent="0.3">
      <c r="U855581" s="25"/>
    </row>
    <row r="855603" spans="21:21" x14ac:dyDescent="0.3">
      <c r="U855603" s="25"/>
    </row>
    <row r="855625" spans="21:21" x14ac:dyDescent="0.3">
      <c r="U855625" s="25"/>
    </row>
    <row r="855647" spans="21:21" x14ac:dyDescent="0.3">
      <c r="U855647" s="25"/>
    </row>
    <row r="855669" spans="21:21" x14ac:dyDescent="0.3">
      <c r="U855669" s="25"/>
    </row>
    <row r="855691" spans="21:21" x14ac:dyDescent="0.3">
      <c r="U855691" s="25"/>
    </row>
    <row r="855713" spans="21:21" x14ac:dyDescent="0.3">
      <c r="U855713" s="25"/>
    </row>
    <row r="855735" spans="21:21" x14ac:dyDescent="0.3">
      <c r="U855735" s="25"/>
    </row>
    <row r="855757" spans="21:21" x14ac:dyDescent="0.3">
      <c r="U855757" s="25"/>
    </row>
    <row r="855779" spans="21:21" x14ac:dyDescent="0.3">
      <c r="U855779" s="25"/>
    </row>
    <row r="855801" spans="21:21" x14ac:dyDescent="0.3">
      <c r="U855801" s="25"/>
    </row>
    <row r="855823" spans="21:21" x14ac:dyDescent="0.3">
      <c r="U855823" s="25"/>
    </row>
    <row r="855845" spans="21:21" x14ac:dyDescent="0.3">
      <c r="U855845" s="25"/>
    </row>
    <row r="855867" spans="21:21" x14ac:dyDescent="0.3">
      <c r="U855867" s="25"/>
    </row>
    <row r="855889" spans="21:21" x14ac:dyDescent="0.3">
      <c r="U855889" s="25"/>
    </row>
    <row r="855911" spans="21:21" x14ac:dyDescent="0.3">
      <c r="U855911" s="25"/>
    </row>
    <row r="855933" spans="21:21" x14ac:dyDescent="0.3">
      <c r="U855933" s="25"/>
    </row>
    <row r="855955" spans="21:21" x14ac:dyDescent="0.3">
      <c r="U855955" s="25"/>
    </row>
    <row r="855977" spans="21:21" x14ac:dyDescent="0.3">
      <c r="U855977" s="25"/>
    </row>
    <row r="855999" spans="21:21" x14ac:dyDescent="0.3">
      <c r="U855999" s="25"/>
    </row>
    <row r="856021" spans="21:21" x14ac:dyDescent="0.3">
      <c r="U856021" s="25"/>
    </row>
    <row r="856043" spans="21:21" x14ac:dyDescent="0.3">
      <c r="U856043" s="25"/>
    </row>
    <row r="856065" spans="21:21" x14ac:dyDescent="0.3">
      <c r="U856065" s="25"/>
    </row>
    <row r="856087" spans="21:21" x14ac:dyDescent="0.3">
      <c r="U856087" s="25"/>
    </row>
    <row r="856109" spans="21:21" x14ac:dyDescent="0.3">
      <c r="U856109" s="25"/>
    </row>
    <row r="856131" spans="21:21" x14ac:dyDescent="0.3">
      <c r="U856131" s="25"/>
    </row>
    <row r="856153" spans="21:21" x14ac:dyDescent="0.3">
      <c r="U856153" s="25"/>
    </row>
    <row r="856175" spans="21:21" x14ac:dyDescent="0.3">
      <c r="U856175" s="25"/>
    </row>
    <row r="856197" spans="21:21" x14ac:dyDescent="0.3">
      <c r="U856197" s="25"/>
    </row>
    <row r="856219" spans="21:21" x14ac:dyDescent="0.3">
      <c r="U856219" s="25"/>
    </row>
    <row r="856241" spans="21:21" x14ac:dyDescent="0.3">
      <c r="U856241" s="25"/>
    </row>
    <row r="856263" spans="21:21" x14ac:dyDescent="0.3">
      <c r="U856263" s="25"/>
    </row>
    <row r="856285" spans="21:21" x14ac:dyDescent="0.3">
      <c r="U856285" s="25"/>
    </row>
    <row r="856307" spans="21:21" x14ac:dyDescent="0.3">
      <c r="U856307" s="25"/>
    </row>
    <row r="856329" spans="21:21" x14ac:dyDescent="0.3">
      <c r="U856329" s="25"/>
    </row>
    <row r="856351" spans="21:21" x14ac:dyDescent="0.3">
      <c r="U856351" s="25"/>
    </row>
    <row r="856373" spans="21:21" x14ac:dyDescent="0.3">
      <c r="U856373" s="25"/>
    </row>
    <row r="856395" spans="21:21" x14ac:dyDescent="0.3">
      <c r="U856395" s="25"/>
    </row>
    <row r="856417" spans="21:21" x14ac:dyDescent="0.3">
      <c r="U856417" s="25"/>
    </row>
    <row r="856439" spans="21:21" x14ac:dyDescent="0.3">
      <c r="U856439" s="25"/>
    </row>
    <row r="856461" spans="21:21" x14ac:dyDescent="0.3">
      <c r="U856461" s="25"/>
    </row>
    <row r="856483" spans="21:21" x14ac:dyDescent="0.3">
      <c r="U856483" s="25"/>
    </row>
    <row r="856505" spans="21:21" x14ac:dyDescent="0.3">
      <c r="U856505" s="25"/>
    </row>
    <row r="856527" spans="21:21" x14ac:dyDescent="0.3">
      <c r="U856527" s="25"/>
    </row>
    <row r="856549" spans="21:21" x14ac:dyDescent="0.3">
      <c r="U856549" s="25"/>
    </row>
    <row r="856571" spans="21:21" x14ac:dyDescent="0.3">
      <c r="U856571" s="25"/>
    </row>
    <row r="856593" spans="21:21" x14ac:dyDescent="0.3">
      <c r="U856593" s="25"/>
    </row>
    <row r="856615" spans="21:21" x14ac:dyDescent="0.3">
      <c r="U856615" s="25"/>
    </row>
    <row r="856637" spans="21:21" x14ac:dyDescent="0.3">
      <c r="U856637" s="25"/>
    </row>
    <row r="856659" spans="21:21" x14ac:dyDescent="0.3">
      <c r="U856659" s="25"/>
    </row>
    <row r="856681" spans="21:21" x14ac:dyDescent="0.3">
      <c r="U856681" s="25"/>
    </row>
    <row r="856703" spans="21:21" x14ac:dyDescent="0.3">
      <c r="U856703" s="25"/>
    </row>
    <row r="856725" spans="21:21" x14ac:dyDescent="0.3">
      <c r="U856725" s="25"/>
    </row>
    <row r="856747" spans="21:21" x14ac:dyDescent="0.3">
      <c r="U856747" s="25"/>
    </row>
    <row r="856769" spans="21:21" x14ac:dyDescent="0.3">
      <c r="U856769" s="25"/>
    </row>
    <row r="856791" spans="21:21" x14ac:dyDescent="0.3">
      <c r="U856791" s="25"/>
    </row>
    <row r="856813" spans="21:21" x14ac:dyDescent="0.3">
      <c r="U856813" s="25"/>
    </row>
    <row r="856835" spans="21:21" x14ac:dyDescent="0.3">
      <c r="U856835" s="25"/>
    </row>
    <row r="856857" spans="21:21" x14ac:dyDescent="0.3">
      <c r="U856857" s="25"/>
    </row>
    <row r="856879" spans="21:21" x14ac:dyDescent="0.3">
      <c r="U856879" s="25"/>
    </row>
    <row r="856901" spans="21:21" x14ac:dyDescent="0.3">
      <c r="U856901" s="25"/>
    </row>
    <row r="856923" spans="21:21" x14ac:dyDescent="0.3">
      <c r="U856923" s="25"/>
    </row>
    <row r="856945" spans="21:21" x14ac:dyDescent="0.3">
      <c r="U856945" s="25"/>
    </row>
    <row r="856967" spans="21:21" x14ac:dyDescent="0.3">
      <c r="U856967" s="25"/>
    </row>
    <row r="856989" spans="21:21" x14ac:dyDescent="0.3">
      <c r="U856989" s="25"/>
    </row>
    <row r="857011" spans="21:21" x14ac:dyDescent="0.3">
      <c r="U857011" s="25"/>
    </row>
    <row r="857033" spans="21:21" x14ac:dyDescent="0.3">
      <c r="U857033" s="25"/>
    </row>
    <row r="857055" spans="21:21" x14ac:dyDescent="0.3">
      <c r="U857055" s="25"/>
    </row>
    <row r="857077" spans="21:21" x14ac:dyDescent="0.3">
      <c r="U857077" s="25"/>
    </row>
    <row r="857099" spans="21:21" x14ac:dyDescent="0.3">
      <c r="U857099" s="25"/>
    </row>
    <row r="857121" spans="21:21" x14ac:dyDescent="0.3">
      <c r="U857121" s="25"/>
    </row>
    <row r="857143" spans="21:21" x14ac:dyDescent="0.3">
      <c r="U857143" s="25"/>
    </row>
    <row r="857165" spans="21:21" x14ac:dyDescent="0.3">
      <c r="U857165" s="25"/>
    </row>
    <row r="857187" spans="21:21" x14ac:dyDescent="0.3">
      <c r="U857187" s="25"/>
    </row>
    <row r="857209" spans="21:21" x14ac:dyDescent="0.3">
      <c r="U857209" s="25"/>
    </row>
    <row r="857231" spans="21:21" x14ac:dyDescent="0.3">
      <c r="U857231" s="25"/>
    </row>
    <row r="857253" spans="21:21" x14ac:dyDescent="0.3">
      <c r="U857253" s="25"/>
    </row>
    <row r="857275" spans="21:21" x14ac:dyDescent="0.3">
      <c r="U857275" s="25"/>
    </row>
    <row r="857297" spans="21:21" x14ac:dyDescent="0.3">
      <c r="U857297" s="25"/>
    </row>
    <row r="857319" spans="21:21" x14ac:dyDescent="0.3">
      <c r="U857319" s="25"/>
    </row>
    <row r="857341" spans="21:21" x14ac:dyDescent="0.3">
      <c r="U857341" s="25"/>
    </row>
    <row r="857363" spans="21:21" x14ac:dyDescent="0.3">
      <c r="U857363" s="25"/>
    </row>
    <row r="857385" spans="21:21" x14ac:dyDescent="0.3">
      <c r="U857385" s="25"/>
    </row>
    <row r="857407" spans="21:21" x14ac:dyDescent="0.3">
      <c r="U857407" s="25"/>
    </row>
    <row r="857429" spans="21:21" x14ac:dyDescent="0.3">
      <c r="U857429" s="25"/>
    </row>
    <row r="857451" spans="21:21" x14ac:dyDescent="0.3">
      <c r="U857451" s="25"/>
    </row>
    <row r="857473" spans="21:21" x14ac:dyDescent="0.3">
      <c r="U857473" s="25"/>
    </row>
    <row r="857495" spans="21:21" x14ac:dyDescent="0.3">
      <c r="U857495" s="25"/>
    </row>
    <row r="857517" spans="21:21" x14ac:dyDescent="0.3">
      <c r="U857517" s="25"/>
    </row>
    <row r="857539" spans="21:21" x14ac:dyDescent="0.3">
      <c r="U857539" s="25"/>
    </row>
    <row r="857561" spans="21:21" x14ac:dyDescent="0.3">
      <c r="U857561" s="25"/>
    </row>
    <row r="857583" spans="21:21" x14ac:dyDescent="0.3">
      <c r="U857583" s="25"/>
    </row>
    <row r="857605" spans="21:21" x14ac:dyDescent="0.3">
      <c r="U857605" s="25"/>
    </row>
    <row r="857627" spans="21:21" x14ac:dyDescent="0.3">
      <c r="U857627" s="25"/>
    </row>
    <row r="857649" spans="21:21" x14ac:dyDescent="0.3">
      <c r="U857649" s="25"/>
    </row>
    <row r="857671" spans="21:21" x14ac:dyDescent="0.3">
      <c r="U857671" s="25"/>
    </row>
    <row r="857693" spans="21:21" x14ac:dyDescent="0.3">
      <c r="U857693" s="25"/>
    </row>
    <row r="857715" spans="21:21" x14ac:dyDescent="0.3">
      <c r="U857715" s="25"/>
    </row>
    <row r="857737" spans="21:21" x14ac:dyDescent="0.3">
      <c r="U857737" s="25"/>
    </row>
    <row r="857759" spans="21:21" x14ac:dyDescent="0.3">
      <c r="U857759" s="25"/>
    </row>
    <row r="857781" spans="21:21" x14ac:dyDescent="0.3">
      <c r="U857781" s="25"/>
    </row>
    <row r="857803" spans="21:21" x14ac:dyDescent="0.3">
      <c r="U857803" s="25"/>
    </row>
    <row r="857825" spans="21:21" x14ac:dyDescent="0.3">
      <c r="U857825" s="25"/>
    </row>
    <row r="857847" spans="21:21" x14ac:dyDescent="0.3">
      <c r="U857847" s="25"/>
    </row>
    <row r="857869" spans="21:21" x14ac:dyDescent="0.3">
      <c r="U857869" s="25"/>
    </row>
    <row r="857891" spans="21:21" x14ac:dyDescent="0.3">
      <c r="U857891" s="25"/>
    </row>
    <row r="857913" spans="21:21" x14ac:dyDescent="0.3">
      <c r="U857913" s="25"/>
    </row>
    <row r="857935" spans="21:21" x14ac:dyDescent="0.3">
      <c r="U857935" s="25"/>
    </row>
    <row r="857957" spans="21:21" x14ac:dyDescent="0.3">
      <c r="U857957" s="25"/>
    </row>
    <row r="857979" spans="21:21" x14ac:dyDescent="0.3">
      <c r="U857979" s="25"/>
    </row>
    <row r="858001" spans="21:21" x14ac:dyDescent="0.3">
      <c r="U858001" s="25"/>
    </row>
    <row r="858023" spans="21:21" x14ac:dyDescent="0.3">
      <c r="U858023" s="25"/>
    </row>
    <row r="858045" spans="21:21" x14ac:dyDescent="0.3">
      <c r="U858045" s="25"/>
    </row>
    <row r="858067" spans="21:21" x14ac:dyDescent="0.3">
      <c r="U858067" s="25"/>
    </row>
    <row r="858089" spans="21:21" x14ac:dyDescent="0.3">
      <c r="U858089" s="25"/>
    </row>
    <row r="858111" spans="21:21" x14ac:dyDescent="0.3">
      <c r="U858111" s="25"/>
    </row>
    <row r="858133" spans="21:21" x14ac:dyDescent="0.3">
      <c r="U858133" s="25"/>
    </row>
    <row r="858155" spans="21:21" x14ac:dyDescent="0.3">
      <c r="U858155" s="25"/>
    </row>
    <row r="858177" spans="21:21" x14ac:dyDescent="0.3">
      <c r="U858177" s="25"/>
    </row>
    <row r="858199" spans="21:21" x14ac:dyDescent="0.3">
      <c r="U858199" s="25"/>
    </row>
    <row r="858221" spans="21:21" x14ac:dyDescent="0.3">
      <c r="U858221" s="25"/>
    </row>
    <row r="858243" spans="21:21" x14ac:dyDescent="0.3">
      <c r="U858243" s="25"/>
    </row>
    <row r="858265" spans="21:21" x14ac:dyDescent="0.3">
      <c r="U858265" s="25"/>
    </row>
    <row r="858287" spans="21:21" x14ac:dyDescent="0.3">
      <c r="U858287" s="25"/>
    </row>
    <row r="858309" spans="21:21" x14ac:dyDescent="0.3">
      <c r="U858309" s="25"/>
    </row>
    <row r="858331" spans="21:21" x14ac:dyDescent="0.3">
      <c r="U858331" s="25"/>
    </row>
    <row r="858353" spans="21:21" x14ac:dyDescent="0.3">
      <c r="U858353" s="25"/>
    </row>
    <row r="858375" spans="21:21" x14ac:dyDescent="0.3">
      <c r="U858375" s="25"/>
    </row>
    <row r="858397" spans="21:21" x14ac:dyDescent="0.3">
      <c r="U858397" s="25"/>
    </row>
    <row r="858419" spans="21:21" x14ac:dyDescent="0.3">
      <c r="U858419" s="25"/>
    </row>
    <row r="858441" spans="21:21" x14ac:dyDescent="0.3">
      <c r="U858441" s="25"/>
    </row>
    <row r="858463" spans="21:21" x14ac:dyDescent="0.3">
      <c r="U858463" s="25"/>
    </row>
    <row r="858485" spans="21:21" x14ac:dyDescent="0.3">
      <c r="U858485" s="25"/>
    </row>
    <row r="858507" spans="21:21" x14ac:dyDescent="0.3">
      <c r="U858507" s="25"/>
    </row>
    <row r="858529" spans="21:21" x14ac:dyDescent="0.3">
      <c r="U858529" s="25"/>
    </row>
    <row r="858551" spans="21:21" x14ac:dyDescent="0.3">
      <c r="U858551" s="25"/>
    </row>
    <row r="858573" spans="21:21" x14ac:dyDescent="0.3">
      <c r="U858573" s="25"/>
    </row>
    <row r="858595" spans="21:21" x14ac:dyDescent="0.3">
      <c r="U858595" s="25"/>
    </row>
    <row r="858617" spans="21:21" x14ac:dyDescent="0.3">
      <c r="U858617" s="25"/>
    </row>
    <row r="858639" spans="21:21" x14ac:dyDescent="0.3">
      <c r="U858639" s="25"/>
    </row>
    <row r="858661" spans="21:21" x14ac:dyDescent="0.3">
      <c r="U858661" s="25"/>
    </row>
    <row r="858683" spans="21:21" x14ac:dyDescent="0.3">
      <c r="U858683" s="25"/>
    </row>
    <row r="858705" spans="21:21" x14ac:dyDescent="0.3">
      <c r="U858705" s="25"/>
    </row>
    <row r="858727" spans="21:21" x14ac:dyDescent="0.3">
      <c r="U858727" s="25"/>
    </row>
    <row r="858749" spans="21:21" x14ac:dyDescent="0.3">
      <c r="U858749" s="25"/>
    </row>
    <row r="858771" spans="21:21" x14ac:dyDescent="0.3">
      <c r="U858771" s="25"/>
    </row>
    <row r="858793" spans="21:21" x14ac:dyDescent="0.3">
      <c r="U858793" s="25"/>
    </row>
    <row r="858815" spans="21:21" x14ac:dyDescent="0.3">
      <c r="U858815" s="25"/>
    </row>
    <row r="858837" spans="21:21" x14ac:dyDescent="0.3">
      <c r="U858837" s="25"/>
    </row>
    <row r="858859" spans="21:21" x14ac:dyDescent="0.3">
      <c r="U858859" s="25"/>
    </row>
    <row r="858881" spans="21:21" x14ac:dyDescent="0.3">
      <c r="U858881" s="25"/>
    </row>
    <row r="858903" spans="21:21" x14ac:dyDescent="0.3">
      <c r="U858903" s="25"/>
    </row>
    <row r="858925" spans="21:21" x14ac:dyDescent="0.3">
      <c r="U858925" s="25"/>
    </row>
    <row r="858947" spans="21:21" x14ac:dyDescent="0.3">
      <c r="U858947" s="25"/>
    </row>
    <row r="858969" spans="21:21" x14ac:dyDescent="0.3">
      <c r="U858969" s="25"/>
    </row>
    <row r="858991" spans="21:21" x14ac:dyDescent="0.3">
      <c r="U858991" s="25"/>
    </row>
    <row r="859013" spans="21:21" x14ac:dyDescent="0.3">
      <c r="U859013" s="25"/>
    </row>
    <row r="859035" spans="21:21" x14ac:dyDescent="0.3">
      <c r="U859035" s="25"/>
    </row>
    <row r="859057" spans="21:21" x14ac:dyDescent="0.3">
      <c r="U859057" s="25"/>
    </row>
    <row r="859079" spans="21:21" x14ac:dyDescent="0.3">
      <c r="U859079" s="25"/>
    </row>
    <row r="859101" spans="21:21" x14ac:dyDescent="0.3">
      <c r="U859101" s="25"/>
    </row>
    <row r="859123" spans="21:21" x14ac:dyDescent="0.3">
      <c r="U859123" s="25"/>
    </row>
    <row r="859145" spans="21:21" x14ac:dyDescent="0.3">
      <c r="U859145" s="25"/>
    </row>
    <row r="859167" spans="21:21" x14ac:dyDescent="0.3">
      <c r="U859167" s="25"/>
    </row>
    <row r="859189" spans="21:21" x14ac:dyDescent="0.3">
      <c r="U859189" s="25"/>
    </row>
    <row r="859211" spans="21:21" x14ac:dyDescent="0.3">
      <c r="U859211" s="25"/>
    </row>
    <row r="859233" spans="21:21" x14ac:dyDescent="0.3">
      <c r="U859233" s="25"/>
    </row>
    <row r="859255" spans="21:21" x14ac:dyDescent="0.3">
      <c r="U859255" s="25"/>
    </row>
    <row r="859277" spans="21:21" x14ac:dyDescent="0.3">
      <c r="U859277" s="25"/>
    </row>
    <row r="859299" spans="21:21" x14ac:dyDescent="0.3">
      <c r="U859299" s="25"/>
    </row>
    <row r="859321" spans="21:21" x14ac:dyDescent="0.3">
      <c r="U859321" s="25"/>
    </row>
    <row r="859343" spans="21:21" x14ac:dyDescent="0.3">
      <c r="U859343" s="25"/>
    </row>
    <row r="859365" spans="21:21" x14ac:dyDescent="0.3">
      <c r="U859365" s="25"/>
    </row>
    <row r="859387" spans="21:21" x14ac:dyDescent="0.3">
      <c r="U859387" s="25"/>
    </row>
    <row r="859409" spans="21:21" x14ac:dyDescent="0.3">
      <c r="U859409" s="25"/>
    </row>
    <row r="859431" spans="21:21" x14ac:dyDescent="0.3">
      <c r="U859431" s="25"/>
    </row>
    <row r="859453" spans="21:21" x14ac:dyDescent="0.3">
      <c r="U859453" s="25"/>
    </row>
    <row r="859475" spans="21:21" x14ac:dyDescent="0.3">
      <c r="U859475" s="25"/>
    </row>
    <row r="859497" spans="21:21" x14ac:dyDescent="0.3">
      <c r="U859497" s="25"/>
    </row>
    <row r="859519" spans="21:21" x14ac:dyDescent="0.3">
      <c r="U859519" s="25"/>
    </row>
    <row r="859541" spans="21:21" x14ac:dyDescent="0.3">
      <c r="U859541" s="25"/>
    </row>
    <row r="859563" spans="21:21" x14ac:dyDescent="0.3">
      <c r="U859563" s="25"/>
    </row>
    <row r="859585" spans="21:21" x14ac:dyDescent="0.3">
      <c r="U859585" s="25"/>
    </row>
    <row r="859607" spans="21:21" x14ac:dyDescent="0.3">
      <c r="U859607" s="25"/>
    </row>
    <row r="859629" spans="21:21" x14ac:dyDescent="0.3">
      <c r="U859629" s="25"/>
    </row>
    <row r="859651" spans="21:21" x14ac:dyDescent="0.3">
      <c r="U859651" s="25"/>
    </row>
    <row r="859673" spans="21:21" x14ac:dyDescent="0.3">
      <c r="U859673" s="25"/>
    </row>
    <row r="859695" spans="21:21" x14ac:dyDescent="0.3">
      <c r="U859695" s="25"/>
    </row>
    <row r="859717" spans="21:21" x14ac:dyDescent="0.3">
      <c r="U859717" s="25"/>
    </row>
    <row r="859739" spans="21:21" x14ac:dyDescent="0.3">
      <c r="U859739" s="25"/>
    </row>
    <row r="859761" spans="21:21" x14ac:dyDescent="0.3">
      <c r="U859761" s="25"/>
    </row>
    <row r="859783" spans="21:21" x14ac:dyDescent="0.3">
      <c r="U859783" s="25"/>
    </row>
    <row r="859805" spans="21:21" x14ac:dyDescent="0.3">
      <c r="U859805" s="25"/>
    </row>
    <row r="859827" spans="21:21" x14ac:dyDescent="0.3">
      <c r="U859827" s="25"/>
    </row>
    <row r="859849" spans="21:21" x14ac:dyDescent="0.3">
      <c r="U859849" s="25"/>
    </row>
    <row r="859871" spans="21:21" x14ac:dyDescent="0.3">
      <c r="U859871" s="25"/>
    </row>
    <row r="859893" spans="21:21" x14ac:dyDescent="0.3">
      <c r="U859893" s="25"/>
    </row>
    <row r="859915" spans="21:21" x14ac:dyDescent="0.3">
      <c r="U859915" s="25"/>
    </row>
    <row r="859937" spans="21:21" x14ac:dyDescent="0.3">
      <c r="U859937" s="25"/>
    </row>
    <row r="859959" spans="21:21" x14ac:dyDescent="0.3">
      <c r="U859959" s="25"/>
    </row>
    <row r="859981" spans="21:21" x14ac:dyDescent="0.3">
      <c r="U859981" s="25"/>
    </row>
    <row r="860003" spans="21:21" x14ac:dyDescent="0.3">
      <c r="U860003" s="25"/>
    </row>
    <row r="860025" spans="21:21" x14ac:dyDescent="0.3">
      <c r="U860025" s="25"/>
    </row>
    <row r="860047" spans="21:21" x14ac:dyDescent="0.3">
      <c r="U860047" s="25"/>
    </row>
    <row r="860069" spans="21:21" x14ac:dyDescent="0.3">
      <c r="U860069" s="25"/>
    </row>
    <row r="860091" spans="21:21" x14ac:dyDescent="0.3">
      <c r="U860091" s="25"/>
    </row>
    <row r="860113" spans="21:21" x14ac:dyDescent="0.3">
      <c r="U860113" s="25"/>
    </row>
    <row r="860135" spans="21:21" x14ac:dyDescent="0.3">
      <c r="U860135" s="25"/>
    </row>
    <row r="860157" spans="21:21" x14ac:dyDescent="0.3">
      <c r="U860157" s="25"/>
    </row>
    <row r="860179" spans="21:21" x14ac:dyDescent="0.3">
      <c r="U860179" s="25"/>
    </row>
    <row r="860201" spans="21:21" x14ac:dyDescent="0.3">
      <c r="U860201" s="25"/>
    </row>
    <row r="860223" spans="21:21" x14ac:dyDescent="0.3">
      <c r="U860223" s="25"/>
    </row>
    <row r="860245" spans="21:21" x14ac:dyDescent="0.3">
      <c r="U860245" s="25"/>
    </row>
    <row r="860267" spans="21:21" x14ac:dyDescent="0.3">
      <c r="U860267" s="25"/>
    </row>
    <row r="860289" spans="21:21" x14ac:dyDescent="0.3">
      <c r="U860289" s="25"/>
    </row>
    <row r="860311" spans="21:21" x14ac:dyDescent="0.3">
      <c r="U860311" s="25"/>
    </row>
    <row r="860333" spans="21:21" x14ac:dyDescent="0.3">
      <c r="U860333" s="25"/>
    </row>
    <row r="860355" spans="21:21" x14ac:dyDescent="0.3">
      <c r="U860355" s="25"/>
    </row>
    <row r="860377" spans="21:21" x14ac:dyDescent="0.3">
      <c r="U860377" s="25"/>
    </row>
    <row r="860399" spans="21:21" x14ac:dyDescent="0.3">
      <c r="U860399" s="25"/>
    </row>
    <row r="860421" spans="21:21" x14ac:dyDescent="0.3">
      <c r="U860421" s="25"/>
    </row>
    <row r="860443" spans="21:21" x14ac:dyDescent="0.3">
      <c r="U860443" s="25"/>
    </row>
    <row r="860465" spans="21:21" x14ac:dyDescent="0.3">
      <c r="U860465" s="25"/>
    </row>
    <row r="860487" spans="21:21" x14ac:dyDescent="0.3">
      <c r="U860487" s="25"/>
    </row>
    <row r="860509" spans="21:21" x14ac:dyDescent="0.3">
      <c r="U860509" s="25"/>
    </row>
    <row r="860531" spans="21:21" x14ac:dyDescent="0.3">
      <c r="U860531" s="25"/>
    </row>
    <row r="860553" spans="21:21" x14ac:dyDescent="0.3">
      <c r="U860553" s="25"/>
    </row>
    <row r="860575" spans="21:21" x14ac:dyDescent="0.3">
      <c r="U860575" s="25"/>
    </row>
    <row r="860597" spans="21:21" x14ac:dyDescent="0.3">
      <c r="U860597" s="25"/>
    </row>
    <row r="860619" spans="21:21" x14ac:dyDescent="0.3">
      <c r="U860619" s="25"/>
    </row>
    <row r="860641" spans="21:21" x14ac:dyDescent="0.3">
      <c r="U860641" s="25"/>
    </row>
    <row r="860663" spans="21:21" x14ac:dyDescent="0.3">
      <c r="U860663" s="25"/>
    </row>
    <row r="860685" spans="21:21" x14ac:dyDescent="0.3">
      <c r="U860685" s="25"/>
    </row>
    <row r="860707" spans="21:21" x14ac:dyDescent="0.3">
      <c r="U860707" s="25"/>
    </row>
    <row r="860729" spans="21:21" x14ac:dyDescent="0.3">
      <c r="U860729" s="25"/>
    </row>
    <row r="860751" spans="21:21" x14ac:dyDescent="0.3">
      <c r="U860751" s="25"/>
    </row>
    <row r="860773" spans="21:21" x14ac:dyDescent="0.3">
      <c r="U860773" s="25"/>
    </row>
    <row r="860795" spans="21:21" x14ac:dyDescent="0.3">
      <c r="U860795" s="25"/>
    </row>
    <row r="860817" spans="21:21" x14ac:dyDescent="0.3">
      <c r="U860817" s="25"/>
    </row>
    <row r="860839" spans="21:21" x14ac:dyDescent="0.3">
      <c r="U860839" s="25"/>
    </row>
    <row r="860861" spans="21:21" x14ac:dyDescent="0.3">
      <c r="U860861" s="25"/>
    </row>
    <row r="860883" spans="21:21" x14ac:dyDescent="0.3">
      <c r="U860883" s="25"/>
    </row>
    <row r="860905" spans="21:21" x14ac:dyDescent="0.3">
      <c r="U860905" s="25"/>
    </row>
    <row r="860927" spans="21:21" x14ac:dyDescent="0.3">
      <c r="U860927" s="25"/>
    </row>
    <row r="860949" spans="21:21" x14ac:dyDescent="0.3">
      <c r="U860949" s="25"/>
    </row>
    <row r="860971" spans="21:21" x14ac:dyDescent="0.3">
      <c r="U860971" s="25"/>
    </row>
    <row r="860993" spans="21:21" x14ac:dyDescent="0.3">
      <c r="U860993" s="25"/>
    </row>
    <row r="861015" spans="21:21" x14ac:dyDescent="0.3">
      <c r="U861015" s="25"/>
    </row>
    <row r="861037" spans="21:21" x14ac:dyDescent="0.3">
      <c r="U861037" s="25"/>
    </row>
    <row r="861059" spans="21:21" x14ac:dyDescent="0.3">
      <c r="U861059" s="25"/>
    </row>
    <row r="861081" spans="21:21" x14ac:dyDescent="0.3">
      <c r="U861081" s="25"/>
    </row>
    <row r="861103" spans="21:21" x14ac:dyDescent="0.3">
      <c r="U861103" s="25"/>
    </row>
    <row r="861125" spans="21:21" x14ac:dyDescent="0.3">
      <c r="U861125" s="25"/>
    </row>
    <row r="861147" spans="21:21" x14ac:dyDescent="0.3">
      <c r="U861147" s="25"/>
    </row>
    <row r="861169" spans="21:21" x14ac:dyDescent="0.3">
      <c r="U861169" s="25"/>
    </row>
    <row r="861191" spans="21:21" x14ac:dyDescent="0.3">
      <c r="U861191" s="25"/>
    </row>
    <row r="861213" spans="21:21" x14ac:dyDescent="0.3">
      <c r="U861213" s="25"/>
    </row>
    <row r="861235" spans="21:21" x14ac:dyDescent="0.3">
      <c r="U861235" s="25"/>
    </row>
    <row r="861257" spans="21:21" x14ac:dyDescent="0.3">
      <c r="U861257" s="25"/>
    </row>
    <row r="861279" spans="21:21" x14ac:dyDescent="0.3">
      <c r="U861279" s="25"/>
    </row>
    <row r="861301" spans="21:21" x14ac:dyDescent="0.3">
      <c r="U861301" s="25"/>
    </row>
    <row r="861323" spans="21:21" x14ac:dyDescent="0.3">
      <c r="U861323" s="25"/>
    </row>
    <row r="861345" spans="21:21" x14ac:dyDescent="0.3">
      <c r="U861345" s="25"/>
    </row>
    <row r="861367" spans="21:21" x14ac:dyDescent="0.3">
      <c r="U861367" s="25"/>
    </row>
    <row r="861389" spans="21:21" x14ac:dyDescent="0.3">
      <c r="U861389" s="25"/>
    </row>
    <row r="861411" spans="21:21" x14ac:dyDescent="0.3">
      <c r="U861411" s="25"/>
    </row>
    <row r="861433" spans="21:21" x14ac:dyDescent="0.3">
      <c r="U861433" s="25"/>
    </row>
    <row r="861455" spans="21:21" x14ac:dyDescent="0.3">
      <c r="U861455" s="25"/>
    </row>
    <row r="861477" spans="21:21" x14ac:dyDescent="0.3">
      <c r="U861477" s="25"/>
    </row>
    <row r="861499" spans="21:21" x14ac:dyDescent="0.3">
      <c r="U861499" s="25"/>
    </row>
    <row r="861521" spans="21:21" x14ac:dyDescent="0.3">
      <c r="U861521" s="25"/>
    </row>
    <row r="861543" spans="21:21" x14ac:dyDescent="0.3">
      <c r="U861543" s="25"/>
    </row>
    <row r="861565" spans="21:21" x14ac:dyDescent="0.3">
      <c r="U861565" s="25"/>
    </row>
    <row r="861587" spans="21:21" x14ac:dyDescent="0.3">
      <c r="U861587" s="25"/>
    </row>
    <row r="861609" spans="21:21" x14ac:dyDescent="0.3">
      <c r="U861609" s="25"/>
    </row>
    <row r="861631" spans="21:21" x14ac:dyDescent="0.3">
      <c r="U861631" s="25"/>
    </row>
    <row r="861653" spans="21:21" x14ac:dyDescent="0.3">
      <c r="U861653" s="25"/>
    </row>
    <row r="861675" spans="21:21" x14ac:dyDescent="0.3">
      <c r="U861675" s="25"/>
    </row>
    <row r="861697" spans="21:21" x14ac:dyDescent="0.3">
      <c r="U861697" s="25"/>
    </row>
    <row r="861719" spans="21:21" x14ac:dyDescent="0.3">
      <c r="U861719" s="25"/>
    </row>
    <row r="861741" spans="21:21" x14ac:dyDescent="0.3">
      <c r="U861741" s="25"/>
    </row>
    <row r="861763" spans="21:21" x14ac:dyDescent="0.3">
      <c r="U861763" s="25"/>
    </row>
    <row r="861785" spans="21:21" x14ac:dyDescent="0.3">
      <c r="U861785" s="25"/>
    </row>
    <row r="861807" spans="21:21" x14ac:dyDescent="0.3">
      <c r="U861807" s="25"/>
    </row>
    <row r="861829" spans="21:21" x14ac:dyDescent="0.3">
      <c r="U861829" s="25"/>
    </row>
    <row r="861851" spans="21:21" x14ac:dyDescent="0.3">
      <c r="U861851" s="25"/>
    </row>
    <row r="861873" spans="21:21" x14ac:dyDescent="0.3">
      <c r="U861873" s="25"/>
    </row>
    <row r="861895" spans="21:21" x14ac:dyDescent="0.3">
      <c r="U861895" s="25"/>
    </row>
    <row r="861917" spans="21:21" x14ac:dyDescent="0.3">
      <c r="U861917" s="25"/>
    </row>
    <row r="861939" spans="21:21" x14ac:dyDescent="0.3">
      <c r="U861939" s="25"/>
    </row>
    <row r="861961" spans="21:21" x14ac:dyDescent="0.3">
      <c r="U861961" s="25"/>
    </row>
    <row r="861983" spans="21:21" x14ac:dyDescent="0.3">
      <c r="U861983" s="25"/>
    </row>
    <row r="862005" spans="21:21" x14ac:dyDescent="0.3">
      <c r="U862005" s="25"/>
    </row>
    <row r="862027" spans="21:21" x14ac:dyDescent="0.3">
      <c r="U862027" s="25"/>
    </row>
    <row r="862049" spans="21:21" x14ac:dyDescent="0.3">
      <c r="U862049" s="25"/>
    </row>
    <row r="862071" spans="21:21" x14ac:dyDescent="0.3">
      <c r="U862071" s="25"/>
    </row>
    <row r="862093" spans="21:21" x14ac:dyDescent="0.3">
      <c r="U862093" s="25"/>
    </row>
    <row r="862115" spans="21:21" x14ac:dyDescent="0.3">
      <c r="U862115" s="25"/>
    </row>
    <row r="862137" spans="21:21" x14ac:dyDescent="0.3">
      <c r="U862137" s="25"/>
    </row>
    <row r="862159" spans="21:21" x14ac:dyDescent="0.3">
      <c r="U862159" s="25"/>
    </row>
    <row r="862181" spans="21:21" x14ac:dyDescent="0.3">
      <c r="U862181" s="25"/>
    </row>
    <row r="862203" spans="21:21" x14ac:dyDescent="0.3">
      <c r="U862203" s="25"/>
    </row>
    <row r="862225" spans="21:21" x14ac:dyDescent="0.3">
      <c r="U862225" s="25"/>
    </row>
    <row r="862247" spans="21:21" x14ac:dyDescent="0.3">
      <c r="U862247" s="25"/>
    </row>
    <row r="862269" spans="21:21" x14ac:dyDescent="0.3">
      <c r="U862269" s="25"/>
    </row>
    <row r="862291" spans="21:21" x14ac:dyDescent="0.3">
      <c r="U862291" s="25"/>
    </row>
    <row r="862313" spans="21:21" x14ac:dyDescent="0.3">
      <c r="U862313" s="25"/>
    </row>
    <row r="862335" spans="21:21" x14ac:dyDescent="0.3">
      <c r="U862335" s="25"/>
    </row>
    <row r="862357" spans="21:21" x14ac:dyDescent="0.3">
      <c r="U862357" s="25"/>
    </row>
    <row r="862379" spans="21:21" x14ac:dyDescent="0.3">
      <c r="U862379" s="25"/>
    </row>
    <row r="862401" spans="21:21" x14ac:dyDescent="0.3">
      <c r="U862401" s="25"/>
    </row>
    <row r="862423" spans="21:21" x14ac:dyDescent="0.3">
      <c r="U862423" s="25"/>
    </row>
    <row r="862445" spans="21:21" x14ac:dyDescent="0.3">
      <c r="U862445" s="25"/>
    </row>
    <row r="862467" spans="21:21" x14ac:dyDescent="0.3">
      <c r="U862467" s="25"/>
    </row>
    <row r="862489" spans="21:21" x14ac:dyDescent="0.3">
      <c r="U862489" s="25"/>
    </row>
    <row r="862511" spans="21:21" x14ac:dyDescent="0.3">
      <c r="U862511" s="25"/>
    </row>
    <row r="862533" spans="21:21" x14ac:dyDescent="0.3">
      <c r="U862533" s="25"/>
    </row>
    <row r="862555" spans="21:21" x14ac:dyDescent="0.3">
      <c r="U862555" s="25"/>
    </row>
    <row r="862577" spans="21:21" x14ac:dyDescent="0.3">
      <c r="U862577" s="25"/>
    </row>
    <row r="862599" spans="21:21" x14ac:dyDescent="0.3">
      <c r="U862599" s="25"/>
    </row>
    <row r="862621" spans="21:21" x14ac:dyDescent="0.3">
      <c r="U862621" s="25"/>
    </row>
    <row r="862643" spans="21:21" x14ac:dyDescent="0.3">
      <c r="U862643" s="25"/>
    </row>
    <row r="862665" spans="21:21" x14ac:dyDescent="0.3">
      <c r="U862665" s="25"/>
    </row>
    <row r="862687" spans="21:21" x14ac:dyDescent="0.3">
      <c r="U862687" s="25"/>
    </row>
    <row r="862709" spans="21:21" x14ac:dyDescent="0.3">
      <c r="U862709" s="25"/>
    </row>
    <row r="862731" spans="21:21" x14ac:dyDescent="0.3">
      <c r="U862731" s="25"/>
    </row>
    <row r="862753" spans="21:21" x14ac:dyDescent="0.3">
      <c r="U862753" s="25"/>
    </row>
    <row r="862775" spans="21:21" x14ac:dyDescent="0.3">
      <c r="U862775" s="25"/>
    </row>
    <row r="862797" spans="21:21" x14ac:dyDescent="0.3">
      <c r="U862797" s="25"/>
    </row>
    <row r="862819" spans="21:21" x14ac:dyDescent="0.3">
      <c r="U862819" s="25"/>
    </row>
    <row r="862841" spans="21:21" x14ac:dyDescent="0.3">
      <c r="U862841" s="25"/>
    </row>
    <row r="862863" spans="21:21" x14ac:dyDescent="0.3">
      <c r="U862863" s="25"/>
    </row>
    <row r="862885" spans="21:21" x14ac:dyDescent="0.3">
      <c r="U862885" s="25"/>
    </row>
    <row r="862907" spans="21:21" x14ac:dyDescent="0.3">
      <c r="U862907" s="25"/>
    </row>
    <row r="862929" spans="21:21" x14ac:dyDescent="0.3">
      <c r="U862929" s="25"/>
    </row>
    <row r="862951" spans="21:21" x14ac:dyDescent="0.3">
      <c r="U862951" s="25"/>
    </row>
    <row r="862973" spans="21:21" x14ac:dyDescent="0.3">
      <c r="U862973" s="25"/>
    </row>
    <row r="862995" spans="21:21" x14ac:dyDescent="0.3">
      <c r="U862995" s="25"/>
    </row>
    <row r="863017" spans="21:21" x14ac:dyDescent="0.3">
      <c r="U863017" s="25"/>
    </row>
    <row r="863039" spans="21:21" x14ac:dyDescent="0.3">
      <c r="U863039" s="25"/>
    </row>
    <row r="863061" spans="21:21" x14ac:dyDescent="0.3">
      <c r="U863061" s="25"/>
    </row>
    <row r="863083" spans="21:21" x14ac:dyDescent="0.3">
      <c r="U863083" s="25"/>
    </row>
    <row r="863105" spans="21:21" x14ac:dyDescent="0.3">
      <c r="U863105" s="25"/>
    </row>
    <row r="863127" spans="21:21" x14ac:dyDescent="0.3">
      <c r="U863127" s="25"/>
    </row>
    <row r="863149" spans="21:21" x14ac:dyDescent="0.3">
      <c r="U863149" s="25"/>
    </row>
    <row r="863171" spans="21:21" x14ac:dyDescent="0.3">
      <c r="U863171" s="25"/>
    </row>
    <row r="863193" spans="21:21" x14ac:dyDescent="0.3">
      <c r="U863193" s="25"/>
    </row>
    <row r="863215" spans="21:21" x14ac:dyDescent="0.3">
      <c r="U863215" s="25"/>
    </row>
    <row r="863237" spans="21:21" x14ac:dyDescent="0.3">
      <c r="U863237" s="25"/>
    </row>
    <row r="863259" spans="21:21" x14ac:dyDescent="0.3">
      <c r="U863259" s="25"/>
    </row>
    <row r="863281" spans="21:21" x14ac:dyDescent="0.3">
      <c r="U863281" s="25"/>
    </row>
    <row r="863303" spans="21:21" x14ac:dyDescent="0.3">
      <c r="U863303" s="25"/>
    </row>
    <row r="863325" spans="21:21" x14ac:dyDescent="0.3">
      <c r="U863325" s="25"/>
    </row>
    <row r="863347" spans="21:21" x14ac:dyDescent="0.3">
      <c r="U863347" s="25"/>
    </row>
    <row r="863369" spans="21:21" x14ac:dyDescent="0.3">
      <c r="U863369" s="25"/>
    </row>
    <row r="863391" spans="21:21" x14ac:dyDescent="0.3">
      <c r="U863391" s="25"/>
    </row>
    <row r="863413" spans="21:21" x14ac:dyDescent="0.3">
      <c r="U863413" s="25"/>
    </row>
    <row r="863435" spans="21:21" x14ac:dyDescent="0.3">
      <c r="U863435" s="25"/>
    </row>
    <row r="863457" spans="21:21" x14ac:dyDescent="0.3">
      <c r="U863457" s="25"/>
    </row>
    <row r="863479" spans="21:21" x14ac:dyDescent="0.3">
      <c r="U863479" s="25"/>
    </row>
    <row r="863501" spans="21:21" x14ac:dyDescent="0.3">
      <c r="U863501" s="25"/>
    </row>
    <row r="863523" spans="21:21" x14ac:dyDescent="0.3">
      <c r="U863523" s="25"/>
    </row>
    <row r="863545" spans="21:21" x14ac:dyDescent="0.3">
      <c r="U863545" s="25"/>
    </row>
    <row r="863567" spans="21:21" x14ac:dyDescent="0.3">
      <c r="U863567" s="25"/>
    </row>
    <row r="863589" spans="21:21" x14ac:dyDescent="0.3">
      <c r="U863589" s="25"/>
    </row>
    <row r="863611" spans="21:21" x14ac:dyDescent="0.3">
      <c r="U863611" s="25"/>
    </row>
    <row r="863633" spans="21:21" x14ac:dyDescent="0.3">
      <c r="U863633" s="25"/>
    </row>
    <row r="863655" spans="21:21" x14ac:dyDescent="0.3">
      <c r="U863655" s="25"/>
    </row>
    <row r="863677" spans="21:21" x14ac:dyDescent="0.3">
      <c r="U863677" s="25"/>
    </row>
    <row r="863699" spans="21:21" x14ac:dyDescent="0.3">
      <c r="U863699" s="25"/>
    </row>
    <row r="863721" spans="21:21" x14ac:dyDescent="0.3">
      <c r="U863721" s="25"/>
    </row>
    <row r="863743" spans="21:21" x14ac:dyDescent="0.3">
      <c r="U863743" s="25"/>
    </row>
    <row r="863765" spans="21:21" x14ac:dyDescent="0.3">
      <c r="U863765" s="25"/>
    </row>
    <row r="863787" spans="21:21" x14ac:dyDescent="0.3">
      <c r="U863787" s="25"/>
    </row>
    <row r="863809" spans="21:21" x14ac:dyDescent="0.3">
      <c r="U863809" s="25"/>
    </row>
    <row r="863831" spans="21:21" x14ac:dyDescent="0.3">
      <c r="U863831" s="25"/>
    </row>
    <row r="863853" spans="21:21" x14ac:dyDescent="0.3">
      <c r="U863853" s="25"/>
    </row>
    <row r="863875" spans="21:21" x14ac:dyDescent="0.3">
      <c r="U863875" s="25"/>
    </row>
    <row r="863897" spans="21:21" x14ac:dyDescent="0.3">
      <c r="U863897" s="25"/>
    </row>
    <row r="863919" spans="21:21" x14ac:dyDescent="0.3">
      <c r="U863919" s="25"/>
    </row>
    <row r="863941" spans="21:21" x14ac:dyDescent="0.3">
      <c r="U863941" s="25"/>
    </row>
    <row r="863963" spans="21:21" x14ac:dyDescent="0.3">
      <c r="U863963" s="25"/>
    </row>
    <row r="863985" spans="21:21" x14ac:dyDescent="0.3">
      <c r="U863985" s="25"/>
    </row>
    <row r="864007" spans="21:21" x14ac:dyDescent="0.3">
      <c r="U864007" s="25"/>
    </row>
    <row r="864029" spans="21:21" x14ac:dyDescent="0.3">
      <c r="U864029" s="25"/>
    </row>
    <row r="864051" spans="21:21" x14ac:dyDescent="0.3">
      <c r="U864051" s="25"/>
    </row>
    <row r="864073" spans="21:21" x14ac:dyDescent="0.3">
      <c r="U864073" s="25"/>
    </row>
    <row r="864095" spans="21:21" x14ac:dyDescent="0.3">
      <c r="U864095" s="25"/>
    </row>
    <row r="864117" spans="21:21" x14ac:dyDescent="0.3">
      <c r="U864117" s="25"/>
    </row>
    <row r="864139" spans="21:21" x14ac:dyDescent="0.3">
      <c r="U864139" s="25"/>
    </row>
    <row r="864161" spans="21:21" x14ac:dyDescent="0.3">
      <c r="U864161" s="25"/>
    </row>
    <row r="864183" spans="21:21" x14ac:dyDescent="0.3">
      <c r="U864183" s="25"/>
    </row>
    <row r="864205" spans="21:21" x14ac:dyDescent="0.3">
      <c r="U864205" s="25"/>
    </row>
    <row r="864227" spans="21:21" x14ac:dyDescent="0.3">
      <c r="U864227" s="25"/>
    </row>
    <row r="864249" spans="21:21" x14ac:dyDescent="0.3">
      <c r="U864249" s="25"/>
    </row>
    <row r="864271" spans="21:21" x14ac:dyDescent="0.3">
      <c r="U864271" s="25"/>
    </row>
    <row r="864293" spans="21:21" x14ac:dyDescent="0.3">
      <c r="U864293" s="25"/>
    </row>
    <row r="864315" spans="21:21" x14ac:dyDescent="0.3">
      <c r="U864315" s="25"/>
    </row>
    <row r="864337" spans="21:21" x14ac:dyDescent="0.3">
      <c r="U864337" s="25"/>
    </row>
    <row r="864359" spans="21:21" x14ac:dyDescent="0.3">
      <c r="U864359" s="25"/>
    </row>
    <row r="864381" spans="21:21" x14ac:dyDescent="0.3">
      <c r="U864381" s="25"/>
    </row>
    <row r="864403" spans="21:21" x14ac:dyDescent="0.3">
      <c r="U864403" s="25"/>
    </row>
    <row r="864425" spans="21:21" x14ac:dyDescent="0.3">
      <c r="U864425" s="25"/>
    </row>
    <row r="864447" spans="21:21" x14ac:dyDescent="0.3">
      <c r="U864447" s="25"/>
    </row>
    <row r="864469" spans="21:21" x14ac:dyDescent="0.3">
      <c r="U864469" s="25"/>
    </row>
    <row r="864491" spans="21:21" x14ac:dyDescent="0.3">
      <c r="U864491" s="25"/>
    </row>
    <row r="864513" spans="21:21" x14ac:dyDescent="0.3">
      <c r="U864513" s="25"/>
    </row>
    <row r="864535" spans="21:21" x14ac:dyDescent="0.3">
      <c r="U864535" s="25"/>
    </row>
    <row r="864557" spans="21:21" x14ac:dyDescent="0.3">
      <c r="U864557" s="25"/>
    </row>
    <row r="864579" spans="21:21" x14ac:dyDescent="0.3">
      <c r="U864579" s="25"/>
    </row>
    <row r="864601" spans="21:21" x14ac:dyDescent="0.3">
      <c r="U864601" s="25"/>
    </row>
    <row r="864623" spans="21:21" x14ac:dyDescent="0.3">
      <c r="U864623" s="25"/>
    </row>
    <row r="864645" spans="21:21" x14ac:dyDescent="0.3">
      <c r="U864645" s="25"/>
    </row>
    <row r="864667" spans="21:21" x14ac:dyDescent="0.3">
      <c r="U864667" s="25"/>
    </row>
    <row r="864689" spans="21:21" x14ac:dyDescent="0.3">
      <c r="U864689" s="25"/>
    </row>
    <row r="864711" spans="21:21" x14ac:dyDescent="0.3">
      <c r="U864711" s="25"/>
    </row>
    <row r="864733" spans="21:21" x14ac:dyDescent="0.3">
      <c r="U864733" s="25"/>
    </row>
    <row r="864755" spans="21:21" x14ac:dyDescent="0.3">
      <c r="U864755" s="25"/>
    </row>
    <row r="864777" spans="21:21" x14ac:dyDescent="0.3">
      <c r="U864777" s="25"/>
    </row>
    <row r="864799" spans="21:21" x14ac:dyDescent="0.3">
      <c r="U864799" s="25"/>
    </row>
    <row r="864821" spans="21:21" x14ac:dyDescent="0.3">
      <c r="U864821" s="25"/>
    </row>
    <row r="864843" spans="21:21" x14ac:dyDescent="0.3">
      <c r="U864843" s="25"/>
    </row>
    <row r="864865" spans="21:21" x14ac:dyDescent="0.3">
      <c r="U864865" s="25"/>
    </row>
    <row r="864887" spans="21:21" x14ac:dyDescent="0.3">
      <c r="U864887" s="25"/>
    </row>
    <row r="864909" spans="21:21" x14ac:dyDescent="0.3">
      <c r="U864909" s="25"/>
    </row>
    <row r="864931" spans="21:21" x14ac:dyDescent="0.3">
      <c r="U864931" s="25"/>
    </row>
    <row r="864953" spans="21:21" x14ac:dyDescent="0.3">
      <c r="U864953" s="25"/>
    </row>
    <row r="864975" spans="21:21" x14ac:dyDescent="0.3">
      <c r="U864975" s="25"/>
    </row>
    <row r="864997" spans="21:21" x14ac:dyDescent="0.3">
      <c r="U864997" s="25"/>
    </row>
    <row r="865019" spans="21:21" x14ac:dyDescent="0.3">
      <c r="U865019" s="25"/>
    </row>
    <row r="865041" spans="21:21" x14ac:dyDescent="0.3">
      <c r="U865041" s="25"/>
    </row>
    <row r="865063" spans="21:21" x14ac:dyDescent="0.3">
      <c r="U865063" s="25"/>
    </row>
    <row r="865085" spans="21:21" x14ac:dyDescent="0.3">
      <c r="U865085" s="25"/>
    </row>
    <row r="865107" spans="21:21" x14ac:dyDescent="0.3">
      <c r="U865107" s="25"/>
    </row>
    <row r="865129" spans="21:21" x14ac:dyDescent="0.3">
      <c r="U865129" s="25"/>
    </row>
    <row r="865151" spans="21:21" x14ac:dyDescent="0.3">
      <c r="U865151" s="25"/>
    </row>
    <row r="865173" spans="21:21" x14ac:dyDescent="0.3">
      <c r="U865173" s="25"/>
    </row>
    <row r="865195" spans="21:21" x14ac:dyDescent="0.3">
      <c r="U865195" s="25"/>
    </row>
    <row r="865217" spans="21:21" x14ac:dyDescent="0.3">
      <c r="U865217" s="25"/>
    </row>
    <row r="865239" spans="21:21" x14ac:dyDescent="0.3">
      <c r="U865239" s="25"/>
    </row>
    <row r="865261" spans="21:21" x14ac:dyDescent="0.3">
      <c r="U865261" s="25"/>
    </row>
    <row r="865283" spans="21:21" x14ac:dyDescent="0.3">
      <c r="U865283" s="25"/>
    </row>
    <row r="865305" spans="21:21" x14ac:dyDescent="0.3">
      <c r="U865305" s="25"/>
    </row>
    <row r="865327" spans="21:21" x14ac:dyDescent="0.3">
      <c r="U865327" s="25"/>
    </row>
    <row r="865349" spans="21:21" x14ac:dyDescent="0.3">
      <c r="U865349" s="25"/>
    </row>
    <row r="865371" spans="21:21" x14ac:dyDescent="0.3">
      <c r="U865371" s="25"/>
    </row>
    <row r="865393" spans="21:21" x14ac:dyDescent="0.3">
      <c r="U865393" s="25"/>
    </row>
    <row r="865415" spans="21:21" x14ac:dyDescent="0.3">
      <c r="U865415" s="25"/>
    </row>
    <row r="865437" spans="21:21" x14ac:dyDescent="0.3">
      <c r="U865437" s="25"/>
    </row>
    <row r="865459" spans="21:21" x14ac:dyDescent="0.3">
      <c r="U865459" s="25"/>
    </row>
    <row r="865481" spans="21:21" x14ac:dyDescent="0.3">
      <c r="U865481" s="25"/>
    </row>
    <row r="865503" spans="21:21" x14ac:dyDescent="0.3">
      <c r="U865503" s="25"/>
    </row>
    <row r="865525" spans="21:21" x14ac:dyDescent="0.3">
      <c r="U865525" s="25"/>
    </row>
    <row r="865547" spans="21:21" x14ac:dyDescent="0.3">
      <c r="U865547" s="25"/>
    </row>
    <row r="865569" spans="21:21" x14ac:dyDescent="0.3">
      <c r="U865569" s="25"/>
    </row>
    <row r="865591" spans="21:21" x14ac:dyDescent="0.3">
      <c r="U865591" s="25"/>
    </row>
    <row r="865613" spans="21:21" x14ac:dyDescent="0.3">
      <c r="U865613" s="25"/>
    </row>
    <row r="865635" spans="21:21" x14ac:dyDescent="0.3">
      <c r="U865635" s="25"/>
    </row>
    <row r="865657" spans="21:21" x14ac:dyDescent="0.3">
      <c r="U865657" s="25"/>
    </row>
    <row r="865679" spans="21:21" x14ac:dyDescent="0.3">
      <c r="U865679" s="25"/>
    </row>
    <row r="865701" spans="21:21" x14ac:dyDescent="0.3">
      <c r="U865701" s="25"/>
    </row>
    <row r="865723" spans="21:21" x14ac:dyDescent="0.3">
      <c r="U865723" s="25"/>
    </row>
    <row r="865745" spans="21:21" x14ac:dyDescent="0.3">
      <c r="U865745" s="25"/>
    </row>
    <row r="865767" spans="21:21" x14ac:dyDescent="0.3">
      <c r="U865767" s="25"/>
    </row>
    <row r="865789" spans="21:21" x14ac:dyDescent="0.3">
      <c r="U865789" s="25"/>
    </row>
    <row r="865811" spans="21:21" x14ac:dyDescent="0.3">
      <c r="U865811" s="25"/>
    </row>
    <row r="865833" spans="21:21" x14ac:dyDescent="0.3">
      <c r="U865833" s="25"/>
    </row>
    <row r="865855" spans="21:21" x14ac:dyDescent="0.3">
      <c r="U865855" s="25"/>
    </row>
    <row r="865877" spans="21:21" x14ac:dyDescent="0.3">
      <c r="U865877" s="25"/>
    </row>
    <row r="865899" spans="21:21" x14ac:dyDescent="0.3">
      <c r="U865899" s="25"/>
    </row>
    <row r="865921" spans="21:21" x14ac:dyDescent="0.3">
      <c r="U865921" s="25"/>
    </row>
    <row r="865943" spans="21:21" x14ac:dyDescent="0.3">
      <c r="U865943" s="25"/>
    </row>
    <row r="865965" spans="21:21" x14ac:dyDescent="0.3">
      <c r="U865965" s="25"/>
    </row>
    <row r="865987" spans="21:21" x14ac:dyDescent="0.3">
      <c r="U865987" s="25"/>
    </row>
    <row r="866009" spans="21:21" x14ac:dyDescent="0.3">
      <c r="U866009" s="25"/>
    </row>
    <row r="866031" spans="21:21" x14ac:dyDescent="0.3">
      <c r="U866031" s="25"/>
    </row>
    <row r="866053" spans="21:21" x14ac:dyDescent="0.3">
      <c r="U866053" s="25"/>
    </row>
    <row r="866075" spans="21:21" x14ac:dyDescent="0.3">
      <c r="U866075" s="25"/>
    </row>
    <row r="866097" spans="21:21" x14ac:dyDescent="0.3">
      <c r="U866097" s="25"/>
    </row>
    <row r="866119" spans="21:21" x14ac:dyDescent="0.3">
      <c r="U866119" s="25"/>
    </row>
    <row r="866141" spans="21:21" x14ac:dyDescent="0.3">
      <c r="U866141" s="25"/>
    </row>
    <row r="866163" spans="21:21" x14ac:dyDescent="0.3">
      <c r="U866163" s="25"/>
    </row>
    <row r="866185" spans="21:21" x14ac:dyDescent="0.3">
      <c r="U866185" s="25"/>
    </row>
    <row r="866207" spans="21:21" x14ac:dyDescent="0.3">
      <c r="U866207" s="25"/>
    </row>
    <row r="866229" spans="21:21" x14ac:dyDescent="0.3">
      <c r="U866229" s="25"/>
    </row>
    <row r="866251" spans="21:21" x14ac:dyDescent="0.3">
      <c r="U866251" s="25"/>
    </row>
    <row r="866273" spans="21:21" x14ac:dyDescent="0.3">
      <c r="U866273" s="25"/>
    </row>
    <row r="866295" spans="21:21" x14ac:dyDescent="0.3">
      <c r="U866295" s="25"/>
    </row>
    <row r="866317" spans="21:21" x14ac:dyDescent="0.3">
      <c r="U866317" s="25"/>
    </row>
    <row r="866339" spans="21:21" x14ac:dyDescent="0.3">
      <c r="U866339" s="25"/>
    </row>
    <row r="866361" spans="21:21" x14ac:dyDescent="0.3">
      <c r="U866361" s="25"/>
    </row>
    <row r="866383" spans="21:21" x14ac:dyDescent="0.3">
      <c r="U866383" s="25"/>
    </row>
    <row r="866405" spans="21:21" x14ac:dyDescent="0.3">
      <c r="U866405" s="25"/>
    </row>
    <row r="866427" spans="21:21" x14ac:dyDescent="0.3">
      <c r="U866427" s="25"/>
    </row>
    <row r="866449" spans="21:21" x14ac:dyDescent="0.3">
      <c r="U866449" s="25"/>
    </row>
    <row r="866471" spans="21:21" x14ac:dyDescent="0.3">
      <c r="U866471" s="25"/>
    </row>
    <row r="866493" spans="21:21" x14ac:dyDescent="0.3">
      <c r="U866493" s="25"/>
    </row>
    <row r="866515" spans="21:21" x14ac:dyDescent="0.3">
      <c r="U866515" s="25"/>
    </row>
    <row r="866537" spans="21:21" x14ac:dyDescent="0.3">
      <c r="U866537" s="25"/>
    </row>
    <row r="866559" spans="21:21" x14ac:dyDescent="0.3">
      <c r="U866559" s="25"/>
    </row>
    <row r="866581" spans="21:21" x14ac:dyDescent="0.3">
      <c r="U866581" s="25"/>
    </row>
    <row r="866603" spans="21:21" x14ac:dyDescent="0.3">
      <c r="U866603" s="25"/>
    </row>
    <row r="866625" spans="21:21" x14ac:dyDescent="0.3">
      <c r="U866625" s="25"/>
    </row>
    <row r="866647" spans="21:21" x14ac:dyDescent="0.3">
      <c r="U866647" s="25"/>
    </row>
    <row r="866669" spans="21:21" x14ac:dyDescent="0.3">
      <c r="U866669" s="25"/>
    </row>
    <row r="866691" spans="21:21" x14ac:dyDescent="0.3">
      <c r="U866691" s="25"/>
    </row>
    <row r="866713" spans="21:21" x14ac:dyDescent="0.3">
      <c r="U866713" s="25"/>
    </row>
    <row r="866735" spans="21:21" x14ac:dyDescent="0.3">
      <c r="U866735" s="25"/>
    </row>
    <row r="866757" spans="21:21" x14ac:dyDescent="0.3">
      <c r="U866757" s="25"/>
    </row>
    <row r="866779" spans="21:21" x14ac:dyDescent="0.3">
      <c r="U866779" s="25"/>
    </row>
    <row r="866801" spans="21:21" x14ac:dyDescent="0.3">
      <c r="U866801" s="25"/>
    </row>
    <row r="866823" spans="21:21" x14ac:dyDescent="0.3">
      <c r="U866823" s="25"/>
    </row>
    <row r="866845" spans="21:21" x14ac:dyDescent="0.3">
      <c r="U866845" s="25"/>
    </row>
    <row r="866867" spans="21:21" x14ac:dyDescent="0.3">
      <c r="U866867" s="25"/>
    </row>
    <row r="866889" spans="21:21" x14ac:dyDescent="0.3">
      <c r="U866889" s="25"/>
    </row>
    <row r="866911" spans="21:21" x14ac:dyDescent="0.3">
      <c r="U866911" s="25"/>
    </row>
    <row r="866933" spans="21:21" x14ac:dyDescent="0.3">
      <c r="U866933" s="25"/>
    </row>
    <row r="866955" spans="21:21" x14ac:dyDescent="0.3">
      <c r="U866955" s="25"/>
    </row>
    <row r="866977" spans="21:21" x14ac:dyDescent="0.3">
      <c r="U866977" s="25"/>
    </row>
    <row r="866999" spans="21:21" x14ac:dyDescent="0.3">
      <c r="U866999" s="25"/>
    </row>
    <row r="867021" spans="21:21" x14ac:dyDescent="0.3">
      <c r="U867021" s="25"/>
    </row>
    <row r="867043" spans="21:21" x14ac:dyDescent="0.3">
      <c r="U867043" s="25"/>
    </row>
    <row r="867065" spans="21:21" x14ac:dyDescent="0.3">
      <c r="U867065" s="25"/>
    </row>
    <row r="867087" spans="21:21" x14ac:dyDescent="0.3">
      <c r="U867087" s="25"/>
    </row>
    <row r="867109" spans="21:21" x14ac:dyDescent="0.3">
      <c r="U867109" s="25"/>
    </row>
    <row r="867131" spans="21:21" x14ac:dyDescent="0.3">
      <c r="U867131" s="25"/>
    </row>
    <row r="867153" spans="21:21" x14ac:dyDescent="0.3">
      <c r="U867153" s="25"/>
    </row>
    <row r="867175" spans="21:21" x14ac:dyDescent="0.3">
      <c r="U867175" s="25"/>
    </row>
    <row r="867197" spans="21:21" x14ac:dyDescent="0.3">
      <c r="U867197" s="25"/>
    </row>
    <row r="867219" spans="21:21" x14ac:dyDescent="0.3">
      <c r="U867219" s="25"/>
    </row>
    <row r="867241" spans="21:21" x14ac:dyDescent="0.3">
      <c r="U867241" s="25"/>
    </row>
    <row r="867263" spans="21:21" x14ac:dyDescent="0.3">
      <c r="U867263" s="25"/>
    </row>
    <row r="867285" spans="21:21" x14ac:dyDescent="0.3">
      <c r="U867285" s="25"/>
    </row>
    <row r="867307" spans="21:21" x14ac:dyDescent="0.3">
      <c r="U867307" s="25"/>
    </row>
    <row r="867329" spans="21:21" x14ac:dyDescent="0.3">
      <c r="U867329" s="25"/>
    </row>
    <row r="867351" spans="21:21" x14ac:dyDescent="0.3">
      <c r="U867351" s="25"/>
    </row>
    <row r="867373" spans="21:21" x14ac:dyDescent="0.3">
      <c r="U867373" s="25"/>
    </row>
    <row r="867395" spans="21:21" x14ac:dyDescent="0.3">
      <c r="U867395" s="25"/>
    </row>
    <row r="867417" spans="21:21" x14ac:dyDescent="0.3">
      <c r="U867417" s="25"/>
    </row>
    <row r="867439" spans="21:21" x14ac:dyDescent="0.3">
      <c r="U867439" s="25"/>
    </row>
    <row r="867461" spans="21:21" x14ac:dyDescent="0.3">
      <c r="U867461" s="25"/>
    </row>
    <row r="867483" spans="21:21" x14ac:dyDescent="0.3">
      <c r="U867483" s="25"/>
    </row>
    <row r="867505" spans="21:21" x14ac:dyDescent="0.3">
      <c r="U867505" s="25"/>
    </row>
    <row r="867527" spans="21:21" x14ac:dyDescent="0.3">
      <c r="U867527" s="25"/>
    </row>
    <row r="867549" spans="21:21" x14ac:dyDescent="0.3">
      <c r="U867549" s="25"/>
    </row>
    <row r="867571" spans="21:21" x14ac:dyDescent="0.3">
      <c r="U867571" s="25"/>
    </row>
    <row r="867593" spans="21:21" x14ac:dyDescent="0.3">
      <c r="U867593" s="25"/>
    </row>
    <row r="867615" spans="21:21" x14ac:dyDescent="0.3">
      <c r="U867615" s="25"/>
    </row>
    <row r="867637" spans="21:21" x14ac:dyDescent="0.3">
      <c r="U867637" s="25"/>
    </row>
    <row r="867659" spans="21:21" x14ac:dyDescent="0.3">
      <c r="U867659" s="25"/>
    </row>
    <row r="867681" spans="21:21" x14ac:dyDescent="0.3">
      <c r="U867681" s="25"/>
    </row>
    <row r="867703" spans="21:21" x14ac:dyDescent="0.3">
      <c r="U867703" s="25"/>
    </row>
    <row r="867725" spans="21:21" x14ac:dyDescent="0.3">
      <c r="U867725" s="25"/>
    </row>
    <row r="867747" spans="21:21" x14ac:dyDescent="0.3">
      <c r="U867747" s="25"/>
    </row>
    <row r="867769" spans="21:21" x14ac:dyDescent="0.3">
      <c r="U867769" s="25"/>
    </row>
    <row r="867791" spans="21:21" x14ac:dyDescent="0.3">
      <c r="U867791" s="25"/>
    </row>
    <row r="867813" spans="21:21" x14ac:dyDescent="0.3">
      <c r="U867813" s="25"/>
    </row>
    <row r="867835" spans="21:21" x14ac:dyDescent="0.3">
      <c r="U867835" s="25"/>
    </row>
    <row r="867857" spans="21:21" x14ac:dyDescent="0.3">
      <c r="U867857" s="25"/>
    </row>
    <row r="867879" spans="21:21" x14ac:dyDescent="0.3">
      <c r="U867879" s="25"/>
    </row>
    <row r="867901" spans="21:21" x14ac:dyDescent="0.3">
      <c r="U867901" s="25"/>
    </row>
    <row r="867923" spans="21:21" x14ac:dyDescent="0.3">
      <c r="U867923" s="25"/>
    </row>
    <row r="867945" spans="21:21" x14ac:dyDescent="0.3">
      <c r="U867945" s="25"/>
    </row>
    <row r="867967" spans="21:21" x14ac:dyDescent="0.3">
      <c r="U867967" s="25"/>
    </row>
    <row r="867989" spans="21:21" x14ac:dyDescent="0.3">
      <c r="U867989" s="25"/>
    </row>
    <row r="868011" spans="21:21" x14ac:dyDescent="0.3">
      <c r="U868011" s="25"/>
    </row>
    <row r="868033" spans="21:21" x14ac:dyDescent="0.3">
      <c r="U868033" s="25"/>
    </row>
    <row r="868055" spans="21:21" x14ac:dyDescent="0.3">
      <c r="U868055" s="25"/>
    </row>
    <row r="868077" spans="21:21" x14ac:dyDescent="0.3">
      <c r="U868077" s="25"/>
    </row>
    <row r="868099" spans="21:21" x14ac:dyDescent="0.3">
      <c r="U868099" s="25"/>
    </row>
    <row r="868121" spans="21:21" x14ac:dyDescent="0.3">
      <c r="U868121" s="25"/>
    </row>
    <row r="868143" spans="21:21" x14ac:dyDescent="0.3">
      <c r="U868143" s="25"/>
    </row>
    <row r="868165" spans="21:21" x14ac:dyDescent="0.3">
      <c r="U868165" s="25"/>
    </row>
    <row r="868187" spans="21:21" x14ac:dyDescent="0.3">
      <c r="U868187" s="25"/>
    </row>
    <row r="868209" spans="21:21" x14ac:dyDescent="0.3">
      <c r="U868209" s="25"/>
    </row>
    <row r="868231" spans="21:21" x14ac:dyDescent="0.3">
      <c r="U868231" s="25"/>
    </row>
    <row r="868253" spans="21:21" x14ac:dyDescent="0.3">
      <c r="U868253" s="25"/>
    </row>
    <row r="868275" spans="21:21" x14ac:dyDescent="0.3">
      <c r="U868275" s="25"/>
    </row>
    <row r="868297" spans="21:21" x14ac:dyDescent="0.3">
      <c r="U868297" s="25"/>
    </row>
    <row r="868319" spans="21:21" x14ac:dyDescent="0.3">
      <c r="U868319" s="25"/>
    </row>
    <row r="868341" spans="21:21" x14ac:dyDescent="0.3">
      <c r="U868341" s="25"/>
    </row>
    <row r="868363" spans="21:21" x14ac:dyDescent="0.3">
      <c r="U868363" s="25"/>
    </row>
    <row r="868385" spans="21:21" x14ac:dyDescent="0.3">
      <c r="U868385" s="25"/>
    </row>
    <row r="868407" spans="21:21" x14ac:dyDescent="0.3">
      <c r="U868407" s="25"/>
    </row>
    <row r="868429" spans="21:21" x14ac:dyDescent="0.3">
      <c r="U868429" s="25"/>
    </row>
    <row r="868451" spans="21:21" x14ac:dyDescent="0.3">
      <c r="U868451" s="25"/>
    </row>
    <row r="868473" spans="21:21" x14ac:dyDescent="0.3">
      <c r="U868473" s="25"/>
    </row>
    <row r="868495" spans="21:21" x14ac:dyDescent="0.3">
      <c r="U868495" s="25"/>
    </row>
    <row r="868517" spans="21:21" x14ac:dyDescent="0.3">
      <c r="U868517" s="25"/>
    </row>
    <row r="868539" spans="21:21" x14ac:dyDescent="0.3">
      <c r="U868539" s="25"/>
    </row>
    <row r="868561" spans="21:21" x14ac:dyDescent="0.3">
      <c r="U868561" s="25"/>
    </row>
    <row r="868583" spans="21:21" x14ac:dyDescent="0.3">
      <c r="U868583" s="25"/>
    </row>
    <row r="868605" spans="21:21" x14ac:dyDescent="0.3">
      <c r="U868605" s="25"/>
    </row>
    <row r="868627" spans="21:21" x14ac:dyDescent="0.3">
      <c r="U868627" s="25"/>
    </row>
    <row r="868649" spans="21:21" x14ac:dyDescent="0.3">
      <c r="U868649" s="25"/>
    </row>
    <row r="868671" spans="21:21" x14ac:dyDescent="0.3">
      <c r="U868671" s="25"/>
    </row>
    <row r="868693" spans="21:21" x14ac:dyDescent="0.3">
      <c r="U868693" s="25"/>
    </row>
    <row r="868715" spans="21:21" x14ac:dyDescent="0.3">
      <c r="U868715" s="25"/>
    </row>
    <row r="868737" spans="21:21" x14ac:dyDescent="0.3">
      <c r="U868737" s="25"/>
    </row>
    <row r="868759" spans="21:21" x14ac:dyDescent="0.3">
      <c r="U868759" s="25"/>
    </row>
    <row r="868781" spans="21:21" x14ac:dyDescent="0.3">
      <c r="U868781" s="25"/>
    </row>
    <row r="868803" spans="21:21" x14ac:dyDescent="0.3">
      <c r="U868803" s="25"/>
    </row>
    <row r="868825" spans="21:21" x14ac:dyDescent="0.3">
      <c r="U868825" s="25"/>
    </row>
    <row r="868847" spans="21:21" x14ac:dyDescent="0.3">
      <c r="U868847" s="25"/>
    </row>
    <row r="868869" spans="21:21" x14ac:dyDescent="0.3">
      <c r="U868869" s="25"/>
    </row>
    <row r="868891" spans="21:21" x14ac:dyDescent="0.3">
      <c r="U868891" s="25"/>
    </row>
    <row r="868913" spans="21:21" x14ac:dyDescent="0.3">
      <c r="U868913" s="25"/>
    </row>
    <row r="868935" spans="21:21" x14ac:dyDescent="0.3">
      <c r="U868935" s="25"/>
    </row>
    <row r="868957" spans="21:21" x14ac:dyDescent="0.3">
      <c r="U868957" s="25"/>
    </row>
    <row r="868979" spans="21:21" x14ac:dyDescent="0.3">
      <c r="U868979" s="25"/>
    </row>
    <row r="869001" spans="21:21" x14ac:dyDescent="0.3">
      <c r="U869001" s="25"/>
    </row>
    <row r="869023" spans="21:21" x14ac:dyDescent="0.3">
      <c r="U869023" s="25"/>
    </row>
    <row r="869045" spans="21:21" x14ac:dyDescent="0.3">
      <c r="U869045" s="25"/>
    </row>
    <row r="869067" spans="21:21" x14ac:dyDescent="0.3">
      <c r="U869067" s="25"/>
    </row>
    <row r="869089" spans="21:21" x14ac:dyDescent="0.3">
      <c r="U869089" s="25"/>
    </row>
    <row r="869111" spans="21:21" x14ac:dyDescent="0.3">
      <c r="U869111" s="25"/>
    </row>
    <row r="869133" spans="21:21" x14ac:dyDescent="0.3">
      <c r="U869133" s="25"/>
    </row>
    <row r="869155" spans="21:21" x14ac:dyDescent="0.3">
      <c r="U869155" s="25"/>
    </row>
    <row r="869177" spans="21:21" x14ac:dyDescent="0.3">
      <c r="U869177" s="25"/>
    </row>
    <row r="869199" spans="21:21" x14ac:dyDescent="0.3">
      <c r="U869199" s="25"/>
    </row>
    <row r="869221" spans="21:21" x14ac:dyDescent="0.3">
      <c r="U869221" s="25"/>
    </row>
    <row r="869243" spans="21:21" x14ac:dyDescent="0.3">
      <c r="U869243" s="25"/>
    </row>
    <row r="869265" spans="21:21" x14ac:dyDescent="0.3">
      <c r="U869265" s="25"/>
    </row>
    <row r="869287" spans="21:21" x14ac:dyDescent="0.3">
      <c r="U869287" s="25"/>
    </row>
    <row r="869309" spans="21:21" x14ac:dyDescent="0.3">
      <c r="U869309" s="25"/>
    </row>
    <row r="869331" spans="21:21" x14ac:dyDescent="0.3">
      <c r="U869331" s="25"/>
    </row>
    <row r="869353" spans="21:21" x14ac:dyDescent="0.3">
      <c r="U869353" s="25"/>
    </row>
    <row r="869375" spans="21:21" x14ac:dyDescent="0.3">
      <c r="U869375" s="25"/>
    </row>
    <row r="869397" spans="21:21" x14ac:dyDescent="0.3">
      <c r="U869397" s="25"/>
    </row>
    <row r="869419" spans="21:21" x14ac:dyDescent="0.3">
      <c r="U869419" s="25"/>
    </row>
    <row r="869441" spans="21:21" x14ac:dyDescent="0.3">
      <c r="U869441" s="25"/>
    </row>
    <row r="869463" spans="21:21" x14ac:dyDescent="0.3">
      <c r="U869463" s="25"/>
    </row>
    <row r="869485" spans="21:21" x14ac:dyDescent="0.3">
      <c r="U869485" s="25"/>
    </row>
    <row r="869507" spans="21:21" x14ac:dyDescent="0.3">
      <c r="U869507" s="25"/>
    </row>
    <row r="869529" spans="21:21" x14ac:dyDescent="0.3">
      <c r="U869529" s="25"/>
    </row>
    <row r="869551" spans="21:21" x14ac:dyDescent="0.3">
      <c r="U869551" s="25"/>
    </row>
    <row r="869573" spans="21:21" x14ac:dyDescent="0.3">
      <c r="U869573" s="25"/>
    </row>
    <row r="869595" spans="21:21" x14ac:dyDescent="0.3">
      <c r="U869595" s="25"/>
    </row>
    <row r="869617" spans="21:21" x14ac:dyDescent="0.3">
      <c r="U869617" s="25"/>
    </row>
    <row r="869639" spans="21:21" x14ac:dyDescent="0.3">
      <c r="U869639" s="25"/>
    </row>
    <row r="869661" spans="21:21" x14ac:dyDescent="0.3">
      <c r="U869661" s="25"/>
    </row>
    <row r="869683" spans="21:21" x14ac:dyDescent="0.3">
      <c r="U869683" s="25"/>
    </row>
    <row r="869705" spans="21:21" x14ac:dyDescent="0.3">
      <c r="U869705" s="25"/>
    </row>
    <row r="869727" spans="21:21" x14ac:dyDescent="0.3">
      <c r="U869727" s="25"/>
    </row>
    <row r="869749" spans="21:21" x14ac:dyDescent="0.3">
      <c r="U869749" s="25"/>
    </row>
    <row r="869771" spans="21:21" x14ac:dyDescent="0.3">
      <c r="U869771" s="25"/>
    </row>
    <row r="869793" spans="21:21" x14ac:dyDescent="0.3">
      <c r="U869793" s="25"/>
    </row>
    <row r="869815" spans="21:21" x14ac:dyDescent="0.3">
      <c r="U869815" s="25"/>
    </row>
    <row r="869837" spans="21:21" x14ac:dyDescent="0.3">
      <c r="U869837" s="25"/>
    </row>
    <row r="869859" spans="21:21" x14ac:dyDescent="0.3">
      <c r="U869859" s="25"/>
    </row>
    <row r="869881" spans="21:21" x14ac:dyDescent="0.3">
      <c r="U869881" s="25"/>
    </row>
    <row r="869903" spans="21:21" x14ac:dyDescent="0.3">
      <c r="U869903" s="25"/>
    </row>
    <row r="869925" spans="21:21" x14ac:dyDescent="0.3">
      <c r="U869925" s="25"/>
    </row>
    <row r="869947" spans="21:21" x14ac:dyDescent="0.3">
      <c r="U869947" s="25"/>
    </row>
    <row r="869969" spans="21:21" x14ac:dyDescent="0.3">
      <c r="U869969" s="25"/>
    </row>
    <row r="869991" spans="21:21" x14ac:dyDescent="0.3">
      <c r="U869991" s="25"/>
    </row>
    <row r="870013" spans="21:21" x14ac:dyDescent="0.3">
      <c r="U870013" s="25"/>
    </row>
    <row r="870035" spans="21:21" x14ac:dyDescent="0.3">
      <c r="U870035" s="25"/>
    </row>
    <row r="870057" spans="21:21" x14ac:dyDescent="0.3">
      <c r="U870057" s="25"/>
    </row>
    <row r="870079" spans="21:21" x14ac:dyDescent="0.3">
      <c r="U870079" s="25"/>
    </row>
    <row r="870101" spans="21:21" x14ac:dyDescent="0.3">
      <c r="U870101" s="25"/>
    </row>
    <row r="870123" spans="21:21" x14ac:dyDescent="0.3">
      <c r="U870123" s="25"/>
    </row>
    <row r="870145" spans="21:21" x14ac:dyDescent="0.3">
      <c r="U870145" s="25"/>
    </row>
    <row r="870167" spans="21:21" x14ac:dyDescent="0.3">
      <c r="U870167" s="25"/>
    </row>
    <row r="870189" spans="21:21" x14ac:dyDescent="0.3">
      <c r="U870189" s="25"/>
    </row>
    <row r="870211" spans="21:21" x14ac:dyDescent="0.3">
      <c r="U870211" s="25"/>
    </row>
    <row r="870233" spans="21:21" x14ac:dyDescent="0.3">
      <c r="U870233" s="25"/>
    </row>
    <row r="870255" spans="21:21" x14ac:dyDescent="0.3">
      <c r="U870255" s="25"/>
    </row>
    <row r="870277" spans="21:21" x14ac:dyDescent="0.3">
      <c r="U870277" s="25"/>
    </row>
    <row r="870299" spans="21:21" x14ac:dyDescent="0.3">
      <c r="U870299" s="25"/>
    </row>
    <row r="870321" spans="21:21" x14ac:dyDescent="0.3">
      <c r="U870321" s="25"/>
    </row>
    <row r="870343" spans="21:21" x14ac:dyDescent="0.3">
      <c r="U870343" s="25"/>
    </row>
    <row r="870365" spans="21:21" x14ac:dyDescent="0.3">
      <c r="U870365" s="25"/>
    </row>
    <row r="870387" spans="21:21" x14ac:dyDescent="0.3">
      <c r="U870387" s="25"/>
    </row>
    <row r="870409" spans="21:21" x14ac:dyDescent="0.3">
      <c r="U870409" s="25"/>
    </row>
    <row r="870431" spans="21:21" x14ac:dyDescent="0.3">
      <c r="U870431" s="25"/>
    </row>
    <row r="870453" spans="21:21" x14ac:dyDescent="0.3">
      <c r="U870453" s="25"/>
    </row>
    <row r="870475" spans="21:21" x14ac:dyDescent="0.3">
      <c r="U870475" s="25"/>
    </row>
    <row r="870497" spans="21:21" x14ac:dyDescent="0.3">
      <c r="U870497" s="25"/>
    </row>
    <row r="870519" spans="21:21" x14ac:dyDescent="0.3">
      <c r="U870519" s="25"/>
    </row>
    <row r="870541" spans="21:21" x14ac:dyDescent="0.3">
      <c r="U870541" s="25"/>
    </row>
    <row r="870563" spans="21:21" x14ac:dyDescent="0.3">
      <c r="U870563" s="25"/>
    </row>
    <row r="870585" spans="21:21" x14ac:dyDescent="0.3">
      <c r="U870585" s="25"/>
    </row>
    <row r="870607" spans="21:21" x14ac:dyDescent="0.3">
      <c r="U870607" s="25"/>
    </row>
    <row r="870629" spans="21:21" x14ac:dyDescent="0.3">
      <c r="U870629" s="25"/>
    </row>
    <row r="870651" spans="21:21" x14ac:dyDescent="0.3">
      <c r="U870651" s="25"/>
    </row>
    <row r="870673" spans="21:21" x14ac:dyDescent="0.3">
      <c r="U870673" s="25"/>
    </row>
    <row r="870695" spans="21:21" x14ac:dyDescent="0.3">
      <c r="U870695" s="25"/>
    </row>
    <row r="870717" spans="21:21" x14ac:dyDescent="0.3">
      <c r="U870717" s="25"/>
    </row>
    <row r="870739" spans="21:21" x14ac:dyDescent="0.3">
      <c r="U870739" s="25"/>
    </row>
    <row r="870761" spans="21:21" x14ac:dyDescent="0.3">
      <c r="U870761" s="25"/>
    </row>
    <row r="870783" spans="21:21" x14ac:dyDescent="0.3">
      <c r="U870783" s="25"/>
    </row>
    <row r="870805" spans="21:21" x14ac:dyDescent="0.3">
      <c r="U870805" s="25"/>
    </row>
    <row r="870827" spans="21:21" x14ac:dyDescent="0.3">
      <c r="U870827" s="25"/>
    </row>
    <row r="870849" spans="21:21" x14ac:dyDescent="0.3">
      <c r="U870849" s="25"/>
    </row>
    <row r="870871" spans="21:21" x14ac:dyDescent="0.3">
      <c r="U870871" s="25"/>
    </row>
    <row r="870893" spans="21:21" x14ac:dyDescent="0.3">
      <c r="U870893" s="25"/>
    </row>
    <row r="870915" spans="21:21" x14ac:dyDescent="0.3">
      <c r="U870915" s="25"/>
    </row>
    <row r="870937" spans="21:21" x14ac:dyDescent="0.3">
      <c r="U870937" s="25"/>
    </row>
    <row r="870959" spans="21:21" x14ac:dyDescent="0.3">
      <c r="U870959" s="25"/>
    </row>
    <row r="870981" spans="21:21" x14ac:dyDescent="0.3">
      <c r="U870981" s="25"/>
    </row>
    <row r="871003" spans="21:21" x14ac:dyDescent="0.3">
      <c r="U871003" s="25"/>
    </row>
    <row r="871025" spans="21:21" x14ac:dyDescent="0.3">
      <c r="U871025" s="25"/>
    </row>
    <row r="871047" spans="21:21" x14ac:dyDescent="0.3">
      <c r="U871047" s="25"/>
    </row>
    <row r="871069" spans="21:21" x14ac:dyDescent="0.3">
      <c r="U871069" s="25"/>
    </row>
    <row r="871091" spans="21:21" x14ac:dyDescent="0.3">
      <c r="U871091" s="25"/>
    </row>
    <row r="871113" spans="21:21" x14ac:dyDescent="0.3">
      <c r="U871113" s="25"/>
    </row>
    <row r="871135" spans="21:21" x14ac:dyDescent="0.3">
      <c r="U871135" s="25"/>
    </row>
    <row r="871157" spans="21:21" x14ac:dyDescent="0.3">
      <c r="U871157" s="25"/>
    </row>
    <row r="871179" spans="21:21" x14ac:dyDescent="0.3">
      <c r="U871179" s="25"/>
    </row>
    <row r="871201" spans="21:21" x14ac:dyDescent="0.3">
      <c r="U871201" s="25"/>
    </row>
    <row r="871223" spans="21:21" x14ac:dyDescent="0.3">
      <c r="U871223" s="25"/>
    </row>
    <row r="871245" spans="21:21" x14ac:dyDescent="0.3">
      <c r="U871245" s="25"/>
    </row>
    <row r="871267" spans="21:21" x14ac:dyDescent="0.3">
      <c r="U871267" s="25"/>
    </row>
    <row r="871289" spans="21:21" x14ac:dyDescent="0.3">
      <c r="U871289" s="25"/>
    </row>
    <row r="871311" spans="21:21" x14ac:dyDescent="0.3">
      <c r="U871311" s="25"/>
    </row>
    <row r="871333" spans="21:21" x14ac:dyDescent="0.3">
      <c r="U871333" s="25"/>
    </row>
    <row r="871355" spans="21:21" x14ac:dyDescent="0.3">
      <c r="U871355" s="25"/>
    </row>
    <row r="871377" spans="21:21" x14ac:dyDescent="0.3">
      <c r="U871377" s="25"/>
    </row>
    <row r="871399" spans="21:21" x14ac:dyDescent="0.3">
      <c r="U871399" s="25"/>
    </row>
    <row r="871421" spans="21:21" x14ac:dyDescent="0.3">
      <c r="U871421" s="25"/>
    </row>
    <row r="871443" spans="21:21" x14ac:dyDescent="0.3">
      <c r="U871443" s="25"/>
    </row>
    <row r="871465" spans="21:21" x14ac:dyDescent="0.3">
      <c r="U871465" s="25"/>
    </row>
    <row r="871487" spans="21:21" x14ac:dyDescent="0.3">
      <c r="U871487" s="25"/>
    </row>
    <row r="871509" spans="21:21" x14ac:dyDescent="0.3">
      <c r="U871509" s="25"/>
    </row>
    <row r="871531" spans="21:21" x14ac:dyDescent="0.3">
      <c r="U871531" s="25"/>
    </row>
    <row r="871553" spans="21:21" x14ac:dyDescent="0.3">
      <c r="U871553" s="25"/>
    </row>
    <row r="871575" spans="21:21" x14ac:dyDescent="0.3">
      <c r="U871575" s="25"/>
    </row>
    <row r="871597" spans="21:21" x14ac:dyDescent="0.3">
      <c r="U871597" s="25"/>
    </row>
    <row r="871619" spans="21:21" x14ac:dyDescent="0.3">
      <c r="U871619" s="25"/>
    </row>
    <row r="871641" spans="21:21" x14ac:dyDescent="0.3">
      <c r="U871641" s="25"/>
    </row>
    <row r="871663" spans="21:21" x14ac:dyDescent="0.3">
      <c r="U871663" s="25"/>
    </row>
    <row r="871685" spans="21:21" x14ac:dyDescent="0.3">
      <c r="U871685" s="25"/>
    </row>
    <row r="871707" spans="21:21" x14ac:dyDescent="0.3">
      <c r="U871707" s="25"/>
    </row>
    <row r="871729" spans="21:21" x14ac:dyDescent="0.3">
      <c r="U871729" s="25"/>
    </row>
    <row r="871751" spans="21:21" x14ac:dyDescent="0.3">
      <c r="U871751" s="25"/>
    </row>
    <row r="871773" spans="21:21" x14ac:dyDescent="0.3">
      <c r="U871773" s="25"/>
    </row>
    <row r="871795" spans="21:21" x14ac:dyDescent="0.3">
      <c r="U871795" s="25"/>
    </row>
    <row r="871817" spans="21:21" x14ac:dyDescent="0.3">
      <c r="U871817" s="25"/>
    </row>
    <row r="871839" spans="21:21" x14ac:dyDescent="0.3">
      <c r="U871839" s="25"/>
    </row>
    <row r="871861" spans="21:21" x14ac:dyDescent="0.3">
      <c r="U871861" s="25"/>
    </row>
    <row r="871883" spans="21:21" x14ac:dyDescent="0.3">
      <c r="U871883" s="25"/>
    </row>
    <row r="871905" spans="21:21" x14ac:dyDescent="0.3">
      <c r="U871905" s="25"/>
    </row>
    <row r="871927" spans="21:21" x14ac:dyDescent="0.3">
      <c r="U871927" s="25"/>
    </row>
    <row r="871949" spans="21:21" x14ac:dyDescent="0.3">
      <c r="U871949" s="25"/>
    </row>
    <row r="871971" spans="21:21" x14ac:dyDescent="0.3">
      <c r="U871971" s="25"/>
    </row>
    <row r="871993" spans="21:21" x14ac:dyDescent="0.3">
      <c r="U871993" s="25"/>
    </row>
    <row r="872015" spans="21:21" x14ac:dyDescent="0.3">
      <c r="U872015" s="25"/>
    </row>
    <row r="872037" spans="21:21" x14ac:dyDescent="0.3">
      <c r="U872037" s="25"/>
    </row>
    <row r="872059" spans="21:21" x14ac:dyDescent="0.3">
      <c r="U872059" s="25"/>
    </row>
    <row r="872081" spans="21:21" x14ac:dyDescent="0.3">
      <c r="U872081" s="25"/>
    </row>
    <row r="872103" spans="21:21" x14ac:dyDescent="0.3">
      <c r="U872103" s="25"/>
    </row>
    <row r="872125" spans="21:21" x14ac:dyDescent="0.3">
      <c r="U872125" s="25"/>
    </row>
    <row r="872147" spans="21:21" x14ac:dyDescent="0.3">
      <c r="U872147" s="25"/>
    </row>
    <row r="872169" spans="21:21" x14ac:dyDescent="0.3">
      <c r="U872169" s="25"/>
    </row>
    <row r="872191" spans="21:21" x14ac:dyDescent="0.3">
      <c r="U872191" s="25"/>
    </row>
    <row r="872213" spans="21:21" x14ac:dyDescent="0.3">
      <c r="U872213" s="25"/>
    </row>
    <row r="872235" spans="21:21" x14ac:dyDescent="0.3">
      <c r="U872235" s="25"/>
    </row>
    <row r="872257" spans="21:21" x14ac:dyDescent="0.3">
      <c r="U872257" s="25"/>
    </row>
    <row r="872279" spans="21:21" x14ac:dyDescent="0.3">
      <c r="U872279" s="25"/>
    </row>
    <row r="872301" spans="21:21" x14ac:dyDescent="0.3">
      <c r="U872301" s="25"/>
    </row>
    <row r="872323" spans="21:21" x14ac:dyDescent="0.3">
      <c r="U872323" s="25"/>
    </row>
    <row r="872345" spans="21:21" x14ac:dyDescent="0.3">
      <c r="U872345" s="25"/>
    </row>
    <row r="872367" spans="21:21" x14ac:dyDescent="0.3">
      <c r="U872367" s="25"/>
    </row>
    <row r="872389" spans="21:21" x14ac:dyDescent="0.3">
      <c r="U872389" s="25"/>
    </row>
    <row r="872411" spans="21:21" x14ac:dyDescent="0.3">
      <c r="U872411" s="25"/>
    </row>
    <row r="872433" spans="21:21" x14ac:dyDescent="0.3">
      <c r="U872433" s="25"/>
    </row>
    <row r="872455" spans="21:21" x14ac:dyDescent="0.3">
      <c r="U872455" s="25"/>
    </row>
    <row r="872477" spans="21:21" x14ac:dyDescent="0.3">
      <c r="U872477" s="25"/>
    </row>
    <row r="872499" spans="21:21" x14ac:dyDescent="0.3">
      <c r="U872499" s="25"/>
    </row>
    <row r="872521" spans="21:21" x14ac:dyDescent="0.3">
      <c r="U872521" s="25"/>
    </row>
    <row r="872543" spans="21:21" x14ac:dyDescent="0.3">
      <c r="U872543" s="25"/>
    </row>
    <row r="872565" spans="21:21" x14ac:dyDescent="0.3">
      <c r="U872565" s="25"/>
    </row>
    <row r="872587" spans="21:21" x14ac:dyDescent="0.3">
      <c r="U872587" s="25"/>
    </row>
    <row r="872609" spans="21:21" x14ac:dyDescent="0.3">
      <c r="U872609" s="25"/>
    </row>
    <row r="872631" spans="21:21" x14ac:dyDescent="0.3">
      <c r="U872631" s="25"/>
    </row>
    <row r="872653" spans="21:21" x14ac:dyDescent="0.3">
      <c r="U872653" s="25"/>
    </row>
    <row r="872675" spans="21:21" x14ac:dyDescent="0.3">
      <c r="U872675" s="25"/>
    </row>
    <row r="872697" spans="21:21" x14ac:dyDescent="0.3">
      <c r="U872697" s="25"/>
    </row>
    <row r="872719" spans="21:21" x14ac:dyDescent="0.3">
      <c r="U872719" s="25"/>
    </row>
    <row r="872741" spans="21:21" x14ac:dyDescent="0.3">
      <c r="U872741" s="25"/>
    </row>
    <row r="872763" spans="21:21" x14ac:dyDescent="0.3">
      <c r="U872763" s="25"/>
    </row>
    <row r="872785" spans="21:21" x14ac:dyDescent="0.3">
      <c r="U872785" s="25"/>
    </row>
    <row r="872807" spans="21:21" x14ac:dyDescent="0.3">
      <c r="U872807" s="25"/>
    </row>
    <row r="872829" spans="21:21" x14ac:dyDescent="0.3">
      <c r="U872829" s="25"/>
    </row>
    <row r="872851" spans="21:21" x14ac:dyDescent="0.3">
      <c r="U872851" s="25"/>
    </row>
    <row r="872873" spans="21:21" x14ac:dyDescent="0.3">
      <c r="U872873" s="25"/>
    </row>
    <row r="872895" spans="21:21" x14ac:dyDescent="0.3">
      <c r="U872895" s="25"/>
    </row>
    <row r="872917" spans="21:21" x14ac:dyDescent="0.3">
      <c r="U872917" s="25"/>
    </row>
    <row r="872939" spans="21:21" x14ac:dyDescent="0.3">
      <c r="U872939" s="25"/>
    </row>
    <row r="872961" spans="21:21" x14ac:dyDescent="0.3">
      <c r="U872961" s="25"/>
    </row>
    <row r="872983" spans="21:21" x14ac:dyDescent="0.3">
      <c r="U872983" s="25"/>
    </row>
    <row r="873005" spans="21:21" x14ac:dyDescent="0.3">
      <c r="U873005" s="25"/>
    </row>
    <row r="873027" spans="21:21" x14ac:dyDescent="0.3">
      <c r="U873027" s="25"/>
    </row>
    <row r="873049" spans="21:21" x14ac:dyDescent="0.3">
      <c r="U873049" s="25"/>
    </row>
    <row r="873071" spans="21:21" x14ac:dyDescent="0.3">
      <c r="U873071" s="25"/>
    </row>
    <row r="873093" spans="21:21" x14ac:dyDescent="0.3">
      <c r="U873093" s="25"/>
    </row>
    <row r="873115" spans="21:21" x14ac:dyDescent="0.3">
      <c r="U873115" s="25"/>
    </row>
    <row r="873137" spans="21:21" x14ac:dyDescent="0.3">
      <c r="U873137" s="25"/>
    </row>
    <row r="873159" spans="21:21" x14ac:dyDescent="0.3">
      <c r="U873159" s="25"/>
    </row>
    <row r="873181" spans="21:21" x14ac:dyDescent="0.3">
      <c r="U873181" s="25"/>
    </row>
    <row r="873203" spans="21:21" x14ac:dyDescent="0.3">
      <c r="U873203" s="25"/>
    </row>
    <row r="873225" spans="21:21" x14ac:dyDescent="0.3">
      <c r="U873225" s="25"/>
    </row>
    <row r="873247" spans="21:21" x14ac:dyDescent="0.3">
      <c r="U873247" s="25"/>
    </row>
    <row r="873269" spans="21:21" x14ac:dyDescent="0.3">
      <c r="U873269" s="25"/>
    </row>
    <row r="873291" spans="21:21" x14ac:dyDescent="0.3">
      <c r="U873291" s="25"/>
    </row>
    <row r="873313" spans="21:21" x14ac:dyDescent="0.3">
      <c r="U873313" s="25"/>
    </row>
    <row r="873335" spans="21:21" x14ac:dyDescent="0.3">
      <c r="U873335" s="25"/>
    </row>
    <row r="873357" spans="21:21" x14ac:dyDescent="0.3">
      <c r="U873357" s="25"/>
    </row>
    <row r="873379" spans="21:21" x14ac:dyDescent="0.3">
      <c r="U873379" s="25"/>
    </row>
    <row r="873401" spans="21:21" x14ac:dyDescent="0.3">
      <c r="U873401" s="25"/>
    </row>
    <row r="873423" spans="21:21" x14ac:dyDescent="0.3">
      <c r="U873423" s="25"/>
    </row>
    <row r="873445" spans="21:21" x14ac:dyDescent="0.3">
      <c r="U873445" s="25"/>
    </row>
    <row r="873467" spans="21:21" x14ac:dyDescent="0.3">
      <c r="U873467" s="25"/>
    </row>
    <row r="873489" spans="21:21" x14ac:dyDescent="0.3">
      <c r="U873489" s="25"/>
    </row>
    <row r="873511" spans="21:21" x14ac:dyDescent="0.3">
      <c r="U873511" s="25"/>
    </row>
    <row r="873533" spans="21:21" x14ac:dyDescent="0.3">
      <c r="U873533" s="25"/>
    </row>
    <row r="873555" spans="21:21" x14ac:dyDescent="0.3">
      <c r="U873555" s="25"/>
    </row>
    <row r="873577" spans="21:21" x14ac:dyDescent="0.3">
      <c r="U873577" s="25"/>
    </row>
    <row r="873599" spans="21:21" x14ac:dyDescent="0.3">
      <c r="U873599" s="25"/>
    </row>
    <row r="873621" spans="21:21" x14ac:dyDescent="0.3">
      <c r="U873621" s="25"/>
    </row>
    <row r="873643" spans="21:21" x14ac:dyDescent="0.3">
      <c r="U873643" s="25"/>
    </row>
    <row r="873665" spans="21:21" x14ac:dyDescent="0.3">
      <c r="U873665" s="25"/>
    </row>
    <row r="873687" spans="21:21" x14ac:dyDescent="0.3">
      <c r="U873687" s="25"/>
    </row>
    <row r="873709" spans="21:21" x14ac:dyDescent="0.3">
      <c r="U873709" s="25"/>
    </row>
    <row r="873731" spans="21:21" x14ac:dyDescent="0.3">
      <c r="U873731" s="25"/>
    </row>
    <row r="873753" spans="21:21" x14ac:dyDescent="0.3">
      <c r="U873753" s="25"/>
    </row>
    <row r="873775" spans="21:21" x14ac:dyDescent="0.3">
      <c r="U873775" s="25"/>
    </row>
    <row r="873797" spans="21:21" x14ac:dyDescent="0.3">
      <c r="U873797" s="25"/>
    </row>
    <row r="873819" spans="21:21" x14ac:dyDescent="0.3">
      <c r="U873819" s="25"/>
    </row>
    <row r="873841" spans="21:21" x14ac:dyDescent="0.3">
      <c r="U873841" s="25"/>
    </row>
    <row r="873863" spans="21:21" x14ac:dyDescent="0.3">
      <c r="U873863" s="25"/>
    </row>
    <row r="873885" spans="21:21" x14ac:dyDescent="0.3">
      <c r="U873885" s="25"/>
    </row>
    <row r="873907" spans="21:21" x14ac:dyDescent="0.3">
      <c r="U873907" s="25"/>
    </row>
    <row r="873929" spans="21:21" x14ac:dyDescent="0.3">
      <c r="U873929" s="25"/>
    </row>
    <row r="873951" spans="21:21" x14ac:dyDescent="0.3">
      <c r="U873951" s="25"/>
    </row>
    <row r="873973" spans="21:21" x14ac:dyDescent="0.3">
      <c r="U873973" s="25"/>
    </row>
    <row r="873995" spans="21:21" x14ac:dyDescent="0.3">
      <c r="U873995" s="25"/>
    </row>
    <row r="874017" spans="21:21" x14ac:dyDescent="0.3">
      <c r="U874017" s="25"/>
    </row>
    <row r="874039" spans="21:21" x14ac:dyDescent="0.3">
      <c r="U874039" s="25"/>
    </row>
    <row r="874061" spans="21:21" x14ac:dyDescent="0.3">
      <c r="U874061" s="25"/>
    </row>
    <row r="874083" spans="21:21" x14ac:dyDescent="0.3">
      <c r="U874083" s="25"/>
    </row>
    <row r="874105" spans="21:21" x14ac:dyDescent="0.3">
      <c r="U874105" s="25"/>
    </row>
    <row r="874127" spans="21:21" x14ac:dyDescent="0.3">
      <c r="U874127" s="25"/>
    </row>
    <row r="874149" spans="21:21" x14ac:dyDescent="0.3">
      <c r="U874149" s="25"/>
    </row>
    <row r="874171" spans="21:21" x14ac:dyDescent="0.3">
      <c r="U874171" s="25"/>
    </row>
    <row r="874193" spans="21:21" x14ac:dyDescent="0.3">
      <c r="U874193" s="25"/>
    </row>
    <row r="874215" spans="21:21" x14ac:dyDescent="0.3">
      <c r="U874215" s="25"/>
    </row>
    <row r="874237" spans="21:21" x14ac:dyDescent="0.3">
      <c r="U874237" s="25"/>
    </row>
    <row r="874259" spans="21:21" x14ac:dyDescent="0.3">
      <c r="U874259" s="25"/>
    </row>
    <row r="874281" spans="21:21" x14ac:dyDescent="0.3">
      <c r="U874281" s="25"/>
    </row>
    <row r="874303" spans="21:21" x14ac:dyDescent="0.3">
      <c r="U874303" s="25"/>
    </row>
    <row r="874325" spans="21:21" x14ac:dyDescent="0.3">
      <c r="U874325" s="25"/>
    </row>
    <row r="874347" spans="21:21" x14ac:dyDescent="0.3">
      <c r="U874347" s="25"/>
    </row>
    <row r="874369" spans="21:21" x14ac:dyDescent="0.3">
      <c r="U874369" s="25"/>
    </row>
    <row r="874391" spans="21:21" x14ac:dyDescent="0.3">
      <c r="U874391" s="25"/>
    </row>
    <row r="874413" spans="21:21" x14ac:dyDescent="0.3">
      <c r="U874413" s="25"/>
    </row>
    <row r="874435" spans="21:21" x14ac:dyDescent="0.3">
      <c r="U874435" s="25"/>
    </row>
    <row r="874457" spans="21:21" x14ac:dyDescent="0.3">
      <c r="U874457" s="25"/>
    </row>
    <row r="874479" spans="21:21" x14ac:dyDescent="0.3">
      <c r="U874479" s="25"/>
    </row>
    <row r="874501" spans="21:21" x14ac:dyDescent="0.3">
      <c r="U874501" s="25"/>
    </row>
    <row r="874523" spans="21:21" x14ac:dyDescent="0.3">
      <c r="U874523" s="25"/>
    </row>
    <row r="874545" spans="21:21" x14ac:dyDescent="0.3">
      <c r="U874545" s="25"/>
    </row>
    <row r="874567" spans="21:21" x14ac:dyDescent="0.3">
      <c r="U874567" s="25"/>
    </row>
    <row r="874589" spans="21:21" x14ac:dyDescent="0.3">
      <c r="U874589" s="25"/>
    </row>
    <row r="874611" spans="21:21" x14ac:dyDescent="0.3">
      <c r="U874611" s="25"/>
    </row>
    <row r="874633" spans="21:21" x14ac:dyDescent="0.3">
      <c r="U874633" s="25"/>
    </row>
    <row r="874655" spans="21:21" x14ac:dyDescent="0.3">
      <c r="U874655" s="25"/>
    </row>
    <row r="874677" spans="21:21" x14ac:dyDescent="0.3">
      <c r="U874677" s="25"/>
    </row>
    <row r="874699" spans="21:21" x14ac:dyDescent="0.3">
      <c r="U874699" s="25"/>
    </row>
    <row r="874721" spans="21:21" x14ac:dyDescent="0.3">
      <c r="U874721" s="25"/>
    </row>
    <row r="874743" spans="21:21" x14ac:dyDescent="0.3">
      <c r="U874743" s="25"/>
    </row>
    <row r="874765" spans="21:21" x14ac:dyDescent="0.3">
      <c r="U874765" s="25"/>
    </row>
    <row r="874787" spans="21:21" x14ac:dyDescent="0.3">
      <c r="U874787" s="25"/>
    </row>
    <row r="874809" spans="21:21" x14ac:dyDescent="0.3">
      <c r="U874809" s="25"/>
    </row>
    <row r="874831" spans="21:21" x14ac:dyDescent="0.3">
      <c r="U874831" s="25"/>
    </row>
    <row r="874853" spans="21:21" x14ac:dyDescent="0.3">
      <c r="U874853" s="25"/>
    </row>
    <row r="874875" spans="21:21" x14ac:dyDescent="0.3">
      <c r="U874875" s="25"/>
    </row>
    <row r="874897" spans="21:21" x14ac:dyDescent="0.3">
      <c r="U874897" s="25"/>
    </row>
    <row r="874919" spans="21:21" x14ac:dyDescent="0.3">
      <c r="U874919" s="25"/>
    </row>
    <row r="874941" spans="21:21" x14ac:dyDescent="0.3">
      <c r="U874941" s="25"/>
    </row>
    <row r="874963" spans="21:21" x14ac:dyDescent="0.3">
      <c r="U874963" s="25"/>
    </row>
    <row r="874985" spans="21:21" x14ac:dyDescent="0.3">
      <c r="U874985" s="25"/>
    </row>
    <row r="875007" spans="21:21" x14ac:dyDescent="0.3">
      <c r="U875007" s="25"/>
    </row>
    <row r="875029" spans="21:21" x14ac:dyDescent="0.3">
      <c r="U875029" s="25"/>
    </row>
    <row r="875051" spans="21:21" x14ac:dyDescent="0.3">
      <c r="U875051" s="25"/>
    </row>
    <row r="875073" spans="21:21" x14ac:dyDescent="0.3">
      <c r="U875073" s="25"/>
    </row>
    <row r="875095" spans="21:21" x14ac:dyDescent="0.3">
      <c r="U875095" s="25"/>
    </row>
    <row r="875117" spans="21:21" x14ac:dyDescent="0.3">
      <c r="U875117" s="25"/>
    </row>
    <row r="875139" spans="21:21" x14ac:dyDescent="0.3">
      <c r="U875139" s="25"/>
    </row>
    <row r="875161" spans="21:21" x14ac:dyDescent="0.3">
      <c r="U875161" s="25"/>
    </row>
    <row r="875183" spans="21:21" x14ac:dyDescent="0.3">
      <c r="U875183" s="25"/>
    </row>
    <row r="875205" spans="21:21" x14ac:dyDescent="0.3">
      <c r="U875205" s="25"/>
    </row>
    <row r="875227" spans="21:21" x14ac:dyDescent="0.3">
      <c r="U875227" s="25"/>
    </row>
    <row r="875249" spans="21:21" x14ac:dyDescent="0.3">
      <c r="U875249" s="25"/>
    </row>
    <row r="875271" spans="21:21" x14ac:dyDescent="0.3">
      <c r="U875271" s="25"/>
    </row>
    <row r="875293" spans="21:21" x14ac:dyDescent="0.3">
      <c r="U875293" s="25"/>
    </row>
    <row r="875315" spans="21:21" x14ac:dyDescent="0.3">
      <c r="U875315" s="25"/>
    </row>
    <row r="875337" spans="21:21" x14ac:dyDescent="0.3">
      <c r="U875337" s="25"/>
    </row>
    <row r="875359" spans="21:21" x14ac:dyDescent="0.3">
      <c r="U875359" s="25"/>
    </row>
    <row r="875381" spans="21:21" x14ac:dyDescent="0.3">
      <c r="U875381" s="25"/>
    </row>
    <row r="875403" spans="21:21" x14ac:dyDescent="0.3">
      <c r="U875403" s="25"/>
    </row>
    <row r="875425" spans="21:21" x14ac:dyDescent="0.3">
      <c r="U875425" s="25"/>
    </row>
    <row r="875447" spans="21:21" x14ac:dyDescent="0.3">
      <c r="U875447" s="25"/>
    </row>
    <row r="875469" spans="21:21" x14ac:dyDescent="0.3">
      <c r="U875469" s="25"/>
    </row>
    <row r="875491" spans="21:21" x14ac:dyDescent="0.3">
      <c r="U875491" s="25"/>
    </row>
    <row r="875513" spans="21:21" x14ac:dyDescent="0.3">
      <c r="U875513" s="25"/>
    </row>
    <row r="875535" spans="21:21" x14ac:dyDescent="0.3">
      <c r="U875535" s="25"/>
    </row>
    <row r="875557" spans="21:21" x14ac:dyDescent="0.3">
      <c r="U875557" s="25"/>
    </row>
    <row r="875579" spans="21:21" x14ac:dyDescent="0.3">
      <c r="U875579" s="25"/>
    </row>
    <row r="875601" spans="21:21" x14ac:dyDescent="0.3">
      <c r="U875601" s="25"/>
    </row>
    <row r="875623" spans="21:21" x14ac:dyDescent="0.3">
      <c r="U875623" s="25"/>
    </row>
    <row r="875645" spans="21:21" x14ac:dyDescent="0.3">
      <c r="U875645" s="25"/>
    </row>
    <row r="875667" spans="21:21" x14ac:dyDescent="0.3">
      <c r="U875667" s="25"/>
    </row>
    <row r="875689" spans="21:21" x14ac:dyDescent="0.3">
      <c r="U875689" s="25"/>
    </row>
    <row r="875711" spans="21:21" x14ac:dyDescent="0.3">
      <c r="U875711" s="25"/>
    </row>
    <row r="875733" spans="21:21" x14ac:dyDescent="0.3">
      <c r="U875733" s="25"/>
    </row>
    <row r="875755" spans="21:21" x14ac:dyDescent="0.3">
      <c r="U875755" s="25"/>
    </row>
    <row r="875777" spans="21:21" x14ac:dyDescent="0.3">
      <c r="U875777" s="25"/>
    </row>
    <row r="875799" spans="21:21" x14ac:dyDescent="0.3">
      <c r="U875799" s="25"/>
    </row>
    <row r="875821" spans="21:21" x14ac:dyDescent="0.3">
      <c r="U875821" s="25"/>
    </row>
    <row r="875843" spans="21:21" x14ac:dyDescent="0.3">
      <c r="U875843" s="25"/>
    </row>
    <row r="875865" spans="21:21" x14ac:dyDescent="0.3">
      <c r="U875865" s="25"/>
    </row>
    <row r="875887" spans="21:21" x14ac:dyDescent="0.3">
      <c r="U875887" s="25"/>
    </row>
    <row r="875909" spans="21:21" x14ac:dyDescent="0.3">
      <c r="U875909" s="25"/>
    </row>
    <row r="875931" spans="21:21" x14ac:dyDescent="0.3">
      <c r="U875931" s="25"/>
    </row>
    <row r="875953" spans="21:21" x14ac:dyDescent="0.3">
      <c r="U875953" s="25"/>
    </row>
    <row r="875975" spans="21:21" x14ac:dyDescent="0.3">
      <c r="U875975" s="25"/>
    </row>
    <row r="875997" spans="21:21" x14ac:dyDescent="0.3">
      <c r="U875997" s="25"/>
    </row>
    <row r="876019" spans="21:21" x14ac:dyDescent="0.3">
      <c r="U876019" s="25"/>
    </row>
    <row r="876041" spans="21:21" x14ac:dyDescent="0.3">
      <c r="U876041" s="25"/>
    </row>
    <row r="876063" spans="21:21" x14ac:dyDescent="0.3">
      <c r="U876063" s="25"/>
    </row>
    <row r="876085" spans="21:21" x14ac:dyDescent="0.3">
      <c r="U876085" s="25"/>
    </row>
    <row r="876107" spans="21:21" x14ac:dyDescent="0.3">
      <c r="U876107" s="25"/>
    </row>
    <row r="876129" spans="21:21" x14ac:dyDescent="0.3">
      <c r="U876129" s="25"/>
    </row>
    <row r="876151" spans="21:21" x14ac:dyDescent="0.3">
      <c r="U876151" s="25"/>
    </row>
    <row r="876173" spans="21:21" x14ac:dyDescent="0.3">
      <c r="U876173" s="25"/>
    </row>
    <row r="876195" spans="21:21" x14ac:dyDescent="0.3">
      <c r="U876195" s="25"/>
    </row>
    <row r="876217" spans="21:21" x14ac:dyDescent="0.3">
      <c r="U876217" s="25"/>
    </row>
    <row r="876239" spans="21:21" x14ac:dyDescent="0.3">
      <c r="U876239" s="25"/>
    </row>
    <row r="876261" spans="21:21" x14ac:dyDescent="0.3">
      <c r="U876261" s="25"/>
    </row>
    <row r="876283" spans="21:21" x14ac:dyDescent="0.3">
      <c r="U876283" s="25"/>
    </row>
    <row r="876305" spans="21:21" x14ac:dyDescent="0.3">
      <c r="U876305" s="25"/>
    </row>
    <row r="876327" spans="21:21" x14ac:dyDescent="0.3">
      <c r="U876327" s="25"/>
    </row>
    <row r="876349" spans="21:21" x14ac:dyDescent="0.3">
      <c r="U876349" s="25"/>
    </row>
    <row r="876371" spans="21:21" x14ac:dyDescent="0.3">
      <c r="U876371" s="25"/>
    </row>
    <row r="876393" spans="21:21" x14ac:dyDescent="0.3">
      <c r="U876393" s="25"/>
    </row>
    <row r="876415" spans="21:21" x14ac:dyDescent="0.3">
      <c r="U876415" s="25"/>
    </row>
    <row r="876437" spans="21:21" x14ac:dyDescent="0.3">
      <c r="U876437" s="25"/>
    </row>
    <row r="876459" spans="21:21" x14ac:dyDescent="0.3">
      <c r="U876459" s="25"/>
    </row>
    <row r="876481" spans="21:21" x14ac:dyDescent="0.3">
      <c r="U876481" s="25"/>
    </row>
    <row r="876503" spans="21:21" x14ac:dyDescent="0.3">
      <c r="U876503" s="25"/>
    </row>
    <row r="876525" spans="21:21" x14ac:dyDescent="0.3">
      <c r="U876525" s="25"/>
    </row>
    <row r="876547" spans="21:21" x14ac:dyDescent="0.3">
      <c r="U876547" s="25"/>
    </row>
    <row r="876569" spans="21:21" x14ac:dyDescent="0.3">
      <c r="U876569" s="25"/>
    </row>
    <row r="876591" spans="21:21" x14ac:dyDescent="0.3">
      <c r="U876591" s="25"/>
    </row>
    <row r="876613" spans="21:21" x14ac:dyDescent="0.3">
      <c r="U876613" s="25"/>
    </row>
    <row r="876635" spans="21:21" x14ac:dyDescent="0.3">
      <c r="U876635" s="25"/>
    </row>
    <row r="876657" spans="21:21" x14ac:dyDescent="0.3">
      <c r="U876657" s="25"/>
    </row>
    <row r="876679" spans="21:21" x14ac:dyDescent="0.3">
      <c r="U876679" s="25"/>
    </row>
    <row r="876701" spans="21:21" x14ac:dyDescent="0.3">
      <c r="U876701" s="25"/>
    </row>
    <row r="876723" spans="21:21" x14ac:dyDescent="0.3">
      <c r="U876723" s="25"/>
    </row>
    <row r="876745" spans="21:21" x14ac:dyDescent="0.3">
      <c r="U876745" s="25"/>
    </row>
    <row r="876767" spans="21:21" x14ac:dyDescent="0.3">
      <c r="U876767" s="25"/>
    </row>
    <row r="876789" spans="21:21" x14ac:dyDescent="0.3">
      <c r="U876789" s="25"/>
    </row>
    <row r="876811" spans="21:21" x14ac:dyDescent="0.3">
      <c r="U876811" s="25"/>
    </row>
    <row r="876833" spans="21:21" x14ac:dyDescent="0.3">
      <c r="U876833" s="25"/>
    </row>
    <row r="876855" spans="21:21" x14ac:dyDescent="0.3">
      <c r="U876855" s="25"/>
    </row>
    <row r="876877" spans="21:21" x14ac:dyDescent="0.3">
      <c r="U876877" s="25"/>
    </row>
    <row r="876899" spans="21:21" x14ac:dyDescent="0.3">
      <c r="U876899" s="25"/>
    </row>
    <row r="876921" spans="21:21" x14ac:dyDescent="0.3">
      <c r="U876921" s="25"/>
    </row>
    <row r="876943" spans="21:21" x14ac:dyDescent="0.3">
      <c r="U876943" s="25"/>
    </row>
    <row r="876965" spans="21:21" x14ac:dyDescent="0.3">
      <c r="U876965" s="25"/>
    </row>
    <row r="876987" spans="21:21" x14ac:dyDescent="0.3">
      <c r="U876987" s="25"/>
    </row>
    <row r="877009" spans="21:21" x14ac:dyDescent="0.3">
      <c r="U877009" s="25"/>
    </row>
    <row r="877031" spans="21:21" x14ac:dyDescent="0.3">
      <c r="U877031" s="25"/>
    </row>
    <row r="877053" spans="21:21" x14ac:dyDescent="0.3">
      <c r="U877053" s="25"/>
    </row>
    <row r="877075" spans="21:21" x14ac:dyDescent="0.3">
      <c r="U877075" s="25"/>
    </row>
    <row r="877097" spans="21:21" x14ac:dyDescent="0.3">
      <c r="U877097" s="25"/>
    </row>
    <row r="877119" spans="21:21" x14ac:dyDescent="0.3">
      <c r="U877119" s="25"/>
    </row>
    <row r="877141" spans="21:21" x14ac:dyDescent="0.3">
      <c r="U877141" s="25"/>
    </row>
    <row r="877163" spans="21:21" x14ac:dyDescent="0.3">
      <c r="U877163" s="25"/>
    </row>
    <row r="877185" spans="21:21" x14ac:dyDescent="0.3">
      <c r="U877185" s="25"/>
    </row>
    <row r="877207" spans="21:21" x14ac:dyDescent="0.3">
      <c r="U877207" s="25"/>
    </row>
    <row r="877229" spans="21:21" x14ac:dyDescent="0.3">
      <c r="U877229" s="25"/>
    </row>
    <row r="877251" spans="21:21" x14ac:dyDescent="0.3">
      <c r="U877251" s="25"/>
    </row>
    <row r="877273" spans="21:21" x14ac:dyDescent="0.3">
      <c r="U877273" s="25"/>
    </row>
    <row r="877295" spans="21:21" x14ac:dyDescent="0.3">
      <c r="U877295" s="25"/>
    </row>
    <row r="877317" spans="21:21" x14ac:dyDescent="0.3">
      <c r="U877317" s="25"/>
    </row>
    <row r="877339" spans="21:21" x14ac:dyDescent="0.3">
      <c r="U877339" s="25"/>
    </row>
    <row r="877361" spans="21:21" x14ac:dyDescent="0.3">
      <c r="U877361" s="25"/>
    </row>
    <row r="877383" spans="21:21" x14ac:dyDescent="0.3">
      <c r="U877383" s="25"/>
    </row>
    <row r="877405" spans="21:21" x14ac:dyDescent="0.3">
      <c r="U877405" s="25"/>
    </row>
    <row r="877427" spans="21:21" x14ac:dyDescent="0.3">
      <c r="U877427" s="25"/>
    </row>
    <row r="877449" spans="21:21" x14ac:dyDescent="0.3">
      <c r="U877449" s="25"/>
    </row>
    <row r="877471" spans="21:21" x14ac:dyDescent="0.3">
      <c r="U877471" s="25"/>
    </row>
    <row r="877493" spans="21:21" x14ac:dyDescent="0.3">
      <c r="U877493" s="25"/>
    </row>
    <row r="877515" spans="21:21" x14ac:dyDescent="0.3">
      <c r="U877515" s="25"/>
    </row>
    <row r="877537" spans="21:21" x14ac:dyDescent="0.3">
      <c r="U877537" s="25"/>
    </row>
    <row r="877559" spans="21:21" x14ac:dyDescent="0.3">
      <c r="U877559" s="25"/>
    </row>
    <row r="877581" spans="21:21" x14ac:dyDescent="0.3">
      <c r="U877581" s="25"/>
    </row>
    <row r="877603" spans="21:21" x14ac:dyDescent="0.3">
      <c r="U877603" s="25"/>
    </row>
    <row r="877625" spans="21:21" x14ac:dyDescent="0.3">
      <c r="U877625" s="25"/>
    </row>
    <row r="877647" spans="21:21" x14ac:dyDescent="0.3">
      <c r="U877647" s="25"/>
    </row>
    <row r="877669" spans="21:21" x14ac:dyDescent="0.3">
      <c r="U877669" s="25"/>
    </row>
    <row r="877691" spans="21:21" x14ac:dyDescent="0.3">
      <c r="U877691" s="25"/>
    </row>
    <row r="877713" spans="21:21" x14ac:dyDescent="0.3">
      <c r="U877713" s="25"/>
    </row>
    <row r="877735" spans="21:21" x14ac:dyDescent="0.3">
      <c r="U877735" s="25"/>
    </row>
    <row r="877757" spans="21:21" x14ac:dyDescent="0.3">
      <c r="U877757" s="25"/>
    </row>
    <row r="877779" spans="21:21" x14ac:dyDescent="0.3">
      <c r="U877779" s="25"/>
    </row>
    <row r="877801" spans="21:21" x14ac:dyDescent="0.3">
      <c r="U877801" s="25"/>
    </row>
    <row r="877823" spans="21:21" x14ac:dyDescent="0.3">
      <c r="U877823" s="25"/>
    </row>
    <row r="877845" spans="21:21" x14ac:dyDescent="0.3">
      <c r="U877845" s="25"/>
    </row>
    <row r="877867" spans="21:21" x14ac:dyDescent="0.3">
      <c r="U877867" s="25"/>
    </row>
    <row r="877889" spans="21:21" x14ac:dyDescent="0.3">
      <c r="U877889" s="25"/>
    </row>
    <row r="877911" spans="21:21" x14ac:dyDescent="0.3">
      <c r="U877911" s="25"/>
    </row>
    <row r="877933" spans="21:21" x14ac:dyDescent="0.3">
      <c r="U877933" s="25"/>
    </row>
    <row r="877955" spans="21:21" x14ac:dyDescent="0.3">
      <c r="U877955" s="25"/>
    </row>
    <row r="877977" spans="21:21" x14ac:dyDescent="0.3">
      <c r="U877977" s="25"/>
    </row>
    <row r="877999" spans="21:21" x14ac:dyDescent="0.3">
      <c r="U877999" s="25"/>
    </row>
    <row r="878021" spans="21:21" x14ac:dyDescent="0.3">
      <c r="U878021" s="25"/>
    </row>
    <row r="878043" spans="21:21" x14ac:dyDescent="0.3">
      <c r="U878043" s="25"/>
    </row>
    <row r="878065" spans="21:21" x14ac:dyDescent="0.3">
      <c r="U878065" s="25"/>
    </row>
    <row r="878087" spans="21:21" x14ac:dyDescent="0.3">
      <c r="U878087" s="25"/>
    </row>
    <row r="878109" spans="21:21" x14ac:dyDescent="0.3">
      <c r="U878109" s="25"/>
    </row>
    <row r="878131" spans="21:21" x14ac:dyDescent="0.3">
      <c r="U878131" s="25"/>
    </row>
    <row r="878153" spans="21:21" x14ac:dyDescent="0.3">
      <c r="U878153" s="25"/>
    </row>
    <row r="878175" spans="21:21" x14ac:dyDescent="0.3">
      <c r="U878175" s="25"/>
    </row>
    <row r="878197" spans="21:21" x14ac:dyDescent="0.3">
      <c r="U878197" s="25"/>
    </row>
    <row r="878219" spans="21:21" x14ac:dyDescent="0.3">
      <c r="U878219" s="25"/>
    </row>
    <row r="878241" spans="21:21" x14ac:dyDescent="0.3">
      <c r="U878241" s="25"/>
    </row>
    <row r="878263" spans="21:21" x14ac:dyDescent="0.3">
      <c r="U878263" s="25"/>
    </row>
    <row r="878285" spans="21:21" x14ac:dyDescent="0.3">
      <c r="U878285" s="25"/>
    </row>
    <row r="878307" spans="21:21" x14ac:dyDescent="0.3">
      <c r="U878307" s="25"/>
    </row>
    <row r="878329" spans="21:21" x14ac:dyDescent="0.3">
      <c r="U878329" s="25"/>
    </row>
    <row r="878351" spans="21:21" x14ac:dyDescent="0.3">
      <c r="U878351" s="25"/>
    </row>
    <row r="878373" spans="21:21" x14ac:dyDescent="0.3">
      <c r="U878373" s="25"/>
    </row>
    <row r="878395" spans="21:21" x14ac:dyDescent="0.3">
      <c r="U878395" s="25"/>
    </row>
    <row r="878417" spans="21:21" x14ac:dyDescent="0.3">
      <c r="U878417" s="25"/>
    </row>
    <row r="878439" spans="21:21" x14ac:dyDescent="0.3">
      <c r="U878439" s="25"/>
    </row>
    <row r="878461" spans="21:21" x14ac:dyDescent="0.3">
      <c r="U878461" s="25"/>
    </row>
    <row r="878483" spans="21:21" x14ac:dyDescent="0.3">
      <c r="U878483" s="25"/>
    </row>
    <row r="878505" spans="21:21" x14ac:dyDescent="0.3">
      <c r="U878505" s="25"/>
    </row>
    <row r="878527" spans="21:21" x14ac:dyDescent="0.3">
      <c r="U878527" s="25"/>
    </row>
    <row r="878549" spans="21:21" x14ac:dyDescent="0.3">
      <c r="U878549" s="25"/>
    </row>
    <row r="878571" spans="21:21" x14ac:dyDescent="0.3">
      <c r="U878571" s="25"/>
    </row>
    <row r="878593" spans="21:21" x14ac:dyDescent="0.3">
      <c r="U878593" s="25"/>
    </row>
    <row r="878615" spans="21:21" x14ac:dyDescent="0.3">
      <c r="U878615" s="25"/>
    </row>
    <row r="878637" spans="21:21" x14ac:dyDescent="0.3">
      <c r="U878637" s="25"/>
    </row>
    <row r="878659" spans="21:21" x14ac:dyDescent="0.3">
      <c r="U878659" s="25"/>
    </row>
    <row r="878681" spans="21:21" x14ac:dyDescent="0.3">
      <c r="U878681" s="25"/>
    </row>
    <row r="878703" spans="21:21" x14ac:dyDescent="0.3">
      <c r="U878703" s="25"/>
    </row>
    <row r="878725" spans="21:21" x14ac:dyDescent="0.3">
      <c r="U878725" s="25"/>
    </row>
    <row r="878747" spans="21:21" x14ac:dyDescent="0.3">
      <c r="U878747" s="25"/>
    </row>
    <row r="878769" spans="21:21" x14ac:dyDescent="0.3">
      <c r="U878769" s="25"/>
    </row>
    <row r="878791" spans="21:21" x14ac:dyDescent="0.3">
      <c r="U878791" s="25"/>
    </row>
    <row r="878813" spans="21:21" x14ac:dyDescent="0.3">
      <c r="U878813" s="25"/>
    </row>
    <row r="878835" spans="21:21" x14ac:dyDescent="0.3">
      <c r="U878835" s="25"/>
    </row>
    <row r="878857" spans="21:21" x14ac:dyDescent="0.3">
      <c r="U878857" s="25"/>
    </row>
    <row r="878879" spans="21:21" x14ac:dyDescent="0.3">
      <c r="U878879" s="25"/>
    </row>
    <row r="878901" spans="21:21" x14ac:dyDescent="0.3">
      <c r="U878901" s="25"/>
    </row>
    <row r="878923" spans="21:21" x14ac:dyDescent="0.3">
      <c r="U878923" s="25"/>
    </row>
    <row r="878945" spans="21:21" x14ac:dyDescent="0.3">
      <c r="U878945" s="25"/>
    </row>
    <row r="878967" spans="21:21" x14ac:dyDescent="0.3">
      <c r="U878967" s="25"/>
    </row>
    <row r="878989" spans="21:21" x14ac:dyDescent="0.3">
      <c r="U878989" s="25"/>
    </row>
    <row r="879011" spans="21:21" x14ac:dyDescent="0.3">
      <c r="U879011" s="25"/>
    </row>
    <row r="879033" spans="21:21" x14ac:dyDescent="0.3">
      <c r="U879033" s="25"/>
    </row>
    <row r="879055" spans="21:21" x14ac:dyDescent="0.3">
      <c r="U879055" s="25"/>
    </row>
    <row r="879077" spans="21:21" x14ac:dyDescent="0.3">
      <c r="U879077" s="25"/>
    </row>
    <row r="879099" spans="21:21" x14ac:dyDescent="0.3">
      <c r="U879099" s="25"/>
    </row>
    <row r="879121" spans="21:21" x14ac:dyDescent="0.3">
      <c r="U879121" s="25"/>
    </row>
    <row r="879143" spans="21:21" x14ac:dyDescent="0.3">
      <c r="U879143" s="25"/>
    </row>
    <row r="879165" spans="21:21" x14ac:dyDescent="0.3">
      <c r="U879165" s="25"/>
    </row>
    <row r="879187" spans="21:21" x14ac:dyDescent="0.3">
      <c r="U879187" s="25"/>
    </row>
    <row r="879209" spans="21:21" x14ac:dyDescent="0.3">
      <c r="U879209" s="25"/>
    </row>
    <row r="879231" spans="21:21" x14ac:dyDescent="0.3">
      <c r="U879231" s="25"/>
    </row>
    <row r="879253" spans="21:21" x14ac:dyDescent="0.3">
      <c r="U879253" s="25"/>
    </row>
    <row r="879275" spans="21:21" x14ac:dyDescent="0.3">
      <c r="U879275" s="25"/>
    </row>
    <row r="879297" spans="21:21" x14ac:dyDescent="0.3">
      <c r="U879297" s="25"/>
    </row>
    <row r="879319" spans="21:21" x14ac:dyDescent="0.3">
      <c r="U879319" s="25"/>
    </row>
    <row r="879341" spans="21:21" x14ac:dyDescent="0.3">
      <c r="U879341" s="25"/>
    </row>
    <row r="879363" spans="21:21" x14ac:dyDescent="0.3">
      <c r="U879363" s="25"/>
    </row>
    <row r="879385" spans="21:21" x14ac:dyDescent="0.3">
      <c r="U879385" s="25"/>
    </row>
    <row r="879407" spans="21:21" x14ac:dyDescent="0.3">
      <c r="U879407" s="25"/>
    </row>
    <row r="879429" spans="21:21" x14ac:dyDescent="0.3">
      <c r="U879429" s="25"/>
    </row>
    <row r="879451" spans="21:21" x14ac:dyDescent="0.3">
      <c r="U879451" s="25"/>
    </row>
    <row r="879473" spans="21:21" x14ac:dyDescent="0.3">
      <c r="U879473" s="25"/>
    </row>
    <row r="879495" spans="21:21" x14ac:dyDescent="0.3">
      <c r="U879495" s="25"/>
    </row>
    <row r="879517" spans="21:21" x14ac:dyDescent="0.3">
      <c r="U879517" s="25"/>
    </row>
    <row r="879539" spans="21:21" x14ac:dyDescent="0.3">
      <c r="U879539" s="25"/>
    </row>
    <row r="879561" spans="21:21" x14ac:dyDescent="0.3">
      <c r="U879561" s="25"/>
    </row>
    <row r="879583" spans="21:21" x14ac:dyDescent="0.3">
      <c r="U879583" s="25"/>
    </row>
    <row r="879605" spans="21:21" x14ac:dyDescent="0.3">
      <c r="U879605" s="25"/>
    </row>
    <row r="879627" spans="21:21" x14ac:dyDescent="0.3">
      <c r="U879627" s="25"/>
    </row>
    <row r="879649" spans="21:21" x14ac:dyDescent="0.3">
      <c r="U879649" s="25"/>
    </row>
    <row r="879671" spans="21:21" x14ac:dyDescent="0.3">
      <c r="U879671" s="25"/>
    </row>
    <row r="879693" spans="21:21" x14ac:dyDescent="0.3">
      <c r="U879693" s="25"/>
    </row>
    <row r="879715" spans="21:21" x14ac:dyDescent="0.3">
      <c r="U879715" s="25"/>
    </row>
    <row r="879737" spans="21:21" x14ac:dyDescent="0.3">
      <c r="U879737" s="25"/>
    </row>
    <row r="879759" spans="21:21" x14ac:dyDescent="0.3">
      <c r="U879759" s="25"/>
    </row>
    <row r="879781" spans="21:21" x14ac:dyDescent="0.3">
      <c r="U879781" s="25"/>
    </row>
    <row r="879803" spans="21:21" x14ac:dyDescent="0.3">
      <c r="U879803" s="25"/>
    </row>
    <row r="879825" spans="21:21" x14ac:dyDescent="0.3">
      <c r="U879825" s="25"/>
    </row>
    <row r="879847" spans="21:21" x14ac:dyDescent="0.3">
      <c r="U879847" s="25"/>
    </row>
    <row r="879869" spans="21:21" x14ac:dyDescent="0.3">
      <c r="U879869" s="25"/>
    </row>
    <row r="879891" spans="21:21" x14ac:dyDescent="0.3">
      <c r="U879891" s="25"/>
    </row>
    <row r="879913" spans="21:21" x14ac:dyDescent="0.3">
      <c r="U879913" s="25"/>
    </row>
    <row r="879935" spans="21:21" x14ac:dyDescent="0.3">
      <c r="U879935" s="25"/>
    </row>
    <row r="879957" spans="21:21" x14ac:dyDescent="0.3">
      <c r="U879957" s="25"/>
    </row>
    <row r="879979" spans="21:21" x14ac:dyDescent="0.3">
      <c r="U879979" s="25"/>
    </row>
    <row r="880001" spans="21:21" x14ac:dyDescent="0.3">
      <c r="U880001" s="25"/>
    </row>
    <row r="880023" spans="21:21" x14ac:dyDescent="0.3">
      <c r="U880023" s="25"/>
    </row>
    <row r="880045" spans="21:21" x14ac:dyDescent="0.3">
      <c r="U880045" s="25"/>
    </row>
    <row r="880067" spans="21:21" x14ac:dyDescent="0.3">
      <c r="U880067" s="25"/>
    </row>
    <row r="880089" spans="21:21" x14ac:dyDescent="0.3">
      <c r="U880089" s="25"/>
    </row>
    <row r="880111" spans="21:21" x14ac:dyDescent="0.3">
      <c r="U880111" s="25"/>
    </row>
    <row r="880133" spans="21:21" x14ac:dyDescent="0.3">
      <c r="U880133" s="25"/>
    </row>
    <row r="880155" spans="21:21" x14ac:dyDescent="0.3">
      <c r="U880155" s="25"/>
    </row>
    <row r="880177" spans="21:21" x14ac:dyDescent="0.3">
      <c r="U880177" s="25"/>
    </row>
    <row r="880199" spans="21:21" x14ac:dyDescent="0.3">
      <c r="U880199" s="25"/>
    </row>
    <row r="880221" spans="21:21" x14ac:dyDescent="0.3">
      <c r="U880221" s="25"/>
    </row>
    <row r="880243" spans="21:21" x14ac:dyDescent="0.3">
      <c r="U880243" s="25"/>
    </row>
    <row r="880265" spans="21:21" x14ac:dyDescent="0.3">
      <c r="U880265" s="25"/>
    </row>
    <row r="880287" spans="21:21" x14ac:dyDescent="0.3">
      <c r="U880287" s="25"/>
    </row>
    <row r="880309" spans="21:21" x14ac:dyDescent="0.3">
      <c r="U880309" s="25"/>
    </row>
    <row r="880331" spans="21:21" x14ac:dyDescent="0.3">
      <c r="U880331" s="25"/>
    </row>
    <row r="880353" spans="21:21" x14ac:dyDescent="0.3">
      <c r="U880353" s="25"/>
    </row>
    <row r="880375" spans="21:21" x14ac:dyDescent="0.3">
      <c r="U880375" s="25"/>
    </row>
    <row r="880397" spans="21:21" x14ac:dyDescent="0.3">
      <c r="U880397" s="25"/>
    </row>
    <row r="880419" spans="21:21" x14ac:dyDescent="0.3">
      <c r="U880419" s="25"/>
    </row>
    <row r="880441" spans="21:21" x14ac:dyDescent="0.3">
      <c r="U880441" s="25"/>
    </row>
    <row r="880463" spans="21:21" x14ac:dyDescent="0.3">
      <c r="U880463" s="25"/>
    </row>
    <row r="880485" spans="21:21" x14ac:dyDescent="0.3">
      <c r="U880485" s="25"/>
    </row>
    <row r="880507" spans="21:21" x14ac:dyDescent="0.3">
      <c r="U880507" s="25"/>
    </row>
    <row r="880529" spans="21:21" x14ac:dyDescent="0.3">
      <c r="U880529" s="25"/>
    </row>
    <row r="880551" spans="21:21" x14ac:dyDescent="0.3">
      <c r="U880551" s="25"/>
    </row>
    <row r="880573" spans="21:21" x14ac:dyDescent="0.3">
      <c r="U880573" s="25"/>
    </row>
    <row r="880595" spans="21:21" x14ac:dyDescent="0.3">
      <c r="U880595" s="25"/>
    </row>
    <row r="880617" spans="21:21" x14ac:dyDescent="0.3">
      <c r="U880617" s="25"/>
    </row>
    <row r="880639" spans="21:21" x14ac:dyDescent="0.3">
      <c r="U880639" s="25"/>
    </row>
    <row r="880661" spans="21:21" x14ac:dyDescent="0.3">
      <c r="U880661" s="25"/>
    </row>
    <row r="880683" spans="21:21" x14ac:dyDescent="0.3">
      <c r="U880683" s="25"/>
    </row>
    <row r="880705" spans="21:21" x14ac:dyDescent="0.3">
      <c r="U880705" s="25"/>
    </row>
    <row r="880727" spans="21:21" x14ac:dyDescent="0.3">
      <c r="U880727" s="25"/>
    </row>
    <row r="880749" spans="21:21" x14ac:dyDescent="0.3">
      <c r="U880749" s="25"/>
    </row>
    <row r="880771" spans="21:21" x14ac:dyDescent="0.3">
      <c r="U880771" s="25"/>
    </row>
    <row r="880793" spans="21:21" x14ac:dyDescent="0.3">
      <c r="U880793" s="25"/>
    </row>
    <row r="880815" spans="21:21" x14ac:dyDescent="0.3">
      <c r="U880815" s="25"/>
    </row>
    <row r="880837" spans="21:21" x14ac:dyDescent="0.3">
      <c r="U880837" s="25"/>
    </row>
    <row r="880859" spans="21:21" x14ac:dyDescent="0.3">
      <c r="U880859" s="25"/>
    </row>
    <row r="880881" spans="21:21" x14ac:dyDescent="0.3">
      <c r="U880881" s="25"/>
    </row>
    <row r="880903" spans="21:21" x14ac:dyDescent="0.3">
      <c r="U880903" s="25"/>
    </row>
    <row r="880925" spans="21:21" x14ac:dyDescent="0.3">
      <c r="U880925" s="25"/>
    </row>
    <row r="880947" spans="21:21" x14ac:dyDescent="0.3">
      <c r="U880947" s="25"/>
    </row>
    <row r="880969" spans="21:21" x14ac:dyDescent="0.3">
      <c r="U880969" s="25"/>
    </row>
    <row r="880991" spans="21:21" x14ac:dyDescent="0.3">
      <c r="U880991" s="25"/>
    </row>
    <row r="881013" spans="21:21" x14ac:dyDescent="0.3">
      <c r="U881013" s="25"/>
    </row>
    <row r="881035" spans="21:21" x14ac:dyDescent="0.3">
      <c r="U881035" s="25"/>
    </row>
    <row r="881057" spans="21:21" x14ac:dyDescent="0.3">
      <c r="U881057" s="25"/>
    </row>
    <row r="881079" spans="21:21" x14ac:dyDescent="0.3">
      <c r="U881079" s="25"/>
    </row>
    <row r="881101" spans="21:21" x14ac:dyDescent="0.3">
      <c r="U881101" s="25"/>
    </row>
    <row r="881123" spans="21:21" x14ac:dyDescent="0.3">
      <c r="U881123" s="25"/>
    </row>
    <row r="881145" spans="21:21" x14ac:dyDescent="0.3">
      <c r="U881145" s="25"/>
    </row>
    <row r="881167" spans="21:21" x14ac:dyDescent="0.3">
      <c r="U881167" s="25"/>
    </row>
    <row r="881189" spans="21:21" x14ac:dyDescent="0.3">
      <c r="U881189" s="25"/>
    </row>
    <row r="881211" spans="21:21" x14ac:dyDescent="0.3">
      <c r="U881211" s="25"/>
    </row>
    <row r="881233" spans="21:21" x14ac:dyDescent="0.3">
      <c r="U881233" s="25"/>
    </row>
    <row r="881255" spans="21:21" x14ac:dyDescent="0.3">
      <c r="U881255" s="25"/>
    </row>
    <row r="881277" spans="21:21" x14ac:dyDescent="0.3">
      <c r="U881277" s="25"/>
    </row>
    <row r="881299" spans="21:21" x14ac:dyDescent="0.3">
      <c r="U881299" s="25"/>
    </row>
    <row r="881321" spans="21:21" x14ac:dyDescent="0.3">
      <c r="U881321" s="25"/>
    </row>
    <row r="881343" spans="21:21" x14ac:dyDescent="0.3">
      <c r="U881343" s="25"/>
    </row>
    <row r="881365" spans="21:21" x14ac:dyDescent="0.3">
      <c r="U881365" s="25"/>
    </row>
    <row r="881387" spans="21:21" x14ac:dyDescent="0.3">
      <c r="U881387" s="25"/>
    </row>
    <row r="881409" spans="21:21" x14ac:dyDescent="0.3">
      <c r="U881409" s="25"/>
    </row>
    <row r="881431" spans="21:21" x14ac:dyDescent="0.3">
      <c r="U881431" s="25"/>
    </row>
    <row r="881453" spans="21:21" x14ac:dyDescent="0.3">
      <c r="U881453" s="25"/>
    </row>
    <row r="881475" spans="21:21" x14ac:dyDescent="0.3">
      <c r="U881475" s="25"/>
    </row>
    <row r="881497" spans="21:21" x14ac:dyDescent="0.3">
      <c r="U881497" s="25"/>
    </row>
    <row r="881519" spans="21:21" x14ac:dyDescent="0.3">
      <c r="U881519" s="25"/>
    </row>
    <row r="881541" spans="21:21" x14ac:dyDescent="0.3">
      <c r="U881541" s="25"/>
    </row>
    <row r="881563" spans="21:21" x14ac:dyDescent="0.3">
      <c r="U881563" s="25"/>
    </row>
    <row r="881585" spans="21:21" x14ac:dyDescent="0.3">
      <c r="U881585" s="25"/>
    </row>
    <row r="881607" spans="21:21" x14ac:dyDescent="0.3">
      <c r="U881607" s="25"/>
    </row>
    <row r="881629" spans="21:21" x14ac:dyDescent="0.3">
      <c r="U881629" s="25"/>
    </row>
    <row r="881651" spans="21:21" x14ac:dyDescent="0.3">
      <c r="U881651" s="25"/>
    </row>
    <row r="881673" spans="21:21" x14ac:dyDescent="0.3">
      <c r="U881673" s="25"/>
    </row>
    <row r="881695" spans="21:21" x14ac:dyDescent="0.3">
      <c r="U881695" s="25"/>
    </row>
    <row r="881717" spans="21:21" x14ac:dyDescent="0.3">
      <c r="U881717" s="25"/>
    </row>
    <row r="881739" spans="21:21" x14ac:dyDescent="0.3">
      <c r="U881739" s="25"/>
    </row>
    <row r="881761" spans="21:21" x14ac:dyDescent="0.3">
      <c r="U881761" s="25"/>
    </row>
    <row r="881783" spans="21:21" x14ac:dyDescent="0.3">
      <c r="U881783" s="25"/>
    </row>
    <row r="881805" spans="21:21" x14ac:dyDescent="0.3">
      <c r="U881805" s="25"/>
    </row>
    <row r="881827" spans="21:21" x14ac:dyDescent="0.3">
      <c r="U881827" s="25"/>
    </row>
    <row r="881849" spans="21:21" x14ac:dyDescent="0.3">
      <c r="U881849" s="25"/>
    </row>
    <row r="881871" spans="21:21" x14ac:dyDescent="0.3">
      <c r="U881871" s="25"/>
    </row>
    <row r="881893" spans="21:21" x14ac:dyDescent="0.3">
      <c r="U881893" s="25"/>
    </row>
    <row r="881915" spans="21:21" x14ac:dyDescent="0.3">
      <c r="U881915" s="25"/>
    </row>
    <row r="881937" spans="21:21" x14ac:dyDescent="0.3">
      <c r="U881937" s="25"/>
    </row>
    <row r="881959" spans="21:21" x14ac:dyDescent="0.3">
      <c r="U881959" s="25"/>
    </row>
    <row r="881981" spans="21:21" x14ac:dyDescent="0.3">
      <c r="U881981" s="25"/>
    </row>
    <row r="882003" spans="21:21" x14ac:dyDescent="0.3">
      <c r="U882003" s="25"/>
    </row>
    <row r="882025" spans="21:21" x14ac:dyDescent="0.3">
      <c r="U882025" s="25"/>
    </row>
    <row r="882047" spans="21:21" x14ac:dyDescent="0.3">
      <c r="U882047" s="25"/>
    </row>
    <row r="882069" spans="21:21" x14ac:dyDescent="0.3">
      <c r="U882069" s="25"/>
    </row>
    <row r="882091" spans="21:21" x14ac:dyDescent="0.3">
      <c r="U882091" s="25"/>
    </row>
    <row r="882113" spans="21:21" x14ac:dyDescent="0.3">
      <c r="U882113" s="25"/>
    </row>
    <row r="882135" spans="21:21" x14ac:dyDescent="0.3">
      <c r="U882135" s="25"/>
    </row>
    <row r="882157" spans="21:21" x14ac:dyDescent="0.3">
      <c r="U882157" s="25"/>
    </row>
    <row r="882179" spans="21:21" x14ac:dyDescent="0.3">
      <c r="U882179" s="25"/>
    </row>
    <row r="882201" spans="21:21" x14ac:dyDescent="0.3">
      <c r="U882201" s="25"/>
    </row>
    <row r="882223" spans="21:21" x14ac:dyDescent="0.3">
      <c r="U882223" s="25"/>
    </row>
    <row r="882245" spans="21:21" x14ac:dyDescent="0.3">
      <c r="U882245" s="25"/>
    </row>
    <row r="882267" spans="21:21" x14ac:dyDescent="0.3">
      <c r="U882267" s="25"/>
    </row>
    <row r="882289" spans="21:21" x14ac:dyDescent="0.3">
      <c r="U882289" s="25"/>
    </row>
    <row r="882311" spans="21:21" x14ac:dyDescent="0.3">
      <c r="U882311" s="25"/>
    </row>
    <row r="882333" spans="21:21" x14ac:dyDescent="0.3">
      <c r="U882333" s="25"/>
    </row>
    <row r="882355" spans="21:21" x14ac:dyDescent="0.3">
      <c r="U882355" s="25"/>
    </row>
    <row r="882377" spans="21:21" x14ac:dyDescent="0.3">
      <c r="U882377" s="25"/>
    </row>
    <row r="882399" spans="21:21" x14ac:dyDescent="0.3">
      <c r="U882399" s="25"/>
    </row>
    <row r="882421" spans="21:21" x14ac:dyDescent="0.3">
      <c r="U882421" s="25"/>
    </row>
    <row r="882443" spans="21:21" x14ac:dyDescent="0.3">
      <c r="U882443" s="25"/>
    </row>
    <row r="882465" spans="21:21" x14ac:dyDescent="0.3">
      <c r="U882465" s="25"/>
    </row>
    <row r="882487" spans="21:21" x14ac:dyDescent="0.3">
      <c r="U882487" s="25"/>
    </row>
    <row r="882509" spans="21:21" x14ac:dyDescent="0.3">
      <c r="U882509" s="25"/>
    </row>
    <row r="882531" spans="21:21" x14ac:dyDescent="0.3">
      <c r="U882531" s="25"/>
    </row>
    <row r="882553" spans="21:21" x14ac:dyDescent="0.3">
      <c r="U882553" s="25"/>
    </row>
    <row r="882575" spans="21:21" x14ac:dyDescent="0.3">
      <c r="U882575" s="25"/>
    </row>
    <row r="882597" spans="21:21" x14ac:dyDescent="0.3">
      <c r="U882597" s="25"/>
    </row>
    <row r="882619" spans="21:21" x14ac:dyDescent="0.3">
      <c r="U882619" s="25"/>
    </row>
    <row r="882641" spans="21:21" x14ac:dyDescent="0.3">
      <c r="U882641" s="25"/>
    </row>
    <row r="882663" spans="21:21" x14ac:dyDescent="0.3">
      <c r="U882663" s="25"/>
    </row>
    <row r="882685" spans="21:21" x14ac:dyDescent="0.3">
      <c r="U882685" s="25"/>
    </row>
    <row r="882707" spans="21:21" x14ac:dyDescent="0.3">
      <c r="U882707" s="25"/>
    </row>
    <row r="882729" spans="21:21" x14ac:dyDescent="0.3">
      <c r="U882729" s="25"/>
    </row>
    <row r="882751" spans="21:21" x14ac:dyDescent="0.3">
      <c r="U882751" s="25"/>
    </row>
    <row r="882773" spans="21:21" x14ac:dyDescent="0.3">
      <c r="U882773" s="25"/>
    </row>
    <row r="882795" spans="21:21" x14ac:dyDescent="0.3">
      <c r="U882795" s="25"/>
    </row>
    <row r="882817" spans="21:21" x14ac:dyDescent="0.3">
      <c r="U882817" s="25"/>
    </row>
    <row r="882839" spans="21:21" x14ac:dyDescent="0.3">
      <c r="U882839" s="25"/>
    </row>
    <row r="882861" spans="21:21" x14ac:dyDescent="0.3">
      <c r="U882861" s="25"/>
    </row>
    <row r="882883" spans="21:21" x14ac:dyDescent="0.3">
      <c r="U882883" s="25"/>
    </row>
    <row r="882905" spans="21:21" x14ac:dyDescent="0.3">
      <c r="U882905" s="25"/>
    </row>
    <row r="882927" spans="21:21" x14ac:dyDescent="0.3">
      <c r="U882927" s="25"/>
    </row>
    <row r="882949" spans="21:21" x14ac:dyDescent="0.3">
      <c r="U882949" s="25"/>
    </row>
    <row r="882971" spans="21:21" x14ac:dyDescent="0.3">
      <c r="U882971" s="25"/>
    </row>
    <row r="882993" spans="21:21" x14ac:dyDescent="0.3">
      <c r="U882993" s="25"/>
    </row>
    <row r="883015" spans="21:21" x14ac:dyDescent="0.3">
      <c r="U883015" s="25"/>
    </row>
    <row r="883037" spans="21:21" x14ac:dyDescent="0.3">
      <c r="U883037" s="25"/>
    </row>
    <row r="883059" spans="21:21" x14ac:dyDescent="0.3">
      <c r="U883059" s="25"/>
    </row>
    <row r="883081" spans="21:21" x14ac:dyDescent="0.3">
      <c r="U883081" s="25"/>
    </row>
    <row r="883103" spans="21:21" x14ac:dyDescent="0.3">
      <c r="U883103" s="25"/>
    </row>
    <row r="883125" spans="21:21" x14ac:dyDescent="0.3">
      <c r="U883125" s="25"/>
    </row>
    <row r="883147" spans="21:21" x14ac:dyDescent="0.3">
      <c r="U883147" s="25"/>
    </row>
    <row r="883169" spans="21:21" x14ac:dyDescent="0.3">
      <c r="U883169" s="25"/>
    </row>
    <row r="883191" spans="21:21" x14ac:dyDescent="0.3">
      <c r="U883191" s="25"/>
    </row>
    <row r="883213" spans="21:21" x14ac:dyDescent="0.3">
      <c r="U883213" s="25"/>
    </row>
    <row r="883235" spans="21:21" x14ac:dyDescent="0.3">
      <c r="U883235" s="25"/>
    </row>
    <row r="883257" spans="21:21" x14ac:dyDescent="0.3">
      <c r="U883257" s="25"/>
    </row>
    <row r="883279" spans="21:21" x14ac:dyDescent="0.3">
      <c r="U883279" s="25"/>
    </row>
    <row r="883301" spans="21:21" x14ac:dyDescent="0.3">
      <c r="U883301" s="25"/>
    </row>
    <row r="883323" spans="21:21" x14ac:dyDescent="0.3">
      <c r="U883323" s="25"/>
    </row>
    <row r="883345" spans="21:21" x14ac:dyDescent="0.3">
      <c r="U883345" s="25"/>
    </row>
    <row r="883367" spans="21:21" x14ac:dyDescent="0.3">
      <c r="U883367" s="25"/>
    </row>
    <row r="883389" spans="21:21" x14ac:dyDescent="0.3">
      <c r="U883389" s="25"/>
    </row>
    <row r="883411" spans="21:21" x14ac:dyDescent="0.3">
      <c r="U883411" s="25"/>
    </row>
    <row r="883433" spans="21:21" x14ac:dyDescent="0.3">
      <c r="U883433" s="25"/>
    </row>
    <row r="883455" spans="21:21" x14ac:dyDescent="0.3">
      <c r="U883455" s="25"/>
    </row>
    <row r="883477" spans="21:21" x14ac:dyDescent="0.3">
      <c r="U883477" s="25"/>
    </row>
    <row r="883499" spans="21:21" x14ac:dyDescent="0.3">
      <c r="U883499" s="25"/>
    </row>
    <row r="883521" spans="21:21" x14ac:dyDescent="0.3">
      <c r="U883521" s="25"/>
    </row>
    <row r="883543" spans="21:21" x14ac:dyDescent="0.3">
      <c r="U883543" s="25"/>
    </row>
    <row r="883565" spans="21:21" x14ac:dyDescent="0.3">
      <c r="U883565" s="25"/>
    </row>
    <row r="883587" spans="21:21" x14ac:dyDescent="0.3">
      <c r="U883587" s="25"/>
    </row>
    <row r="883609" spans="21:21" x14ac:dyDescent="0.3">
      <c r="U883609" s="25"/>
    </row>
    <row r="883631" spans="21:21" x14ac:dyDescent="0.3">
      <c r="U883631" s="25"/>
    </row>
    <row r="883653" spans="21:21" x14ac:dyDescent="0.3">
      <c r="U883653" s="25"/>
    </row>
    <row r="883675" spans="21:21" x14ac:dyDescent="0.3">
      <c r="U883675" s="25"/>
    </row>
    <row r="883697" spans="21:21" x14ac:dyDescent="0.3">
      <c r="U883697" s="25"/>
    </row>
    <row r="883719" spans="21:21" x14ac:dyDescent="0.3">
      <c r="U883719" s="25"/>
    </row>
    <row r="883741" spans="21:21" x14ac:dyDescent="0.3">
      <c r="U883741" s="25"/>
    </row>
    <row r="883763" spans="21:21" x14ac:dyDescent="0.3">
      <c r="U883763" s="25"/>
    </row>
    <row r="883785" spans="21:21" x14ac:dyDescent="0.3">
      <c r="U883785" s="25"/>
    </row>
    <row r="883807" spans="21:21" x14ac:dyDescent="0.3">
      <c r="U883807" s="25"/>
    </row>
    <row r="883829" spans="21:21" x14ac:dyDescent="0.3">
      <c r="U883829" s="25"/>
    </row>
    <row r="883851" spans="21:21" x14ac:dyDescent="0.3">
      <c r="U883851" s="25"/>
    </row>
    <row r="883873" spans="21:21" x14ac:dyDescent="0.3">
      <c r="U883873" s="25"/>
    </row>
    <row r="883895" spans="21:21" x14ac:dyDescent="0.3">
      <c r="U883895" s="25"/>
    </row>
    <row r="883917" spans="21:21" x14ac:dyDescent="0.3">
      <c r="U883917" s="25"/>
    </row>
    <row r="883939" spans="21:21" x14ac:dyDescent="0.3">
      <c r="U883939" s="25"/>
    </row>
    <row r="883961" spans="21:21" x14ac:dyDescent="0.3">
      <c r="U883961" s="25"/>
    </row>
    <row r="883983" spans="21:21" x14ac:dyDescent="0.3">
      <c r="U883983" s="25"/>
    </row>
    <row r="884005" spans="21:21" x14ac:dyDescent="0.3">
      <c r="U884005" s="25"/>
    </row>
    <row r="884027" spans="21:21" x14ac:dyDescent="0.3">
      <c r="U884027" s="25"/>
    </row>
    <row r="884049" spans="21:21" x14ac:dyDescent="0.3">
      <c r="U884049" s="25"/>
    </row>
    <row r="884071" spans="21:21" x14ac:dyDescent="0.3">
      <c r="U884071" s="25"/>
    </row>
    <row r="884093" spans="21:21" x14ac:dyDescent="0.3">
      <c r="U884093" s="25"/>
    </row>
    <row r="884115" spans="21:21" x14ac:dyDescent="0.3">
      <c r="U884115" s="25"/>
    </row>
    <row r="884137" spans="21:21" x14ac:dyDescent="0.3">
      <c r="U884137" s="25"/>
    </row>
    <row r="884159" spans="21:21" x14ac:dyDescent="0.3">
      <c r="U884159" s="25"/>
    </row>
    <row r="884181" spans="21:21" x14ac:dyDescent="0.3">
      <c r="U884181" s="25"/>
    </row>
    <row r="884203" spans="21:21" x14ac:dyDescent="0.3">
      <c r="U884203" s="25"/>
    </row>
    <row r="884225" spans="21:21" x14ac:dyDescent="0.3">
      <c r="U884225" s="25"/>
    </row>
    <row r="884247" spans="21:21" x14ac:dyDescent="0.3">
      <c r="U884247" s="25"/>
    </row>
    <row r="884269" spans="21:21" x14ac:dyDescent="0.3">
      <c r="U884269" s="25"/>
    </row>
    <row r="884291" spans="21:21" x14ac:dyDescent="0.3">
      <c r="U884291" s="25"/>
    </row>
    <row r="884313" spans="21:21" x14ac:dyDescent="0.3">
      <c r="U884313" s="25"/>
    </row>
    <row r="884335" spans="21:21" x14ac:dyDescent="0.3">
      <c r="U884335" s="25"/>
    </row>
    <row r="884357" spans="21:21" x14ac:dyDescent="0.3">
      <c r="U884357" s="25"/>
    </row>
    <row r="884379" spans="21:21" x14ac:dyDescent="0.3">
      <c r="U884379" s="25"/>
    </row>
    <row r="884401" spans="21:21" x14ac:dyDescent="0.3">
      <c r="U884401" s="25"/>
    </row>
    <row r="884423" spans="21:21" x14ac:dyDescent="0.3">
      <c r="U884423" s="25"/>
    </row>
    <row r="884445" spans="21:21" x14ac:dyDescent="0.3">
      <c r="U884445" s="25"/>
    </row>
    <row r="884467" spans="21:21" x14ac:dyDescent="0.3">
      <c r="U884467" s="25"/>
    </row>
    <row r="884489" spans="21:21" x14ac:dyDescent="0.3">
      <c r="U884489" s="25"/>
    </row>
    <row r="884511" spans="21:21" x14ac:dyDescent="0.3">
      <c r="U884511" s="25"/>
    </row>
    <row r="884533" spans="21:21" x14ac:dyDescent="0.3">
      <c r="U884533" s="25"/>
    </row>
    <row r="884555" spans="21:21" x14ac:dyDescent="0.3">
      <c r="U884555" s="25"/>
    </row>
    <row r="884577" spans="21:21" x14ac:dyDescent="0.3">
      <c r="U884577" s="25"/>
    </row>
    <row r="884599" spans="21:21" x14ac:dyDescent="0.3">
      <c r="U884599" s="25"/>
    </row>
    <row r="884621" spans="21:21" x14ac:dyDescent="0.3">
      <c r="U884621" s="25"/>
    </row>
    <row r="884643" spans="21:21" x14ac:dyDescent="0.3">
      <c r="U884643" s="25"/>
    </row>
    <row r="884665" spans="21:21" x14ac:dyDescent="0.3">
      <c r="U884665" s="25"/>
    </row>
    <row r="884687" spans="21:21" x14ac:dyDescent="0.3">
      <c r="U884687" s="25"/>
    </row>
    <row r="884709" spans="21:21" x14ac:dyDescent="0.3">
      <c r="U884709" s="25"/>
    </row>
    <row r="884731" spans="21:21" x14ac:dyDescent="0.3">
      <c r="U884731" s="25"/>
    </row>
    <row r="884753" spans="21:21" x14ac:dyDescent="0.3">
      <c r="U884753" s="25"/>
    </row>
    <row r="884775" spans="21:21" x14ac:dyDescent="0.3">
      <c r="U884775" s="25"/>
    </row>
    <row r="884797" spans="21:21" x14ac:dyDescent="0.3">
      <c r="U884797" s="25"/>
    </row>
    <row r="884819" spans="21:21" x14ac:dyDescent="0.3">
      <c r="U884819" s="25"/>
    </row>
    <row r="884841" spans="21:21" x14ac:dyDescent="0.3">
      <c r="U884841" s="25"/>
    </row>
    <row r="884863" spans="21:21" x14ac:dyDescent="0.3">
      <c r="U884863" s="25"/>
    </row>
    <row r="884885" spans="21:21" x14ac:dyDescent="0.3">
      <c r="U884885" s="25"/>
    </row>
    <row r="884907" spans="21:21" x14ac:dyDescent="0.3">
      <c r="U884907" s="25"/>
    </row>
    <row r="884929" spans="21:21" x14ac:dyDescent="0.3">
      <c r="U884929" s="25"/>
    </row>
    <row r="884951" spans="21:21" x14ac:dyDescent="0.3">
      <c r="U884951" s="25"/>
    </row>
    <row r="884973" spans="21:21" x14ac:dyDescent="0.3">
      <c r="U884973" s="25"/>
    </row>
    <row r="884995" spans="21:21" x14ac:dyDescent="0.3">
      <c r="U884995" s="25"/>
    </row>
    <row r="885017" spans="21:21" x14ac:dyDescent="0.3">
      <c r="U885017" s="25"/>
    </row>
    <row r="885039" spans="21:21" x14ac:dyDescent="0.3">
      <c r="U885039" s="25"/>
    </row>
    <row r="885061" spans="21:21" x14ac:dyDescent="0.3">
      <c r="U885061" s="25"/>
    </row>
    <row r="885083" spans="21:21" x14ac:dyDescent="0.3">
      <c r="U885083" s="25"/>
    </row>
    <row r="885105" spans="21:21" x14ac:dyDescent="0.3">
      <c r="U885105" s="25"/>
    </row>
    <row r="885127" spans="21:21" x14ac:dyDescent="0.3">
      <c r="U885127" s="25"/>
    </row>
    <row r="885149" spans="21:21" x14ac:dyDescent="0.3">
      <c r="U885149" s="25"/>
    </row>
    <row r="885171" spans="21:21" x14ac:dyDescent="0.3">
      <c r="U885171" s="25"/>
    </row>
    <row r="885193" spans="21:21" x14ac:dyDescent="0.3">
      <c r="U885193" s="25"/>
    </row>
    <row r="885215" spans="21:21" x14ac:dyDescent="0.3">
      <c r="U885215" s="25"/>
    </row>
    <row r="885237" spans="21:21" x14ac:dyDescent="0.3">
      <c r="U885237" s="25"/>
    </row>
    <row r="885259" spans="21:21" x14ac:dyDescent="0.3">
      <c r="U885259" s="25"/>
    </row>
    <row r="885281" spans="21:21" x14ac:dyDescent="0.3">
      <c r="U885281" s="25"/>
    </row>
    <row r="885303" spans="21:21" x14ac:dyDescent="0.3">
      <c r="U885303" s="25"/>
    </row>
    <row r="885325" spans="21:21" x14ac:dyDescent="0.3">
      <c r="U885325" s="25"/>
    </row>
    <row r="885347" spans="21:21" x14ac:dyDescent="0.3">
      <c r="U885347" s="25"/>
    </row>
    <row r="885369" spans="21:21" x14ac:dyDescent="0.3">
      <c r="U885369" s="25"/>
    </row>
    <row r="885391" spans="21:21" x14ac:dyDescent="0.3">
      <c r="U885391" s="25"/>
    </row>
    <row r="885413" spans="21:21" x14ac:dyDescent="0.3">
      <c r="U885413" s="25"/>
    </row>
    <row r="885435" spans="21:21" x14ac:dyDescent="0.3">
      <c r="U885435" s="25"/>
    </row>
    <row r="885457" spans="21:21" x14ac:dyDescent="0.3">
      <c r="U885457" s="25"/>
    </row>
    <row r="885479" spans="21:21" x14ac:dyDescent="0.3">
      <c r="U885479" s="25"/>
    </row>
    <row r="885501" spans="21:21" x14ac:dyDescent="0.3">
      <c r="U885501" s="25"/>
    </row>
    <row r="885523" spans="21:21" x14ac:dyDescent="0.3">
      <c r="U885523" s="25"/>
    </row>
    <row r="885545" spans="21:21" x14ac:dyDescent="0.3">
      <c r="U885545" s="25"/>
    </row>
    <row r="885567" spans="21:21" x14ac:dyDescent="0.3">
      <c r="U885567" s="25"/>
    </row>
    <row r="885589" spans="21:21" x14ac:dyDescent="0.3">
      <c r="U885589" s="25"/>
    </row>
    <row r="885611" spans="21:21" x14ac:dyDescent="0.3">
      <c r="U885611" s="25"/>
    </row>
    <row r="885633" spans="21:21" x14ac:dyDescent="0.3">
      <c r="U885633" s="25"/>
    </row>
    <row r="885655" spans="21:21" x14ac:dyDescent="0.3">
      <c r="U885655" s="25"/>
    </row>
    <row r="885677" spans="21:21" x14ac:dyDescent="0.3">
      <c r="U885677" s="25"/>
    </row>
    <row r="885699" spans="21:21" x14ac:dyDescent="0.3">
      <c r="U885699" s="25"/>
    </row>
    <row r="885721" spans="21:21" x14ac:dyDescent="0.3">
      <c r="U885721" s="25"/>
    </row>
    <row r="885743" spans="21:21" x14ac:dyDescent="0.3">
      <c r="U885743" s="25"/>
    </row>
    <row r="885765" spans="21:21" x14ac:dyDescent="0.3">
      <c r="U885765" s="25"/>
    </row>
    <row r="885787" spans="21:21" x14ac:dyDescent="0.3">
      <c r="U885787" s="25"/>
    </row>
    <row r="885809" spans="21:21" x14ac:dyDescent="0.3">
      <c r="U885809" s="25"/>
    </row>
    <row r="885831" spans="21:21" x14ac:dyDescent="0.3">
      <c r="U885831" s="25"/>
    </row>
    <row r="885853" spans="21:21" x14ac:dyDescent="0.3">
      <c r="U885853" s="25"/>
    </row>
    <row r="885875" spans="21:21" x14ac:dyDescent="0.3">
      <c r="U885875" s="25"/>
    </row>
    <row r="885897" spans="21:21" x14ac:dyDescent="0.3">
      <c r="U885897" s="25"/>
    </row>
    <row r="885919" spans="21:21" x14ac:dyDescent="0.3">
      <c r="U885919" s="25"/>
    </row>
    <row r="885941" spans="21:21" x14ac:dyDescent="0.3">
      <c r="U885941" s="25"/>
    </row>
    <row r="885963" spans="21:21" x14ac:dyDescent="0.3">
      <c r="U885963" s="25"/>
    </row>
    <row r="885985" spans="21:21" x14ac:dyDescent="0.3">
      <c r="U885985" s="25"/>
    </row>
    <row r="886007" spans="21:21" x14ac:dyDescent="0.3">
      <c r="U886007" s="25"/>
    </row>
    <row r="886029" spans="21:21" x14ac:dyDescent="0.3">
      <c r="U886029" s="25"/>
    </row>
    <row r="886051" spans="21:21" x14ac:dyDescent="0.3">
      <c r="U886051" s="25"/>
    </row>
    <row r="886073" spans="21:21" x14ac:dyDescent="0.3">
      <c r="U886073" s="25"/>
    </row>
    <row r="886095" spans="21:21" x14ac:dyDescent="0.3">
      <c r="U886095" s="25"/>
    </row>
    <row r="886117" spans="21:21" x14ac:dyDescent="0.3">
      <c r="U886117" s="25"/>
    </row>
    <row r="886139" spans="21:21" x14ac:dyDescent="0.3">
      <c r="U886139" s="25"/>
    </row>
    <row r="886161" spans="21:21" x14ac:dyDescent="0.3">
      <c r="U886161" s="25"/>
    </row>
    <row r="886183" spans="21:21" x14ac:dyDescent="0.3">
      <c r="U886183" s="25"/>
    </row>
    <row r="886205" spans="21:21" x14ac:dyDescent="0.3">
      <c r="U886205" s="25"/>
    </row>
    <row r="886227" spans="21:21" x14ac:dyDescent="0.3">
      <c r="U886227" s="25"/>
    </row>
    <row r="886249" spans="21:21" x14ac:dyDescent="0.3">
      <c r="U886249" s="25"/>
    </row>
    <row r="886271" spans="21:21" x14ac:dyDescent="0.3">
      <c r="U886271" s="25"/>
    </row>
    <row r="886293" spans="21:21" x14ac:dyDescent="0.3">
      <c r="U886293" s="25"/>
    </row>
    <row r="886315" spans="21:21" x14ac:dyDescent="0.3">
      <c r="U886315" s="25"/>
    </row>
    <row r="886337" spans="21:21" x14ac:dyDescent="0.3">
      <c r="U886337" s="25"/>
    </row>
    <row r="886359" spans="21:21" x14ac:dyDescent="0.3">
      <c r="U886359" s="25"/>
    </row>
    <row r="886381" spans="21:21" x14ac:dyDescent="0.3">
      <c r="U886381" s="25"/>
    </row>
    <row r="886403" spans="21:21" x14ac:dyDescent="0.3">
      <c r="U886403" s="25"/>
    </row>
    <row r="886425" spans="21:21" x14ac:dyDescent="0.3">
      <c r="U886425" s="25"/>
    </row>
    <row r="886447" spans="21:21" x14ac:dyDescent="0.3">
      <c r="U886447" s="25"/>
    </row>
    <row r="886469" spans="21:21" x14ac:dyDescent="0.3">
      <c r="U886469" s="25"/>
    </row>
    <row r="886491" spans="21:21" x14ac:dyDescent="0.3">
      <c r="U886491" s="25"/>
    </row>
    <row r="886513" spans="21:21" x14ac:dyDescent="0.3">
      <c r="U886513" s="25"/>
    </row>
    <row r="886535" spans="21:21" x14ac:dyDescent="0.3">
      <c r="U886535" s="25"/>
    </row>
    <row r="886557" spans="21:21" x14ac:dyDescent="0.3">
      <c r="U886557" s="25"/>
    </row>
    <row r="886579" spans="21:21" x14ac:dyDescent="0.3">
      <c r="U886579" s="25"/>
    </row>
    <row r="886601" spans="21:21" x14ac:dyDescent="0.3">
      <c r="U886601" s="25"/>
    </row>
    <row r="886623" spans="21:21" x14ac:dyDescent="0.3">
      <c r="U886623" s="25"/>
    </row>
    <row r="886645" spans="21:21" x14ac:dyDescent="0.3">
      <c r="U886645" s="25"/>
    </row>
    <row r="886667" spans="21:21" x14ac:dyDescent="0.3">
      <c r="U886667" s="25"/>
    </row>
    <row r="886689" spans="21:21" x14ac:dyDescent="0.3">
      <c r="U886689" s="25"/>
    </row>
    <row r="886711" spans="21:21" x14ac:dyDescent="0.3">
      <c r="U886711" s="25"/>
    </row>
    <row r="886733" spans="21:21" x14ac:dyDescent="0.3">
      <c r="U886733" s="25"/>
    </row>
    <row r="886755" spans="21:21" x14ac:dyDescent="0.3">
      <c r="U886755" s="25"/>
    </row>
    <row r="886777" spans="21:21" x14ac:dyDescent="0.3">
      <c r="U886777" s="25"/>
    </row>
    <row r="886799" spans="21:21" x14ac:dyDescent="0.3">
      <c r="U886799" s="25"/>
    </row>
    <row r="886821" spans="21:21" x14ac:dyDescent="0.3">
      <c r="U886821" s="25"/>
    </row>
    <row r="886843" spans="21:21" x14ac:dyDescent="0.3">
      <c r="U886843" s="25"/>
    </row>
    <row r="886865" spans="21:21" x14ac:dyDescent="0.3">
      <c r="U886865" s="25"/>
    </row>
    <row r="886887" spans="21:21" x14ac:dyDescent="0.3">
      <c r="U886887" s="25"/>
    </row>
    <row r="886909" spans="21:21" x14ac:dyDescent="0.3">
      <c r="U886909" s="25"/>
    </row>
    <row r="886931" spans="21:21" x14ac:dyDescent="0.3">
      <c r="U886931" s="25"/>
    </row>
    <row r="886953" spans="21:21" x14ac:dyDescent="0.3">
      <c r="U886953" s="25"/>
    </row>
    <row r="886975" spans="21:21" x14ac:dyDescent="0.3">
      <c r="U886975" s="25"/>
    </row>
    <row r="886997" spans="21:21" x14ac:dyDescent="0.3">
      <c r="U886997" s="25"/>
    </row>
    <row r="887019" spans="21:21" x14ac:dyDescent="0.3">
      <c r="U887019" s="25"/>
    </row>
    <row r="887041" spans="21:21" x14ac:dyDescent="0.3">
      <c r="U887041" s="25"/>
    </row>
    <row r="887063" spans="21:21" x14ac:dyDescent="0.3">
      <c r="U887063" s="25"/>
    </row>
    <row r="887085" spans="21:21" x14ac:dyDescent="0.3">
      <c r="U887085" s="25"/>
    </row>
    <row r="887107" spans="21:21" x14ac:dyDescent="0.3">
      <c r="U887107" s="25"/>
    </row>
    <row r="887129" spans="21:21" x14ac:dyDescent="0.3">
      <c r="U887129" s="25"/>
    </row>
    <row r="887151" spans="21:21" x14ac:dyDescent="0.3">
      <c r="U887151" s="25"/>
    </row>
    <row r="887173" spans="21:21" x14ac:dyDescent="0.3">
      <c r="U887173" s="25"/>
    </row>
    <row r="887195" spans="21:21" x14ac:dyDescent="0.3">
      <c r="U887195" s="25"/>
    </row>
    <row r="887217" spans="21:21" x14ac:dyDescent="0.3">
      <c r="U887217" s="25"/>
    </row>
    <row r="887239" spans="21:21" x14ac:dyDescent="0.3">
      <c r="U887239" s="25"/>
    </row>
    <row r="887261" spans="21:21" x14ac:dyDescent="0.3">
      <c r="U887261" s="25"/>
    </row>
    <row r="887283" spans="21:21" x14ac:dyDescent="0.3">
      <c r="U887283" s="25"/>
    </row>
    <row r="887305" spans="21:21" x14ac:dyDescent="0.3">
      <c r="U887305" s="25"/>
    </row>
    <row r="887327" spans="21:21" x14ac:dyDescent="0.3">
      <c r="U887327" s="25"/>
    </row>
    <row r="887349" spans="21:21" x14ac:dyDescent="0.3">
      <c r="U887349" s="25"/>
    </row>
    <row r="887371" spans="21:21" x14ac:dyDescent="0.3">
      <c r="U887371" s="25"/>
    </row>
    <row r="887393" spans="21:21" x14ac:dyDescent="0.3">
      <c r="U887393" s="25"/>
    </row>
    <row r="887415" spans="21:21" x14ac:dyDescent="0.3">
      <c r="U887415" s="25"/>
    </row>
    <row r="887437" spans="21:21" x14ac:dyDescent="0.3">
      <c r="U887437" s="25"/>
    </row>
    <row r="887459" spans="21:21" x14ac:dyDescent="0.3">
      <c r="U887459" s="25"/>
    </row>
    <row r="887481" spans="21:21" x14ac:dyDescent="0.3">
      <c r="U887481" s="25"/>
    </row>
    <row r="887503" spans="21:21" x14ac:dyDescent="0.3">
      <c r="U887503" s="25"/>
    </row>
    <row r="887525" spans="21:21" x14ac:dyDescent="0.3">
      <c r="U887525" s="25"/>
    </row>
    <row r="887547" spans="21:21" x14ac:dyDescent="0.3">
      <c r="U887547" s="25"/>
    </row>
    <row r="887569" spans="21:21" x14ac:dyDescent="0.3">
      <c r="U887569" s="25"/>
    </row>
    <row r="887591" spans="21:21" x14ac:dyDescent="0.3">
      <c r="U887591" s="25"/>
    </row>
    <row r="887613" spans="21:21" x14ac:dyDescent="0.3">
      <c r="U887613" s="25"/>
    </row>
    <row r="887635" spans="21:21" x14ac:dyDescent="0.3">
      <c r="U887635" s="25"/>
    </row>
    <row r="887657" spans="21:21" x14ac:dyDescent="0.3">
      <c r="U887657" s="25"/>
    </row>
    <row r="887679" spans="21:21" x14ac:dyDescent="0.3">
      <c r="U887679" s="25"/>
    </row>
    <row r="887701" spans="21:21" x14ac:dyDescent="0.3">
      <c r="U887701" s="25"/>
    </row>
    <row r="887723" spans="21:21" x14ac:dyDescent="0.3">
      <c r="U887723" s="25"/>
    </row>
    <row r="887745" spans="21:21" x14ac:dyDescent="0.3">
      <c r="U887745" s="25"/>
    </row>
    <row r="887767" spans="21:21" x14ac:dyDescent="0.3">
      <c r="U887767" s="25"/>
    </row>
    <row r="887789" spans="21:21" x14ac:dyDescent="0.3">
      <c r="U887789" s="25"/>
    </row>
    <row r="887811" spans="21:21" x14ac:dyDescent="0.3">
      <c r="U887811" s="25"/>
    </row>
    <row r="887833" spans="21:21" x14ac:dyDescent="0.3">
      <c r="U887833" s="25"/>
    </row>
    <row r="887855" spans="21:21" x14ac:dyDescent="0.3">
      <c r="U887855" s="25"/>
    </row>
    <row r="887877" spans="21:21" x14ac:dyDescent="0.3">
      <c r="U887877" s="25"/>
    </row>
    <row r="887899" spans="21:21" x14ac:dyDescent="0.3">
      <c r="U887899" s="25"/>
    </row>
    <row r="887921" spans="21:21" x14ac:dyDescent="0.3">
      <c r="U887921" s="25"/>
    </row>
    <row r="887943" spans="21:21" x14ac:dyDescent="0.3">
      <c r="U887943" s="25"/>
    </row>
    <row r="887965" spans="21:21" x14ac:dyDescent="0.3">
      <c r="U887965" s="25"/>
    </row>
    <row r="887987" spans="21:21" x14ac:dyDescent="0.3">
      <c r="U887987" s="25"/>
    </row>
    <row r="888009" spans="21:21" x14ac:dyDescent="0.3">
      <c r="U888009" s="25"/>
    </row>
    <row r="888031" spans="21:21" x14ac:dyDescent="0.3">
      <c r="U888031" s="25"/>
    </row>
    <row r="888053" spans="21:21" x14ac:dyDescent="0.3">
      <c r="U888053" s="25"/>
    </row>
    <row r="888075" spans="21:21" x14ac:dyDescent="0.3">
      <c r="U888075" s="25"/>
    </row>
    <row r="888097" spans="21:21" x14ac:dyDescent="0.3">
      <c r="U888097" s="25"/>
    </row>
    <row r="888119" spans="21:21" x14ac:dyDescent="0.3">
      <c r="U888119" s="25"/>
    </row>
    <row r="888141" spans="21:21" x14ac:dyDescent="0.3">
      <c r="U888141" s="25"/>
    </row>
    <row r="888163" spans="21:21" x14ac:dyDescent="0.3">
      <c r="U888163" s="25"/>
    </row>
    <row r="888185" spans="21:21" x14ac:dyDescent="0.3">
      <c r="U888185" s="25"/>
    </row>
    <row r="888207" spans="21:21" x14ac:dyDescent="0.3">
      <c r="U888207" s="25"/>
    </row>
    <row r="888229" spans="21:21" x14ac:dyDescent="0.3">
      <c r="U888229" s="25"/>
    </row>
    <row r="888251" spans="21:21" x14ac:dyDescent="0.3">
      <c r="U888251" s="25"/>
    </row>
    <row r="888273" spans="21:21" x14ac:dyDescent="0.3">
      <c r="U888273" s="25"/>
    </row>
    <row r="888295" spans="21:21" x14ac:dyDescent="0.3">
      <c r="U888295" s="25"/>
    </row>
    <row r="888317" spans="21:21" x14ac:dyDescent="0.3">
      <c r="U888317" s="25"/>
    </row>
    <row r="888339" spans="21:21" x14ac:dyDescent="0.3">
      <c r="U888339" s="25"/>
    </row>
    <row r="888361" spans="21:21" x14ac:dyDescent="0.3">
      <c r="U888361" s="25"/>
    </row>
    <row r="888383" spans="21:21" x14ac:dyDescent="0.3">
      <c r="U888383" s="25"/>
    </row>
    <row r="888405" spans="21:21" x14ac:dyDescent="0.3">
      <c r="U888405" s="25"/>
    </row>
    <row r="888427" spans="21:21" x14ac:dyDescent="0.3">
      <c r="U888427" s="25"/>
    </row>
    <row r="888449" spans="21:21" x14ac:dyDescent="0.3">
      <c r="U888449" s="25"/>
    </row>
    <row r="888471" spans="21:21" x14ac:dyDescent="0.3">
      <c r="U888471" s="25"/>
    </row>
    <row r="888493" spans="21:21" x14ac:dyDescent="0.3">
      <c r="U888493" s="25"/>
    </row>
    <row r="888515" spans="21:21" x14ac:dyDescent="0.3">
      <c r="U888515" s="25"/>
    </row>
    <row r="888537" spans="21:21" x14ac:dyDescent="0.3">
      <c r="U888537" s="25"/>
    </row>
    <row r="888559" spans="21:21" x14ac:dyDescent="0.3">
      <c r="U888559" s="25"/>
    </row>
    <row r="888581" spans="21:21" x14ac:dyDescent="0.3">
      <c r="U888581" s="25"/>
    </row>
    <row r="888603" spans="21:21" x14ac:dyDescent="0.3">
      <c r="U888603" s="25"/>
    </row>
    <row r="888625" spans="21:21" x14ac:dyDescent="0.3">
      <c r="U888625" s="25"/>
    </row>
    <row r="888647" spans="21:21" x14ac:dyDescent="0.3">
      <c r="U888647" s="25"/>
    </row>
    <row r="888669" spans="21:21" x14ac:dyDescent="0.3">
      <c r="U888669" s="25"/>
    </row>
    <row r="888691" spans="21:21" x14ac:dyDescent="0.3">
      <c r="U888691" s="25"/>
    </row>
    <row r="888713" spans="21:21" x14ac:dyDescent="0.3">
      <c r="U888713" s="25"/>
    </row>
    <row r="888735" spans="21:21" x14ac:dyDescent="0.3">
      <c r="U888735" s="25"/>
    </row>
    <row r="888757" spans="21:21" x14ac:dyDescent="0.3">
      <c r="U888757" s="25"/>
    </row>
    <row r="888779" spans="21:21" x14ac:dyDescent="0.3">
      <c r="U888779" s="25"/>
    </row>
    <row r="888801" spans="21:21" x14ac:dyDescent="0.3">
      <c r="U888801" s="25"/>
    </row>
    <row r="888823" spans="21:21" x14ac:dyDescent="0.3">
      <c r="U888823" s="25"/>
    </row>
    <row r="888845" spans="21:21" x14ac:dyDescent="0.3">
      <c r="U888845" s="25"/>
    </row>
    <row r="888867" spans="21:21" x14ac:dyDescent="0.3">
      <c r="U888867" s="25"/>
    </row>
    <row r="888889" spans="21:21" x14ac:dyDescent="0.3">
      <c r="U888889" s="25"/>
    </row>
    <row r="888911" spans="21:21" x14ac:dyDescent="0.3">
      <c r="U888911" s="25"/>
    </row>
    <row r="888933" spans="21:21" x14ac:dyDescent="0.3">
      <c r="U888933" s="25"/>
    </row>
    <row r="888955" spans="21:21" x14ac:dyDescent="0.3">
      <c r="U888955" s="25"/>
    </row>
    <row r="888977" spans="21:21" x14ac:dyDescent="0.3">
      <c r="U888977" s="25"/>
    </row>
    <row r="888999" spans="21:21" x14ac:dyDescent="0.3">
      <c r="U888999" s="25"/>
    </row>
    <row r="889021" spans="21:21" x14ac:dyDescent="0.3">
      <c r="U889021" s="25"/>
    </row>
    <row r="889043" spans="21:21" x14ac:dyDescent="0.3">
      <c r="U889043" s="25"/>
    </row>
    <row r="889065" spans="21:21" x14ac:dyDescent="0.3">
      <c r="U889065" s="25"/>
    </row>
    <row r="889087" spans="21:21" x14ac:dyDescent="0.3">
      <c r="U889087" s="25"/>
    </row>
    <row r="889109" spans="21:21" x14ac:dyDescent="0.3">
      <c r="U889109" s="25"/>
    </row>
    <row r="889131" spans="21:21" x14ac:dyDescent="0.3">
      <c r="U889131" s="25"/>
    </row>
    <row r="889153" spans="21:21" x14ac:dyDescent="0.3">
      <c r="U889153" s="25"/>
    </row>
    <row r="889175" spans="21:21" x14ac:dyDescent="0.3">
      <c r="U889175" s="25"/>
    </row>
    <row r="889197" spans="21:21" x14ac:dyDescent="0.3">
      <c r="U889197" s="25"/>
    </row>
    <row r="889219" spans="21:21" x14ac:dyDescent="0.3">
      <c r="U889219" s="25"/>
    </row>
    <row r="889241" spans="21:21" x14ac:dyDescent="0.3">
      <c r="U889241" s="25"/>
    </row>
    <row r="889263" spans="21:21" x14ac:dyDescent="0.3">
      <c r="U889263" s="25"/>
    </row>
    <row r="889285" spans="21:21" x14ac:dyDescent="0.3">
      <c r="U889285" s="25"/>
    </row>
    <row r="889307" spans="21:21" x14ac:dyDescent="0.3">
      <c r="U889307" s="25"/>
    </row>
    <row r="889329" spans="21:21" x14ac:dyDescent="0.3">
      <c r="U889329" s="25"/>
    </row>
    <row r="889351" spans="21:21" x14ac:dyDescent="0.3">
      <c r="U889351" s="25"/>
    </row>
    <row r="889373" spans="21:21" x14ac:dyDescent="0.3">
      <c r="U889373" s="25"/>
    </row>
    <row r="889395" spans="21:21" x14ac:dyDescent="0.3">
      <c r="U889395" s="25"/>
    </row>
    <row r="889417" spans="21:21" x14ac:dyDescent="0.3">
      <c r="U889417" s="25"/>
    </row>
    <row r="889439" spans="21:21" x14ac:dyDescent="0.3">
      <c r="U889439" s="25"/>
    </row>
    <row r="889461" spans="21:21" x14ac:dyDescent="0.3">
      <c r="U889461" s="25"/>
    </row>
    <row r="889483" spans="21:21" x14ac:dyDescent="0.3">
      <c r="U889483" s="25"/>
    </row>
    <row r="889505" spans="21:21" x14ac:dyDescent="0.3">
      <c r="U889505" s="25"/>
    </row>
    <row r="889527" spans="21:21" x14ac:dyDescent="0.3">
      <c r="U889527" s="25"/>
    </row>
    <row r="889549" spans="21:21" x14ac:dyDescent="0.3">
      <c r="U889549" s="25"/>
    </row>
    <row r="889571" spans="21:21" x14ac:dyDescent="0.3">
      <c r="U889571" s="25"/>
    </row>
    <row r="889593" spans="21:21" x14ac:dyDescent="0.3">
      <c r="U889593" s="25"/>
    </row>
    <row r="889615" spans="21:21" x14ac:dyDescent="0.3">
      <c r="U889615" s="25"/>
    </row>
    <row r="889637" spans="21:21" x14ac:dyDescent="0.3">
      <c r="U889637" s="25"/>
    </row>
    <row r="889659" spans="21:21" x14ac:dyDescent="0.3">
      <c r="U889659" s="25"/>
    </row>
    <row r="889681" spans="21:21" x14ac:dyDescent="0.3">
      <c r="U889681" s="25"/>
    </row>
    <row r="889703" spans="21:21" x14ac:dyDescent="0.3">
      <c r="U889703" s="25"/>
    </row>
    <row r="889725" spans="21:21" x14ac:dyDescent="0.3">
      <c r="U889725" s="25"/>
    </row>
    <row r="889747" spans="21:21" x14ac:dyDescent="0.3">
      <c r="U889747" s="25"/>
    </row>
    <row r="889769" spans="21:21" x14ac:dyDescent="0.3">
      <c r="U889769" s="25"/>
    </row>
    <row r="889791" spans="21:21" x14ac:dyDescent="0.3">
      <c r="U889791" s="25"/>
    </row>
    <row r="889813" spans="21:21" x14ac:dyDescent="0.3">
      <c r="U889813" s="25"/>
    </row>
    <row r="889835" spans="21:21" x14ac:dyDescent="0.3">
      <c r="U889835" s="25"/>
    </row>
    <row r="889857" spans="21:21" x14ac:dyDescent="0.3">
      <c r="U889857" s="25"/>
    </row>
    <row r="889879" spans="21:21" x14ac:dyDescent="0.3">
      <c r="U889879" s="25"/>
    </row>
    <row r="889901" spans="21:21" x14ac:dyDescent="0.3">
      <c r="U889901" s="25"/>
    </row>
    <row r="889923" spans="21:21" x14ac:dyDescent="0.3">
      <c r="U889923" s="25"/>
    </row>
    <row r="889945" spans="21:21" x14ac:dyDescent="0.3">
      <c r="U889945" s="25"/>
    </row>
    <row r="889967" spans="21:21" x14ac:dyDescent="0.3">
      <c r="U889967" s="25"/>
    </row>
    <row r="889989" spans="21:21" x14ac:dyDescent="0.3">
      <c r="U889989" s="25"/>
    </row>
    <row r="890011" spans="21:21" x14ac:dyDescent="0.3">
      <c r="U890011" s="25"/>
    </row>
    <row r="890033" spans="21:21" x14ac:dyDescent="0.3">
      <c r="U890033" s="25"/>
    </row>
    <row r="890055" spans="21:21" x14ac:dyDescent="0.3">
      <c r="U890055" s="25"/>
    </row>
    <row r="890077" spans="21:21" x14ac:dyDescent="0.3">
      <c r="U890077" s="25"/>
    </row>
    <row r="890099" spans="21:21" x14ac:dyDescent="0.3">
      <c r="U890099" s="25"/>
    </row>
    <row r="890121" spans="21:21" x14ac:dyDescent="0.3">
      <c r="U890121" s="25"/>
    </row>
    <row r="890143" spans="21:21" x14ac:dyDescent="0.3">
      <c r="U890143" s="25"/>
    </row>
    <row r="890165" spans="21:21" x14ac:dyDescent="0.3">
      <c r="U890165" s="25"/>
    </row>
    <row r="890187" spans="21:21" x14ac:dyDescent="0.3">
      <c r="U890187" s="25"/>
    </row>
    <row r="890209" spans="21:21" x14ac:dyDescent="0.3">
      <c r="U890209" s="25"/>
    </row>
    <row r="890231" spans="21:21" x14ac:dyDescent="0.3">
      <c r="U890231" s="25"/>
    </row>
    <row r="890253" spans="21:21" x14ac:dyDescent="0.3">
      <c r="U890253" s="25"/>
    </row>
    <row r="890275" spans="21:21" x14ac:dyDescent="0.3">
      <c r="U890275" s="25"/>
    </row>
    <row r="890297" spans="21:21" x14ac:dyDescent="0.3">
      <c r="U890297" s="25"/>
    </row>
    <row r="890319" spans="21:21" x14ac:dyDescent="0.3">
      <c r="U890319" s="25"/>
    </row>
    <row r="890341" spans="21:21" x14ac:dyDescent="0.3">
      <c r="U890341" s="25"/>
    </row>
    <row r="890363" spans="21:21" x14ac:dyDescent="0.3">
      <c r="U890363" s="25"/>
    </row>
    <row r="890385" spans="21:21" x14ac:dyDescent="0.3">
      <c r="U890385" s="25"/>
    </row>
    <row r="890407" spans="21:21" x14ac:dyDescent="0.3">
      <c r="U890407" s="25"/>
    </row>
    <row r="890429" spans="21:21" x14ac:dyDescent="0.3">
      <c r="U890429" s="25"/>
    </row>
    <row r="890451" spans="21:21" x14ac:dyDescent="0.3">
      <c r="U890451" s="25"/>
    </row>
    <row r="890473" spans="21:21" x14ac:dyDescent="0.3">
      <c r="U890473" s="25"/>
    </row>
    <row r="890495" spans="21:21" x14ac:dyDescent="0.3">
      <c r="U890495" s="25"/>
    </row>
    <row r="890517" spans="21:21" x14ac:dyDescent="0.3">
      <c r="U890517" s="25"/>
    </row>
    <row r="890539" spans="21:21" x14ac:dyDescent="0.3">
      <c r="U890539" s="25"/>
    </row>
    <row r="890561" spans="21:21" x14ac:dyDescent="0.3">
      <c r="U890561" s="25"/>
    </row>
    <row r="890583" spans="21:21" x14ac:dyDescent="0.3">
      <c r="U890583" s="25"/>
    </row>
    <row r="890605" spans="21:21" x14ac:dyDescent="0.3">
      <c r="U890605" s="25"/>
    </row>
    <row r="890627" spans="21:21" x14ac:dyDescent="0.3">
      <c r="U890627" s="25"/>
    </row>
    <row r="890649" spans="21:21" x14ac:dyDescent="0.3">
      <c r="U890649" s="25"/>
    </row>
    <row r="890671" spans="21:21" x14ac:dyDescent="0.3">
      <c r="U890671" s="25"/>
    </row>
    <row r="890693" spans="21:21" x14ac:dyDescent="0.3">
      <c r="U890693" s="25"/>
    </row>
    <row r="890715" spans="21:21" x14ac:dyDescent="0.3">
      <c r="U890715" s="25"/>
    </row>
    <row r="890737" spans="21:21" x14ac:dyDescent="0.3">
      <c r="U890737" s="25"/>
    </row>
    <row r="890759" spans="21:21" x14ac:dyDescent="0.3">
      <c r="U890759" s="25"/>
    </row>
    <row r="890781" spans="21:21" x14ac:dyDescent="0.3">
      <c r="U890781" s="25"/>
    </row>
    <row r="890803" spans="21:21" x14ac:dyDescent="0.3">
      <c r="U890803" s="25"/>
    </row>
    <row r="890825" spans="21:21" x14ac:dyDescent="0.3">
      <c r="U890825" s="25"/>
    </row>
    <row r="890847" spans="21:21" x14ac:dyDescent="0.3">
      <c r="U890847" s="25"/>
    </row>
    <row r="890869" spans="21:21" x14ac:dyDescent="0.3">
      <c r="U890869" s="25"/>
    </row>
    <row r="890891" spans="21:21" x14ac:dyDescent="0.3">
      <c r="U890891" s="25"/>
    </row>
    <row r="890913" spans="21:21" x14ac:dyDescent="0.3">
      <c r="U890913" s="25"/>
    </row>
    <row r="890935" spans="21:21" x14ac:dyDescent="0.3">
      <c r="U890935" s="25"/>
    </row>
    <row r="890957" spans="21:21" x14ac:dyDescent="0.3">
      <c r="U890957" s="25"/>
    </row>
    <row r="890979" spans="21:21" x14ac:dyDescent="0.3">
      <c r="U890979" s="25"/>
    </row>
    <row r="891001" spans="21:21" x14ac:dyDescent="0.3">
      <c r="U891001" s="25"/>
    </row>
    <row r="891023" spans="21:21" x14ac:dyDescent="0.3">
      <c r="U891023" s="25"/>
    </row>
    <row r="891045" spans="21:21" x14ac:dyDescent="0.3">
      <c r="U891045" s="25"/>
    </row>
    <row r="891067" spans="21:21" x14ac:dyDescent="0.3">
      <c r="U891067" s="25"/>
    </row>
    <row r="891089" spans="21:21" x14ac:dyDescent="0.3">
      <c r="U891089" s="25"/>
    </row>
    <row r="891111" spans="21:21" x14ac:dyDescent="0.3">
      <c r="U891111" s="25"/>
    </row>
    <row r="891133" spans="21:21" x14ac:dyDescent="0.3">
      <c r="U891133" s="25"/>
    </row>
    <row r="891155" spans="21:21" x14ac:dyDescent="0.3">
      <c r="U891155" s="25"/>
    </row>
    <row r="891177" spans="21:21" x14ac:dyDescent="0.3">
      <c r="U891177" s="25"/>
    </row>
    <row r="891199" spans="21:21" x14ac:dyDescent="0.3">
      <c r="U891199" s="25"/>
    </row>
    <row r="891221" spans="21:21" x14ac:dyDescent="0.3">
      <c r="U891221" s="25"/>
    </row>
    <row r="891243" spans="21:21" x14ac:dyDescent="0.3">
      <c r="U891243" s="25"/>
    </row>
    <row r="891265" spans="21:21" x14ac:dyDescent="0.3">
      <c r="U891265" s="25"/>
    </row>
    <row r="891287" spans="21:21" x14ac:dyDescent="0.3">
      <c r="U891287" s="25"/>
    </row>
    <row r="891309" spans="21:21" x14ac:dyDescent="0.3">
      <c r="U891309" s="25"/>
    </row>
    <row r="891331" spans="21:21" x14ac:dyDescent="0.3">
      <c r="U891331" s="25"/>
    </row>
    <row r="891353" spans="21:21" x14ac:dyDescent="0.3">
      <c r="U891353" s="25"/>
    </row>
    <row r="891375" spans="21:21" x14ac:dyDescent="0.3">
      <c r="U891375" s="25"/>
    </row>
    <row r="891397" spans="21:21" x14ac:dyDescent="0.3">
      <c r="U891397" s="25"/>
    </row>
    <row r="891419" spans="21:21" x14ac:dyDescent="0.3">
      <c r="U891419" s="25"/>
    </row>
    <row r="891441" spans="21:21" x14ac:dyDescent="0.3">
      <c r="U891441" s="25"/>
    </row>
    <row r="891463" spans="21:21" x14ac:dyDescent="0.3">
      <c r="U891463" s="25"/>
    </row>
    <row r="891485" spans="21:21" x14ac:dyDescent="0.3">
      <c r="U891485" s="25"/>
    </row>
    <row r="891507" spans="21:21" x14ac:dyDescent="0.3">
      <c r="U891507" s="25"/>
    </row>
    <row r="891529" spans="21:21" x14ac:dyDescent="0.3">
      <c r="U891529" s="25"/>
    </row>
    <row r="891551" spans="21:21" x14ac:dyDescent="0.3">
      <c r="U891551" s="25"/>
    </row>
    <row r="891573" spans="21:21" x14ac:dyDescent="0.3">
      <c r="U891573" s="25"/>
    </row>
    <row r="891595" spans="21:21" x14ac:dyDescent="0.3">
      <c r="U891595" s="25"/>
    </row>
    <row r="891617" spans="21:21" x14ac:dyDescent="0.3">
      <c r="U891617" s="25"/>
    </row>
    <row r="891639" spans="21:21" x14ac:dyDescent="0.3">
      <c r="U891639" s="25"/>
    </row>
    <row r="891661" spans="21:21" x14ac:dyDescent="0.3">
      <c r="U891661" s="25"/>
    </row>
    <row r="891683" spans="21:21" x14ac:dyDescent="0.3">
      <c r="U891683" s="25"/>
    </row>
    <row r="891705" spans="21:21" x14ac:dyDescent="0.3">
      <c r="U891705" s="25"/>
    </row>
    <row r="891727" spans="21:21" x14ac:dyDescent="0.3">
      <c r="U891727" s="25"/>
    </row>
    <row r="891749" spans="21:21" x14ac:dyDescent="0.3">
      <c r="U891749" s="25"/>
    </row>
    <row r="891771" spans="21:21" x14ac:dyDescent="0.3">
      <c r="U891771" s="25"/>
    </row>
    <row r="891793" spans="21:21" x14ac:dyDescent="0.3">
      <c r="U891793" s="25"/>
    </row>
    <row r="891815" spans="21:21" x14ac:dyDescent="0.3">
      <c r="U891815" s="25"/>
    </row>
    <row r="891837" spans="21:21" x14ac:dyDescent="0.3">
      <c r="U891837" s="25"/>
    </row>
    <row r="891859" spans="21:21" x14ac:dyDescent="0.3">
      <c r="U891859" s="25"/>
    </row>
    <row r="891881" spans="21:21" x14ac:dyDescent="0.3">
      <c r="U891881" s="25"/>
    </row>
    <row r="891903" spans="21:21" x14ac:dyDescent="0.3">
      <c r="U891903" s="25"/>
    </row>
    <row r="891925" spans="21:21" x14ac:dyDescent="0.3">
      <c r="U891925" s="25"/>
    </row>
    <row r="891947" spans="21:21" x14ac:dyDescent="0.3">
      <c r="U891947" s="25"/>
    </row>
    <row r="891969" spans="21:21" x14ac:dyDescent="0.3">
      <c r="U891969" s="25"/>
    </row>
    <row r="891991" spans="21:21" x14ac:dyDescent="0.3">
      <c r="U891991" s="25"/>
    </row>
    <row r="892013" spans="21:21" x14ac:dyDescent="0.3">
      <c r="U892013" s="25"/>
    </row>
    <row r="892035" spans="21:21" x14ac:dyDescent="0.3">
      <c r="U892035" s="25"/>
    </row>
    <row r="892057" spans="21:21" x14ac:dyDescent="0.3">
      <c r="U892057" s="25"/>
    </row>
    <row r="892079" spans="21:21" x14ac:dyDescent="0.3">
      <c r="U892079" s="25"/>
    </row>
    <row r="892101" spans="21:21" x14ac:dyDescent="0.3">
      <c r="U892101" s="25"/>
    </row>
    <row r="892123" spans="21:21" x14ac:dyDescent="0.3">
      <c r="U892123" s="25"/>
    </row>
    <row r="892145" spans="21:21" x14ac:dyDescent="0.3">
      <c r="U892145" s="25"/>
    </row>
    <row r="892167" spans="21:21" x14ac:dyDescent="0.3">
      <c r="U892167" s="25"/>
    </row>
    <row r="892189" spans="21:21" x14ac:dyDescent="0.3">
      <c r="U892189" s="25"/>
    </row>
    <row r="892211" spans="21:21" x14ac:dyDescent="0.3">
      <c r="U892211" s="25"/>
    </row>
    <row r="892233" spans="21:21" x14ac:dyDescent="0.3">
      <c r="U892233" s="25"/>
    </row>
    <row r="892255" spans="21:21" x14ac:dyDescent="0.3">
      <c r="U892255" s="25"/>
    </row>
    <row r="892277" spans="21:21" x14ac:dyDescent="0.3">
      <c r="U892277" s="25"/>
    </row>
    <row r="892299" spans="21:21" x14ac:dyDescent="0.3">
      <c r="U892299" s="25"/>
    </row>
    <row r="892321" spans="21:21" x14ac:dyDescent="0.3">
      <c r="U892321" s="25"/>
    </row>
    <row r="892343" spans="21:21" x14ac:dyDescent="0.3">
      <c r="U892343" s="25"/>
    </row>
    <row r="892365" spans="21:21" x14ac:dyDescent="0.3">
      <c r="U892365" s="25"/>
    </row>
    <row r="892387" spans="21:21" x14ac:dyDescent="0.3">
      <c r="U892387" s="25"/>
    </row>
    <row r="892409" spans="21:21" x14ac:dyDescent="0.3">
      <c r="U892409" s="25"/>
    </row>
    <row r="892431" spans="21:21" x14ac:dyDescent="0.3">
      <c r="U892431" s="25"/>
    </row>
    <row r="892453" spans="21:21" x14ac:dyDescent="0.3">
      <c r="U892453" s="25"/>
    </row>
    <row r="892475" spans="21:21" x14ac:dyDescent="0.3">
      <c r="U892475" s="25"/>
    </row>
    <row r="892497" spans="21:21" x14ac:dyDescent="0.3">
      <c r="U892497" s="25"/>
    </row>
    <row r="892519" spans="21:21" x14ac:dyDescent="0.3">
      <c r="U892519" s="25"/>
    </row>
    <row r="892541" spans="21:21" x14ac:dyDescent="0.3">
      <c r="U892541" s="25"/>
    </row>
    <row r="892563" spans="21:21" x14ac:dyDescent="0.3">
      <c r="U892563" s="25"/>
    </row>
    <row r="892585" spans="21:21" x14ac:dyDescent="0.3">
      <c r="U892585" s="25"/>
    </row>
    <row r="892607" spans="21:21" x14ac:dyDescent="0.3">
      <c r="U892607" s="25"/>
    </row>
    <row r="892629" spans="21:21" x14ac:dyDescent="0.3">
      <c r="U892629" s="25"/>
    </row>
    <row r="892651" spans="21:21" x14ac:dyDescent="0.3">
      <c r="U892651" s="25"/>
    </row>
    <row r="892673" spans="21:21" x14ac:dyDescent="0.3">
      <c r="U892673" s="25"/>
    </row>
    <row r="892695" spans="21:21" x14ac:dyDescent="0.3">
      <c r="U892695" s="25"/>
    </row>
    <row r="892717" spans="21:21" x14ac:dyDescent="0.3">
      <c r="U892717" s="25"/>
    </row>
    <row r="892739" spans="21:21" x14ac:dyDescent="0.3">
      <c r="U892739" s="25"/>
    </row>
    <row r="892761" spans="21:21" x14ac:dyDescent="0.3">
      <c r="U892761" s="25"/>
    </row>
    <row r="892783" spans="21:21" x14ac:dyDescent="0.3">
      <c r="U892783" s="25"/>
    </row>
    <row r="892805" spans="21:21" x14ac:dyDescent="0.3">
      <c r="U892805" s="25"/>
    </row>
    <row r="892827" spans="21:21" x14ac:dyDescent="0.3">
      <c r="U892827" s="25"/>
    </row>
    <row r="892849" spans="21:21" x14ac:dyDescent="0.3">
      <c r="U892849" s="25"/>
    </row>
    <row r="892871" spans="21:21" x14ac:dyDescent="0.3">
      <c r="U892871" s="25"/>
    </row>
    <row r="892893" spans="21:21" x14ac:dyDescent="0.3">
      <c r="U892893" s="25"/>
    </row>
    <row r="892915" spans="21:21" x14ac:dyDescent="0.3">
      <c r="U892915" s="25"/>
    </row>
    <row r="892937" spans="21:21" x14ac:dyDescent="0.3">
      <c r="U892937" s="25"/>
    </row>
    <row r="892959" spans="21:21" x14ac:dyDescent="0.3">
      <c r="U892959" s="25"/>
    </row>
    <row r="892981" spans="21:21" x14ac:dyDescent="0.3">
      <c r="U892981" s="25"/>
    </row>
    <row r="893003" spans="21:21" x14ac:dyDescent="0.3">
      <c r="U893003" s="25"/>
    </row>
    <row r="893025" spans="21:21" x14ac:dyDescent="0.3">
      <c r="U893025" s="25"/>
    </row>
    <row r="893047" spans="21:21" x14ac:dyDescent="0.3">
      <c r="U893047" s="25"/>
    </row>
    <row r="893069" spans="21:21" x14ac:dyDescent="0.3">
      <c r="U893069" s="25"/>
    </row>
    <row r="893091" spans="21:21" x14ac:dyDescent="0.3">
      <c r="U893091" s="25"/>
    </row>
    <row r="893113" spans="21:21" x14ac:dyDescent="0.3">
      <c r="U893113" s="25"/>
    </row>
    <row r="893135" spans="21:21" x14ac:dyDescent="0.3">
      <c r="U893135" s="25"/>
    </row>
    <row r="893157" spans="21:21" x14ac:dyDescent="0.3">
      <c r="U893157" s="25"/>
    </row>
    <row r="893179" spans="21:21" x14ac:dyDescent="0.3">
      <c r="U893179" s="25"/>
    </row>
    <row r="893201" spans="21:21" x14ac:dyDescent="0.3">
      <c r="U893201" s="25"/>
    </row>
    <row r="893223" spans="21:21" x14ac:dyDescent="0.3">
      <c r="U893223" s="25"/>
    </row>
    <row r="893245" spans="21:21" x14ac:dyDescent="0.3">
      <c r="U893245" s="25"/>
    </row>
    <row r="893267" spans="21:21" x14ac:dyDescent="0.3">
      <c r="U893267" s="25"/>
    </row>
    <row r="893289" spans="21:21" x14ac:dyDescent="0.3">
      <c r="U893289" s="25"/>
    </row>
    <row r="893311" spans="21:21" x14ac:dyDescent="0.3">
      <c r="U893311" s="25"/>
    </row>
    <row r="893333" spans="21:21" x14ac:dyDescent="0.3">
      <c r="U893333" s="25"/>
    </row>
    <row r="893355" spans="21:21" x14ac:dyDescent="0.3">
      <c r="U893355" s="25"/>
    </row>
    <row r="893377" spans="21:21" x14ac:dyDescent="0.3">
      <c r="U893377" s="25"/>
    </row>
    <row r="893399" spans="21:21" x14ac:dyDescent="0.3">
      <c r="U893399" s="25"/>
    </row>
    <row r="893421" spans="21:21" x14ac:dyDescent="0.3">
      <c r="U893421" s="25"/>
    </row>
    <row r="893443" spans="21:21" x14ac:dyDescent="0.3">
      <c r="U893443" s="25"/>
    </row>
    <row r="893465" spans="21:21" x14ac:dyDescent="0.3">
      <c r="U893465" s="25"/>
    </row>
    <row r="893487" spans="21:21" x14ac:dyDescent="0.3">
      <c r="U893487" s="25"/>
    </row>
    <row r="893509" spans="21:21" x14ac:dyDescent="0.3">
      <c r="U893509" s="25"/>
    </row>
    <row r="893531" spans="21:21" x14ac:dyDescent="0.3">
      <c r="U893531" s="25"/>
    </row>
    <row r="893553" spans="21:21" x14ac:dyDescent="0.3">
      <c r="U893553" s="25"/>
    </row>
    <row r="893575" spans="21:21" x14ac:dyDescent="0.3">
      <c r="U893575" s="25"/>
    </row>
    <row r="893597" spans="21:21" x14ac:dyDescent="0.3">
      <c r="U893597" s="25"/>
    </row>
    <row r="893619" spans="21:21" x14ac:dyDescent="0.3">
      <c r="U893619" s="25"/>
    </row>
    <row r="893641" spans="21:21" x14ac:dyDescent="0.3">
      <c r="U893641" s="25"/>
    </row>
    <row r="893663" spans="21:21" x14ac:dyDescent="0.3">
      <c r="U893663" s="25"/>
    </row>
    <row r="893685" spans="21:21" x14ac:dyDescent="0.3">
      <c r="U893685" s="25"/>
    </row>
    <row r="893707" spans="21:21" x14ac:dyDescent="0.3">
      <c r="U893707" s="25"/>
    </row>
    <row r="893729" spans="21:21" x14ac:dyDescent="0.3">
      <c r="U893729" s="25"/>
    </row>
    <row r="893751" spans="21:21" x14ac:dyDescent="0.3">
      <c r="U893751" s="25"/>
    </row>
    <row r="893773" spans="21:21" x14ac:dyDescent="0.3">
      <c r="U893773" s="25"/>
    </row>
    <row r="893795" spans="21:21" x14ac:dyDescent="0.3">
      <c r="U893795" s="25"/>
    </row>
    <row r="893817" spans="21:21" x14ac:dyDescent="0.3">
      <c r="U893817" s="25"/>
    </row>
    <row r="893839" spans="21:21" x14ac:dyDescent="0.3">
      <c r="U893839" s="25"/>
    </row>
    <row r="893861" spans="21:21" x14ac:dyDescent="0.3">
      <c r="U893861" s="25"/>
    </row>
    <row r="893883" spans="21:21" x14ac:dyDescent="0.3">
      <c r="U893883" s="25"/>
    </row>
    <row r="893905" spans="21:21" x14ac:dyDescent="0.3">
      <c r="U893905" s="25"/>
    </row>
    <row r="893927" spans="21:21" x14ac:dyDescent="0.3">
      <c r="U893927" s="25"/>
    </row>
    <row r="893949" spans="21:21" x14ac:dyDescent="0.3">
      <c r="U893949" s="25"/>
    </row>
    <row r="893971" spans="21:21" x14ac:dyDescent="0.3">
      <c r="U893971" s="25"/>
    </row>
    <row r="893993" spans="21:21" x14ac:dyDescent="0.3">
      <c r="U893993" s="25"/>
    </row>
    <row r="894015" spans="21:21" x14ac:dyDescent="0.3">
      <c r="U894015" s="25"/>
    </row>
    <row r="894037" spans="21:21" x14ac:dyDescent="0.3">
      <c r="U894037" s="25"/>
    </row>
    <row r="894059" spans="21:21" x14ac:dyDescent="0.3">
      <c r="U894059" s="25"/>
    </row>
    <row r="894081" spans="21:21" x14ac:dyDescent="0.3">
      <c r="U894081" s="25"/>
    </row>
    <row r="894103" spans="21:21" x14ac:dyDescent="0.3">
      <c r="U894103" s="25"/>
    </row>
    <row r="894125" spans="21:21" x14ac:dyDescent="0.3">
      <c r="U894125" s="25"/>
    </row>
    <row r="894147" spans="21:21" x14ac:dyDescent="0.3">
      <c r="U894147" s="25"/>
    </row>
    <row r="894169" spans="21:21" x14ac:dyDescent="0.3">
      <c r="U894169" s="25"/>
    </row>
    <row r="894191" spans="21:21" x14ac:dyDescent="0.3">
      <c r="U894191" s="25"/>
    </row>
    <row r="894213" spans="21:21" x14ac:dyDescent="0.3">
      <c r="U894213" s="25"/>
    </row>
    <row r="894235" spans="21:21" x14ac:dyDescent="0.3">
      <c r="U894235" s="25"/>
    </row>
    <row r="894257" spans="21:21" x14ac:dyDescent="0.3">
      <c r="U894257" s="25"/>
    </row>
    <row r="894279" spans="21:21" x14ac:dyDescent="0.3">
      <c r="U894279" s="25"/>
    </row>
    <row r="894301" spans="21:21" x14ac:dyDescent="0.3">
      <c r="U894301" s="25"/>
    </row>
    <row r="894323" spans="21:21" x14ac:dyDescent="0.3">
      <c r="U894323" s="25"/>
    </row>
    <row r="894345" spans="21:21" x14ac:dyDescent="0.3">
      <c r="U894345" s="25"/>
    </row>
    <row r="894367" spans="21:21" x14ac:dyDescent="0.3">
      <c r="U894367" s="25"/>
    </row>
    <row r="894389" spans="21:21" x14ac:dyDescent="0.3">
      <c r="U894389" s="25"/>
    </row>
    <row r="894411" spans="21:21" x14ac:dyDescent="0.3">
      <c r="U894411" s="25"/>
    </row>
    <row r="894433" spans="21:21" x14ac:dyDescent="0.3">
      <c r="U894433" s="25"/>
    </row>
    <row r="894455" spans="21:21" x14ac:dyDescent="0.3">
      <c r="U894455" s="25"/>
    </row>
    <row r="894477" spans="21:21" x14ac:dyDescent="0.3">
      <c r="U894477" s="25"/>
    </row>
    <row r="894499" spans="21:21" x14ac:dyDescent="0.3">
      <c r="U894499" s="25"/>
    </row>
    <row r="894521" spans="21:21" x14ac:dyDescent="0.3">
      <c r="U894521" s="25"/>
    </row>
    <row r="894543" spans="21:21" x14ac:dyDescent="0.3">
      <c r="U894543" s="25"/>
    </row>
    <row r="894565" spans="21:21" x14ac:dyDescent="0.3">
      <c r="U894565" s="25"/>
    </row>
    <row r="894587" spans="21:21" x14ac:dyDescent="0.3">
      <c r="U894587" s="25"/>
    </row>
    <row r="894609" spans="21:21" x14ac:dyDescent="0.3">
      <c r="U894609" s="25"/>
    </row>
    <row r="894631" spans="21:21" x14ac:dyDescent="0.3">
      <c r="U894631" s="25"/>
    </row>
    <row r="894653" spans="21:21" x14ac:dyDescent="0.3">
      <c r="U894653" s="25"/>
    </row>
    <row r="894675" spans="21:21" x14ac:dyDescent="0.3">
      <c r="U894675" s="25"/>
    </row>
    <row r="894697" spans="21:21" x14ac:dyDescent="0.3">
      <c r="U894697" s="25"/>
    </row>
    <row r="894719" spans="21:21" x14ac:dyDescent="0.3">
      <c r="U894719" s="25"/>
    </row>
    <row r="894741" spans="21:21" x14ac:dyDescent="0.3">
      <c r="U894741" s="25"/>
    </row>
    <row r="894763" spans="21:21" x14ac:dyDescent="0.3">
      <c r="U894763" s="25"/>
    </row>
    <row r="894785" spans="21:21" x14ac:dyDescent="0.3">
      <c r="U894785" s="25"/>
    </row>
    <row r="894807" spans="21:21" x14ac:dyDescent="0.3">
      <c r="U894807" s="25"/>
    </row>
    <row r="894829" spans="21:21" x14ac:dyDescent="0.3">
      <c r="U894829" s="25"/>
    </row>
    <row r="894851" spans="21:21" x14ac:dyDescent="0.3">
      <c r="U894851" s="25"/>
    </row>
    <row r="894873" spans="21:21" x14ac:dyDescent="0.3">
      <c r="U894873" s="25"/>
    </row>
    <row r="894895" spans="21:21" x14ac:dyDescent="0.3">
      <c r="U894895" s="25"/>
    </row>
    <row r="894917" spans="21:21" x14ac:dyDescent="0.3">
      <c r="U894917" s="25"/>
    </row>
    <row r="894939" spans="21:21" x14ac:dyDescent="0.3">
      <c r="U894939" s="25"/>
    </row>
    <row r="894961" spans="21:21" x14ac:dyDescent="0.3">
      <c r="U894961" s="25"/>
    </row>
    <row r="894983" spans="21:21" x14ac:dyDescent="0.3">
      <c r="U894983" s="25"/>
    </row>
    <row r="895005" spans="21:21" x14ac:dyDescent="0.3">
      <c r="U895005" s="25"/>
    </row>
    <row r="895027" spans="21:21" x14ac:dyDescent="0.3">
      <c r="U895027" s="25"/>
    </row>
    <row r="895049" spans="21:21" x14ac:dyDescent="0.3">
      <c r="U895049" s="25"/>
    </row>
    <row r="895071" spans="21:21" x14ac:dyDescent="0.3">
      <c r="U895071" s="25"/>
    </row>
    <row r="895093" spans="21:21" x14ac:dyDescent="0.3">
      <c r="U895093" s="25"/>
    </row>
    <row r="895115" spans="21:21" x14ac:dyDescent="0.3">
      <c r="U895115" s="25"/>
    </row>
    <row r="895137" spans="21:21" x14ac:dyDescent="0.3">
      <c r="U895137" s="25"/>
    </row>
    <row r="895159" spans="21:21" x14ac:dyDescent="0.3">
      <c r="U895159" s="25"/>
    </row>
    <row r="895181" spans="21:21" x14ac:dyDescent="0.3">
      <c r="U895181" s="25"/>
    </row>
    <row r="895203" spans="21:21" x14ac:dyDescent="0.3">
      <c r="U895203" s="25"/>
    </row>
    <row r="895225" spans="21:21" x14ac:dyDescent="0.3">
      <c r="U895225" s="25"/>
    </row>
    <row r="895247" spans="21:21" x14ac:dyDescent="0.3">
      <c r="U895247" s="25"/>
    </row>
    <row r="895269" spans="21:21" x14ac:dyDescent="0.3">
      <c r="U895269" s="25"/>
    </row>
    <row r="895291" spans="21:21" x14ac:dyDescent="0.3">
      <c r="U895291" s="25"/>
    </row>
    <row r="895313" spans="21:21" x14ac:dyDescent="0.3">
      <c r="U895313" s="25"/>
    </row>
    <row r="895335" spans="21:21" x14ac:dyDescent="0.3">
      <c r="U895335" s="25"/>
    </row>
    <row r="895357" spans="21:21" x14ac:dyDescent="0.3">
      <c r="U895357" s="25"/>
    </row>
    <row r="895379" spans="21:21" x14ac:dyDescent="0.3">
      <c r="U895379" s="25"/>
    </row>
    <row r="895401" spans="21:21" x14ac:dyDescent="0.3">
      <c r="U895401" s="25"/>
    </row>
    <row r="895423" spans="21:21" x14ac:dyDescent="0.3">
      <c r="U895423" s="25"/>
    </row>
    <row r="895445" spans="21:21" x14ac:dyDescent="0.3">
      <c r="U895445" s="25"/>
    </row>
    <row r="895467" spans="21:21" x14ac:dyDescent="0.3">
      <c r="U895467" s="25"/>
    </row>
    <row r="895489" spans="21:21" x14ac:dyDescent="0.3">
      <c r="U895489" s="25"/>
    </row>
    <row r="895511" spans="21:21" x14ac:dyDescent="0.3">
      <c r="U895511" s="25"/>
    </row>
    <row r="895533" spans="21:21" x14ac:dyDescent="0.3">
      <c r="U895533" s="25"/>
    </row>
    <row r="895555" spans="21:21" x14ac:dyDescent="0.3">
      <c r="U895555" s="25"/>
    </row>
    <row r="895577" spans="21:21" x14ac:dyDescent="0.3">
      <c r="U895577" s="25"/>
    </row>
    <row r="895599" spans="21:21" x14ac:dyDescent="0.3">
      <c r="U895599" s="25"/>
    </row>
    <row r="895621" spans="21:21" x14ac:dyDescent="0.3">
      <c r="U895621" s="25"/>
    </row>
    <row r="895643" spans="21:21" x14ac:dyDescent="0.3">
      <c r="U895643" s="25"/>
    </row>
    <row r="895665" spans="21:21" x14ac:dyDescent="0.3">
      <c r="U895665" s="25"/>
    </row>
    <row r="895687" spans="21:21" x14ac:dyDescent="0.3">
      <c r="U895687" s="25"/>
    </row>
    <row r="895709" spans="21:21" x14ac:dyDescent="0.3">
      <c r="U895709" s="25"/>
    </row>
    <row r="895731" spans="21:21" x14ac:dyDescent="0.3">
      <c r="U895731" s="25"/>
    </row>
    <row r="895753" spans="21:21" x14ac:dyDescent="0.3">
      <c r="U895753" s="25"/>
    </row>
    <row r="895775" spans="21:21" x14ac:dyDescent="0.3">
      <c r="U895775" s="25"/>
    </row>
    <row r="895797" spans="21:21" x14ac:dyDescent="0.3">
      <c r="U895797" s="25"/>
    </row>
    <row r="895819" spans="21:21" x14ac:dyDescent="0.3">
      <c r="U895819" s="25"/>
    </row>
    <row r="895841" spans="21:21" x14ac:dyDescent="0.3">
      <c r="U895841" s="25"/>
    </row>
    <row r="895863" spans="21:21" x14ac:dyDescent="0.3">
      <c r="U895863" s="25"/>
    </row>
    <row r="895885" spans="21:21" x14ac:dyDescent="0.3">
      <c r="U895885" s="25"/>
    </row>
    <row r="895907" spans="21:21" x14ac:dyDescent="0.3">
      <c r="U895907" s="25"/>
    </row>
    <row r="895929" spans="21:21" x14ac:dyDescent="0.3">
      <c r="U895929" s="25"/>
    </row>
    <row r="895951" spans="21:21" x14ac:dyDescent="0.3">
      <c r="U895951" s="25"/>
    </row>
    <row r="895973" spans="21:21" x14ac:dyDescent="0.3">
      <c r="U895973" s="25"/>
    </row>
    <row r="895995" spans="21:21" x14ac:dyDescent="0.3">
      <c r="U895995" s="25"/>
    </row>
    <row r="896017" spans="21:21" x14ac:dyDescent="0.3">
      <c r="U896017" s="25"/>
    </row>
    <row r="896039" spans="21:21" x14ac:dyDescent="0.3">
      <c r="U896039" s="25"/>
    </row>
    <row r="896061" spans="21:21" x14ac:dyDescent="0.3">
      <c r="U896061" s="25"/>
    </row>
    <row r="896083" spans="21:21" x14ac:dyDescent="0.3">
      <c r="U896083" s="25"/>
    </row>
    <row r="896105" spans="21:21" x14ac:dyDescent="0.3">
      <c r="U896105" s="25"/>
    </row>
    <row r="896127" spans="21:21" x14ac:dyDescent="0.3">
      <c r="U896127" s="25"/>
    </row>
    <row r="896149" spans="21:21" x14ac:dyDescent="0.3">
      <c r="U896149" s="25"/>
    </row>
    <row r="896171" spans="21:21" x14ac:dyDescent="0.3">
      <c r="U896171" s="25"/>
    </row>
    <row r="896193" spans="21:21" x14ac:dyDescent="0.3">
      <c r="U896193" s="25"/>
    </row>
    <row r="896215" spans="21:21" x14ac:dyDescent="0.3">
      <c r="U896215" s="25"/>
    </row>
    <row r="896237" spans="21:21" x14ac:dyDescent="0.3">
      <c r="U896237" s="25"/>
    </row>
    <row r="896259" spans="21:21" x14ac:dyDescent="0.3">
      <c r="U896259" s="25"/>
    </row>
    <row r="896281" spans="21:21" x14ac:dyDescent="0.3">
      <c r="U896281" s="25"/>
    </row>
    <row r="896303" spans="21:21" x14ac:dyDescent="0.3">
      <c r="U896303" s="25"/>
    </row>
    <row r="896325" spans="21:21" x14ac:dyDescent="0.3">
      <c r="U896325" s="25"/>
    </row>
    <row r="896347" spans="21:21" x14ac:dyDescent="0.3">
      <c r="U896347" s="25"/>
    </row>
    <row r="896369" spans="21:21" x14ac:dyDescent="0.3">
      <c r="U896369" s="25"/>
    </row>
    <row r="896391" spans="21:21" x14ac:dyDescent="0.3">
      <c r="U896391" s="25"/>
    </row>
    <row r="896413" spans="21:21" x14ac:dyDescent="0.3">
      <c r="U896413" s="25"/>
    </row>
    <row r="896435" spans="21:21" x14ac:dyDescent="0.3">
      <c r="U896435" s="25"/>
    </row>
    <row r="896457" spans="21:21" x14ac:dyDescent="0.3">
      <c r="U896457" s="25"/>
    </row>
    <row r="896479" spans="21:21" x14ac:dyDescent="0.3">
      <c r="U896479" s="25"/>
    </row>
    <row r="896501" spans="21:21" x14ac:dyDescent="0.3">
      <c r="U896501" s="25"/>
    </row>
    <row r="896523" spans="21:21" x14ac:dyDescent="0.3">
      <c r="U896523" s="25"/>
    </row>
    <row r="896545" spans="21:21" x14ac:dyDescent="0.3">
      <c r="U896545" s="25"/>
    </row>
    <row r="896567" spans="21:21" x14ac:dyDescent="0.3">
      <c r="U896567" s="25"/>
    </row>
    <row r="896589" spans="21:21" x14ac:dyDescent="0.3">
      <c r="U896589" s="25"/>
    </row>
    <row r="896611" spans="21:21" x14ac:dyDescent="0.3">
      <c r="U896611" s="25"/>
    </row>
    <row r="896633" spans="21:21" x14ac:dyDescent="0.3">
      <c r="U896633" s="25"/>
    </row>
    <row r="896655" spans="21:21" x14ac:dyDescent="0.3">
      <c r="U896655" s="25"/>
    </row>
    <row r="896677" spans="21:21" x14ac:dyDescent="0.3">
      <c r="U896677" s="25"/>
    </row>
    <row r="896699" spans="21:21" x14ac:dyDescent="0.3">
      <c r="U896699" s="25"/>
    </row>
    <row r="896721" spans="21:21" x14ac:dyDescent="0.3">
      <c r="U896721" s="25"/>
    </row>
    <row r="896743" spans="21:21" x14ac:dyDescent="0.3">
      <c r="U896743" s="25"/>
    </row>
    <row r="896765" spans="21:21" x14ac:dyDescent="0.3">
      <c r="U896765" s="25"/>
    </row>
    <row r="896787" spans="21:21" x14ac:dyDescent="0.3">
      <c r="U896787" s="25"/>
    </row>
    <row r="896809" spans="21:21" x14ac:dyDescent="0.3">
      <c r="U896809" s="25"/>
    </row>
    <row r="896831" spans="21:21" x14ac:dyDescent="0.3">
      <c r="U896831" s="25"/>
    </row>
    <row r="896853" spans="21:21" x14ac:dyDescent="0.3">
      <c r="U896853" s="25"/>
    </row>
    <row r="896875" spans="21:21" x14ac:dyDescent="0.3">
      <c r="U896875" s="25"/>
    </row>
    <row r="896897" spans="21:21" x14ac:dyDescent="0.3">
      <c r="U896897" s="25"/>
    </row>
    <row r="896919" spans="21:21" x14ac:dyDescent="0.3">
      <c r="U896919" s="25"/>
    </row>
    <row r="896941" spans="21:21" x14ac:dyDescent="0.3">
      <c r="U896941" s="25"/>
    </row>
    <row r="896963" spans="21:21" x14ac:dyDescent="0.3">
      <c r="U896963" s="25"/>
    </row>
    <row r="896985" spans="21:21" x14ac:dyDescent="0.3">
      <c r="U896985" s="25"/>
    </row>
    <row r="897007" spans="21:21" x14ac:dyDescent="0.3">
      <c r="U897007" s="25"/>
    </row>
    <row r="897029" spans="21:21" x14ac:dyDescent="0.3">
      <c r="U897029" s="25"/>
    </row>
    <row r="897051" spans="21:21" x14ac:dyDescent="0.3">
      <c r="U897051" s="25"/>
    </row>
    <row r="897073" spans="21:21" x14ac:dyDescent="0.3">
      <c r="U897073" s="25"/>
    </row>
    <row r="897095" spans="21:21" x14ac:dyDescent="0.3">
      <c r="U897095" s="25"/>
    </row>
    <row r="897117" spans="21:21" x14ac:dyDescent="0.3">
      <c r="U897117" s="25"/>
    </row>
    <row r="897139" spans="21:21" x14ac:dyDescent="0.3">
      <c r="U897139" s="25"/>
    </row>
    <row r="897161" spans="21:21" x14ac:dyDescent="0.3">
      <c r="U897161" s="25"/>
    </row>
    <row r="897183" spans="21:21" x14ac:dyDescent="0.3">
      <c r="U897183" s="25"/>
    </row>
    <row r="897205" spans="21:21" x14ac:dyDescent="0.3">
      <c r="U897205" s="25"/>
    </row>
    <row r="897227" spans="21:21" x14ac:dyDescent="0.3">
      <c r="U897227" s="25"/>
    </row>
    <row r="897249" spans="21:21" x14ac:dyDescent="0.3">
      <c r="U897249" s="25"/>
    </row>
    <row r="897271" spans="21:21" x14ac:dyDescent="0.3">
      <c r="U897271" s="25"/>
    </row>
    <row r="897293" spans="21:21" x14ac:dyDescent="0.3">
      <c r="U897293" s="25"/>
    </row>
    <row r="897315" spans="21:21" x14ac:dyDescent="0.3">
      <c r="U897315" s="25"/>
    </row>
    <row r="897337" spans="21:21" x14ac:dyDescent="0.3">
      <c r="U897337" s="25"/>
    </row>
    <row r="897359" spans="21:21" x14ac:dyDescent="0.3">
      <c r="U897359" s="25"/>
    </row>
    <row r="897381" spans="21:21" x14ac:dyDescent="0.3">
      <c r="U897381" s="25"/>
    </row>
    <row r="897403" spans="21:21" x14ac:dyDescent="0.3">
      <c r="U897403" s="25"/>
    </row>
    <row r="897425" spans="21:21" x14ac:dyDescent="0.3">
      <c r="U897425" s="25"/>
    </row>
    <row r="897447" spans="21:21" x14ac:dyDescent="0.3">
      <c r="U897447" s="25"/>
    </row>
    <row r="897469" spans="21:21" x14ac:dyDescent="0.3">
      <c r="U897469" s="25"/>
    </row>
    <row r="897491" spans="21:21" x14ac:dyDescent="0.3">
      <c r="U897491" s="25"/>
    </row>
    <row r="897513" spans="21:21" x14ac:dyDescent="0.3">
      <c r="U897513" s="25"/>
    </row>
    <row r="897535" spans="21:21" x14ac:dyDescent="0.3">
      <c r="U897535" s="25"/>
    </row>
    <row r="897557" spans="21:21" x14ac:dyDescent="0.3">
      <c r="U897557" s="25"/>
    </row>
    <row r="897579" spans="21:21" x14ac:dyDescent="0.3">
      <c r="U897579" s="25"/>
    </row>
    <row r="897601" spans="21:21" x14ac:dyDescent="0.3">
      <c r="U897601" s="25"/>
    </row>
    <row r="897623" spans="21:21" x14ac:dyDescent="0.3">
      <c r="U897623" s="25"/>
    </row>
    <row r="897645" spans="21:21" x14ac:dyDescent="0.3">
      <c r="U897645" s="25"/>
    </row>
    <row r="897667" spans="21:21" x14ac:dyDescent="0.3">
      <c r="U897667" s="25"/>
    </row>
    <row r="897689" spans="21:21" x14ac:dyDescent="0.3">
      <c r="U897689" s="25"/>
    </row>
    <row r="897711" spans="21:21" x14ac:dyDescent="0.3">
      <c r="U897711" s="25"/>
    </row>
    <row r="897733" spans="21:21" x14ac:dyDescent="0.3">
      <c r="U897733" s="25"/>
    </row>
    <row r="897755" spans="21:21" x14ac:dyDescent="0.3">
      <c r="U897755" s="25"/>
    </row>
    <row r="897777" spans="21:21" x14ac:dyDescent="0.3">
      <c r="U897777" s="25"/>
    </row>
    <row r="897799" spans="21:21" x14ac:dyDescent="0.3">
      <c r="U897799" s="25"/>
    </row>
    <row r="897821" spans="21:21" x14ac:dyDescent="0.3">
      <c r="U897821" s="25"/>
    </row>
    <row r="897843" spans="21:21" x14ac:dyDescent="0.3">
      <c r="U897843" s="25"/>
    </row>
    <row r="897865" spans="21:21" x14ac:dyDescent="0.3">
      <c r="U897865" s="25"/>
    </row>
    <row r="897887" spans="21:21" x14ac:dyDescent="0.3">
      <c r="U897887" s="25"/>
    </row>
    <row r="897909" spans="21:21" x14ac:dyDescent="0.3">
      <c r="U897909" s="25"/>
    </row>
    <row r="897931" spans="21:21" x14ac:dyDescent="0.3">
      <c r="U897931" s="25"/>
    </row>
    <row r="897953" spans="21:21" x14ac:dyDescent="0.3">
      <c r="U897953" s="25"/>
    </row>
    <row r="897975" spans="21:21" x14ac:dyDescent="0.3">
      <c r="U897975" s="25"/>
    </row>
    <row r="897997" spans="21:21" x14ac:dyDescent="0.3">
      <c r="U897997" s="25"/>
    </row>
    <row r="898019" spans="21:21" x14ac:dyDescent="0.3">
      <c r="U898019" s="25"/>
    </row>
    <row r="898041" spans="21:21" x14ac:dyDescent="0.3">
      <c r="U898041" s="25"/>
    </row>
    <row r="898063" spans="21:21" x14ac:dyDescent="0.3">
      <c r="U898063" s="25"/>
    </row>
    <row r="898085" spans="21:21" x14ac:dyDescent="0.3">
      <c r="U898085" s="25"/>
    </row>
    <row r="898107" spans="21:21" x14ac:dyDescent="0.3">
      <c r="U898107" s="25"/>
    </row>
    <row r="898129" spans="21:21" x14ac:dyDescent="0.3">
      <c r="U898129" s="25"/>
    </row>
    <row r="898151" spans="21:21" x14ac:dyDescent="0.3">
      <c r="U898151" s="25"/>
    </row>
    <row r="898173" spans="21:21" x14ac:dyDescent="0.3">
      <c r="U898173" s="25"/>
    </row>
    <row r="898195" spans="21:21" x14ac:dyDescent="0.3">
      <c r="U898195" s="25"/>
    </row>
    <row r="898217" spans="21:21" x14ac:dyDescent="0.3">
      <c r="U898217" s="25"/>
    </row>
    <row r="898239" spans="21:21" x14ac:dyDescent="0.3">
      <c r="U898239" s="25"/>
    </row>
    <row r="898261" spans="21:21" x14ac:dyDescent="0.3">
      <c r="U898261" s="25"/>
    </row>
    <row r="898283" spans="21:21" x14ac:dyDescent="0.3">
      <c r="U898283" s="25"/>
    </row>
    <row r="898305" spans="21:21" x14ac:dyDescent="0.3">
      <c r="U898305" s="25"/>
    </row>
    <row r="898327" spans="21:21" x14ac:dyDescent="0.3">
      <c r="U898327" s="25"/>
    </row>
    <row r="898349" spans="21:21" x14ac:dyDescent="0.3">
      <c r="U898349" s="25"/>
    </row>
    <row r="898371" spans="21:21" x14ac:dyDescent="0.3">
      <c r="U898371" s="25"/>
    </row>
    <row r="898393" spans="21:21" x14ac:dyDescent="0.3">
      <c r="U898393" s="25"/>
    </row>
    <row r="898415" spans="21:21" x14ac:dyDescent="0.3">
      <c r="U898415" s="25"/>
    </row>
    <row r="898437" spans="21:21" x14ac:dyDescent="0.3">
      <c r="U898437" s="25"/>
    </row>
    <row r="898459" spans="21:21" x14ac:dyDescent="0.3">
      <c r="U898459" s="25"/>
    </row>
    <row r="898481" spans="21:21" x14ac:dyDescent="0.3">
      <c r="U898481" s="25"/>
    </row>
    <row r="898503" spans="21:21" x14ac:dyDescent="0.3">
      <c r="U898503" s="25"/>
    </row>
    <row r="898525" spans="21:21" x14ac:dyDescent="0.3">
      <c r="U898525" s="25"/>
    </row>
    <row r="898547" spans="21:21" x14ac:dyDescent="0.3">
      <c r="U898547" s="25"/>
    </row>
    <row r="898569" spans="21:21" x14ac:dyDescent="0.3">
      <c r="U898569" s="25"/>
    </row>
    <row r="898591" spans="21:21" x14ac:dyDescent="0.3">
      <c r="U898591" s="25"/>
    </row>
    <row r="898613" spans="21:21" x14ac:dyDescent="0.3">
      <c r="U898613" s="25"/>
    </row>
    <row r="898635" spans="21:21" x14ac:dyDescent="0.3">
      <c r="U898635" s="25"/>
    </row>
    <row r="898657" spans="21:21" x14ac:dyDescent="0.3">
      <c r="U898657" s="25"/>
    </row>
    <row r="898679" spans="21:21" x14ac:dyDescent="0.3">
      <c r="U898679" s="25"/>
    </row>
    <row r="898701" spans="21:21" x14ac:dyDescent="0.3">
      <c r="U898701" s="25"/>
    </row>
    <row r="898723" spans="21:21" x14ac:dyDescent="0.3">
      <c r="U898723" s="25"/>
    </row>
    <row r="898745" spans="21:21" x14ac:dyDescent="0.3">
      <c r="U898745" s="25"/>
    </row>
    <row r="898767" spans="21:21" x14ac:dyDescent="0.3">
      <c r="U898767" s="25"/>
    </row>
    <row r="898789" spans="21:21" x14ac:dyDescent="0.3">
      <c r="U898789" s="25"/>
    </row>
    <row r="898811" spans="21:21" x14ac:dyDescent="0.3">
      <c r="U898811" s="25"/>
    </row>
    <row r="898833" spans="21:21" x14ac:dyDescent="0.3">
      <c r="U898833" s="25"/>
    </row>
    <row r="898855" spans="21:21" x14ac:dyDescent="0.3">
      <c r="U898855" s="25"/>
    </row>
    <row r="898877" spans="21:21" x14ac:dyDescent="0.3">
      <c r="U898877" s="25"/>
    </row>
    <row r="898899" spans="21:21" x14ac:dyDescent="0.3">
      <c r="U898899" s="25"/>
    </row>
    <row r="898921" spans="21:21" x14ac:dyDescent="0.3">
      <c r="U898921" s="25"/>
    </row>
    <row r="898943" spans="21:21" x14ac:dyDescent="0.3">
      <c r="U898943" s="25"/>
    </row>
    <row r="898965" spans="21:21" x14ac:dyDescent="0.3">
      <c r="U898965" s="25"/>
    </row>
    <row r="898987" spans="21:21" x14ac:dyDescent="0.3">
      <c r="U898987" s="25"/>
    </row>
    <row r="899009" spans="21:21" x14ac:dyDescent="0.3">
      <c r="U899009" s="25"/>
    </row>
    <row r="899031" spans="21:21" x14ac:dyDescent="0.3">
      <c r="U899031" s="25"/>
    </row>
    <row r="899053" spans="21:21" x14ac:dyDescent="0.3">
      <c r="U899053" s="25"/>
    </row>
    <row r="899075" spans="21:21" x14ac:dyDescent="0.3">
      <c r="U899075" s="25"/>
    </row>
    <row r="899097" spans="21:21" x14ac:dyDescent="0.3">
      <c r="U899097" s="25"/>
    </row>
    <row r="899119" spans="21:21" x14ac:dyDescent="0.3">
      <c r="U899119" s="25"/>
    </row>
    <row r="899141" spans="21:21" x14ac:dyDescent="0.3">
      <c r="U899141" s="25"/>
    </row>
    <row r="899163" spans="21:21" x14ac:dyDescent="0.3">
      <c r="U899163" s="25"/>
    </row>
    <row r="899185" spans="21:21" x14ac:dyDescent="0.3">
      <c r="U899185" s="25"/>
    </row>
    <row r="899207" spans="21:21" x14ac:dyDescent="0.3">
      <c r="U899207" s="25"/>
    </row>
    <row r="899229" spans="21:21" x14ac:dyDescent="0.3">
      <c r="U899229" s="25"/>
    </row>
    <row r="899251" spans="21:21" x14ac:dyDescent="0.3">
      <c r="U899251" s="25"/>
    </row>
    <row r="899273" spans="21:21" x14ac:dyDescent="0.3">
      <c r="U899273" s="25"/>
    </row>
    <row r="899295" spans="21:21" x14ac:dyDescent="0.3">
      <c r="U899295" s="25"/>
    </row>
    <row r="899317" spans="21:21" x14ac:dyDescent="0.3">
      <c r="U899317" s="25"/>
    </row>
    <row r="899339" spans="21:21" x14ac:dyDescent="0.3">
      <c r="U899339" s="25"/>
    </row>
    <row r="899361" spans="21:21" x14ac:dyDescent="0.3">
      <c r="U899361" s="25"/>
    </row>
    <row r="899383" spans="21:21" x14ac:dyDescent="0.3">
      <c r="U899383" s="25"/>
    </row>
    <row r="899405" spans="21:21" x14ac:dyDescent="0.3">
      <c r="U899405" s="25"/>
    </row>
    <row r="899427" spans="21:21" x14ac:dyDescent="0.3">
      <c r="U899427" s="25"/>
    </row>
    <row r="899449" spans="21:21" x14ac:dyDescent="0.3">
      <c r="U899449" s="25"/>
    </row>
    <row r="899471" spans="21:21" x14ac:dyDescent="0.3">
      <c r="U899471" s="25"/>
    </row>
    <row r="899493" spans="21:21" x14ac:dyDescent="0.3">
      <c r="U899493" s="25"/>
    </row>
    <row r="899515" spans="21:21" x14ac:dyDescent="0.3">
      <c r="U899515" s="25"/>
    </row>
    <row r="899537" spans="21:21" x14ac:dyDescent="0.3">
      <c r="U899537" s="25"/>
    </row>
    <row r="899559" spans="21:21" x14ac:dyDescent="0.3">
      <c r="U899559" s="25"/>
    </row>
    <row r="899581" spans="21:21" x14ac:dyDescent="0.3">
      <c r="U899581" s="25"/>
    </row>
    <row r="899603" spans="21:21" x14ac:dyDescent="0.3">
      <c r="U899603" s="25"/>
    </row>
    <row r="899625" spans="21:21" x14ac:dyDescent="0.3">
      <c r="U899625" s="25"/>
    </row>
    <row r="899647" spans="21:21" x14ac:dyDescent="0.3">
      <c r="U899647" s="25"/>
    </row>
    <row r="899669" spans="21:21" x14ac:dyDescent="0.3">
      <c r="U899669" s="25"/>
    </row>
    <row r="899691" spans="21:21" x14ac:dyDescent="0.3">
      <c r="U899691" s="25"/>
    </row>
    <row r="899713" spans="21:21" x14ac:dyDescent="0.3">
      <c r="U899713" s="25"/>
    </row>
    <row r="899735" spans="21:21" x14ac:dyDescent="0.3">
      <c r="U899735" s="25"/>
    </row>
    <row r="899757" spans="21:21" x14ac:dyDescent="0.3">
      <c r="U899757" s="25"/>
    </row>
    <row r="899779" spans="21:21" x14ac:dyDescent="0.3">
      <c r="U899779" s="25"/>
    </row>
    <row r="899801" spans="21:21" x14ac:dyDescent="0.3">
      <c r="U899801" s="25"/>
    </row>
    <row r="899823" spans="21:21" x14ac:dyDescent="0.3">
      <c r="U899823" s="25"/>
    </row>
    <row r="899845" spans="21:21" x14ac:dyDescent="0.3">
      <c r="U899845" s="25"/>
    </row>
    <row r="899867" spans="21:21" x14ac:dyDescent="0.3">
      <c r="U899867" s="25"/>
    </row>
    <row r="899889" spans="21:21" x14ac:dyDescent="0.3">
      <c r="U899889" s="25"/>
    </row>
    <row r="899911" spans="21:21" x14ac:dyDescent="0.3">
      <c r="U899911" s="25"/>
    </row>
    <row r="899933" spans="21:21" x14ac:dyDescent="0.3">
      <c r="U899933" s="25"/>
    </row>
    <row r="899955" spans="21:21" x14ac:dyDescent="0.3">
      <c r="U899955" s="25"/>
    </row>
    <row r="899977" spans="21:21" x14ac:dyDescent="0.3">
      <c r="U899977" s="25"/>
    </row>
    <row r="899999" spans="21:21" x14ac:dyDescent="0.3">
      <c r="U899999" s="25"/>
    </row>
    <row r="900021" spans="21:21" x14ac:dyDescent="0.3">
      <c r="U900021" s="25"/>
    </row>
    <row r="900043" spans="21:21" x14ac:dyDescent="0.3">
      <c r="U900043" s="25"/>
    </row>
    <row r="900065" spans="21:21" x14ac:dyDescent="0.3">
      <c r="U900065" s="25"/>
    </row>
    <row r="900087" spans="21:21" x14ac:dyDescent="0.3">
      <c r="U900087" s="25"/>
    </row>
    <row r="900109" spans="21:21" x14ac:dyDescent="0.3">
      <c r="U900109" s="25"/>
    </row>
    <row r="900131" spans="21:21" x14ac:dyDescent="0.3">
      <c r="U900131" s="25"/>
    </row>
    <row r="900153" spans="21:21" x14ac:dyDescent="0.3">
      <c r="U900153" s="25"/>
    </row>
    <row r="900175" spans="21:21" x14ac:dyDescent="0.3">
      <c r="U900175" s="25"/>
    </row>
    <row r="900197" spans="21:21" x14ac:dyDescent="0.3">
      <c r="U900197" s="25"/>
    </row>
    <row r="900219" spans="21:21" x14ac:dyDescent="0.3">
      <c r="U900219" s="25"/>
    </row>
    <row r="900241" spans="21:21" x14ac:dyDescent="0.3">
      <c r="U900241" s="25"/>
    </row>
    <row r="900263" spans="21:21" x14ac:dyDescent="0.3">
      <c r="U900263" s="25"/>
    </row>
    <row r="900285" spans="21:21" x14ac:dyDescent="0.3">
      <c r="U900285" s="25"/>
    </row>
    <row r="900307" spans="21:21" x14ac:dyDescent="0.3">
      <c r="U900307" s="25"/>
    </row>
    <row r="900329" spans="21:21" x14ac:dyDescent="0.3">
      <c r="U900329" s="25"/>
    </row>
    <row r="900351" spans="21:21" x14ac:dyDescent="0.3">
      <c r="U900351" s="25"/>
    </row>
    <row r="900373" spans="21:21" x14ac:dyDescent="0.3">
      <c r="U900373" s="25"/>
    </row>
    <row r="900395" spans="21:21" x14ac:dyDescent="0.3">
      <c r="U900395" s="25"/>
    </row>
    <row r="900417" spans="21:21" x14ac:dyDescent="0.3">
      <c r="U900417" s="25"/>
    </row>
    <row r="900439" spans="21:21" x14ac:dyDescent="0.3">
      <c r="U900439" s="25"/>
    </row>
    <row r="900461" spans="21:21" x14ac:dyDescent="0.3">
      <c r="U900461" s="25"/>
    </row>
    <row r="900483" spans="21:21" x14ac:dyDescent="0.3">
      <c r="U900483" s="25"/>
    </row>
    <row r="900505" spans="21:21" x14ac:dyDescent="0.3">
      <c r="U900505" s="25"/>
    </row>
    <row r="900527" spans="21:21" x14ac:dyDescent="0.3">
      <c r="U900527" s="25"/>
    </row>
    <row r="900549" spans="21:21" x14ac:dyDescent="0.3">
      <c r="U900549" s="25"/>
    </row>
    <row r="900571" spans="21:21" x14ac:dyDescent="0.3">
      <c r="U900571" s="25"/>
    </row>
    <row r="900593" spans="21:21" x14ac:dyDescent="0.3">
      <c r="U900593" s="25"/>
    </row>
    <row r="900615" spans="21:21" x14ac:dyDescent="0.3">
      <c r="U900615" s="25"/>
    </row>
    <row r="900637" spans="21:21" x14ac:dyDescent="0.3">
      <c r="U900637" s="25"/>
    </row>
    <row r="900659" spans="21:21" x14ac:dyDescent="0.3">
      <c r="U900659" s="25"/>
    </row>
    <row r="900681" spans="21:21" x14ac:dyDescent="0.3">
      <c r="U900681" s="25"/>
    </row>
    <row r="900703" spans="21:21" x14ac:dyDescent="0.3">
      <c r="U900703" s="25"/>
    </row>
    <row r="900725" spans="21:21" x14ac:dyDescent="0.3">
      <c r="U900725" s="25"/>
    </row>
    <row r="900747" spans="21:21" x14ac:dyDescent="0.3">
      <c r="U900747" s="25"/>
    </row>
    <row r="900769" spans="21:21" x14ac:dyDescent="0.3">
      <c r="U900769" s="25"/>
    </row>
    <row r="900791" spans="21:21" x14ac:dyDescent="0.3">
      <c r="U900791" s="25"/>
    </row>
    <row r="900813" spans="21:21" x14ac:dyDescent="0.3">
      <c r="U900813" s="25"/>
    </row>
    <row r="900835" spans="21:21" x14ac:dyDescent="0.3">
      <c r="U900835" s="25"/>
    </row>
    <row r="900857" spans="21:21" x14ac:dyDescent="0.3">
      <c r="U900857" s="25"/>
    </row>
    <row r="900879" spans="21:21" x14ac:dyDescent="0.3">
      <c r="U900879" s="25"/>
    </row>
    <row r="900901" spans="21:21" x14ac:dyDescent="0.3">
      <c r="U900901" s="25"/>
    </row>
    <row r="900923" spans="21:21" x14ac:dyDescent="0.3">
      <c r="U900923" s="25"/>
    </row>
    <row r="900945" spans="21:21" x14ac:dyDescent="0.3">
      <c r="U900945" s="25"/>
    </row>
    <row r="900967" spans="21:21" x14ac:dyDescent="0.3">
      <c r="U900967" s="25"/>
    </row>
    <row r="900989" spans="21:21" x14ac:dyDescent="0.3">
      <c r="U900989" s="25"/>
    </row>
    <row r="901011" spans="21:21" x14ac:dyDescent="0.3">
      <c r="U901011" s="25"/>
    </row>
    <row r="901033" spans="21:21" x14ac:dyDescent="0.3">
      <c r="U901033" s="25"/>
    </row>
    <row r="901055" spans="21:21" x14ac:dyDescent="0.3">
      <c r="U901055" s="25"/>
    </row>
    <row r="901077" spans="21:21" x14ac:dyDescent="0.3">
      <c r="U901077" s="25"/>
    </row>
    <row r="901099" spans="21:21" x14ac:dyDescent="0.3">
      <c r="U901099" s="25"/>
    </row>
    <row r="901121" spans="21:21" x14ac:dyDescent="0.3">
      <c r="U901121" s="25"/>
    </row>
    <row r="901143" spans="21:21" x14ac:dyDescent="0.3">
      <c r="U901143" s="25"/>
    </row>
    <row r="901165" spans="21:21" x14ac:dyDescent="0.3">
      <c r="U901165" s="25"/>
    </row>
    <row r="901187" spans="21:21" x14ac:dyDescent="0.3">
      <c r="U901187" s="25"/>
    </row>
    <row r="901209" spans="21:21" x14ac:dyDescent="0.3">
      <c r="U901209" s="25"/>
    </row>
    <row r="901231" spans="21:21" x14ac:dyDescent="0.3">
      <c r="U901231" s="25"/>
    </row>
    <row r="901253" spans="21:21" x14ac:dyDescent="0.3">
      <c r="U901253" s="25"/>
    </row>
    <row r="901275" spans="21:21" x14ac:dyDescent="0.3">
      <c r="U901275" s="25"/>
    </row>
    <row r="901297" spans="21:21" x14ac:dyDescent="0.3">
      <c r="U901297" s="25"/>
    </row>
    <row r="901319" spans="21:21" x14ac:dyDescent="0.3">
      <c r="U901319" s="25"/>
    </row>
    <row r="901341" spans="21:21" x14ac:dyDescent="0.3">
      <c r="U901341" s="25"/>
    </row>
    <row r="901363" spans="21:21" x14ac:dyDescent="0.3">
      <c r="U901363" s="25"/>
    </row>
    <row r="901385" spans="21:21" x14ac:dyDescent="0.3">
      <c r="U901385" s="25"/>
    </row>
    <row r="901407" spans="21:21" x14ac:dyDescent="0.3">
      <c r="U901407" s="25"/>
    </row>
    <row r="901429" spans="21:21" x14ac:dyDescent="0.3">
      <c r="U901429" s="25"/>
    </row>
    <row r="901451" spans="21:21" x14ac:dyDescent="0.3">
      <c r="U901451" s="25"/>
    </row>
    <row r="901473" spans="21:21" x14ac:dyDescent="0.3">
      <c r="U901473" s="25"/>
    </row>
    <row r="901495" spans="21:21" x14ac:dyDescent="0.3">
      <c r="U901495" s="25"/>
    </row>
    <row r="901517" spans="21:21" x14ac:dyDescent="0.3">
      <c r="U901517" s="25"/>
    </row>
    <row r="901539" spans="21:21" x14ac:dyDescent="0.3">
      <c r="U901539" s="25"/>
    </row>
    <row r="901561" spans="21:21" x14ac:dyDescent="0.3">
      <c r="U901561" s="25"/>
    </row>
    <row r="901583" spans="21:21" x14ac:dyDescent="0.3">
      <c r="U901583" s="25"/>
    </row>
    <row r="901605" spans="21:21" x14ac:dyDescent="0.3">
      <c r="U901605" s="25"/>
    </row>
    <row r="901627" spans="21:21" x14ac:dyDescent="0.3">
      <c r="U901627" s="25"/>
    </row>
    <row r="901649" spans="21:21" x14ac:dyDescent="0.3">
      <c r="U901649" s="25"/>
    </row>
    <row r="901671" spans="21:21" x14ac:dyDescent="0.3">
      <c r="U901671" s="25"/>
    </row>
    <row r="901693" spans="21:21" x14ac:dyDescent="0.3">
      <c r="U901693" s="25"/>
    </row>
    <row r="901715" spans="21:21" x14ac:dyDescent="0.3">
      <c r="U901715" s="25"/>
    </row>
    <row r="901737" spans="21:21" x14ac:dyDescent="0.3">
      <c r="U901737" s="25"/>
    </row>
    <row r="901759" spans="21:21" x14ac:dyDescent="0.3">
      <c r="U901759" s="25"/>
    </row>
    <row r="901781" spans="21:21" x14ac:dyDescent="0.3">
      <c r="U901781" s="25"/>
    </row>
    <row r="901803" spans="21:21" x14ac:dyDescent="0.3">
      <c r="U901803" s="25"/>
    </row>
    <row r="901825" spans="21:21" x14ac:dyDescent="0.3">
      <c r="U901825" s="25"/>
    </row>
    <row r="901847" spans="21:21" x14ac:dyDescent="0.3">
      <c r="U901847" s="25"/>
    </row>
    <row r="901869" spans="21:21" x14ac:dyDescent="0.3">
      <c r="U901869" s="25"/>
    </row>
    <row r="901891" spans="21:21" x14ac:dyDescent="0.3">
      <c r="U901891" s="25"/>
    </row>
    <row r="901913" spans="21:21" x14ac:dyDescent="0.3">
      <c r="U901913" s="25"/>
    </row>
    <row r="901935" spans="21:21" x14ac:dyDescent="0.3">
      <c r="U901935" s="25"/>
    </row>
    <row r="901957" spans="21:21" x14ac:dyDescent="0.3">
      <c r="U901957" s="25"/>
    </row>
    <row r="901979" spans="21:21" x14ac:dyDescent="0.3">
      <c r="U901979" s="25"/>
    </row>
    <row r="902001" spans="21:21" x14ac:dyDescent="0.3">
      <c r="U902001" s="25"/>
    </row>
    <row r="902023" spans="21:21" x14ac:dyDescent="0.3">
      <c r="U902023" s="25"/>
    </row>
    <row r="902045" spans="21:21" x14ac:dyDescent="0.3">
      <c r="U902045" s="25"/>
    </row>
    <row r="902067" spans="21:21" x14ac:dyDescent="0.3">
      <c r="U902067" s="25"/>
    </row>
    <row r="902089" spans="21:21" x14ac:dyDescent="0.3">
      <c r="U902089" s="25"/>
    </row>
    <row r="902111" spans="21:21" x14ac:dyDescent="0.3">
      <c r="U902111" s="25"/>
    </row>
    <row r="902133" spans="21:21" x14ac:dyDescent="0.3">
      <c r="U902133" s="25"/>
    </row>
    <row r="902155" spans="21:21" x14ac:dyDescent="0.3">
      <c r="U902155" s="25"/>
    </row>
    <row r="902177" spans="21:21" x14ac:dyDescent="0.3">
      <c r="U902177" s="25"/>
    </row>
    <row r="902199" spans="21:21" x14ac:dyDescent="0.3">
      <c r="U902199" s="25"/>
    </row>
    <row r="902221" spans="21:21" x14ac:dyDescent="0.3">
      <c r="U902221" s="25"/>
    </row>
    <row r="902243" spans="21:21" x14ac:dyDescent="0.3">
      <c r="U902243" s="25"/>
    </row>
    <row r="902265" spans="21:21" x14ac:dyDescent="0.3">
      <c r="U902265" s="25"/>
    </row>
    <row r="902287" spans="21:21" x14ac:dyDescent="0.3">
      <c r="U902287" s="25"/>
    </row>
    <row r="902309" spans="21:21" x14ac:dyDescent="0.3">
      <c r="U902309" s="25"/>
    </row>
    <row r="902331" spans="21:21" x14ac:dyDescent="0.3">
      <c r="U902331" s="25"/>
    </row>
    <row r="902353" spans="21:21" x14ac:dyDescent="0.3">
      <c r="U902353" s="25"/>
    </row>
    <row r="902375" spans="21:21" x14ac:dyDescent="0.3">
      <c r="U902375" s="25"/>
    </row>
    <row r="902397" spans="21:21" x14ac:dyDescent="0.3">
      <c r="U902397" s="25"/>
    </row>
    <row r="902419" spans="21:21" x14ac:dyDescent="0.3">
      <c r="U902419" s="25"/>
    </row>
    <row r="902441" spans="21:21" x14ac:dyDescent="0.3">
      <c r="U902441" s="25"/>
    </row>
    <row r="902463" spans="21:21" x14ac:dyDescent="0.3">
      <c r="U902463" s="25"/>
    </row>
    <row r="902485" spans="21:21" x14ac:dyDescent="0.3">
      <c r="U902485" s="25"/>
    </row>
    <row r="902507" spans="21:21" x14ac:dyDescent="0.3">
      <c r="U902507" s="25"/>
    </row>
    <row r="902529" spans="21:21" x14ac:dyDescent="0.3">
      <c r="U902529" s="25"/>
    </row>
    <row r="902551" spans="21:21" x14ac:dyDescent="0.3">
      <c r="U902551" s="25"/>
    </row>
    <row r="902573" spans="21:21" x14ac:dyDescent="0.3">
      <c r="U902573" s="25"/>
    </row>
    <row r="902595" spans="21:21" x14ac:dyDescent="0.3">
      <c r="U902595" s="25"/>
    </row>
    <row r="902617" spans="21:21" x14ac:dyDescent="0.3">
      <c r="U902617" s="25"/>
    </row>
    <row r="902639" spans="21:21" x14ac:dyDescent="0.3">
      <c r="U902639" s="25"/>
    </row>
    <row r="902661" spans="21:21" x14ac:dyDescent="0.3">
      <c r="U902661" s="25"/>
    </row>
    <row r="902683" spans="21:21" x14ac:dyDescent="0.3">
      <c r="U902683" s="25"/>
    </row>
    <row r="902705" spans="21:21" x14ac:dyDescent="0.3">
      <c r="U902705" s="25"/>
    </row>
    <row r="902727" spans="21:21" x14ac:dyDescent="0.3">
      <c r="U902727" s="25"/>
    </row>
    <row r="902749" spans="21:21" x14ac:dyDescent="0.3">
      <c r="U902749" s="25"/>
    </row>
    <row r="902771" spans="21:21" x14ac:dyDescent="0.3">
      <c r="U902771" s="25"/>
    </row>
    <row r="902793" spans="21:21" x14ac:dyDescent="0.3">
      <c r="U902793" s="25"/>
    </row>
    <row r="902815" spans="21:21" x14ac:dyDescent="0.3">
      <c r="U902815" s="25"/>
    </row>
    <row r="902837" spans="21:21" x14ac:dyDescent="0.3">
      <c r="U902837" s="25"/>
    </row>
    <row r="902859" spans="21:21" x14ac:dyDescent="0.3">
      <c r="U902859" s="25"/>
    </row>
    <row r="902881" spans="21:21" x14ac:dyDescent="0.3">
      <c r="U902881" s="25"/>
    </row>
    <row r="902903" spans="21:21" x14ac:dyDescent="0.3">
      <c r="U902903" s="25"/>
    </row>
    <row r="902925" spans="21:21" x14ac:dyDescent="0.3">
      <c r="U902925" s="25"/>
    </row>
    <row r="902947" spans="21:21" x14ac:dyDescent="0.3">
      <c r="U902947" s="25"/>
    </row>
    <row r="902969" spans="21:21" x14ac:dyDescent="0.3">
      <c r="U902969" s="25"/>
    </row>
    <row r="902991" spans="21:21" x14ac:dyDescent="0.3">
      <c r="U902991" s="25"/>
    </row>
    <row r="903013" spans="21:21" x14ac:dyDescent="0.3">
      <c r="U903013" s="25"/>
    </row>
    <row r="903035" spans="21:21" x14ac:dyDescent="0.3">
      <c r="U903035" s="25"/>
    </row>
    <row r="903057" spans="21:21" x14ac:dyDescent="0.3">
      <c r="U903057" s="25"/>
    </row>
    <row r="903079" spans="21:21" x14ac:dyDescent="0.3">
      <c r="U903079" s="25"/>
    </row>
    <row r="903101" spans="21:21" x14ac:dyDescent="0.3">
      <c r="U903101" s="25"/>
    </row>
    <row r="903123" spans="21:21" x14ac:dyDescent="0.3">
      <c r="U903123" s="25"/>
    </row>
    <row r="903145" spans="21:21" x14ac:dyDescent="0.3">
      <c r="U903145" s="25"/>
    </row>
    <row r="903167" spans="21:21" x14ac:dyDescent="0.3">
      <c r="U903167" s="25"/>
    </row>
    <row r="903189" spans="21:21" x14ac:dyDescent="0.3">
      <c r="U903189" s="25"/>
    </row>
    <row r="903211" spans="21:21" x14ac:dyDescent="0.3">
      <c r="U903211" s="25"/>
    </row>
    <row r="903233" spans="21:21" x14ac:dyDescent="0.3">
      <c r="U903233" s="25"/>
    </row>
    <row r="903255" spans="21:21" x14ac:dyDescent="0.3">
      <c r="U903255" s="25"/>
    </row>
    <row r="903277" spans="21:21" x14ac:dyDescent="0.3">
      <c r="U903277" s="25"/>
    </row>
    <row r="903299" spans="21:21" x14ac:dyDescent="0.3">
      <c r="U903299" s="25"/>
    </row>
    <row r="903321" spans="21:21" x14ac:dyDescent="0.3">
      <c r="U903321" s="25"/>
    </row>
    <row r="903343" spans="21:21" x14ac:dyDescent="0.3">
      <c r="U903343" s="25"/>
    </row>
    <row r="903365" spans="21:21" x14ac:dyDescent="0.3">
      <c r="U903365" s="25"/>
    </row>
    <row r="903387" spans="21:21" x14ac:dyDescent="0.3">
      <c r="U903387" s="25"/>
    </row>
    <row r="903409" spans="21:21" x14ac:dyDescent="0.3">
      <c r="U903409" s="25"/>
    </row>
    <row r="903431" spans="21:21" x14ac:dyDescent="0.3">
      <c r="U903431" s="25"/>
    </row>
    <row r="903453" spans="21:21" x14ac:dyDescent="0.3">
      <c r="U903453" s="25"/>
    </row>
    <row r="903475" spans="21:21" x14ac:dyDescent="0.3">
      <c r="U903475" s="25"/>
    </row>
    <row r="903497" spans="21:21" x14ac:dyDescent="0.3">
      <c r="U903497" s="25"/>
    </row>
    <row r="903519" spans="21:21" x14ac:dyDescent="0.3">
      <c r="U903519" s="25"/>
    </row>
    <row r="903541" spans="21:21" x14ac:dyDescent="0.3">
      <c r="U903541" s="25"/>
    </row>
    <row r="903563" spans="21:21" x14ac:dyDescent="0.3">
      <c r="U903563" s="25"/>
    </row>
    <row r="903585" spans="21:21" x14ac:dyDescent="0.3">
      <c r="U903585" s="25"/>
    </row>
    <row r="903607" spans="21:21" x14ac:dyDescent="0.3">
      <c r="U903607" s="25"/>
    </row>
    <row r="903629" spans="21:21" x14ac:dyDescent="0.3">
      <c r="U903629" s="25"/>
    </row>
    <row r="903651" spans="21:21" x14ac:dyDescent="0.3">
      <c r="U903651" s="25"/>
    </row>
    <row r="903673" spans="21:21" x14ac:dyDescent="0.3">
      <c r="U903673" s="25"/>
    </row>
    <row r="903695" spans="21:21" x14ac:dyDescent="0.3">
      <c r="U903695" s="25"/>
    </row>
    <row r="903717" spans="21:21" x14ac:dyDescent="0.3">
      <c r="U903717" s="25"/>
    </row>
    <row r="903739" spans="21:21" x14ac:dyDescent="0.3">
      <c r="U903739" s="25"/>
    </row>
    <row r="903761" spans="21:21" x14ac:dyDescent="0.3">
      <c r="U903761" s="25"/>
    </row>
    <row r="903783" spans="21:21" x14ac:dyDescent="0.3">
      <c r="U903783" s="25"/>
    </row>
    <row r="903805" spans="21:21" x14ac:dyDescent="0.3">
      <c r="U903805" s="25"/>
    </row>
    <row r="903827" spans="21:21" x14ac:dyDescent="0.3">
      <c r="U903827" s="25"/>
    </row>
    <row r="903849" spans="21:21" x14ac:dyDescent="0.3">
      <c r="U903849" s="25"/>
    </row>
    <row r="903871" spans="21:21" x14ac:dyDescent="0.3">
      <c r="U903871" s="25"/>
    </row>
    <row r="903893" spans="21:21" x14ac:dyDescent="0.3">
      <c r="U903893" s="25"/>
    </row>
    <row r="903915" spans="21:21" x14ac:dyDescent="0.3">
      <c r="U903915" s="25"/>
    </row>
    <row r="903937" spans="21:21" x14ac:dyDescent="0.3">
      <c r="U903937" s="25"/>
    </row>
    <row r="903959" spans="21:21" x14ac:dyDescent="0.3">
      <c r="U903959" s="25"/>
    </row>
    <row r="903981" spans="21:21" x14ac:dyDescent="0.3">
      <c r="U903981" s="25"/>
    </row>
    <row r="904003" spans="21:21" x14ac:dyDescent="0.3">
      <c r="U904003" s="25"/>
    </row>
    <row r="904025" spans="21:21" x14ac:dyDescent="0.3">
      <c r="U904025" s="25"/>
    </row>
    <row r="904047" spans="21:21" x14ac:dyDescent="0.3">
      <c r="U904047" s="25"/>
    </row>
    <row r="904069" spans="21:21" x14ac:dyDescent="0.3">
      <c r="U904069" s="25"/>
    </row>
    <row r="904091" spans="21:21" x14ac:dyDescent="0.3">
      <c r="U904091" s="25"/>
    </row>
    <row r="904113" spans="21:21" x14ac:dyDescent="0.3">
      <c r="U904113" s="25"/>
    </row>
    <row r="904135" spans="21:21" x14ac:dyDescent="0.3">
      <c r="U904135" s="25"/>
    </row>
    <row r="904157" spans="21:21" x14ac:dyDescent="0.3">
      <c r="U904157" s="25"/>
    </row>
    <row r="904179" spans="21:21" x14ac:dyDescent="0.3">
      <c r="U904179" s="25"/>
    </row>
    <row r="904201" spans="21:21" x14ac:dyDescent="0.3">
      <c r="U904201" s="25"/>
    </row>
    <row r="904223" spans="21:21" x14ac:dyDescent="0.3">
      <c r="U904223" s="25"/>
    </row>
    <row r="904245" spans="21:21" x14ac:dyDescent="0.3">
      <c r="U904245" s="25"/>
    </row>
    <row r="904267" spans="21:21" x14ac:dyDescent="0.3">
      <c r="U904267" s="25"/>
    </row>
    <row r="904289" spans="21:21" x14ac:dyDescent="0.3">
      <c r="U904289" s="25"/>
    </row>
    <row r="904311" spans="21:21" x14ac:dyDescent="0.3">
      <c r="U904311" s="25"/>
    </row>
    <row r="904333" spans="21:21" x14ac:dyDescent="0.3">
      <c r="U904333" s="25"/>
    </row>
    <row r="904355" spans="21:21" x14ac:dyDescent="0.3">
      <c r="U904355" s="25"/>
    </row>
    <row r="904377" spans="21:21" x14ac:dyDescent="0.3">
      <c r="U904377" s="25"/>
    </row>
    <row r="904399" spans="21:21" x14ac:dyDescent="0.3">
      <c r="U904399" s="25"/>
    </row>
    <row r="904421" spans="21:21" x14ac:dyDescent="0.3">
      <c r="U904421" s="25"/>
    </row>
    <row r="904443" spans="21:21" x14ac:dyDescent="0.3">
      <c r="U904443" s="25"/>
    </row>
    <row r="904465" spans="21:21" x14ac:dyDescent="0.3">
      <c r="U904465" s="25"/>
    </row>
    <row r="904487" spans="21:21" x14ac:dyDescent="0.3">
      <c r="U904487" s="25"/>
    </row>
    <row r="904509" spans="21:21" x14ac:dyDescent="0.3">
      <c r="U904509" s="25"/>
    </row>
    <row r="904531" spans="21:21" x14ac:dyDescent="0.3">
      <c r="U904531" s="25"/>
    </row>
    <row r="904553" spans="21:21" x14ac:dyDescent="0.3">
      <c r="U904553" s="25"/>
    </row>
    <row r="904575" spans="21:21" x14ac:dyDescent="0.3">
      <c r="U904575" s="25"/>
    </row>
    <row r="904597" spans="21:21" x14ac:dyDescent="0.3">
      <c r="U904597" s="25"/>
    </row>
    <row r="904619" spans="21:21" x14ac:dyDescent="0.3">
      <c r="U904619" s="25"/>
    </row>
    <row r="904641" spans="21:21" x14ac:dyDescent="0.3">
      <c r="U904641" s="25"/>
    </row>
    <row r="904663" spans="21:21" x14ac:dyDescent="0.3">
      <c r="U904663" s="25"/>
    </row>
    <row r="904685" spans="21:21" x14ac:dyDescent="0.3">
      <c r="U904685" s="25"/>
    </row>
    <row r="904707" spans="21:21" x14ac:dyDescent="0.3">
      <c r="U904707" s="25"/>
    </row>
    <row r="904729" spans="21:21" x14ac:dyDescent="0.3">
      <c r="U904729" s="25"/>
    </row>
    <row r="904751" spans="21:21" x14ac:dyDescent="0.3">
      <c r="U904751" s="25"/>
    </row>
    <row r="904773" spans="21:21" x14ac:dyDescent="0.3">
      <c r="U904773" s="25"/>
    </row>
    <row r="904795" spans="21:21" x14ac:dyDescent="0.3">
      <c r="U904795" s="25"/>
    </row>
    <row r="904817" spans="21:21" x14ac:dyDescent="0.3">
      <c r="U904817" s="25"/>
    </row>
    <row r="904839" spans="21:21" x14ac:dyDescent="0.3">
      <c r="U904839" s="25"/>
    </row>
    <row r="904861" spans="21:21" x14ac:dyDescent="0.3">
      <c r="U904861" s="25"/>
    </row>
    <row r="904883" spans="21:21" x14ac:dyDescent="0.3">
      <c r="U904883" s="25"/>
    </row>
    <row r="904905" spans="21:21" x14ac:dyDescent="0.3">
      <c r="U904905" s="25"/>
    </row>
    <row r="904927" spans="21:21" x14ac:dyDescent="0.3">
      <c r="U904927" s="25"/>
    </row>
    <row r="904949" spans="21:21" x14ac:dyDescent="0.3">
      <c r="U904949" s="25"/>
    </row>
    <row r="904971" spans="21:21" x14ac:dyDescent="0.3">
      <c r="U904971" s="25"/>
    </row>
    <row r="904993" spans="21:21" x14ac:dyDescent="0.3">
      <c r="U904993" s="25"/>
    </row>
    <row r="905015" spans="21:21" x14ac:dyDescent="0.3">
      <c r="U905015" s="25"/>
    </row>
    <row r="905037" spans="21:21" x14ac:dyDescent="0.3">
      <c r="U905037" s="25"/>
    </row>
    <row r="905059" spans="21:21" x14ac:dyDescent="0.3">
      <c r="U905059" s="25"/>
    </row>
    <row r="905081" spans="21:21" x14ac:dyDescent="0.3">
      <c r="U905081" s="25"/>
    </row>
    <row r="905103" spans="21:21" x14ac:dyDescent="0.3">
      <c r="U905103" s="25"/>
    </row>
    <row r="905125" spans="21:21" x14ac:dyDescent="0.3">
      <c r="U905125" s="25"/>
    </row>
    <row r="905147" spans="21:21" x14ac:dyDescent="0.3">
      <c r="U905147" s="25"/>
    </row>
    <row r="905169" spans="21:21" x14ac:dyDescent="0.3">
      <c r="U905169" s="25"/>
    </row>
    <row r="905191" spans="21:21" x14ac:dyDescent="0.3">
      <c r="U905191" s="25"/>
    </row>
    <row r="905213" spans="21:21" x14ac:dyDescent="0.3">
      <c r="U905213" s="25"/>
    </row>
    <row r="905235" spans="21:21" x14ac:dyDescent="0.3">
      <c r="U905235" s="25"/>
    </row>
    <row r="905257" spans="21:21" x14ac:dyDescent="0.3">
      <c r="U905257" s="25"/>
    </row>
    <row r="905279" spans="21:21" x14ac:dyDescent="0.3">
      <c r="U905279" s="25"/>
    </row>
    <row r="905301" spans="21:21" x14ac:dyDescent="0.3">
      <c r="U905301" s="25"/>
    </row>
    <row r="905323" spans="21:21" x14ac:dyDescent="0.3">
      <c r="U905323" s="25"/>
    </row>
    <row r="905345" spans="21:21" x14ac:dyDescent="0.3">
      <c r="U905345" s="25"/>
    </row>
    <row r="905367" spans="21:21" x14ac:dyDescent="0.3">
      <c r="U905367" s="25"/>
    </row>
    <row r="905389" spans="21:21" x14ac:dyDescent="0.3">
      <c r="U905389" s="25"/>
    </row>
    <row r="905411" spans="21:21" x14ac:dyDescent="0.3">
      <c r="U905411" s="25"/>
    </row>
    <row r="905433" spans="21:21" x14ac:dyDescent="0.3">
      <c r="U905433" s="25"/>
    </row>
    <row r="905455" spans="21:21" x14ac:dyDescent="0.3">
      <c r="U905455" s="25"/>
    </row>
    <row r="905477" spans="21:21" x14ac:dyDescent="0.3">
      <c r="U905477" s="25"/>
    </row>
    <row r="905499" spans="21:21" x14ac:dyDescent="0.3">
      <c r="U905499" s="25"/>
    </row>
    <row r="905521" spans="21:21" x14ac:dyDescent="0.3">
      <c r="U905521" s="25"/>
    </row>
    <row r="905543" spans="21:21" x14ac:dyDescent="0.3">
      <c r="U905543" s="25"/>
    </row>
    <row r="905565" spans="21:21" x14ac:dyDescent="0.3">
      <c r="U905565" s="25"/>
    </row>
    <row r="905587" spans="21:21" x14ac:dyDescent="0.3">
      <c r="U905587" s="25"/>
    </row>
    <row r="905609" spans="21:21" x14ac:dyDescent="0.3">
      <c r="U905609" s="25"/>
    </row>
    <row r="905631" spans="21:21" x14ac:dyDescent="0.3">
      <c r="U905631" s="25"/>
    </row>
    <row r="905653" spans="21:21" x14ac:dyDescent="0.3">
      <c r="U905653" s="25"/>
    </row>
    <row r="905675" spans="21:21" x14ac:dyDescent="0.3">
      <c r="U905675" s="25"/>
    </row>
    <row r="905697" spans="21:21" x14ac:dyDescent="0.3">
      <c r="U905697" s="25"/>
    </row>
    <row r="905719" spans="21:21" x14ac:dyDescent="0.3">
      <c r="U905719" s="25"/>
    </row>
    <row r="905741" spans="21:21" x14ac:dyDescent="0.3">
      <c r="U905741" s="25"/>
    </row>
    <row r="905763" spans="21:21" x14ac:dyDescent="0.3">
      <c r="U905763" s="25"/>
    </row>
    <row r="905785" spans="21:21" x14ac:dyDescent="0.3">
      <c r="U905785" s="25"/>
    </row>
    <row r="905807" spans="21:21" x14ac:dyDescent="0.3">
      <c r="U905807" s="25"/>
    </row>
    <row r="905829" spans="21:21" x14ac:dyDescent="0.3">
      <c r="U905829" s="25"/>
    </row>
    <row r="905851" spans="21:21" x14ac:dyDescent="0.3">
      <c r="U905851" s="25"/>
    </row>
    <row r="905873" spans="21:21" x14ac:dyDescent="0.3">
      <c r="U905873" s="25"/>
    </row>
    <row r="905895" spans="21:21" x14ac:dyDescent="0.3">
      <c r="U905895" s="25"/>
    </row>
    <row r="905917" spans="21:21" x14ac:dyDescent="0.3">
      <c r="U905917" s="25"/>
    </row>
    <row r="905939" spans="21:21" x14ac:dyDescent="0.3">
      <c r="U905939" s="25"/>
    </row>
    <row r="905961" spans="21:21" x14ac:dyDescent="0.3">
      <c r="U905961" s="25"/>
    </row>
    <row r="905983" spans="21:21" x14ac:dyDescent="0.3">
      <c r="U905983" s="25"/>
    </row>
    <row r="906005" spans="21:21" x14ac:dyDescent="0.3">
      <c r="U906005" s="25"/>
    </row>
    <row r="906027" spans="21:21" x14ac:dyDescent="0.3">
      <c r="U906027" s="25"/>
    </row>
    <row r="906049" spans="21:21" x14ac:dyDescent="0.3">
      <c r="U906049" s="25"/>
    </row>
    <row r="906071" spans="21:21" x14ac:dyDescent="0.3">
      <c r="U906071" s="25"/>
    </row>
    <row r="906093" spans="21:21" x14ac:dyDescent="0.3">
      <c r="U906093" s="25"/>
    </row>
    <row r="906115" spans="21:21" x14ac:dyDescent="0.3">
      <c r="U906115" s="25"/>
    </row>
    <row r="906137" spans="21:21" x14ac:dyDescent="0.3">
      <c r="U906137" s="25"/>
    </row>
    <row r="906159" spans="21:21" x14ac:dyDescent="0.3">
      <c r="U906159" s="25"/>
    </row>
    <row r="906181" spans="21:21" x14ac:dyDescent="0.3">
      <c r="U906181" s="25"/>
    </row>
    <row r="906203" spans="21:21" x14ac:dyDescent="0.3">
      <c r="U906203" s="25"/>
    </row>
    <row r="906225" spans="21:21" x14ac:dyDescent="0.3">
      <c r="U906225" s="25"/>
    </row>
    <row r="906247" spans="21:21" x14ac:dyDescent="0.3">
      <c r="U906247" s="25"/>
    </row>
    <row r="906269" spans="21:21" x14ac:dyDescent="0.3">
      <c r="U906269" s="25"/>
    </row>
    <row r="906291" spans="21:21" x14ac:dyDescent="0.3">
      <c r="U906291" s="25"/>
    </row>
    <row r="906313" spans="21:21" x14ac:dyDescent="0.3">
      <c r="U906313" s="25"/>
    </row>
    <row r="906335" spans="21:21" x14ac:dyDescent="0.3">
      <c r="U906335" s="25"/>
    </row>
    <row r="906357" spans="21:21" x14ac:dyDescent="0.3">
      <c r="U906357" s="25"/>
    </row>
    <row r="906379" spans="21:21" x14ac:dyDescent="0.3">
      <c r="U906379" s="25"/>
    </row>
    <row r="906401" spans="21:21" x14ac:dyDescent="0.3">
      <c r="U906401" s="25"/>
    </row>
    <row r="906423" spans="21:21" x14ac:dyDescent="0.3">
      <c r="U906423" s="25"/>
    </row>
    <row r="906445" spans="21:21" x14ac:dyDescent="0.3">
      <c r="U906445" s="25"/>
    </row>
    <row r="906467" spans="21:21" x14ac:dyDescent="0.3">
      <c r="U906467" s="25"/>
    </row>
    <row r="906489" spans="21:21" x14ac:dyDescent="0.3">
      <c r="U906489" s="25"/>
    </row>
    <row r="906511" spans="21:21" x14ac:dyDescent="0.3">
      <c r="U906511" s="25"/>
    </row>
    <row r="906533" spans="21:21" x14ac:dyDescent="0.3">
      <c r="U906533" s="25"/>
    </row>
    <row r="906555" spans="21:21" x14ac:dyDescent="0.3">
      <c r="U906555" s="25"/>
    </row>
    <row r="906577" spans="21:21" x14ac:dyDescent="0.3">
      <c r="U906577" s="25"/>
    </row>
    <row r="906599" spans="21:21" x14ac:dyDescent="0.3">
      <c r="U906599" s="25"/>
    </row>
    <row r="906621" spans="21:21" x14ac:dyDescent="0.3">
      <c r="U906621" s="25"/>
    </row>
    <row r="906643" spans="21:21" x14ac:dyDescent="0.3">
      <c r="U906643" s="25"/>
    </row>
    <row r="906665" spans="21:21" x14ac:dyDescent="0.3">
      <c r="U906665" s="25"/>
    </row>
    <row r="906687" spans="21:21" x14ac:dyDescent="0.3">
      <c r="U906687" s="25"/>
    </row>
    <row r="906709" spans="21:21" x14ac:dyDescent="0.3">
      <c r="U906709" s="25"/>
    </row>
    <row r="906731" spans="21:21" x14ac:dyDescent="0.3">
      <c r="U906731" s="25"/>
    </row>
    <row r="906753" spans="21:21" x14ac:dyDescent="0.3">
      <c r="U906753" s="25"/>
    </row>
    <row r="906775" spans="21:21" x14ac:dyDescent="0.3">
      <c r="U906775" s="25"/>
    </row>
    <row r="906797" spans="21:21" x14ac:dyDescent="0.3">
      <c r="U906797" s="25"/>
    </row>
    <row r="906819" spans="21:21" x14ac:dyDescent="0.3">
      <c r="U906819" s="25"/>
    </row>
    <row r="906841" spans="21:21" x14ac:dyDescent="0.3">
      <c r="U906841" s="25"/>
    </row>
    <row r="906863" spans="21:21" x14ac:dyDescent="0.3">
      <c r="U906863" s="25"/>
    </row>
    <row r="906885" spans="21:21" x14ac:dyDescent="0.3">
      <c r="U906885" s="25"/>
    </row>
    <row r="906907" spans="21:21" x14ac:dyDescent="0.3">
      <c r="U906907" s="25"/>
    </row>
    <row r="906929" spans="21:21" x14ac:dyDescent="0.3">
      <c r="U906929" s="25"/>
    </row>
    <row r="906951" spans="21:21" x14ac:dyDescent="0.3">
      <c r="U906951" s="25"/>
    </row>
    <row r="906973" spans="21:21" x14ac:dyDescent="0.3">
      <c r="U906973" s="25"/>
    </row>
    <row r="906995" spans="21:21" x14ac:dyDescent="0.3">
      <c r="U906995" s="25"/>
    </row>
    <row r="907017" spans="21:21" x14ac:dyDescent="0.3">
      <c r="U907017" s="25"/>
    </row>
    <row r="907039" spans="21:21" x14ac:dyDescent="0.3">
      <c r="U907039" s="25"/>
    </row>
    <row r="907061" spans="21:21" x14ac:dyDescent="0.3">
      <c r="U907061" s="25"/>
    </row>
    <row r="907083" spans="21:21" x14ac:dyDescent="0.3">
      <c r="U907083" s="25"/>
    </row>
    <row r="907105" spans="21:21" x14ac:dyDescent="0.3">
      <c r="U907105" s="25"/>
    </row>
    <row r="907127" spans="21:21" x14ac:dyDescent="0.3">
      <c r="U907127" s="25"/>
    </row>
    <row r="907149" spans="21:21" x14ac:dyDescent="0.3">
      <c r="U907149" s="25"/>
    </row>
    <row r="907171" spans="21:21" x14ac:dyDescent="0.3">
      <c r="U907171" s="25"/>
    </row>
    <row r="907193" spans="21:21" x14ac:dyDescent="0.3">
      <c r="U907193" s="25"/>
    </row>
    <row r="907215" spans="21:21" x14ac:dyDescent="0.3">
      <c r="U907215" s="25"/>
    </row>
    <row r="907237" spans="21:21" x14ac:dyDescent="0.3">
      <c r="U907237" s="25"/>
    </row>
    <row r="907259" spans="21:21" x14ac:dyDescent="0.3">
      <c r="U907259" s="25"/>
    </row>
    <row r="907281" spans="21:21" x14ac:dyDescent="0.3">
      <c r="U907281" s="25"/>
    </row>
    <row r="907303" spans="21:21" x14ac:dyDescent="0.3">
      <c r="U907303" s="25"/>
    </row>
    <row r="907325" spans="21:21" x14ac:dyDescent="0.3">
      <c r="U907325" s="25"/>
    </row>
    <row r="907347" spans="21:21" x14ac:dyDescent="0.3">
      <c r="U907347" s="25"/>
    </row>
    <row r="907369" spans="21:21" x14ac:dyDescent="0.3">
      <c r="U907369" s="25"/>
    </row>
    <row r="907391" spans="21:21" x14ac:dyDescent="0.3">
      <c r="U907391" s="25"/>
    </row>
    <row r="907413" spans="21:21" x14ac:dyDescent="0.3">
      <c r="U907413" s="25"/>
    </row>
    <row r="907435" spans="21:21" x14ac:dyDescent="0.3">
      <c r="U907435" s="25"/>
    </row>
    <row r="907457" spans="21:21" x14ac:dyDescent="0.3">
      <c r="U907457" s="25"/>
    </row>
    <row r="907479" spans="21:21" x14ac:dyDescent="0.3">
      <c r="U907479" s="25"/>
    </row>
    <row r="907501" spans="21:21" x14ac:dyDescent="0.3">
      <c r="U907501" s="25"/>
    </row>
    <row r="907523" spans="21:21" x14ac:dyDescent="0.3">
      <c r="U907523" s="25"/>
    </row>
    <row r="907545" spans="21:21" x14ac:dyDescent="0.3">
      <c r="U907545" s="25"/>
    </row>
    <row r="907567" spans="21:21" x14ac:dyDescent="0.3">
      <c r="U907567" s="25"/>
    </row>
    <row r="907589" spans="21:21" x14ac:dyDescent="0.3">
      <c r="U907589" s="25"/>
    </row>
    <row r="907611" spans="21:21" x14ac:dyDescent="0.3">
      <c r="U907611" s="25"/>
    </row>
    <row r="907633" spans="21:21" x14ac:dyDescent="0.3">
      <c r="U907633" s="25"/>
    </row>
    <row r="907655" spans="21:21" x14ac:dyDescent="0.3">
      <c r="U907655" s="25"/>
    </row>
    <row r="907677" spans="21:21" x14ac:dyDescent="0.3">
      <c r="U907677" s="25"/>
    </row>
    <row r="907699" spans="21:21" x14ac:dyDescent="0.3">
      <c r="U907699" s="25"/>
    </row>
    <row r="907721" spans="21:21" x14ac:dyDescent="0.3">
      <c r="U907721" s="25"/>
    </row>
    <row r="907743" spans="21:21" x14ac:dyDescent="0.3">
      <c r="U907743" s="25"/>
    </row>
    <row r="907765" spans="21:21" x14ac:dyDescent="0.3">
      <c r="U907765" s="25"/>
    </row>
    <row r="907787" spans="21:21" x14ac:dyDescent="0.3">
      <c r="U907787" s="25"/>
    </row>
    <row r="907809" spans="21:21" x14ac:dyDescent="0.3">
      <c r="U907809" s="25"/>
    </row>
    <row r="907831" spans="21:21" x14ac:dyDescent="0.3">
      <c r="U907831" s="25"/>
    </row>
    <row r="907853" spans="21:21" x14ac:dyDescent="0.3">
      <c r="U907853" s="25"/>
    </row>
    <row r="907875" spans="21:21" x14ac:dyDescent="0.3">
      <c r="U907875" s="25"/>
    </row>
    <row r="907897" spans="21:21" x14ac:dyDescent="0.3">
      <c r="U907897" s="25"/>
    </row>
    <row r="907919" spans="21:21" x14ac:dyDescent="0.3">
      <c r="U907919" s="25"/>
    </row>
    <row r="907941" spans="21:21" x14ac:dyDescent="0.3">
      <c r="U907941" s="25"/>
    </row>
    <row r="907963" spans="21:21" x14ac:dyDescent="0.3">
      <c r="U907963" s="25"/>
    </row>
    <row r="907985" spans="21:21" x14ac:dyDescent="0.3">
      <c r="U907985" s="25"/>
    </row>
    <row r="908007" spans="21:21" x14ac:dyDescent="0.3">
      <c r="U908007" s="25"/>
    </row>
    <row r="908029" spans="21:21" x14ac:dyDescent="0.3">
      <c r="U908029" s="25"/>
    </row>
    <row r="908051" spans="21:21" x14ac:dyDescent="0.3">
      <c r="U908051" s="25"/>
    </row>
    <row r="908073" spans="21:21" x14ac:dyDescent="0.3">
      <c r="U908073" s="25"/>
    </row>
    <row r="908095" spans="21:21" x14ac:dyDescent="0.3">
      <c r="U908095" s="25"/>
    </row>
    <row r="908117" spans="21:21" x14ac:dyDescent="0.3">
      <c r="U908117" s="25"/>
    </row>
    <row r="908139" spans="21:21" x14ac:dyDescent="0.3">
      <c r="U908139" s="25"/>
    </row>
    <row r="908161" spans="21:21" x14ac:dyDescent="0.3">
      <c r="U908161" s="25"/>
    </row>
    <row r="908183" spans="21:21" x14ac:dyDescent="0.3">
      <c r="U908183" s="25"/>
    </row>
    <row r="908205" spans="21:21" x14ac:dyDescent="0.3">
      <c r="U908205" s="25"/>
    </row>
    <row r="908227" spans="21:21" x14ac:dyDescent="0.3">
      <c r="U908227" s="25"/>
    </row>
    <row r="908249" spans="21:21" x14ac:dyDescent="0.3">
      <c r="U908249" s="25"/>
    </row>
    <row r="908271" spans="21:21" x14ac:dyDescent="0.3">
      <c r="U908271" s="25"/>
    </row>
    <row r="908293" spans="21:21" x14ac:dyDescent="0.3">
      <c r="U908293" s="25"/>
    </row>
    <row r="908315" spans="21:21" x14ac:dyDescent="0.3">
      <c r="U908315" s="25"/>
    </row>
    <row r="908337" spans="21:21" x14ac:dyDescent="0.3">
      <c r="U908337" s="25"/>
    </row>
    <row r="908359" spans="21:21" x14ac:dyDescent="0.3">
      <c r="U908359" s="25"/>
    </row>
    <row r="908381" spans="21:21" x14ac:dyDescent="0.3">
      <c r="U908381" s="25"/>
    </row>
    <row r="908403" spans="21:21" x14ac:dyDescent="0.3">
      <c r="U908403" s="25"/>
    </row>
    <row r="908425" spans="21:21" x14ac:dyDescent="0.3">
      <c r="U908425" s="25"/>
    </row>
    <row r="908447" spans="21:21" x14ac:dyDescent="0.3">
      <c r="U908447" s="25"/>
    </row>
    <row r="908469" spans="21:21" x14ac:dyDescent="0.3">
      <c r="U908469" s="25"/>
    </row>
    <row r="908491" spans="21:21" x14ac:dyDescent="0.3">
      <c r="U908491" s="25"/>
    </row>
    <row r="908513" spans="21:21" x14ac:dyDescent="0.3">
      <c r="U908513" s="25"/>
    </row>
    <row r="908535" spans="21:21" x14ac:dyDescent="0.3">
      <c r="U908535" s="25"/>
    </row>
    <row r="908557" spans="21:21" x14ac:dyDescent="0.3">
      <c r="U908557" s="25"/>
    </row>
    <row r="908579" spans="21:21" x14ac:dyDescent="0.3">
      <c r="U908579" s="25"/>
    </row>
    <row r="908601" spans="21:21" x14ac:dyDescent="0.3">
      <c r="U908601" s="25"/>
    </row>
    <row r="908623" spans="21:21" x14ac:dyDescent="0.3">
      <c r="U908623" s="25"/>
    </row>
    <row r="908645" spans="21:21" x14ac:dyDescent="0.3">
      <c r="U908645" s="25"/>
    </row>
    <row r="908667" spans="21:21" x14ac:dyDescent="0.3">
      <c r="U908667" s="25"/>
    </row>
    <row r="908689" spans="21:21" x14ac:dyDescent="0.3">
      <c r="U908689" s="25"/>
    </row>
    <row r="908711" spans="21:21" x14ac:dyDescent="0.3">
      <c r="U908711" s="25"/>
    </row>
    <row r="908733" spans="21:21" x14ac:dyDescent="0.3">
      <c r="U908733" s="25"/>
    </row>
    <row r="908755" spans="21:21" x14ac:dyDescent="0.3">
      <c r="U908755" s="25"/>
    </row>
    <row r="908777" spans="21:21" x14ac:dyDescent="0.3">
      <c r="U908777" s="25"/>
    </row>
    <row r="908799" spans="21:21" x14ac:dyDescent="0.3">
      <c r="U908799" s="25"/>
    </row>
    <row r="908821" spans="21:21" x14ac:dyDescent="0.3">
      <c r="U908821" s="25"/>
    </row>
    <row r="908843" spans="21:21" x14ac:dyDescent="0.3">
      <c r="U908843" s="25"/>
    </row>
    <row r="908865" spans="21:21" x14ac:dyDescent="0.3">
      <c r="U908865" s="25"/>
    </row>
    <row r="908887" spans="21:21" x14ac:dyDescent="0.3">
      <c r="U908887" s="25"/>
    </row>
    <row r="908909" spans="21:21" x14ac:dyDescent="0.3">
      <c r="U908909" s="25"/>
    </row>
    <row r="908931" spans="21:21" x14ac:dyDescent="0.3">
      <c r="U908931" s="25"/>
    </row>
    <row r="908953" spans="21:21" x14ac:dyDescent="0.3">
      <c r="U908953" s="25"/>
    </row>
    <row r="908975" spans="21:21" x14ac:dyDescent="0.3">
      <c r="U908975" s="25"/>
    </row>
    <row r="908997" spans="21:21" x14ac:dyDescent="0.3">
      <c r="U908997" s="25"/>
    </row>
    <row r="909019" spans="21:21" x14ac:dyDescent="0.3">
      <c r="U909019" s="25"/>
    </row>
    <row r="909041" spans="21:21" x14ac:dyDescent="0.3">
      <c r="U909041" s="25"/>
    </row>
    <row r="909063" spans="21:21" x14ac:dyDescent="0.3">
      <c r="U909063" s="25"/>
    </row>
    <row r="909085" spans="21:21" x14ac:dyDescent="0.3">
      <c r="U909085" s="25"/>
    </row>
    <row r="909107" spans="21:21" x14ac:dyDescent="0.3">
      <c r="U909107" s="25"/>
    </row>
    <row r="909129" spans="21:21" x14ac:dyDescent="0.3">
      <c r="U909129" s="25"/>
    </row>
    <row r="909151" spans="21:21" x14ac:dyDescent="0.3">
      <c r="U909151" s="25"/>
    </row>
    <row r="909173" spans="21:21" x14ac:dyDescent="0.3">
      <c r="U909173" s="25"/>
    </row>
    <row r="909195" spans="21:21" x14ac:dyDescent="0.3">
      <c r="U909195" s="25"/>
    </row>
    <row r="909217" spans="21:21" x14ac:dyDescent="0.3">
      <c r="U909217" s="25"/>
    </row>
    <row r="909239" spans="21:21" x14ac:dyDescent="0.3">
      <c r="U909239" s="25"/>
    </row>
    <row r="909261" spans="21:21" x14ac:dyDescent="0.3">
      <c r="U909261" s="25"/>
    </row>
    <row r="909283" spans="21:21" x14ac:dyDescent="0.3">
      <c r="U909283" s="25"/>
    </row>
    <row r="909305" spans="21:21" x14ac:dyDescent="0.3">
      <c r="U909305" s="25"/>
    </row>
    <row r="909327" spans="21:21" x14ac:dyDescent="0.3">
      <c r="U909327" s="25"/>
    </row>
    <row r="909349" spans="21:21" x14ac:dyDescent="0.3">
      <c r="U909349" s="25"/>
    </row>
    <row r="909371" spans="21:21" x14ac:dyDescent="0.3">
      <c r="U909371" s="25"/>
    </row>
    <row r="909393" spans="21:21" x14ac:dyDescent="0.3">
      <c r="U909393" s="25"/>
    </row>
    <row r="909415" spans="21:21" x14ac:dyDescent="0.3">
      <c r="U909415" s="25"/>
    </row>
    <row r="909437" spans="21:21" x14ac:dyDescent="0.3">
      <c r="U909437" s="25"/>
    </row>
    <row r="909459" spans="21:21" x14ac:dyDescent="0.3">
      <c r="U909459" s="25"/>
    </row>
    <row r="909481" spans="21:21" x14ac:dyDescent="0.3">
      <c r="U909481" s="25"/>
    </row>
    <row r="909503" spans="21:21" x14ac:dyDescent="0.3">
      <c r="U909503" s="25"/>
    </row>
    <row r="909525" spans="21:21" x14ac:dyDescent="0.3">
      <c r="U909525" s="25"/>
    </row>
    <row r="909547" spans="21:21" x14ac:dyDescent="0.3">
      <c r="U909547" s="25"/>
    </row>
    <row r="909569" spans="21:21" x14ac:dyDescent="0.3">
      <c r="U909569" s="25"/>
    </row>
    <row r="909591" spans="21:21" x14ac:dyDescent="0.3">
      <c r="U909591" s="25"/>
    </row>
    <row r="909613" spans="21:21" x14ac:dyDescent="0.3">
      <c r="U909613" s="25"/>
    </row>
    <row r="909635" spans="21:21" x14ac:dyDescent="0.3">
      <c r="U909635" s="25"/>
    </row>
    <row r="909657" spans="21:21" x14ac:dyDescent="0.3">
      <c r="U909657" s="25"/>
    </row>
    <row r="909679" spans="21:21" x14ac:dyDescent="0.3">
      <c r="U909679" s="25"/>
    </row>
    <row r="909701" spans="21:21" x14ac:dyDescent="0.3">
      <c r="U909701" s="25"/>
    </row>
    <row r="909723" spans="21:21" x14ac:dyDescent="0.3">
      <c r="U909723" s="25"/>
    </row>
    <row r="909745" spans="21:21" x14ac:dyDescent="0.3">
      <c r="U909745" s="25"/>
    </row>
    <row r="909767" spans="21:21" x14ac:dyDescent="0.3">
      <c r="U909767" s="25"/>
    </row>
    <row r="909789" spans="21:21" x14ac:dyDescent="0.3">
      <c r="U909789" s="25"/>
    </row>
    <row r="909811" spans="21:21" x14ac:dyDescent="0.3">
      <c r="U909811" s="25"/>
    </row>
    <row r="909833" spans="21:21" x14ac:dyDescent="0.3">
      <c r="U909833" s="25"/>
    </row>
    <row r="909855" spans="21:21" x14ac:dyDescent="0.3">
      <c r="U909855" s="25"/>
    </row>
    <row r="909877" spans="21:21" x14ac:dyDescent="0.3">
      <c r="U909877" s="25"/>
    </row>
    <row r="909899" spans="21:21" x14ac:dyDescent="0.3">
      <c r="U909899" s="25"/>
    </row>
    <row r="909921" spans="21:21" x14ac:dyDescent="0.3">
      <c r="U909921" s="25"/>
    </row>
    <row r="909943" spans="21:21" x14ac:dyDescent="0.3">
      <c r="U909943" s="25"/>
    </row>
    <row r="909965" spans="21:21" x14ac:dyDescent="0.3">
      <c r="U909965" s="25"/>
    </row>
    <row r="909987" spans="21:21" x14ac:dyDescent="0.3">
      <c r="U909987" s="25"/>
    </row>
    <row r="910009" spans="21:21" x14ac:dyDescent="0.3">
      <c r="U910009" s="25"/>
    </row>
    <row r="910031" spans="21:21" x14ac:dyDescent="0.3">
      <c r="U910031" s="25"/>
    </row>
    <row r="910053" spans="21:21" x14ac:dyDescent="0.3">
      <c r="U910053" s="25"/>
    </row>
    <row r="910075" spans="21:21" x14ac:dyDescent="0.3">
      <c r="U910075" s="25"/>
    </row>
    <row r="910097" spans="21:21" x14ac:dyDescent="0.3">
      <c r="U910097" s="25"/>
    </row>
    <row r="910119" spans="21:21" x14ac:dyDescent="0.3">
      <c r="U910119" s="25"/>
    </row>
    <row r="910141" spans="21:21" x14ac:dyDescent="0.3">
      <c r="U910141" s="25"/>
    </row>
    <row r="910163" spans="21:21" x14ac:dyDescent="0.3">
      <c r="U910163" s="25"/>
    </row>
    <row r="910185" spans="21:21" x14ac:dyDescent="0.3">
      <c r="U910185" s="25"/>
    </row>
    <row r="910207" spans="21:21" x14ac:dyDescent="0.3">
      <c r="U910207" s="25"/>
    </row>
    <row r="910229" spans="21:21" x14ac:dyDescent="0.3">
      <c r="U910229" s="25"/>
    </row>
    <row r="910251" spans="21:21" x14ac:dyDescent="0.3">
      <c r="U910251" s="25"/>
    </row>
    <row r="910273" spans="21:21" x14ac:dyDescent="0.3">
      <c r="U910273" s="25"/>
    </row>
    <row r="910295" spans="21:21" x14ac:dyDescent="0.3">
      <c r="U910295" s="25"/>
    </row>
    <row r="910317" spans="21:21" x14ac:dyDescent="0.3">
      <c r="U910317" s="25"/>
    </row>
    <row r="910339" spans="21:21" x14ac:dyDescent="0.3">
      <c r="U910339" s="25"/>
    </row>
    <row r="910361" spans="21:21" x14ac:dyDescent="0.3">
      <c r="U910361" s="25"/>
    </row>
    <row r="910383" spans="21:21" x14ac:dyDescent="0.3">
      <c r="U910383" s="25"/>
    </row>
    <row r="910405" spans="21:21" x14ac:dyDescent="0.3">
      <c r="U910405" s="25"/>
    </row>
    <row r="910427" spans="21:21" x14ac:dyDescent="0.3">
      <c r="U910427" s="25"/>
    </row>
    <row r="910449" spans="21:21" x14ac:dyDescent="0.3">
      <c r="U910449" s="25"/>
    </row>
    <row r="910471" spans="21:21" x14ac:dyDescent="0.3">
      <c r="U910471" s="25"/>
    </row>
    <row r="910493" spans="21:21" x14ac:dyDescent="0.3">
      <c r="U910493" s="25"/>
    </row>
    <row r="910515" spans="21:21" x14ac:dyDescent="0.3">
      <c r="U910515" s="25"/>
    </row>
    <row r="910537" spans="21:21" x14ac:dyDescent="0.3">
      <c r="U910537" s="25"/>
    </row>
    <row r="910559" spans="21:21" x14ac:dyDescent="0.3">
      <c r="U910559" s="25"/>
    </row>
    <row r="910581" spans="21:21" x14ac:dyDescent="0.3">
      <c r="U910581" s="25"/>
    </row>
    <row r="910603" spans="21:21" x14ac:dyDescent="0.3">
      <c r="U910603" s="25"/>
    </row>
    <row r="910625" spans="21:21" x14ac:dyDescent="0.3">
      <c r="U910625" s="25"/>
    </row>
    <row r="910647" spans="21:21" x14ac:dyDescent="0.3">
      <c r="U910647" s="25"/>
    </row>
    <row r="910669" spans="21:21" x14ac:dyDescent="0.3">
      <c r="U910669" s="25"/>
    </row>
    <row r="910691" spans="21:21" x14ac:dyDescent="0.3">
      <c r="U910691" s="25"/>
    </row>
    <row r="910713" spans="21:21" x14ac:dyDescent="0.3">
      <c r="U910713" s="25"/>
    </row>
    <row r="910735" spans="21:21" x14ac:dyDescent="0.3">
      <c r="U910735" s="25"/>
    </row>
    <row r="910757" spans="21:21" x14ac:dyDescent="0.3">
      <c r="U910757" s="25"/>
    </row>
    <row r="910779" spans="21:21" x14ac:dyDescent="0.3">
      <c r="U910779" s="25"/>
    </row>
    <row r="910801" spans="21:21" x14ac:dyDescent="0.3">
      <c r="U910801" s="25"/>
    </row>
    <row r="910823" spans="21:21" x14ac:dyDescent="0.3">
      <c r="U910823" s="25"/>
    </row>
    <row r="910845" spans="21:21" x14ac:dyDescent="0.3">
      <c r="U910845" s="25"/>
    </row>
    <row r="910867" spans="21:21" x14ac:dyDescent="0.3">
      <c r="U910867" s="25"/>
    </row>
    <row r="910889" spans="21:21" x14ac:dyDescent="0.3">
      <c r="U910889" s="25"/>
    </row>
    <row r="910911" spans="21:21" x14ac:dyDescent="0.3">
      <c r="U910911" s="25"/>
    </row>
    <row r="910933" spans="21:21" x14ac:dyDescent="0.3">
      <c r="U910933" s="25"/>
    </row>
    <row r="910955" spans="21:21" x14ac:dyDescent="0.3">
      <c r="U910955" s="25"/>
    </row>
    <row r="910977" spans="21:21" x14ac:dyDescent="0.3">
      <c r="U910977" s="25"/>
    </row>
    <row r="910999" spans="21:21" x14ac:dyDescent="0.3">
      <c r="U910999" s="25"/>
    </row>
    <row r="911021" spans="21:21" x14ac:dyDescent="0.3">
      <c r="U911021" s="25"/>
    </row>
    <row r="911043" spans="21:21" x14ac:dyDescent="0.3">
      <c r="U911043" s="25"/>
    </row>
    <row r="911065" spans="21:21" x14ac:dyDescent="0.3">
      <c r="U911065" s="25"/>
    </row>
    <row r="911087" spans="21:21" x14ac:dyDescent="0.3">
      <c r="U911087" s="25"/>
    </row>
    <row r="911109" spans="21:21" x14ac:dyDescent="0.3">
      <c r="U911109" s="25"/>
    </row>
    <row r="911131" spans="21:21" x14ac:dyDescent="0.3">
      <c r="U911131" s="25"/>
    </row>
    <row r="911153" spans="21:21" x14ac:dyDescent="0.3">
      <c r="U911153" s="25"/>
    </row>
    <row r="911175" spans="21:21" x14ac:dyDescent="0.3">
      <c r="U911175" s="25"/>
    </row>
    <row r="911197" spans="21:21" x14ac:dyDescent="0.3">
      <c r="U911197" s="25"/>
    </row>
    <row r="911219" spans="21:21" x14ac:dyDescent="0.3">
      <c r="U911219" s="25"/>
    </row>
    <row r="911241" spans="21:21" x14ac:dyDescent="0.3">
      <c r="U911241" s="25"/>
    </row>
    <row r="911263" spans="21:21" x14ac:dyDescent="0.3">
      <c r="U911263" s="25"/>
    </row>
    <row r="911285" spans="21:21" x14ac:dyDescent="0.3">
      <c r="U911285" s="25"/>
    </row>
    <row r="911307" spans="21:21" x14ac:dyDescent="0.3">
      <c r="U911307" s="25"/>
    </row>
    <row r="911329" spans="21:21" x14ac:dyDescent="0.3">
      <c r="U911329" s="25"/>
    </row>
    <row r="911351" spans="21:21" x14ac:dyDescent="0.3">
      <c r="U911351" s="25"/>
    </row>
    <row r="911373" spans="21:21" x14ac:dyDescent="0.3">
      <c r="U911373" s="25"/>
    </row>
    <row r="911395" spans="21:21" x14ac:dyDescent="0.3">
      <c r="U911395" s="25"/>
    </row>
    <row r="911417" spans="21:21" x14ac:dyDescent="0.3">
      <c r="U911417" s="25"/>
    </row>
    <row r="911439" spans="21:21" x14ac:dyDescent="0.3">
      <c r="U911439" s="25"/>
    </row>
    <row r="911461" spans="21:21" x14ac:dyDescent="0.3">
      <c r="U911461" s="25"/>
    </row>
    <row r="911483" spans="21:21" x14ac:dyDescent="0.3">
      <c r="U911483" s="25"/>
    </row>
    <row r="911505" spans="21:21" x14ac:dyDescent="0.3">
      <c r="U911505" s="25"/>
    </row>
    <row r="911527" spans="21:21" x14ac:dyDescent="0.3">
      <c r="U911527" s="25"/>
    </row>
    <row r="911549" spans="21:21" x14ac:dyDescent="0.3">
      <c r="U911549" s="25"/>
    </row>
    <row r="911571" spans="21:21" x14ac:dyDescent="0.3">
      <c r="U911571" s="25"/>
    </row>
    <row r="911593" spans="21:21" x14ac:dyDescent="0.3">
      <c r="U911593" s="25"/>
    </row>
    <row r="911615" spans="21:21" x14ac:dyDescent="0.3">
      <c r="U911615" s="25"/>
    </row>
    <row r="911637" spans="21:21" x14ac:dyDescent="0.3">
      <c r="U911637" s="25"/>
    </row>
    <row r="911659" spans="21:21" x14ac:dyDescent="0.3">
      <c r="U911659" s="25"/>
    </row>
    <row r="911681" spans="21:21" x14ac:dyDescent="0.3">
      <c r="U911681" s="25"/>
    </row>
    <row r="911703" spans="21:21" x14ac:dyDescent="0.3">
      <c r="U911703" s="25"/>
    </row>
    <row r="911725" spans="21:21" x14ac:dyDescent="0.3">
      <c r="U911725" s="25"/>
    </row>
    <row r="911747" spans="21:21" x14ac:dyDescent="0.3">
      <c r="U911747" s="25"/>
    </row>
    <row r="911769" spans="21:21" x14ac:dyDescent="0.3">
      <c r="U911769" s="25"/>
    </row>
    <row r="911791" spans="21:21" x14ac:dyDescent="0.3">
      <c r="U911791" s="25"/>
    </row>
    <row r="911813" spans="21:21" x14ac:dyDescent="0.3">
      <c r="U911813" s="25"/>
    </row>
    <row r="911835" spans="21:21" x14ac:dyDescent="0.3">
      <c r="U911835" s="25"/>
    </row>
    <row r="911857" spans="21:21" x14ac:dyDescent="0.3">
      <c r="U911857" s="25"/>
    </row>
    <row r="911879" spans="21:21" x14ac:dyDescent="0.3">
      <c r="U911879" s="25"/>
    </row>
    <row r="911901" spans="21:21" x14ac:dyDescent="0.3">
      <c r="U911901" s="25"/>
    </row>
    <row r="911923" spans="21:21" x14ac:dyDescent="0.3">
      <c r="U911923" s="25"/>
    </row>
    <row r="911945" spans="21:21" x14ac:dyDescent="0.3">
      <c r="U911945" s="25"/>
    </row>
    <row r="911967" spans="21:21" x14ac:dyDescent="0.3">
      <c r="U911967" s="25"/>
    </row>
    <row r="911989" spans="21:21" x14ac:dyDescent="0.3">
      <c r="U911989" s="25"/>
    </row>
    <row r="912011" spans="21:21" x14ac:dyDescent="0.3">
      <c r="U912011" s="25"/>
    </row>
    <row r="912033" spans="21:21" x14ac:dyDescent="0.3">
      <c r="U912033" s="25"/>
    </row>
    <row r="912055" spans="21:21" x14ac:dyDescent="0.3">
      <c r="U912055" s="25"/>
    </row>
    <row r="912077" spans="21:21" x14ac:dyDescent="0.3">
      <c r="U912077" s="25"/>
    </row>
    <row r="912099" spans="21:21" x14ac:dyDescent="0.3">
      <c r="U912099" s="25"/>
    </row>
    <row r="912121" spans="21:21" x14ac:dyDescent="0.3">
      <c r="U912121" s="25"/>
    </row>
    <row r="912143" spans="21:21" x14ac:dyDescent="0.3">
      <c r="U912143" s="25"/>
    </row>
    <row r="912165" spans="21:21" x14ac:dyDescent="0.3">
      <c r="U912165" s="25"/>
    </row>
    <row r="912187" spans="21:21" x14ac:dyDescent="0.3">
      <c r="U912187" s="25"/>
    </row>
    <row r="912209" spans="21:21" x14ac:dyDescent="0.3">
      <c r="U912209" s="25"/>
    </row>
    <row r="912231" spans="21:21" x14ac:dyDescent="0.3">
      <c r="U912231" s="25"/>
    </row>
    <row r="912253" spans="21:21" x14ac:dyDescent="0.3">
      <c r="U912253" s="25"/>
    </row>
    <row r="912275" spans="21:21" x14ac:dyDescent="0.3">
      <c r="U912275" s="25"/>
    </row>
    <row r="912297" spans="21:21" x14ac:dyDescent="0.3">
      <c r="U912297" s="25"/>
    </row>
    <row r="912319" spans="21:21" x14ac:dyDescent="0.3">
      <c r="U912319" s="25"/>
    </row>
    <row r="912341" spans="21:21" x14ac:dyDescent="0.3">
      <c r="U912341" s="25"/>
    </row>
    <row r="912363" spans="21:21" x14ac:dyDescent="0.3">
      <c r="U912363" s="25"/>
    </row>
    <row r="912385" spans="21:21" x14ac:dyDescent="0.3">
      <c r="U912385" s="25"/>
    </row>
    <row r="912407" spans="21:21" x14ac:dyDescent="0.3">
      <c r="U912407" s="25"/>
    </row>
    <row r="912429" spans="21:21" x14ac:dyDescent="0.3">
      <c r="U912429" s="25"/>
    </row>
    <row r="912451" spans="21:21" x14ac:dyDescent="0.3">
      <c r="U912451" s="25"/>
    </row>
    <row r="912473" spans="21:21" x14ac:dyDescent="0.3">
      <c r="U912473" s="25"/>
    </row>
    <row r="912495" spans="21:21" x14ac:dyDescent="0.3">
      <c r="U912495" s="25"/>
    </row>
    <row r="912517" spans="21:21" x14ac:dyDescent="0.3">
      <c r="U912517" s="25"/>
    </row>
    <row r="912539" spans="21:21" x14ac:dyDescent="0.3">
      <c r="U912539" s="25"/>
    </row>
    <row r="912561" spans="21:21" x14ac:dyDescent="0.3">
      <c r="U912561" s="25"/>
    </row>
    <row r="912583" spans="21:21" x14ac:dyDescent="0.3">
      <c r="U912583" s="25"/>
    </row>
    <row r="912605" spans="21:21" x14ac:dyDescent="0.3">
      <c r="U912605" s="25"/>
    </row>
    <row r="912627" spans="21:21" x14ac:dyDescent="0.3">
      <c r="U912627" s="25"/>
    </row>
    <row r="912649" spans="21:21" x14ac:dyDescent="0.3">
      <c r="U912649" s="25"/>
    </row>
    <row r="912671" spans="21:21" x14ac:dyDescent="0.3">
      <c r="U912671" s="25"/>
    </row>
    <row r="912693" spans="21:21" x14ac:dyDescent="0.3">
      <c r="U912693" s="25"/>
    </row>
    <row r="912715" spans="21:21" x14ac:dyDescent="0.3">
      <c r="U912715" s="25"/>
    </row>
    <row r="912737" spans="21:21" x14ac:dyDescent="0.3">
      <c r="U912737" s="25"/>
    </row>
    <row r="912759" spans="21:21" x14ac:dyDescent="0.3">
      <c r="U912759" s="25"/>
    </row>
    <row r="912781" spans="21:21" x14ac:dyDescent="0.3">
      <c r="U912781" s="25"/>
    </row>
    <row r="912803" spans="21:21" x14ac:dyDescent="0.3">
      <c r="U912803" s="25"/>
    </row>
    <row r="912825" spans="21:21" x14ac:dyDescent="0.3">
      <c r="U912825" s="25"/>
    </row>
    <row r="912847" spans="21:21" x14ac:dyDescent="0.3">
      <c r="U912847" s="25"/>
    </row>
    <row r="912869" spans="21:21" x14ac:dyDescent="0.3">
      <c r="U912869" s="25"/>
    </row>
    <row r="912891" spans="21:21" x14ac:dyDescent="0.3">
      <c r="U912891" s="25"/>
    </row>
    <row r="912913" spans="21:21" x14ac:dyDescent="0.3">
      <c r="U912913" s="25"/>
    </row>
    <row r="912935" spans="21:21" x14ac:dyDescent="0.3">
      <c r="U912935" s="25"/>
    </row>
    <row r="912957" spans="21:21" x14ac:dyDescent="0.3">
      <c r="U912957" s="25"/>
    </row>
    <row r="912979" spans="21:21" x14ac:dyDescent="0.3">
      <c r="U912979" s="25"/>
    </row>
    <row r="913001" spans="21:21" x14ac:dyDescent="0.3">
      <c r="U913001" s="25"/>
    </row>
    <row r="913023" spans="21:21" x14ac:dyDescent="0.3">
      <c r="U913023" s="25"/>
    </row>
    <row r="913045" spans="21:21" x14ac:dyDescent="0.3">
      <c r="U913045" s="25"/>
    </row>
    <row r="913067" spans="21:21" x14ac:dyDescent="0.3">
      <c r="U913067" s="25"/>
    </row>
    <row r="913089" spans="21:21" x14ac:dyDescent="0.3">
      <c r="U913089" s="25"/>
    </row>
    <row r="913111" spans="21:21" x14ac:dyDescent="0.3">
      <c r="U913111" s="25"/>
    </row>
    <row r="913133" spans="21:21" x14ac:dyDescent="0.3">
      <c r="U913133" s="25"/>
    </row>
    <row r="913155" spans="21:21" x14ac:dyDescent="0.3">
      <c r="U913155" s="25"/>
    </row>
    <row r="913177" spans="21:21" x14ac:dyDescent="0.3">
      <c r="U913177" s="25"/>
    </row>
    <row r="913199" spans="21:21" x14ac:dyDescent="0.3">
      <c r="U913199" s="25"/>
    </row>
    <row r="913221" spans="21:21" x14ac:dyDescent="0.3">
      <c r="U913221" s="25"/>
    </row>
    <row r="913243" spans="21:21" x14ac:dyDescent="0.3">
      <c r="U913243" s="25"/>
    </row>
    <row r="913265" spans="21:21" x14ac:dyDescent="0.3">
      <c r="U913265" s="25"/>
    </row>
    <row r="913287" spans="21:21" x14ac:dyDescent="0.3">
      <c r="U913287" s="25"/>
    </row>
    <row r="913309" spans="21:21" x14ac:dyDescent="0.3">
      <c r="U913309" s="25"/>
    </row>
    <row r="913331" spans="21:21" x14ac:dyDescent="0.3">
      <c r="U913331" s="25"/>
    </row>
    <row r="913353" spans="21:21" x14ac:dyDescent="0.3">
      <c r="U913353" s="25"/>
    </row>
    <row r="913375" spans="21:21" x14ac:dyDescent="0.3">
      <c r="U913375" s="25"/>
    </row>
    <row r="913397" spans="21:21" x14ac:dyDescent="0.3">
      <c r="U913397" s="25"/>
    </row>
    <row r="913419" spans="21:21" x14ac:dyDescent="0.3">
      <c r="U913419" s="25"/>
    </row>
    <row r="913441" spans="21:21" x14ac:dyDescent="0.3">
      <c r="U913441" s="25"/>
    </row>
    <row r="913463" spans="21:21" x14ac:dyDescent="0.3">
      <c r="U913463" s="25"/>
    </row>
    <row r="913485" spans="21:21" x14ac:dyDescent="0.3">
      <c r="U913485" s="25"/>
    </row>
    <row r="913507" spans="21:21" x14ac:dyDescent="0.3">
      <c r="U913507" s="25"/>
    </row>
    <row r="913529" spans="21:21" x14ac:dyDescent="0.3">
      <c r="U913529" s="25"/>
    </row>
    <row r="913551" spans="21:21" x14ac:dyDescent="0.3">
      <c r="U913551" s="25"/>
    </row>
    <row r="913573" spans="21:21" x14ac:dyDescent="0.3">
      <c r="U913573" s="25"/>
    </row>
    <row r="913595" spans="21:21" x14ac:dyDescent="0.3">
      <c r="U913595" s="25"/>
    </row>
    <row r="913617" spans="21:21" x14ac:dyDescent="0.3">
      <c r="U913617" s="25"/>
    </row>
    <row r="913639" spans="21:21" x14ac:dyDescent="0.3">
      <c r="U913639" s="25"/>
    </row>
    <row r="913661" spans="21:21" x14ac:dyDescent="0.3">
      <c r="U913661" s="25"/>
    </row>
    <row r="913683" spans="21:21" x14ac:dyDescent="0.3">
      <c r="U913683" s="25"/>
    </row>
    <row r="913705" spans="21:21" x14ac:dyDescent="0.3">
      <c r="U913705" s="25"/>
    </row>
    <row r="913727" spans="21:21" x14ac:dyDescent="0.3">
      <c r="U913727" s="25"/>
    </row>
    <row r="913749" spans="21:21" x14ac:dyDescent="0.3">
      <c r="U913749" s="25"/>
    </row>
    <row r="913771" spans="21:21" x14ac:dyDescent="0.3">
      <c r="U913771" s="25"/>
    </row>
    <row r="913793" spans="21:21" x14ac:dyDescent="0.3">
      <c r="U913793" s="25"/>
    </row>
    <row r="913815" spans="21:21" x14ac:dyDescent="0.3">
      <c r="U913815" s="25"/>
    </row>
    <row r="913837" spans="21:21" x14ac:dyDescent="0.3">
      <c r="U913837" s="25"/>
    </row>
    <row r="913859" spans="21:21" x14ac:dyDescent="0.3">
      <c r="U913859" s="25"/>
    </row>
    <row r="913881" spans="21:21" x14ac:dyDescent="0.3">
      <c r="U913881" s="25"/>
    </row>
    <row r="913903" spans="21:21" x14ac:dyDescent="0.3">
      <c r="U913903" s="25"/>
    </row>
    <row r="913925" spans="21:21" x14ac:dyDescent="0.3">
      <c r="U913925" s="25"/>
    </row>
    <row r="913947" spans="21:21" x14ac:dyDescent="0.3">
      <c r="U913947" s="25"/>
    </row>
    <row r="913969" spans="21:21" x14ac:dyDescent="0.3">
      <c r="U913969" s="25"/>
    </row>
    <row r="913991" spans="21:21" x14ac:dyDescent="0.3">
      <c r="U913991" s="25"/>
    </row>
    <row r="914013" spans="21:21" x14ac:dyDescent="0.3">
      <c r="U914013" s="25"/>
    </row>
    <row r="914035" spans="21:21" x14ac:dyDescent="0.3">
      <c r="U914035" s="25"/>
    </row>
    <row r="914057" spans="21:21" x14ac:dyDescent="0.3">
      <c r="U914057" s="25"/>
    </row>
    <row r="914079" spans="21:21" x14ac:dyDescent="0.3">
      <c r="U914079" s="25"/>
    </row>
    <row r="914101" spans="21:21" x14ac:dyDescent="0.3">
      <c r="U914101" s="25"/>
    </row>
    <row r="914123" spans="21:21" x14ac:dyDescent="0.3">
      <c r="U914123" s="25"/>
    </row>
    <row r="914145" spans="21:21" x14ac:dyDescent="0.3">
      <c r="U914145" s="25"/>
    </row>
    <row r="914167" spans="21:21" x14ac:dyDescent="0.3">
      <c r="U914167" s="25"/>
    </row>
    <row r="914189" spans="21:21" x14ac:dyDescent="0.3">
      <c r="U914189" s="25"/>
    </row>
    <row r="914211" spans="21:21" x14ac:dyDescent="0.3">
      <c r="U914211" s="25"/>
    </row>
    <row r="914233" spans="21:21" x14ac:dyDescent="0.3">
      <c r="U914233" s="25"/>
    </row>
    <row r="914255" spans="21:21" x14ac:dyDescent="0.3">
      <c r="U914255" s="25"/>
    </row>
    <row r="914277" spans="21:21" x14ac:dyDescent="0.3">
      <c r="U914277" s="25"/>
    </row>
    <row r="914299" spans="21:21" x14ac:dyDescent="0.3">
      <c r="U914299" s="25"/>
    </row>
    <row r="914321" spans="21:21" x14ac:dyDescent="0.3">
      <c r="U914321" s="25"/>
    </row>
    <row r="914343" spans="21:21" x14ac:dyDescent="0.3">
      <c r="U914343" s="25"/>
    </row>
    <row r="914365" spans="21:21" x14ac:dyDescent="0.3">
      <c r="U914365" s="25"/>
    </row>
    <row r="914387" spans="21:21" x14ac:dyDescent="0.3">
      <c r="U914387" s="25"/>
    </row>
    <row r="914409" spans="21:21" x14ac:dyDescent="0.3">
      <c r="U914409" s="25"/>
    </row>
    <row r="914431" spans="21:21" x14ac:dyDescent="0.3">
      <c r="U914431" s="25"/>
    </row>
    <row r="914453" spans="21:21" x14ac:dyDescent="0.3">
      <c r="U914453" s="25"/>
    </row>
    <row r="914475" spans="21:21" x14ac:dyDescent="0.3">
      <c r="U914475" s="25"/>
    </row>
    <row r="914497" spans="21:21" x14ac:dyDescent="0.3">
      <c r="U914497" s="25"/>
    </row>
    <row r="914519" spans="21:21" x14ac:dyDescent="0.3">
      <c r="U914519" s="25"/>
    </row>
    <row r="914541" spans="21:21" x14ac:dyDescent="0.3">
      <c r="U914541" s="25"/>
    </row>
    <row r="914563" spans="21:21" x14ac:dyDescent="0.3">
      <c r="U914563" s="25"/>
    </row>
    <row r="914585" spans="21:21" x14ac:dyDescent="0.3">
      <c r="U914585" s="25"/>
    </row>
    <row r="914607" spans="21:21" x14ac:dyDescent="0.3">
      <c r="U914607" s="25"/>
    </row>
    <row r="914629" spans="21:21" x14ac:dyDescent="0.3">
      <c r="U914629" s="25"/>
    </row>
    <row r="914651" spans="21:21" x14ac:dyDescent="0.3">
      <c r="U914651" s="25"/>
    </row>
    <row r="914673" spans="21:21" x14ac:dyDescent="0.3">
      <c r="U914673" s="25"/>
    </row>
    <row r="914695" spans="21:21" x14ac:dyDescent="0.3">
      <c r="U914695" s="25"/>
    </row>
    <row r="914717" spans="21:21" x14ac:dyDescent="0.3">
      <c r="U914717" s="25"/>
    </row>
    <row r="914739" spans="21:21" x14ac:dyDescent="0.3">
      <c r="U914739" s="25"/>
    </row>
    <row r="914761" spans="21:21" x14ac:dyDescent="0.3">
      <c r="U914761" s="25"/>
    </row>
    <row r="914783" spans="21:21" x14ac:dyDescent="0.3">
      <c r="U914783" s="25"/>
    </row>
    <row r="914805" spans="21:21" x14ac:dyDescent="0.3">
      <c r="U914805" s="25"/>
    </row>
    <row r="914827" spans="21:21" x14ac:dyDescent="0.3">
      <c r="U914827" s="25"/>
    </row>
    <row r="914849" spans="21:21" x14ac:dyDescent="0.3">
      <c r="U914849" s="25"/>
    </row>
    <row r="914871" spans="21:21" x14ac:dyDescent="0.3">
      <c r="U914871" s="25"/>
    </row>
    <row r="914893" spans="21:21" x14ac:dyDescent="0.3">
      <c r="U914893" s="25"/>
    </row>
    <row r="914915" spans="21:21" x14ac:dyDescent="0.3">
      <c r="U914915" s="25"/>
    </row>
    <row r="914937" spans="21:21" x14ac:dyDescent="0.3">
      <c r="U914937" s="25"/>
    </row>
    <row r="914959" spans="21:21" x14ac:dyDescent="0.3">
      <c r="U914959" s="25"/>
    </row>
    <row r="914981" spans="21:21" x14ac:dyDescent="0.3">
      <c r="U914981" s="25"/>
    </row>
    <row r="915003" spans="21:21" x14ac:dyDescent="0.3">
      <c r="U915003" s="25"/>
    </row>
    <row r="915025" spans="21:21" x14ac:dyDescent="0.3">
      <c r="U915025" s="25"/>
    </row>
    <row r="915047" spans="21:21" x14ac:dyDescent="0.3">
      <c r="U915047" s="25"/>
    </row>
    <row r="915069" spans="21:21" x14ac:dyDescent="0.3">
      <c r="U915069" s="25"/>
    </row>
    <row r="915091" spans="21:21" x14ac:dyDescent="0.3">
      <c r="U915091" s="25"/>
    </row>
    <row r="915113" spans="21:21" x14ac:dyDescent="0.3">
      <c r="U915113" s="25"/>
    </row>
    <row r="915135" spans="21:21" x14ac:dyDescent="0.3">
      <c r="U915135" s="25"/>
    </row>
    <row r="915157" spans="21:21" x14ac:dyDescent="0.3">
      <c r="U915157" s="25"/>
    </row>
    <row r="915179" spans="21:21" x14ac:dyDescent="0.3">
      <c r="U915179" s="25"/>
    </row>
    <row r="915201" spans="21:21" x14ac:dyDescent="0.3">
      <c r="U915201" s="25"/>
    </row>
    <row r="915223" spans="21:21" x14ac:dyDescent="0.3">
      <c r="U915223" s="25"/>
    </row>
    <row r="915245" spans="21:21" x14ac:dyDescent="0.3">
      <c r="U915245" s="25"/>
    </row>
    <row r="915267" spans="21:21" x14ac:dyDescent="0.3">
      <c r="U915267" s="25"/>
    </row>
    <row r="915289" spans="21:21" x14ac:dyDescent="0.3">
      <c r="U915289" s="25"/>
    </row>
    <row r="915311" spans="21:21" x14ac:dyDescent="0.3">
      <c r="U915311" s="25"/>
    </row>
    <row r="915333" spans="21:21" x14ac:dyDescent="0.3">
      <c r="U915333" s="25"/>
    </row>
    <row r="915355" spans="21:21" x14ac:dyDescent="0.3">
      <c r="U915355" s="25"/>
    </row>
    <row r="915377" spans="21:21" x14ac:dyDescent="0.3">
      <c r="U915377" s="25"/>
    </row>
    <row r="915399" spans="21:21" x14ac:dyDescent="0.3">
      <c r="U915399" s="25"/>
    </row>
    <row r="915421" spans="21:21" x14ac:dyDescent="0.3">
      <c r="U915421" s="25"/>
    </row>
    <row r="915443" spans="21:21" x14ac:dyDescent="0.3">
      <c r="U915443" s="25"/>
    </row>
    <row r="915465" spans="21:21" x14ac:dyDescent="0.3">
      <c r="U915465" s="25"/>
    </row>
    <row r="915487" spans="21:21" x14ac:dyDescent="0.3">
      <c r="U915487" s="25"/>
    </row>
    <row r="915509" spans="21:21" x14ac:dyDescent="0.3">
      <c r="U915509" s="25"/>
    </row>
    <row r="915531" spans="21:21" x14ac:dyDescent="0.3">
      <c r="U915531" s="25"/>
    </row>
    <row r="915553" spans="21:21" x14ac:dyDescent="0.3">
      <c r="U915553" s="25"/>
    </row>
    <row r="915575" spans="21:21" x14ac:dyDescent="0.3">
      <c r="U915575" s="25"/>
    </row>
    <row r="915597" spans="21:21" x14ac:dyDescent="0.3">
      <c r="U915597" s="25"/>
    </row>
    <row r="915619" spans="21:21" x14ac:dyDescent="0.3">
      <c r="U915619" s="25"/>
    </row>
    <row r="915641" spans="21:21" x14ac:dyDescent="0.3">
      <c r="U915641" s="25"/>
    </row>
    <row r="915663" spans="21:21" x14ac:dyDescent="0.3">
      <c r="U915663" s="25"/>
    </row>
    <row r="915685" spans="21:21" x14ac:dyDescent="0.3">
      <c r="U915685" s="25"/>
    </row>
    <row r="915707" spans="21:21" x14ac:dyDescent="0.3">
      <c r="U915707" s="25"/>
    </row>
    <row r="915729" spans="21:21" x14ac:dyDescent="0.3">
      <c r="U915729" s="25"/>
    </row>
    <row r="915751" spans="21:21" x14ac:dyDescent="0.3">
      <c r="U915751" s="25"/>
    </row>
    <row r="915773" spans="21:21" x14ac:dyDescent="0.3">
      <c r="U915773" s="25"/>
    </row>
    <row r="915795" spans="21:21" x14ac:dyDescent="0.3">
      <c r="U915795" s="25"/>
    </row>
    <row r="915817" spans="21:21" x14ac:dyDescent="0.3">
      <c r="U915817" s="25"/>
    </row>
    <row r="915839" spans="21:21" x14ac:dyDescent="0.3">
      <c r="U915839" s="25"/>
    </row>
    <row r="915861" spans="21:21" x14ac:dyDescent="0.3">
      <c r="U915861" s="25"/>
    </row>
    <row r="915883" spans="21:21" x14ac:dyDescent="0.3">
      <c r="U915883" s="25"/>
    </row>
    <row r="915905" spans="21:21" x14ac:dyDescent="0.3">
      <c r="U915905" s="25"/>
    </row>
    <row r="915927" spans="21:21" x14ac:dyDescent="0.3">
      <c r="U915927" s="25"/>
    </row>
    <row r="915949" spans="21:21" x14ac:dyDescent="0.3">
      <c r="U915949" s="25"/>
    </row>
    <row r="915971" spans="21:21" x14ac:dyDescent="0.3">
      <c r="U915971" s="25"/>
    </row>
    <row r="915993" spans="21:21" x14ac:dyDescent="0.3">
      <c r="U915993" s="25"/>
    </row>
    <row r="916015" spans="21:21" x14ac:dyDescent="0.3">
      <c r="U916015" s="25"/>
    </row>
    <row r="916037" spans="21:21" x14ac:dyDescent="0.3">
      <c r="U916037" s="25"/>
    </row>
    <row r="916059" spans="21:21" x14ac:dyDescent="0.3">
      <c r="U916059" s="25"/>
    </row>
    <row r="916081" spans="21:21" x14ac:dyDescent="0.3">
      <c r="U916081" s="25"/>
    </row>
    <row r="916103" spans="21:21" x14ac:dyDescent="0.3">
      <c r="U916103" s="25"/>
    </row>
    <row r="916125" spans="21:21" x14ac:dyDescent="0.3">
      <c r="U916125" s="25"/>
    </row>
    <row r="916147" spans="21:21" x14ac:dyDescent="0.3">
      <c r="U916147" s="25"/>
    </row>
    <row r="916169" spans="21:21" x14ac:dyDescent="0.3">
      <c r="U916169" s="25"/>
    </row>
    <row r="916191" spans="21:21" x14ac:dyDescent="0.3">
      <c r="U916191" s="25"/>
    </row>
    <row r="916213" spans="21:21" x14ac:dyDescent="0.3">
      <c r="U916213" s="25"/>
    </row>
    <row r="916235" spans="21:21" x14ac:dyDescent="0.3">
      <c r="U916235" s="25"/>
    </row>
    <row r="916257" spans="21:21" x14ac:dyDescent="0.3">
      <c r="U916257" s="25"/>
    </row>
    <row r="916279" spans="21:21" x14ac:dyDescent="0.3">
      <c r="U916279" s="25"/>
    </row>
    <row r="916301" spans="21:21" x14ac:dyDescent="0.3">
      <c r="U916301" s="25"/>
    </row>
    <row r="916323" spans="21:21" x14ac:dyDescent="0.3">
      <c r="U916323" s="25"/>
    </row>
    <row r="916345" spans="21:21" x14ac:dyDescent="0.3">
      <c r="U916345" s="25"/>
    </row>
    <row r="916367" spans="21:21" x14ac:dyDescent="0.3">
      <c r="U916367" s="25"/>
    </row>
    <row r="916389" spans="21:21" x14ac:dyDescent="0.3">
      <c r="U916389" s="25"/>
    </row>
    <row r="916411" spans="21:21" x14ac:dyDescent="0.3">
      <c r="U916411" s="25"/>
    </row>
    <row r="916433" spans="21:21" x14ac:dyDescent="0.3">
      <c r="U916433" s="25"/>
    </row>
    <row r="916455" spans="21:21" x14ac:dyDescent="0.3">
      <c r="U916455" s="25"/>
    </row>
    <row r="916477" spans="21:21" x14ac:dyDescent="0.3">
      <c r="U916477" s="25"/>
    </row>
    <row r="916499" spans="21:21" x14ac:dyDescent="0.3">
      <c r="U916499" s="25"/>
    </row>
    <row r="916521" spans="21:21" x14ac:dyDescent="0.3">
      <c r="U916521" s="25"/>
    </row>
    <row r="916543" spans="21:21" x14ac:dyDescent="0.3">
      <c r="U916543" s="25"/>
    </row>
    <row r="916565" spans="21:21" x14ac:dyDescent="0.3">
      <c r="U916565" s="25"/>
    </row>
    <row r="916587" spans="21:21" x14ac:dyDescent="0.3">
      <c r="U916587" s="25"/>
    </row>
    <row r="916609" spans="21:21" x14ac:dyDescent="0.3">
      <c r="U916609" s="25"/>
    </row>
    <row r="916631" spans="21:21" x14ac:dyDescent="0.3">
      <c r="U916631" s="25"/>
    </row>
    <row r="916653" spans="21:21" x14ac:dyDescent="0.3">
      <c r="U916653" s="25"/>
    </row>
    <row r="916675" spans="21:21" x14ac:dyDescent="0.3">
      <c r="U916675" s="25"/>
    </row>
    <row r="916697" spans="21:21" x14ac:dyDescent="0.3">
      <c r="U916697" s="25"/>
    </row>
    <row r="916719" spans="21:21" x14ac:dyDescent="0.3">
      <c r="U916719" s="25"/>
    </row>
    <row r="916741" spans="21:21" x14ac:dyDescent="0.3">
      <c r="U916741" s="25"/>
    </row>
    <row r="916763" spans="21:21" x14ac:dyDescent="0.3">
      <c r="U916763" s="25"/>
    </row>
    <row r="916785" spans="21:21" x14ac:dyDescent="0.3">
      <c r="U916785" s="25"/>
    </row>
    <row r="916807" spans="21:21" x14ac:dyDescent="0.3">
      <c r="U916807" s="25"/>
    </row>
    <row r="916829" spans="21:21" x14ac:dyDescent="0.3">
      <c r="U916829" s="25"/>
    </row>
    <row r="916851" spans="21:21" x14ac:dyDescent="0.3">
      <c r="U916851" s="25"/>
    </row>
    <row r="916873" spans="21:21" x14ac:dyDescent="0.3">
      <c r="U916873" s="25"/>
    </row>
    <row r="916895" spans="21:21" x14ac:dyDescent="0.3">
      <c r="U916895" s="25"/>
    </row>
    <row r="916917" spans="21:21" x14ac:dyDescent="0.3">
      <c r="U916917" s="25"/>
    </row>
    <row r="916939" spans="21:21" x14ac:dyDescent="0.3">
      <c r="U916939" s="25"/>
    </row>
    <row r="916961" spans="21:21" x14ac:dyDescent="0.3">
      <c r="U916961" s="25"/>
    </row>
    <row r="916983" spans="21:21" x14ac:dyDescent="0.3">
      <c r="U916983" s="25"/>
    </row>
    <row r="917005" spans="21:21" x14ac:dyDescent="0.3">
      <c r="U917005" s="25"/>
    </row>
    <row r="917027" spans="21:21" x14ac:dyDescent="0.3">
      <c r="U917027" s="25"/>
    </row>
    <row r="917049" spans="21:21" x14ac:dyDescent="0.3">
      <c r="U917049" s="25"/>
    </row>
    <row r="917071" spans="21:21" x14ac:dyDescent="0.3">
      <c r="U917071" s="25"/>
    </row>
    <row r="917093" spans="21:21" x14ac:dyDescent="0.3">
      <c r="U917093" s="25"/>
    </row>
    <row r="917115" spans="21:21" x14ac:dyDescent="0.3">
      <c r="U917115" s="25"/>
    </row>
    <row r="917137" spans="21:21" x14ac:dyDescent="0.3">
      <c r="U917137" s="25"/>
    </row>
    <row r="917159" spans="21:21" x14ac:dyDescent="0.3">
      <c r="U917159" s="25"/>
    </row>
    <row r="917181" spans="21:21" x14ac:dyDescent="0.3">
      <c r="U917181" s="25"/>
    </row>
    <row r="917203" spans="21:21" x14ac:dyDescent="0.3">
      <c r="U917203" s="25"/>
    </row>
    <row r="917225" spans="21:21" x14ac:dyDescent="0.3">
      <c r="U917225" s="25"/>
    </row>
    <row r="917247" spans="21:21" x14ac:dyDescent="0.3">
      <c r="U917247" s="25"/>
    </row>
    <row r="917269" spans="21:21" x14ac:dyDescent="0.3">
      <c r="U917269" s="25"/>
    </row>
    <row r="917291" spans="21:21" x14ac:dyDescent="0.3">
      <c r="U917291" s="25"/>
    </row>
    <row r="917313" spans="21:21" x14ac:dyDescent="0.3">
      <c r="U917313" s="25"/>
    </row>
    <row r="917335" spans="21:21" x14ac:dyDescent="0.3">
      <c r="U917335" s="25"/>
    </row>
    <row r="917357" spans="21:21" x14ac:dyDescent="0.3">
      <c r="U917357" s="25"/>
    </row>
    <row r="917379" spans="21:21" x14ac:dyDescent="0.3">
      <c r="U917379" s="25"/>
    </row>
    <row r="917401" spans="21:21" x14ac:dyDescent="0.3">
      <c r="U917401" s="25"/>
    </row>
    <row r="917423" spans="21:21" x14ac:dyDescent="0.3">
      <c r="U917423" s="25"/>
    </row>
    <row r="917445" spans="21:21" x14ac:dyDescent="0.3">
      <c r="U917445" s="25"/>
    </row>
    <row r="917467" spans="21:21" x14ac:dyDescent="0.3">
      <c r="U917467" s="25"/>
    </row>
    <row r="917489" spans="21:21" x14ac:dyDescent="0.3">
      <c r="U917489" s="25"/>
    </row>
    <row r="917511" spans="21:21" x14ac:dyDescent="0.3">
      <c r="U917511" s="25"/>
    </row>
    <row r="917533" spans="21:21" x14ac:dyDescent="0.3">
      <c r="U917533" s="25"/>
    </row>
    <row r="917555" spans="21:21" x14ac:dyDescent="0.3">
      <c r="U917555" s="25"/>
    </row>
    <row r="917577" spans="21:21" x14ac:dyDescent="0.3">
      <c r="U917577" s="25"/>
    </row>
    <row r="917599" spans="21:21" x14ac:dyDescent="0.3">
      <c r="U917599" s="25"/>
    </row>
    <row r="917621" spans="21:21" x14ac:dyDescent="0.3">
      <c r="U917621" s="25"/>
    </row>
    <row r="917643" spans="21:21" x14ac:dyDescent="0.3">
      <c r="U917643" s="25"/>
    </row>
    <row r="917665" spans="21:21" x14ac:dyDescent="0.3">
      <c r="U917665" s="25"/>
    </row>
    <row r="917687" spans="21:21" x14ac:dyDescent="0.3">
      <c r="U917687" s="25"/>
    </row>
    <row r="917709" spans="21:21" x14ac:dyDescent="0.3">
      <c r="U917709" s="25"/>
    </row>
    <row r="917731" spans="21:21" x14ac:dyDescent="0.3">
      <c r="U917731" s="25"/>
    </row>
    <row r="917753" spans="21:21" x14ac:dyDescent="0.3">
      <c r="U917753" s="25"/>
    </row>
    <row r="917775" spans="21:21" x14ac:dyDescent="0.3">
      <c r="U917775" s="25"/>
    </row>
    <row r="917797" spans="21:21" x14ac:dyDescent="0.3">
      <c r="U917797" s="25"/>
    </row>
    <row r="917819" spans="21:21" x14ac:dyDescent="0.3">
      <c r="U917819" s="25"/>
    </row>
    <row r="917841" spans="21:21" x14ac:dyDescent="0.3">
      <c r="U917841" s="25"/>
    </row>
    <row r="917863" spans="21:21" x14ac:dyDescent="0.3">
      <c r="U917863" s="25"/>
    </row>
    <row r="917885" spans="21:21" x14ac:dyDescent="0.3">
      <c r="U917885" s="25"/>
    </row>
    <row r="917907" spans="21:21" x14ac:dyDescent="0.3">
      <c r="U917907" s="25"/>
    </row>
    <row r="917929" spans="21:21" x14ac:dyDescent="0.3">
      <c r="U917929" s="25"/>
    </row>
    <row r="917951" spans="21:21" x14ac:dyDescent="0.3">
      <c r="U917951" s="25"/>
    </row>
    <row r="917973" spans="21:21" x14ac:dyDescent="0.3">
      <c r="U917973" s="25"/>
    </row>
    <row r="917995" spans="21:21" x14ac:dyDescent="0.3">
      <c r="U917995" s="25"/>
    </row>
    <row r="918017" spans="21:21" x14ac:dyDescent="0.3">
      <c r="U918017" s="25"/>
    </row>
    <row r="918039" spans="21:21" x14ac:dyDescent="0.3">
      <c r="U918039" s="25"/>
    </row>
    <row r="918061" spans="21:21" x14ac:dyDescent="0.3">
      <c r="U918061" s="25"/>
    </row>
    <row r="918083" spans="21:21" x14ac:dyDescent="0.3">
      <c r="U918083" s="25"/>
    </row>
    <row r="918105" spans="21:21" x14ac:dyDescent="0.3">
      <c r="U918105" s="25"/>
    </row>
    <row r="918127" spans="21:21" x14ac:dyDescent="0.3">
      <c r="U918127" s="25"/>
    </row>
    <row r="918149" spans="21:21" x14ac:dyDescent="0.3">
      <c r="U918149" s="25"/>
    </row>
    <row r="918171" spans="21:21" x14ac:dyDescent="0.3">
      <c r="U918171" s="25"/>
    </row>
    <row r="918193" spans="21:21" x14ac:dyDescent="0.3">
      <c r="U918193" s="25"/>
    </row>
    <row r="918215" spans="21:21" x14ac:dyDescent="0.3">
      <c r="U918215" s="25"/>
    </row>
    <row r="918237" spans="21:21" x14ac:dyDescent="0.3">
      <c r="U918237" s="25"/>
    </row>
    <row r="918259" spans="21:21" x14ac:dyDescent="0.3">
      <c r="U918259" s="25"/>
    </row>
    <row r="918281" spans="21:21" x14ac:dyDescent="0.3">
      <c r="U918281" s="25"/>
    </row>
    <row r="918303" spans="21:21" x14ac:dyDescent="0.3">
      <c r="U918303" s="25"/>
    </row>
    <row r="918325" spans="21:21" x14ac:dyDescent="0.3">
      <c r="U918325" s="25"/>
    </row>
    <row r="918347" spans="21:21" x14ac:dyDescent="0.3">
      <c r="U918347" s="25"/>
    </row>
    <row r="918369" spans="21:21" x14ac:dyDescent="0.3">
      <c r="U918369" s="25"/>
    </row>
    <row r="918391" spans="21:21" x14ac:dyDescent="0.3">
      <c r="U918391" s="25"/>
    </row>
    <row r="918413" spans="21:21" x14ac:dyDescent="0.3">
      <c r="U918413" s="25"/>
    </row>
    <row r="918435" spans="21:21" x14ac:dyDescent="0.3">
      <c r="U918435" s="25"/>
    </row>
    <row r="918457" spans="21:21" x14ac:dyDescent="0.3">
      <c r="U918457" s="25"/>
    </row>
    <row r="918479" spans="21:21" x14ac:dyDescent="0.3">
      <c r="U918479" s="25"/>
    </row>
    <row r="918501" spans="21:21" x14ac:dyDescent="0.3">
      <c r="U918501" s="25"/>
    </row>
    <row r="918523" spans="21:21" x14ac:dyDescent="0.3">
      <c r="U918523" s="25"/>
    </row>
    <row r="918545" spans="21:21" x14ac:dyDescent="0.3">
      <c r="U918545" s="25"/>
    </row>
    <row r="918567" spans="21:21" x14ac:dyDescent="0.3">
      <c r="U918567" s="25"/>
    </row>
    <row r="918589" spans="21:21" x14ac:dyDescent="0.3">
      <c r="U918589" s="25"/>
    </row>
    <row r="918611" spans="21:21" x14ac:dyDescent="0.3">
      <c r="U918611" s="25"/>
    </row>
    <row r="918633" spans="21:21" x14ac:dyDescent="0.3">
      <c r="U918633" s="25"/>
    </row>
    <row r="918655" spans="21:21" x14ac:dyDescent="0.3">
      <c r="U918655" s="25"/>
    </row>
    <row r="918677" spans="21:21" x14ac:dyDescent="0.3">
      <c r="U918677" s="25"/>
    </row>
    <row r="918699" spans="21:21" x14ac:dyDescent="0.3">
      <c r="U918699" s="25"/>
    </row>
    <row r="918721" spans="21:21" x14ac:dyDescent="0.3">
      <c r="U918721" s="25"/>
    </row>
    <row r="918743" spans="21:21" x14ac:dyDescent="0.3">
      <c r="U918743" s="25"/>
    </row>
    <row r="918765" spans="21:21" x14ac:dyDescent="0.3">
      <c r="U918765" s="25"/>
    </row>
    <row r="918787" spans="21:21" x14ac:dyDescent="0.3">
      <c r="U918787" s="25"/>
    </row>
    <row r="918809" spans="21:21" x14ac:dyDescent="0.3">
      <c r="U918809" s="25"/>
    </row>
    <row r="918831" spans="21:21" x14ac:dyDescent="0.3">
      <c r="U918831" s="25"/>
    </row>
    <row r="918853" spans="21:21" x14ac:dyDescent="0.3">
      <c r="U918853" s="25"/>
    </row>
    <row r="918875" spans="21:21" x14ac:dyDescent="0.3">
      <c r="U918875" s="25"/>
    </row>
    <row r="918897" spans="21:21" x14ac:dyDescent="0.3">
      <c r="U918897" s="25"/>
    </row>
    <row r="918919" spans="21:21" x14ac:dyDescent="0.3">
      <c r="U918919" s="25"/>
    </row>
    <row r="918941" spans="21:21" x14ac:dyDescent="0.3">
      <c r="U918941" s="25"/>
    </row>
    <row r="918963" spans="21:21" x14ac:dyDescent="0.3">
      <c r="U918963" s="25"/>
    </row>
    <row r="918985" spans="21:21" x14ac:dyDescent="0.3">
      <c r="U918985" s="25"/>
    </row>
    <row r="919007" spans="21:21" x14ac:dyDescent="0.3">
      <c r="U919007" s="25"/>
    </row>
    <row r="919029" spans="21:21" x14ac:dyDescent="0.3">
      <c r="U919029" s="25"/>
    </row>
    <row r="919051" spans="21:21" x14ac:dyDescent="0.3">
      <c r="U919051" s="25"/>
    </row>
    <row r="919073" spans="21:21" x14ac:dyDescent="0.3">
      <c r="U919073" s="25"/>
    </row>
    <row r="919095" spans="21:21" x14ac:dyDescent="0.3">
      <c r="U919095" s="25"/>
    </row>
    <row r="919117" spans="21:21" x14ac:dyDescent="0.3">
      <c r="U919117" s="25"/>
    </row>
    <row r="919139" spans="21:21" x14ac:dyDescent="0.3">
      <c r="U919139" s="25"/>
    </row>
    <row r="919161" spans="21:21" x14ac:dyDescent="0.3">
      <c r="U919161" s="25"/>
    </row>
    <row r="919183" spans="21:21" x14ac:dyDescent="0.3">
      <c r="U919183" s="25"/>
    </row>
    <row r="919205" spans="21:21" x14ac:dyDescent="0.3">
      <c r="U919205" s="25"/>
    </row>
    <row r="919227" spans="21:21" x14ac:dyDescent="0.3">
      <c r="U919227" s="25"/>
    </row>
    <row r="919249" spans="21:21" x14ac:dyDescent="0.3">
      <c r="U919249" s="25"/>
    </row>
    <row r="919271" spans="21:21" x14ac:dyDescent="0.3">
      <c r="U919271" s="25"/>
    </row>
    <row r="919293" spans="21:21" x14ac:dyDescent="0.3">
      <c r="U919293" s="25"/>
    </row>
    <row r="919315" spans="21:21" x14ac:dyDescent="0.3">
      <c r="U919315" s="25"/>
    </row>
    <row r="919337" spans="21:21" x14ac:dyDescent="0.3">
      <c r="U919337" s="25"/>
    </row>
    <row r="919359" spans="21:21" x14ac:dyDescent="0.3">
      <c r="U919359" s="25"/>
    </row>
    <row r="919381" spans="21:21" x14ac:dyDescent="0.3">
      <c r="U919381" s="25"/>
    </row>
    <row r="919403" spans="21:21" x14ac:dyDescent="0.3">
      <c r="U919403" s="25"/>
    </row>
    <row r="919425" spans="21:21" x14ac:dyDescent="0.3">
      <c r="U919425" s="25"/>
    </row>
    <row r="919447" spans="21:21" x14ac:dyDescent="0.3">
      <c r="U919447" s="25"/>
    </row>
    <row r="919469" spans="21:21" x14ac:dyDescent="0.3">
      <c r="U919469" s="25"/>
    </row>
    <row r="919491" spans="21:21" x14ac:dyDescent="0.3">
      <c r="U919491" s="25"/>
    </row>
    <row r="919513" spans="21:21" x14ac:dyDescent="0.3">
      <c r="U919513" s="25"/>
    </row>
    <row r="919535" spans="21:21" x14ac:dyDescent="0.3">
      <c r="U919535" s="25"/>
    </row>
    <row r="919557" spans="21:21" x14ac:dyDescent="0.3">
      <c r="U919557" s="25"/>
    </row>
    <row r="919579" spans="21:21" x14ac:dyDescent="0.3">
      <c r="U919579" s="25"/>
    </row>
    <row r="919601" spans="21:21" x14ac:dyDescent="0.3">
      <c r="U919601" s="25"/>
    </row>
    <row r="919623" spans="21:21" x14ac:dyDescent="0.3">
      <c r="U919623" s="25"/>
    </row>
    <row r="919645" spans="21:21" x14ac:dyDescent="0.3">
      <c r="U919645" s="25"/>
    </row>
    <row r="919667" spans="21:21" x14ac:dyDescent="0.3">
      <c r="U919667" s="25"/>
    </row>
    <row r="919689" spans="21:21" x14ac:dyDescent="0.3">
      <c r="U919689" s="25"/>
    </row>
    <row r="919711" spans="21:21" x14ac:dyDescent="0.3">
      <c r="U919711" s="25"/>
    </row>
    <row r="919733" spans="21:21" x14ac:dyDescent="0.3">
      <c r="U919733" s="25"/>
    </row>
    <row r="919755" spans="21:21" x14ac:dyDescent="0.3">
      <c r="U919755" s="25"/>
    </row>
    <row r="919777" spans="21:21" x14ac:dyDescent="0.3">
      <c r="U919777" s="25"/>
    </row>
    <row r="919799" spans="21:21" x14ac:dyDescent="0.3">
      <c r="U919799" s="25"/>
    </row>
    <row r="919821" spans="21:21" x14ac:dyDescent="0.3">
      <c r="U919821" s="25"/>
    </row>
    <row r="919843" spans="21:21" x14ac:dyDescent="0.3">
      <c r="U919843" s="25"/>
    </row>
    <row r="919865" spans="21:21" x14ac:dyDescent="0.3">
      <c r="U919865" s="25"/>
    </row>
    <row r="919887" spans="21:21" x14ac:dyDescent="0.3">
      <c r="U919887" s="25"/>
    </row>
    <row r="919909" spans="21:21" x14ac:dyDescent="0.3">
      <c r="U919909" s="25"/>
    </row>
    <row r="919931" spans="21:21" x14ac:dyDescent="0.3">
      <c r="U919931" s="25"/>
    </row>
    <row r="919953" spans="21:21" x14ac:dyDescent="0.3">
      <c r="U919953" s="25"/>
    </row>
    <row r="919975" spans="21:21" x14ac:dyDescent="0.3">
      <c r="U919975" s="25"/>
    </row>
    <row r="919997" spans="21:21" x14ac:dyDescent="0.3">
      <c r="U919997" s="25"/>
    </row>
    <row r="920019" spans="21:21" x14ac:dyDescent="0.3">
      <c r="U920019" s="25"/>
    </row>
    <row r="920041" spans="21:21" x14ac:dyDescent="0.3">
      <c r="U920041" s="25"/>
    </row>
    <row r="920063" spans="21:21" x14ac:dyDescent="0.3">
      <c r="U920063" s="25"/>
    </row>
    <row r="920085" spans="21:21" x14ac:dyDescent="0.3">
      <c r="U920085" s="25"/>
    </row>
    <row r="920107" spans="21:21" x14ac:dyDescent="0.3">
      <c r="U920107" s="25"/>
    </row>
    <row r="920129" spans="21:21" x14ac:dyDescent="0.3">
      <c r="U920129" s="25"/>
    </row>
    <row r="920151" spans="21:21" x14ac:dyDescent="0.3">
      <c r="U920151" s="25"/>
    </row>
    <row r="920173" spans="21:21" x14ac:dyDescent="0.3">
      <c r="U920173" s="25"/>
    </row>
    <row r="920195" spans="21:21" x14ac:dyDescent="0.3">
      <c r="U920195" s="25"/>
    </row>
    <row r="920217" spans="21:21" x14ac:dyDescent="0.3">
      <c r="U920217" s="25"/>
    </row>
    <row r="920239" spans="21:21" x14ac:dyDescent="0.3">
      <c r="U920239" s="25"/>
    </row>
    <row r="920261" spans="21:21" x14ac:dyDescent="0.3">
      <c r="U920261" s="25"/>
    </row>
    <row r="920283" spans="21:21" x14ac:dyDescent="0.3">
      <c r="U920283" s="25"/>
    </row>
    <row r="920305" spans="21:21" x14ac:dyDescent="0.3">
      <c r="U920305" s="25"/>
    </row>
    <row r="920327" spans="21:21" x14ac:dyDescent="0.3">
      <c r="U920327" s="25"/>
    </row>
    <row r="920349" spans="21:21" x14ac:dyDescent="0.3">
      <c r="U920349" s="25"/>
    </row>
    <row r="920371" spans="21:21" x14ac:dyDescent="0.3">
      <c r="U920371" s="25"/>
    </row>
    <row r="920393" spans="21:21" x14ac:dyDescent="0.3">
      <c r="U920393" s="25"/>
    </row>
    <row r="920415" spans="21:21" x14ac:dyDescent="0.3">
      <c r="U920415" s="25"/>
    </row>
    <row r="920437" spans="21:21" x14ac:dyDescent="0.3">
      <c r="U920437" s="25"/>
    </row>
    <row r="920459" spans="21:21" x14ac:dyDescent="0.3">
      <c r="U920459" s="25"/>
    </row>
    <row r="920481" spans="21:21" x14ac:dyDescent="0.3">
      <c r="U920481" s="25"/>
    </row>
    <row r="920503" spans="21:21" x14ac:dyDescent="0.3">
      <c r="U920503" s="25"/>
    </row>
    <row r="920525" spans="21:21" x14ac:dyDescent="0.3">
      <c r="U920525" s="25"/>
    </row>
    <row r="920547" spans="21:21" x14ac:dyDescent="0.3">
      <c r="U920547" s="25"/>
    </row>
    <row r="920569" spans="21:21" x14ac:dyDescent="0.3">
      <c r="U920569" s="25"/>
    </row>
    <row r="920591" spans="21:21" x14ac:dyDescent="0.3">
      <c r="U920591" s="25"/>
    </row>
    <row r="920613" spans="21:21" x14ac:dyDescent="0.3">
      <c r="U920613" s="25"/>
    </row>
    <row r="920635" spans="21:21" x14ac:dyDescent="0.3">
      <c r="U920635" s="25"/>
    </row>
    <row r="920657" spans="21:21" x14ac:dyDescent="0.3">
      <c r="U920657" s="25"/>
    </row>
    <row r="920679" spans="21:21" x14ac:dyDescent="0.3">
      <c r="U920679" s="25"/>
    </row>
    <row r="920701" spans="21:21" x14ac:dyDescent="0.3">
      <c r="U920701" s="25"/>
    </row>
    <row r="920723" spans="21:21" x14ac:dyDescent="0.3">
      <c r="U920723" s="25"/>
    </row>
    <row r="920745" spans="21:21" x14ac:dyDescent="0.3">
      <c r="U920745" s="25"/>
    </row>
    <row r="920767" spans="21:21" x14ac:dyDescent="0.3">
      <c r="U920767" s="25"/>
    </row>
    <row r="920789" spans="21:21" x14ac:dyDescent="0.3">
      <c r="U920789" s="25"/>
    </row>
    <row r="920811" spans="21:21" x14ac:dyDescent="0.3">
      <c r="U920811" s="25"/>
    </row>
    <row r="920833" spans="21:21" x14ac:dyDescent="0.3">
      <c r="U920833" s="25"/>
    </row>
    <row r="920855" spans="21:21" x14ac:dyDescent="0.3">
      <c r="U920855" s="25"/>
    </row>
    <row r="920877" spans="21:21" x14ac:dyDescent="0.3">
      <c r="U920877" s="25"/>
    </row>
    <row r="920899" spans="21:21" x14ac:dyDescent="0.3">
      <c r="U920899" s="25"/>
    </row>
    <row r="920921" spans="21:21" x14ac:dyDescent="0.3">
      <c r="U920921" s="25"/>
    </row>
    <row r="920943" spans="21:21" x14ac:dyDescent="0.3">
      <c r="U920943" s="25"/>
    </row>
    <row r="920965" spans="21:21" x14ac:dyDescent="0.3">
      <c r="U920965" s="25"/>
    </row>
    <row r="920987" spans="21:21" x14ac:dyDescent="0.3">
      <c r="U920987" s="25"/>
    </row>
    <row r="921009" spans="21:21" x14ac:dyDescent="0.3">
      <c r="U921009" s="25"/>
    </row>
    <row r="921031" spans="21:21" x14ac:dyDescent="0.3">
      <c r="U921031" s="25"/>
    </row>
    <row r="921053" spans="21:21" x14ac:dyDescent="0.3">
      <c r="U921053" s="25"/>
    </row>
    <row r="921075" spans="21:21" x14ac:dyDescent="0.3">
      <c r="U921075" s="25"/>
    </row>
    <row r="921097" spans="21:21" x14ac:dyDescent="0.3">
      <c r="U921097" s="25"/>
    </row>
    <row r="921119" spans="21:21" x14ac:dyDescent="0.3">
      <c r="U921119" s="25"/>
    </row>
    <row r="921141" spans="21:21" x14ac:dyDescent="0.3">
      <c r="U921141" s="25"/>
    </row>
    <row r="921163" spans="21:21" x14ac:dyDescent="0.3">
      <c r="U921163" s="25"/>
    </row>
    <row r="921185" spans="21:21" x14ac:dyDescent="0.3">
      <c r="U921185" s="25"/>
    </row>
    <row r="921207" spans="21:21" x14ac:dyDescent="0.3">
      <c r="U921207" s="25"/>
    </row>
    <row r="921229" spans="21:21" x14ac:dyDescent="0.3">
      <c r="U921229" s="25"/>
    </row>
    <row r="921251" spans="21:21" x14ac:dyDescent="0.3">
      <c r="U921251" s="25"/>
    </row>
    <row r="921273" spans="21:21" x14ac:dyDescent="0.3">
      <c r="U921273" s="25"/>
    </row>
    <row r="921295" spans="21:21" x14ac:dyDescent="0.3">
      <c r="U921295" s="25"/>
    </row>
    <row r="921317" spans="21:21" x14ac:dyDescent="0.3">
      <c r="U921317" s="25"/>
    </row>
    <row r="921339" spans="21:21" x14ac:dyDescent="0.3">
      <c r="U921339" s="25"/>
    </row>
    <row r="921361" spans="21:21" x14ac:dyDescent="0.3">
      <c r="U921361" s="25"/>
    </row>
    <row r="921383" spans="21:21" x14ac:dyDescent="0.3">
      <c r="U921383" s="25"/>
    </row>
    <row r="921405" spans="21:21" x14ac:dyDescent="0.3">
      <c r="U921405" s="25"/>
    </row>
    <row r="921427" spans="21:21" x14ac:dyDescent="0.3">
      <c r="U921427" s="25"/>
    </row>
    <row r="921449" spans="21:21" x14ac:dyDescent="0.3">
      <c r="U921449" s="25"/>
    </row>
    <row r="921471" spans="21:21" x14ac:dyDescent="0.3">
      <c r="U921471" s="25"/>
    </row>
    <row r="921493" spans="21:21" x14ac:dyDescent="0.3">
      <c r="U921493" s="25"/>
    </row>
    <row r="921515" spans="21:21" x14ac:dyDescent="0.3">
      <c r="U921515" s="25"/>
    </row>
    <row r="921537" spans="21:21" x14ac:dyDescent="0.3">
      <c r="U921537" s="25"/>
    </row>
    <row r="921559" spans="21:21" x14ac:dyDescent="0.3">
      <c r="U921559" s="25"/>
    </row>
    <row r="921581" spans="21:21" x14ac:dyDescent="0.3">
      <c r="U921581" s="25"/>
    </row>
    <row r="921603" spans="21:21" x14ac:dyDescent="0.3">
      <c r="U921603" s="25"/>
    </row>
    <row r="921625" spans="21:21" x14ac:dyDescent="0.3">
      <c r="U921625" s="25"/>
    </row>
    <row r="921647" spans="21:21" x14ac:dyDescent="0.3">
      <c r="U921647" s="25"/>
    </row>
    <row r="921669" spans="21:21" x14ac:dyDescent="0.3">
      <c r="U921669" s="25"/>
    </row>
    <row r="921691" spans="21:21" x14ac:dyDescent="0.3">
      <c r="U921691" s="25"/>
    </row>
    <row r="921713" spans="21:21" x14ac:dyDescent="0.3">
      <c r="U921713" s="25"/>
    </row>
    <row r="921735" spans="21:21" x14ac:dyDescent="0.3">
      <c r="U921735" s="25"/>
    </row>
    <row r="921757" spans="21:21" x14ac:dyDescent="0.3">
      <c r="U921757" s="25"/>
    </row>
    <row r="921779" spans="21:21" x14ac:dyDescent="0.3">
      <c r="U921779" s="25"/>
    </row>
    <row r="921801" spans="21:21" x14ac:dyDescent="0.3">
      <c r="U921801" s="25"/>
    </row>
    <row r="921823" spans="21:21" x14ac:dyDescent="0.3">
      <c r="U921823" s="25"/>
    </row>
    <row r="921845" spans="21:21" x14ac:dyDescent="0.3">
      <c r="U921845" s="25"/>
    </row>
    <row r="921867" spans="21:21" x14ac:dyDescent="0.3">
      <c r="U921867" s="25"/>
    </row>
    <row r="921889" spans="21:21" x14ac:dyDescent="0.3">
      <c r="U921889" s="25"/>
    </row>
    <row r="921911" spans="21:21" x14ac:dyDescent="0.3">
      <c r="U921911" s="25"/>
    </row>
    <row r="921933" spans="21:21" x14ac:dyDescent="0.3">
      <c r="U921933" s="25"/>
    </row>
    <row r="921955" spans="21:21" x14ac:dyDescent="0.3">
      <c r="U921955" s="25"/>
    </row>
    <row r="921977" spans="21:21" x14ac:dyDescent="0.3">
      <c r="U921977" s="25"/>
    </row>
    <row r="921999" spans="21:21" x14ac:dyDescent="0.3">
      <c r="U921999" s="25"/>
    </row>
    <row r="922021" spans="21:21" x14ac:dyDescent="0.3">
      <c r="U922021" s="25"/>
    </row>
    <row r="922043" spans="21:21" x14ac:dyDescent="0.3">
      <c r="U922043" s="25"/>
    </row>
    <row r="922065" spans="21:21" x14ac:dyDescent="0.3">
      <c r="U922065" s="25"/>
    </row>
    <row r="922087" spans="21:21" x14ac:dyDescent="0.3">
      <c r="U922087" s="25"/>
    </row>
    <row r="922109" spans="21:21" x14ac:dyDescent="0.3">
      <c r="U922109" s="25"/>
    </row>
    <row r="922131" spans="21:21" x14ac:dyDescent="0.3">
      <c r="U922131" s="25"/>
    </row>
    <row r="922153" spans="21:21" x14ac:dyDescent="0.3">
      <c r="U922153" s="25"/>
    </row>
    <row r="922175" spans="21:21" x14ac:dyDescent="0.3">
      <c r="U922175" s="25"/>
    </row>
    <row r="922197" spans="21:21" x14ac:dyDescent="0.3">
      <c r="U922197" s="25"/>
    </row>
    <row r="922219" spans="21:21" x14ac:dyDescent="0.3">
      <c r="U922219" s="25"/>
    </row>
    <row r="922241" spans="21:21" x14ac:dyDescent="0.3">
      <c r="U922241" s="25"/>
    </row>
    <row r="922263" spans="21:21" x14ac:dyDescent="0.3">
      <c r="U922263" s="25"/>
    </row>
    <row r="922285" spans="21:21" x14ac:dyDescent="0.3">
      <c r="U922285" s="25"/>
    </row>
    <row r="922307" spans="21:21" x14ac:dyDescent="0.3">
      <c r="U922307" s="25"/>
    </row>
    <row r="922329" spans="21:21" x14ac:dyDescent="0.3">
      <c r="U922329" s="25"/>
    </row>
    <row r="922351" spans="21:21" x14ac:dyDescent="0.3">
      <c r="U922351" s="25"/>
    </row>
    <row r="922373" spans="21:21" x14ac:dyDescent="0.3">
      <c r="U922373" s="25"/>
    </row>
    <row r="922395" spans="21:21" x14ac:dyDescent="0.3">
      <c r="U922395" s="25"/>
    </row>
    <row r="922417" spans="21:21" x14ac:dyDescent="0.3">
      <c r="U922417" s="25"/>
    </row>
    <row r="922439" spans="21:21" x14ac:dyDescent="0.3">
      <c r="U922439" s="25"/>
    </row>
    <row r="922461" spans="21:21" x14ac:dyDescent="0.3">
      <c r="U922461" s="25"/>
    </row>
    <row r="922483" spans="21:21" x14ac:dyDescent="0.3">
      <c r="U922483" s="25"/>
    </row>
    <row r="922505" spans="21:21" x14ac:dyDescent="0.3">
      <c r="U922505" s="25"/>
    </row>
    <row r="922527" spans="21:21" x14ac:dyDescent="0.3">
      <c r="U922527" s="25"/>
    </row>
    <row r="922549" spans="21:21" x14ac:dyDescent="0.3">
      <c r="U922549" s="25"/>
    </row>
    <row r="922571" spans="21:21" x14ac:dyDescent="0.3">
      <c r="U922571" s="25"/>
    </row>
    <row r="922593" spans="21:21" x14ac:dyDescent="0.3">
      <c r="U922593" s="25"/>
    </row>
    <row r="922615" spans="21:21" x14ac:dyDescent="0.3">
      <c r="U922615" s="25"/>
    </row>
    <row r="922637" spans="21:21" x14ac:dyDescent="0.3">
      <c r="U922637" s="25"/>
    </row>
    <row r="922659" spans="21:21" x14ac:dyDescent="0.3">
      <c r="U922659" s="25"/>
    </row>
    <row r="922681" spans="21:21" x14ac:dyDescent="0.3">
      <c r="U922681" s="25"/>
    </row>
    <row r="922703" spans="21:21" x14ac:dyDescent="0.3">
      <c r="U922703" s="25"/>
    </row>
    <row r="922725" spans="21:21" x14ac:dyDescent="0.3">
      <c r="U922725" s="25"/>
    </row>
    <row r="922747" spans="21:21" x14ac:dyDescent="0.3">
      <c r="U922747" s="25"/>
    </row>
    <row r="922769" spans="21:21" x14ac:dyDescent="0.3">
      <c r="U922769" s="25"/>
    </row>
    <row r="922791" spans="21:21" x14ac:dyDescent="0.3">
      <c r="U922791" s="25"/>
    </row>
    <row r="922813" spans="21:21" x14ac:dyDescent="0.3">
      <c r="U922813" s="25"/>
    </row>
    <row r="922835" spans="21:21" x14ac:dyDescent="0.3">
      <c r="U922835" s="25"/>
    </row>
    <row r="922857" spans="21:21" x14ac:dyDescent="0.3">
      <c r="U922857" s="25"/>
    </row>
    <row r="922879" spans="21:21" x14ac:dyDescent="0.3">
      <c r="U922879" s="25"/>
    </row>
    <row r="922901" spans="21:21" x14ac:dyDescent="0.3">
      <c r="U922901" s="25"/>
    </row>
    <row r="922923" spans="21:21" x14ac:dyDescent="0.3">
      <c r="U922923" s="25"/>
    </row>
    <row r="922945" spans="21:21" x14ac:dyDescent="0.3">
      <c r="U922945" s="25"/>
    </row>
    <row r="922967" spans="21:21" x14ac:dyDescent="0.3">
      <c r="U922967" s="25"/>
    </row>
    <row r="922989" spans="21:21" x14ac:dyDescent="0.3">
      <c r="U922989" s="25"/>
    </row>
    <row r="923011" spans="21:21" x14ac:dyDescent="0.3">
      <c r="U923011" s="25"/>
    </row>
    <row r="923033" spans="21:21" x14ac:dyDescent="0.3">
      <c r="U923033" s="25"/>
    </row>
    <row r="923055" spans="21:21" x14ac:dyDescent="0.3">
      <c r="U923055" s="25"/>
    </row>
    <row r="923077" spans="21:21" x14ac:dyDescent="0.3">
      <c r="U923077" s="25"/>
    </row>
    <row r="923099" spans="21:21" x14ac:dyDescent="0.3">
      <c r="U923099" s="25"/>
    </row>
    <row r="923121" spans="21:21" x14ac:dyDescent="0.3">
      <c r="U923121" s="25"/>
    </row>
    <row r="923143" spans="21:21" x14ac:dyDescent="0.3">
      <c r="U923143" s="25"/>
    </row>
    <row r="923165" spans="21:21" x14ac:dyDescent="0.3">
      <c r="U923165" s="25"/>
    </row>
    <row r="923187" spans="21:21" x14ac:dyDescent="0.3">
      <c r="U923187" s="25"/>
    </row>
    <row r="923209" spans="21:21" x14ac:dyDescent="0.3">
      <c r="U923209" s="25"/>
    </row>
    <row r="923231" spans="21:21" x14ac:dyDescent="0.3">
      <c r="U923231" s="25"/>
    </row>
    <row r="923253" spans="21:21" x14ac:dyDescent="0.3">
      <c r="U923253" s="25"/>
    </row>
    <row r="923275" spans="21:21" x14ac:dyDescent="0.3">
      <c r="U923275" s="25"/>
    </row>
    <row r="923297" spans="21:21" x14ac:dyDescent="0.3">
      <c r="U923297" s="25"/>
    </row>
    <row r="923319" spans="21:21" x14ac:dyDescent="0.3">
      <c r="U923319" s="25"/>
    </row>
    <row r="923341" spans="21:21" x14ac:dyDescent="0.3">
      <c r="U923341" s="25"/>
    </row>
    <row r="923363" spans="21:21" x14ac:dyDescent="0.3">
      <c r="U923363" s="25"/>
    </row>
    <row r="923385" spans="21:21" x14ac:dyDescent="0.3">
      <c r="U923385" s="25"/>
    </row>
    <row r="923407" spans="21:21" x14ac:dyDescent="0.3">
      <c r="U923407" s="25"/>
    </row>
    <row r="923429" spans="21:21" x14ac:dyDescent="0.3">
      <c r="U923429" s="25"/>
    </row>
    <row r="923451" spans="21:21" x14ac:dyDescent="0.3">
      <c r="U923451" s="25"/>
    </row>
    <row r="923473" spans="21:21" x14ac:dyDescent="0.3">
      <c r="U923473" s="25"/>
    </row>
    <row r="923495" spans="21:21" x14ac:dyDescent="0.3">
      <c r="U923495" s="25"/>
    </row>
    <row r="923517" spans="21:21" x14ac:dyDescent="0.3">
      <c r="U923517" s="25"/>
    </row>
    <row r="923539" spans="21:21" x14ac:dyDescent="0.3">
      <c r="U923539" s="25"/>
    </row>
    <row r="923561" spans="21:21" x14ac:dyDescent="0.3">
      <c r="U923561" s="25"/>
    </row>
    <row r="923583" spans="21:21" x14ac:dyDescent="0.3">
      <c r="U923583" s="25"/>
    </row>
    <row r="923605" spans="21:21" x14ac:dyDescent="0.3">
      <c r="U923605" s="25"/>
    </row>
    <row r="923627" spans="21:21" x14ac:dyDescent="0.3">
      <c r="U923627" s="25"/>
    </row>
    <row r="923649" spans="21:21" x14ac:dyDescent="0.3">
      <c r="U923649" s="25"/>
    </row>
    <row r="923671" spans="21:21" x14ac:dyDescent="0.3">
      <c r="U923671" s="25"/>
    </row>
    <row r="923693" spans="21:21" x14ac:dyDescent="0.3">
      <c r="U923693" s="25"/>
    </row>
    <row r="923715" spans="21:21" x14ac:dyDescent="0.3">
      <c r="U923715" s="25"/>
    </row>
    <row r="923737" spans="21:21" x14ac:dyDescent="0.3">
      <c r="U923737" s="25"/>
    </row>
    <row r="923759" spans="21:21" x14ac:dyDescent="0.3">
      <c r="U923759" s="25"/>
    </row>
    <row r="923781" spans="21:21" x14ac:dyDescent="0.3">
      <c r="U923781" s="25"/>
    </row>
    <row r="923803" spans="21:21" x14ac:dyDescent="0.3">
      <c r="U923803" s="25"/>
    </row>
    <row r="923825" spans="21:21" x14ac:dyDescent="0.3">
      <c r="U923825" s="25"/>
    </row>
    <row r="923847" spans="21:21" x14ac:dyDescent="0.3">
      <c r="U923847" s="25"/>
    </row>
    <row r="923869" spans="21:21" x14ac:dyDescent="0.3">
      <c r="U923869" s="25"/>
    </row>
    <row r="923891" spans="21:21" x14ac:dyDescent="0.3">
      <c r="U923891" s="25"/>
    </row>
    <row r="923913" spans="21:21" x14ac:dyDescent="0.3">
      <c r="U923913" s="25"/>
    </row>
    <row r="923935" spans="21:21" x14ac:dyDescent="0.3">
      <c r="U923935" s="25"/>
    </row>
    <row r="923957" spans="21:21" x14ac:dyDescent="0.3">
      <c r="U923957" s="25"/>
    </row>
    <row r="923979" spans="21:21" x14ac:dyDescent="0.3">
      <c r="U923979" s="25"/>
    </row>
    <row r="924001" spans="21:21" x14ac:dyDescent="0.3">
      <c r="U924001" s="25"/>
    </row>
    <row r="924023" spans="21:21" x14ac:dyDescent="0.3">
      <c r="U924023" s="25"/>
    </row>
    <row r="924045" spans="21:21" x14ac:dyDescent="0.3">
      <c r="U924045" s="25"/>
    </row>
    <row r="924067" spans="21:21" x14ac:dyDescent="0.3">
      <c r="U924067" s="25"/>
    </row>
    <row r="924089" spans="21:21" x14ac:dyDescent="0.3">
      <c r="U924089" s="25"/>
    </row>
    <row r="924111" spans="21:21" x14ac:dyDescent="0.3">
      <c r="U924111" s="25"/>
    </row>
    <row r="924133" spans="21:21" x14ac:dyDescent="0.3">
      <c r="U924133" s="25"/>
    </row>
    <row r="924155" spans="21:21" x14ac:dyDescent="0.3">
      <c r="U924155" s="25"/>
    </row>
    <row r="924177" spans="21:21" x14ac:dyDescent="0.3">
      <c r="U924177" s="25"/>
    </row>
    <row r="924199" spans="21:21" x14ac:dyDescent="0.3">
      <c r="U924199" s="25"/>
    </row>
    <row r="924221" spans="21:21" x14ac:dyDescent="0.3">
      <c r="U924221" s="25"/>
    </row>
    <row r="924243" spans="21:21" x14ac:dyDescent="0.3">
      <c r="U924243" s="25"/>
    </row>
    <row r="924265" spans="21:21" x14ac:dyDescent="0.3">
      <c r="U924265" s="25"/>
    </row>
    <row r="924287" spans="21:21" x14ac:dyDescent="0.3">
      <c r="U924287" s="25"/>
    </row>
    <row r="924309" spans="21:21" x14ac:dyDescent="0.3">
      <c r="U924309" s="25"/>
    </row>
    <row r="924331" spans="21:21" x14ac:dyDescent="0.3">
      <c r="U924331" s="25"/>
    </row>
    <row r="924353" spans="21:21" x14ac:dyDescent="0.3">
      <c r="U924353" s="25"/>
    </row>
    <row r="924375" spans="21:21" x14ac:dyDescent="0.3">
      <c r="U924375" s="25"/>
    </row>
    <row r="924397" spans="21:21" x14ac:dyDescent="0.3">
      <c r="U924397" s="25"/>
    </row>
    <row r="924419" spans="21:21" x14ac:dyDescent="0.3">
      <c r="U924419" s="25"/>
    </row>
    <row r="924441" spans="21:21" x14ac:dyDescent="0.3">
      <c r="U924441" s="25"/>
    </row>
    <row r="924463" spans="21:21" x14ac:dyDescent="0.3">
      <c r="U924463" s="25"/>
    </row>
    <row r="924485" spans="21:21" x14ac:dyDescent="0.3">
      <c r="U924485" s="25"/>
    </row>
    <row r="924507" spans="21:21" x14ac:dyDescent="0.3">
      <c r="U924507" s="25"/>
    </row>
    <row r="924529" spans="21:21" x14ac:dyDescent="0.3">
      <c r="U924529" s="25"/>
    </row>
    <row r="924551" spans="21:21" x14ac:dyDescent="0.3">
      <c r="U924551" s="25"/>
    </row>
    <row r="924573" spans="21:21" x14ac:dyDescent="0.3">
      <c r="U924573" s="25"/>
    </row>
    <row r="924595" spans="21:21" x14ac:dyDescent="0.3">
      <c r="U924595" s="25"/>
    </row>
    <row r="924617" spans="21:21" x14ac:dyDescent="0.3">
      <c r="U924617" s="25"/>
    </row>
    <row r="924639" spans="21:21" x14ac:dyDescent="0.3">
      <c r="U924639" s="25"/>
    </row>
    <row r="924661" spans="21:21" x14ac:dyDescent="0.3">
      <c r="U924661" s="25"/>
    </row>
    <row r="924683" spans="21:21" x14ac:dyDescent="0.3">
      <c r="U924683" s="25"/>
    </row>
    <row r="924705" spans="21:21" x14ac:dyDescent="0.3">
      <c r="U924705" s="25"/>
    </row>
    <row r="924727" spans="21:21" x14ac:dyDescent="0.3">
      <c r="U924727" s="25"/>
    </row>
    <row r="924749" spans="21:21" x14ac:dyDescent="0.3">
      <c r="U924749" s="25"/>
    </row>
    <row r="924771" spans="21:21" x14ac:dyDescent="0.3">
      <c r="U924771" s="25"/>
    </row>
    <row r="924793" spans="21:21" x14ac:dyDescent="0.3">
      <c r="U924793" s="25"/>
    </row>
    <row r="924815" spans="21:21" x14ac:dyDescent="0.3">
      <c r="U924815" s="25"/>
    </row>
    <row r="924837" spans="21:21" x14ac:dyDescent="0.3">
      <c r="U924837" s="25"/>
    </row>
    <row r="924859" spans="21:21" x14ac:dyDescent="0.3">
      <c r="U924859" s="25"/>
    </row>
    <row r="924881" spans="21:21" x14ac:dyDescent="0.3">
      <c r="U924881" s="25"/>
    </row>
    <row r="924903" spans="21:21" x14ac:dyDescent="0.3">
      <c r="U924903" s="25"/>
    </row>
    <row r="924925" spans="21:21" x14ac:dyDescent="0.3">
      <c r="U924925" s="25"/>
    </row>
    <row r="924947" spans="21:21" x14ac:dyDescent="0.3">
      <c r="U924947" s="25"/>
    </row>
    <row r="924969" spans="21:21" x14ac:dyDescent="0.3">
      <c r="U924969" s="25"/>
    </row>
    <row r="924991" spans="21:21" x14ac:dyDescent="0.3">
      <c r="U924991" s="25"/>
    </row>
    <row r="925013" spans="21:21" x14ac:dyDescent="0.3">
      <c r="U925013" s="25"/>
    </row>
    <row r="925035" spans="21:21" x14ac:dyDescent="0.3">
      <c r="U925035" s="25"/>
    </row>
    <row r="925057" spans="21:21" x14ac:dyDescent="0.3">
      <c r="U925057" s="25"/>
    </row>
    <row r="925079" spans="21:21" x14ac:dyDescent="0.3">
      <c r="U925079" s="25"/>
    </row>
    <row r="925101" spans="21:21" x14ac:dyDescent="0.3">
      <c r="U925101" s="25"/>
    </row>
    <row r="925123" spans="21:21" x14ac:dyDescent="0.3">
      <c r="U925123" s="25"/>
    </row>
    <row r="925145" spans="21:21" x14ac:dyDescent="0.3">
      <c r="U925145" s="25"/>
    </row>
    <row r="925167" spans="21:21" x14ac:dyDescent="0.3">
      <c r="U925167" s="25"/>
    </row>
    <row r="925189" spans="21:21" x14ac:dyDescent="0.3">
      <c r="U925189" s="25"/>
    </row>
    <row r="925211" spans="21:21" x14ac:dyDescent="0.3">
      <c r="U925211" s="25"/>
    </row>
    <row r="925233" spans="21:21" x14ac:dyDescent="0.3">
      <c r="U925233" s="25"/>
    </row>
    <row r="925255" spans="21:21" x14ac:dyDescent="0.3">
      <c r="U925255" s="25"/>
    </row>
    <row r="925277" spans="21:21" x14ac:dyDescent="0.3">
      <c r="U925277" s="25"/>
    </row>
    <row r="925299" spans="21:21" x14ac:dyDescent="0.3">
      <c r="U925299" s="25"/>
    </row>
    <row r="925321" spans="21:21" x14ac:dyDescent="0.3">
      <c r="U925321" s="25"/>
    </row>
    <row r="925343" spans="21:21" x14ac:dyDescent="0.3">
      <c r="U925343" s="25"/>
    </row>
    <row r="925365" spans="21:21" x14ac:dyDescent="0.3">
      <c r="U925365" s="25"/>
    </row>
    <row r="925387" spans="21:21" x14ac:dyDescent="0.3">
      <c r="U925387" s="25"/>
    </row>
    <row r="925409" spans="21:21" x14ac:dyDescent="0.3">
      <c r="U925409" s="25"/>
    </row>
    <row r="925431" spans="21:21" x14ac:dyDescent="0.3">
      <c r="U925431" s="25"/>
    </row>
    <row r="925453" spans="21:21" x14ac:dyDescent="0.3">
      <c r="U925453" s="25"/>
    </row>
    <row r="925475" spans="21:21" x14ac:dyDescent="0.3">
      <c r="U925475" s="25"/>
    </row>
    <row r="925497" spans="21:21" x14ac:dyDescent="0.3">
      <c r="U925497" s="25"/>
    </row>
    <row r="925519" spans="21:21" x14ac:dyDescent="0.3">
      <c r="U925519" s="25"/>
    </row>
    <row r="925541" spans="21:21" x14ac:dyDescent="0.3">
      <c r="U925541" s="25"/>
    </row>
    <row r="925563" spans="21:21" x14ac:dyDescent="0.3">
      <c r="U925563" s="25"/>
    </row>
    <row r="925585" spans="21:21" x14ac:dyDescent="0.3">
      <c r="U925585" s="25"/>
    </row>
    <row r="925607" spans="21:21" x14ac:dyDescent="0.3">
      <c r="U925607" s="25"/>
    </row>
    <row r="925629" spans="21:21" x14ac:dyDescent="0.3">
      <c r="U925629" s="25"/>
    </row>
    <row r="925651" spans="21:21" x14ac:dyDescent="0.3">
      <c r="U925651" s="25"/>
    </row>
    <row r="925673" spans="21:21" x14ac:dyDescent="0.3">
      <c r="U925673" s="25"/>
    </row>
    <row r="925695" spans="21:21" x14ac:dyDescent="0.3">
      <c r="U925695" s="25"/>
    </row>
    <row r="925717" spans="21:21" x14ac:dyDescent="0.3">
      <c r="U925717" s="25"/>
    </row>
    <row r="925739" spans="21:21" x14ac:dyDescent="0.3">
      <c r="U925739" s="25"/>
    </row>
    <row r="925761" spans="21:21" x14ac:dyDescent="0.3">
      <c r="U925761" s="25"/>
    </row>
    <row r="925783" spans="21:21" x14ac:dyDescent="0.3">
      <c r="U925783" s="25"/>
    </row>
    <row r="925805" spans="21:21" x14ac:dyDescent="0.3">
      <c r="U925805" s="25"/>
    </row>
    <row r="925827" spans="21:21" x14ac:dyDescent="0.3">
      <c r="U925827" s="25"/>
    </row>
    <row r="925849" spans="21:21" x14ac:dyDescent="0.3">
      <c r="U925849" s="25"/>
    </row>
    <row r="925871" spans="21:21" x14ac:dyDescent="0.3">
      <c r="U925871" s="25"/>
    </row>
    <row r="925893" spans="21:21" x14ac:dyDescent="0.3">
      <c r="U925893" s="25"/>
    </row>
    <row r="925915" spans="21:21" x14ac:dyDescent="0.3">
      <c r="U925915" s="25"/>
    </row>
    <row r="925937" spans="21:21" x14ac:dyDescent="0.3">
      <c r="U925937" s="25"/>
    </row>
    <row r="925959" spans="21:21" x14ac:dyDescent="0.3">
      <c r="U925959" s="25"/>
    </row>
    <row r="925981" spans="21:21" x14ac:dyDescent="0.3">
      <c r="U925981" s="25"/>
    </row>
    <row r="926003" spans="21:21" x14ac:dyDescent="0.3">
      <c r="U926003" s="25"/>
    </row>
    <row r="926025" spans="21:21" x14ac:dyDescent="0.3">
      <c r="U926025" s="25"/>
    </row>
    <row r="926047" spans="21:21" x14ac:dyDescent="0.3">
      <c r="U926047" s="25"/>
    </row>
    <row r="926069" spans="21:21" x14ac:dyDescent="0.3">
      <c r="U926069" s="25"/>
    </row>
    <row r="926091" spans="21:21" x14ac:dyDescent="0.3">
      <c r="U926091" s="25"/>
    </row>
    <row r="926113" spans="21:21" x14ac:dyDescent="0.3">
      <c r="U926113" s="25"/>
    </row>
    <row r="926135" spans="21:21" x14ac:dyDescent="0.3">
      <c r="U926135" s="25"/>
    </row>
    <row r="926157" spans="21:21" x14ac:dyDescent="0.3">
      <c r="U926157" s="25"/>
    </row>
    <row r="926179" spans="21:21" x14ac:dyDescent="0.3">
      <c r="U926179" s="25"/>
    </row>
    <row r="926201" spans="21:21" x14ac:dyDescent="0.3">
      <c r="U926201" s="25"/>
    </row>
    <row r="926223" spans="21:21" x14ac:dyDescent="0.3">
      <c r="U926223" s="25"/>
    </row>
    <row r="926245" spans="21:21" x14ac:dyDescent="0.3">
      <c r="U926245" s="25"/>
    </row>
    <row r="926267" spans="21:21" x14ac:dyDescent="0.3">
      <c r="U926267" s="25"/>
    </row>
    <row r="926289" spans="21:21" x14ac:dyDescent="0.3">
      <c r="U926289" s="25"/>
    </row>
    <row r="926311" spans="21:21" x14ac:dyDescent="0.3">
      <c r="U926311" s="25"/>
    </row>
    <row r="926333" spans="21:21" x14ac:dyDescent="0.3">
      <c r="U926333" s="25"/>
    </row>
    <row r="926355" spans="21:21" x14ac:dyDescent="0.3">
      <c r="U926355" s="25"/>
    </row>
    <row r="926377" spans="21:21" x14ac:dyDescent="0.3">
      <c r="U926377" s="25"/>
    </row>
    <row r="926399" spans="21:21" x14ac:dyDescent="0.3">
      <c r="U926399" s="25"/>
    </row>
    <row r="926421" spans="21:21" x14ac:dyDescent="0.3">
      <c r="U926421" s="25"/>
    </row>
    <row r="926443" spans="21:21" x14ac:dyDescent="0.3">
      <c r="U926443" s="25"/>
    </row>
    <row r="926465" spans="21:21" x14ac:dyDescent="0.3">
      <c r="U926465" s="25"/>
    </row>
    <row r="926487" spans="21:21" x14ac:dyDescent="0.3">
      <c r="U926487" s="25"/>
    </row>
    <row r="926509" spans="21:21" x14ac:dyDescent="0.3">
      <c r="U926509" s="25"/>
    </row>
    <row r="926531" spans="21:21" x14ac:dyDescent="0.3">
      <c r="U926531" s="25"/>
    </row>
    <row r="926553" spans="21:21" x14ac:dyDescent="0.3">
      <c r="U926553" s="25"/>
    </row>
    <row r="926575" spans="21:21" x14ac:dyDescent="0.3">
      <c r="U926575" s="25"/>
    </row>
    <row r="926597" spans="21:21" x14ac:dyDescent="0.3">
      <c r="U926597" s="25"/>
    </row>
    <row r="926619" spans="21:21" x14ac:dyDescent="0.3">
      <c r="U926619" s="25"/>
    </row>
    <row r="926641" spans="21:21" x14ac:dyDescent="0.3">
      <c r="U926641" s="25"/>
    </row>
    <row r="926663" spans="21:21" x14ac:dyDescent="0.3">
      <c r="U926663" s="25"/>
    </row>
    <row r="926685" spans="21:21" x14ac:dyDescent="0.3">
      <c r="U926685" s="25"/>
    </row>
    <row r="926707" spans="21:21" x14ac:dyDescent="0.3">
      <c r="U926707" s="25"/>
    </row>
    <row r="926729" spans="21:21" x14ac:dyDescent="0.3">
      <c r="U926729" s="25"/>
    </row>
    <row r="926751" spans="21:21" x14ac:dyDescent="0.3">
      <c r="U926751" s="25"/>
    </row>
    <row r="926773" spans="21:21" x14ac:dyDescent="0.3">
      <c r="U926773" s="25"/>
    </row>
    <row r="926795" spans="21:21" x14ac:dyDescent="0.3">
      <c r="U926795" s="25"/>
    </row>
    <row r="926817" spans="21:21" x14ac:dyDescent="0.3">
      <c r="U926817" s="25"/>
    </row>
    <row r="926839" spans="21:21" x14ac:dyDescent="0.3">
      <c r="U926839" s="25"/>
    </row>
    <row r="926861" spans="21:21" x14ac:dyDescent="0.3">
      <c r="U926861" s="25"/>
    </row>
    <row r="926883" spans="21:21" x14ac:dyDescent="0.3">
      <c r="U926883" s="25"/>
    </row>
    <row r="926905" spans="21:21" x14ac:dyDescent="0.3">
      <c r="U926905" s="25"/>
    </row>
    <row r="926927" spans="21:21" x14ac:dyDescent="0.3">
      <c r="U926927" s="25"/>
    </row>
    <row r="926949" spans="21:21" x14ac:dyDescent="0.3">
      <c r="U926949" s="25"/>
    </row>
    <row r="926971" spans="21:21" x14ac:dyDescent="0.3">
      <c r="U926971" s="25"/>
    </row>
    <row r="926993" spans="21:21" x14ac:dyDescent="0.3">
      <c r="U926993" s="25"/>
    </row>
    <row r="927015" spans="21:21" x14ac:dyDescent="0.3">
      <c r="U927015" s="25"/>
    </row>
    <row r="927037" spans="21:21" x14ac:dyDescent="0.3">
      <c r="U927037" s="25"/>
    </row>
    <row r="927059" spans="21:21" x14ac:dyDescent="0.3">
      <c r="U927059" s="25"/>
    </row>
    <row r="927081" spans="21:21" x14ac:dyDescent="0.3">
      <c r="U927081" s="25"/>
    </row>
    <row r="927103" spans="21:21" x14ac:dyDescent="0.3">
      <c r="U927103" s="25"/>
    </row>
    <row r="927125" spans="21:21" x14ac:dyDescent="0.3">
      <c r="U927125" s="25"/>
    </row>
    <row r="927147" spans="21:21" x14ac:dyDescent="0.3">
      <c r="U927147" s="25"/>
    </row>
    <row r="927169" spans="21:21" x14ac:dyDescent="0.3">
      <c r="U927169" s="25"/>
    </row>
    <row r="927191" spans="21:21" x14ac:dyDescent="0.3">
      <c r="U927191" s="25"/>
    </row>
    <row r="927213" spans="21:21" x14ac:dyDescent="0.3">
      <c r="U927213" s="25"/>
    </row>
    <row r="927235" spans="21:21" x14ac:dyDescent="0.3">
      <c r="U927235" s="25"/>
    </row>
    <row r="927257" spans="21:21" x14ac:dyDescent="0.3">
      <c r="U927257" s="25"/>
    </row>
    <row r="927279" spans="21:21" x14ac:dyDescent="0.3">
      <c r="U927279" s="25"/>
    </row>
    <row r="927301" spans="21:21" x14ac:dyDescent="0.3">
      <c r="U927301" s="25"/>
    </row>
    <row r="927323" spans="21:21" x14ac:dyDescent="0.3">
      <c r="U927323" s="25"/>
    </row>
    <row r="927345" spans="21:21" x14ac:dyDescent="0.3">
      <c r="U927345" s="25"/>
    </row>
    <row r="927367" spans="21:21" x14ac:dyDescent="0.3">
      <c r="U927367" s="25"/>
    </row>
    <row r="927389" spans="21:21" x14ac:dyDescent="0.3">
      <c r="U927389" s="25"/>
    </row>
    <row r="927411" spans="21:21" x14ac:dyDescent="0.3">
      <c r="U927411" s="25"/>
    </row>
    <row r="927433" spans="21:21" x14ac:dyDescent="0.3">
      <c r="U927433" s="25"/>
    </row>
    <row r="927455" spans="21:21" x14ac:dyDescent="0.3">
      <c r="U927455" s="25"/>
    </row>
    <row r="927477" spans="21:21" x14ac:dyDescent="0.3">
      <c r="U927477" s="25"/>
    </row>
    <row r="927499" spans="21:21" x14ac:dyDescent="0.3">
      <c r="U927499" s="25"/>
    </row>
    <row r="927521" spans="21:21" x14ac:dyDescent="0.3">
      <c r="U927521" s="25"/>
    </row>
    <row r="927543" spans="21:21" x14ac:dyDescent="0.3">
      <c r="U927543" s="25"/>
    </row>
    <row r="927565" spans="21:21" x14ac:dyDescent="0.3">
      <c r="U927565" s="25"/>
    </row>
    <row r="927587" spans="21:21" x14ac:dyDescent="0.3">
      <c r="U927587" s="25"/>
    </row>
    <row r="927609" spans="21:21" x14ac:dyDescent="0.3">
      <c r="U927609" s="25"/>
    </row>
    <row r="927631" spans="21:21" x14ac:dyDescent="0.3">
      <c r="U927631" s="25"/>
    </row>
    <row r="927653" spans="21:21" x14ac:dyDescent="0.3">
      <c r="U927653" s="25"/>
    </row>
    <row r="927675" spans="21:21" x14ac:dyDescent="0.3">
      <c r="U927675" s="25"/>
    </row>
    <row r="927697" spans="21:21" x14ac:dyDescent="0.3">
      <c r="U927697" s="25"/>
    </row>
    <row r="927719" spans="21:21" x14ac:dyDescent="0.3">
      <c r="U927719" s="25"/>
    </row>
    <row r="927741" spans="21:21" x14ac:dyDescent="0.3">
      <c r="U927741" s="25"/>
    </row>
    <row r="927763" spans="21:21" x14ac:dyDescent="0.3">
      <c r="U927763" s="25"/>
    </row>
    <row r="927785" spans="21:21" x14ac:dyDescent="0.3">
      <c r="U927785" s="25"/>
    </row>
    <row r="927807" spans="21:21" x14ac:dyDescent="0.3">
      <c r="U927807" s="25"/>
    </row>
    <row r="927829" spans="21:21" x14ac:dyDescent="0.3">
      <c r="U927829" s="25"/>
    </row>
    <row r="927851" spans="21:21" x14ac:dyDescent="0.3">
      <c r="U927851" s="25"/>
    </row>
    <row r="927873" spans="21:21" x14ac:dyDescent="0.3">
      <c r="U927873" s="25"/>
    </row>
    <row r="927895" spans="21:21" x14ac:dyDescent="0.3">
      <c r="U927895" s="25"/>
    </row>
    <row r="927917" spans="21:21" x14ac:dyDescent="0.3">
      <c r="U927917" s="25"/>
    </row>
    <row r="927939" spans="21:21" x14ac:dyDescent="0.3">
      <c r="U927939" s="25"/>
    </row>
    <row r="927961" spans="21:21" x14ac:dyDescent="0.3">
      <c r="U927961" s="25"/>
    </row>
    <row r="927983" spans="21:21" x14ac:dyDescent="0.3">
      <c r="U927983" s="25"/>
    </row>
    <row r="928005" spans="21:21" x14ac:dyDescent="0.3">
      <c r="U928005" s="25"/>
    </row>
    <row r="928027" spans="21:21" x14ac:dyDescent="0.3">
      <c r="U928027" s="25"/>
    </row>
    <row r="928049" spans="21:21" x14ac:dyDescent="0.3">
      <c r="U928049" s="25"/>
    </row>
    <row r="928071" spans="21:21" x14ac:dyDescent="0.3">
      <c r="U928071" s="25"/>
    </row>
    <row r="928093" spans="21:21" x14ac:dyDescent="0.3">
      <c r="U928093" s="25"/>
    </row>
    <row r="928115" spans="21:21" x14ac:dyDescent="0.3">
      <c r="U928115" s="25"/>
    </row>
    <row r="928137" spans="21:21" x14ac:dyDescent="0.3">
      <c r="U928137" s="25"/>
    </row>
    <row r="928159" spans="21:21" x14ac:dyDescent="0.3">
      <c r="U928159" s="25"/>
    </row>
    <row r="928181" spans="21:21" x14ac:dyDescent="0.3">
      <c r="U928181" s="25"/>
    </row>
    <row r="928203" spans="21:21" x14ac:dyDescent="0.3">
      <c r="U928203" s="25"/>
    </row>
    <row r="928225" spans="21:21" x14ac:dyDescent="0.3">
      <c r="U928225" s="25"/>
    </row>
    <row r="928247" spans="21:21" x14ac:dyDescent="0.3">
      <c r="U928247" s="25"/>
    </row>
    <row r="928269" spans="21:21" x14ac:dyDescent="0.3">
      <c r="U928269" s="25"/>
    </row>
    <row r="928291" spans="21:21" x14ac:dyDescent="0.3">
      <c r="U928291" s="25"/>
    </row>
    <row r="928313" spans="21:21" x14ac:dyDescent="0.3">
      <c r="U928313" s="25"/>
    </row>
    <row r="928335" spans="21:21" x14ac:dyDescent="0.3">
      <c r="U928335" s="25"/>
    </row>
    <row r="928357" spans="21:21" x14ac:dyDescent="0.3">
      <c r="U928357" s="25"/>
    </row>
    <row r="928379" spans="21:21" x14ac:dyDescent="0.3">
      <c r="U928379" s="25"/>
    </row>
    <row r="928401" spans="21:21" x14ac:dyDescent="0.3">
      <c r="U928401" s="25"/>
    </row>
    <row r="928423" spans="21:21" x14ac:dyDescent="0.3">
      <c r="U928423" s="25"/>
    </row>
    <row r="928445" spans="21:21" x14ac:dyDescent="0.3">
      <c r="U928445" s="25"/>
    </row>
    <row r="928467" spans="21:21" x14ac:dyDescent="0.3">
      <c r="U928467" s="25"/>
    </row>
    <row r="928489" spans="21:21" x14ac:dyDescent="0.3">
      <c r="U928489" s="25"/>
    </row>
    <row r="928511" spans="21:21" x14ac:dyDescent="0.3">
      <c r="U928511" s="25"/>
    </row>
    <row r="928533" spans="21:21" x14ac:dyDescent="0.3">
      <c r="U928533" s="25"/>
    </row>
    <row r="928555" spans="21:21" x14ac:dyDescent="0.3">
      <c r="U928555" s="25"/>
    </row>
    <row r="928577" spans="21:21" x14ac:dyDescent="0.3">
      <c r="U928577" s="25"/>
    </row>
    <row r="928599" spans="21:21" x14ac:dyDescent="0.3">
      <c r="U928599" s="25"/>
    </row>
    <row r="928621" spans="21:21" x14ac:dyDescent="0.3">
      <c r="U928621" s="25"/>
    </row>
    <row r="928643" spans="21:21" x14ac:dyDescent="0.3">
      <c r="U928643" s="25"/>
    </row>
    <row r="928665" spans="21:21" x14ac:dyDescent="0.3">
      <c r="U928665" s="25"/>
    </row>
    <row r="928687" spans="21:21" x14ac:dyDescent="0.3">
      <c r="U928687" s="25"/>
    </row>
    <row r="928709" spans="21:21" x14ac:dyDescent="0.3">
      <c r="U928709" s="25"/>
    </row>
    <row r="928731" spans="21:21" x14ac:dyDescent="0.3">
      <c r="U928731" s="25"/>
    </row>
    <row r="928753" spans="21:21" x14ac:dyDescent="0.3">
      <c r="U928753" s="25"/>
    </row>
    <row r="928775" spans="21:21" x14ac:dyDescent="0.3">
      <c r="U928775" s="25"/>
    </row>
    <row r="928797" spans="21:21" x14ac:dyDescent="0.3">
      <c r="U928797" s="25"/>
    </row>
    <row r="928819" spans="21:21" x14ac:dyDescent="0.3">
      <c r="U928819" s="25"/>
    </row>
    <row r="928841" spans="21:21" x14ac:dyDescent="0.3">
      <c r="U928841" s="25"/>
    </row>
    <row r="928863" spans="21:21" x14ac:dyDescent="0.3">
      <c r="U928863" s="25"/>
    </row>
    <row r="928885" spans="21:21" x14ac:dyDescent="0.3">
      <c r="U928885" s="25"/>
    </row>
    <row r="928907" spans="21:21" x14ac:dyDescent="0.3">
      <c r="U928907" s="25"/>
    </row>
    <row r="928929" spans="21:21" x14ac:dyDescent="0.3">
      <c r="U928929" s="25"/>
    </row>
    <row r="928951" spans="21:21" x14ac:dyDescent="0.3">
      <c r="U928951" s="25"/>
    </row>
    <row r="928973" spans="21:21" x14ac:dyDescent="0.3">
      <c r="U928973" s="25"/>
    </row>
    <row r="928995" spans="21:21" x14ac:dyDescent="0.3">
      <c r="U928995" s="25"/>
    </row>
    <row r="929017" spans="21:21" x14ac:dyDescent="0.3">
      <c r="U929017" s="25"/>
    </row>
    <row r="929039" spans="21:21" x14ac:dyDescent="0.3">
      <c r="U929039" s="25"/>
    </row>
    <row r="929061" spans="21:21" x14ac:dyDescent="0.3">
      <c r="U929061" s="25"/>
    </row>
    <row r="929083" spans="21:21" x14ac:dyDescent="0.3">
      <c r="U929083" s="25"/>
    </row>
    <row r="929105" spans="21:21" x14ac:dyDescent="0.3">
      <c r="U929105" s="25"/>
    </row>
    <row r="929127" spans="21:21" x14ac:dyDescent="0.3">
      <c r="U929127" s="25"/>
    </row>
    <row r="929149" spans="21:21" x14ac:dyDescent="0.3">
      <c r="U929149" s="25"/>
    </row>
    <row r="929171" spans="21:21" x14ac:dyDescent="0.3">
      <c r="U929171" s="25"/>
    </row>
    <row r="929193" spans="21:21" x14ac:dyDescent="0.3">
      <c r="U929193" s="25"/>
    </row>
    <row r="929215" spans="21:21" x14ac:dyDescent="0.3">
      <c r="U929215" s="25"/>
    </row>
    <row r="929237" spans="21:21" x14ac:dyDescent="0.3">
      <c r="U929237" s="25"/>
    </row>
    <row r="929259" spans="21:21" x14ac:dyDescent="0.3">
      <c r="U929259" s="25"/>
    </row>
    <row r="929281" spans="21:21" x14ac:dyDescent="0.3">
      <c r="U929281" s="25"/>
    </row>
    <row r="929303" spans="21:21" x14ac:dyDescent="0.3">
      <c r="U929303" s="25"/>
    </row>
    <row r="929325" spans="21:21" x14ac:dyDescent="0.3">
      <c r="U929325" s="25"/>
    </row>
    <row r="929347" spans="21:21" x14ac:dyDescent="0.3">
      <c r="U929347" s="25"/>
    </row>
    <row r="929369" spans="21:21" x14ac:dyDescent="0.3">
      <c r="U929369" s="25"/>
    </row>
    <row r="929391" spans="21:21" x14ac:dyDescent="0.3">
      <c r="U929391" s="25"/>
    </row>
    <row r="929413" spans="21:21" x14ac:dyDescent="0.3">
      <c r="U929413" s="25"/>
    </row>
    <row r="929435" spans="21:21" x14ac:dyDescent="0.3">
      <c r="U929435" s="25"/>
    </row>
    <row r="929457" spans="21:21" x14ac:dyDescent="0.3">
      <c r="U929457" s="25"/>
    </row>
    <row r="929479" spans="21:21" x14ac:dyDescent="0.3">
      <c r="U929479" s="25"/>
    </row>
    <row r="929501" spans="21:21" x14ac:dyDescent="0.3">
      <c r="U929501" s="25"/>
    </row>
    <row r="929523" spans="21:21" x14ac:dyDescent="0.3">
      <c r="U929523" s="25"/>
    </row>
    <row r="929545" spans="21:21" x14ac:dyDescent="0.3">
      <c r="U929545" s="25"/>
    </row>
    <row r="929567" spans="21:21" x14ac:dyDescent="0.3">
      <c r="U929567" s="25"/>
    </row>
    <row r="929589" spans="21:21" x14ac:dyDescent="0.3">
      <c r="U929589" s="25"/>
    </row>
    <row r="929611" spans="21:21" x14ac:dyDescent="0.3">
      <c r="U929611" s="25"/>
    </row>
    <row r="929633" spans="21:21" x14ac:dyDescent="0.3">
      <c r="U929633" s="25"/>
    </row>
    <row r="929655" spans="21:21" x14ac:dyDescent="0.3">
      <c r="U929655" s="25"/>
    </row>
    <row r="929677" spans="21:21" x14ac:dyDescent="0.3">
      <c r="U929677" s="25"/>
    </row>
    <row r="929699" spans="21:21" x14ac:dyDescent="0.3">
      <c r="U929699" s="25"/>
    </row>
    <row r="929721" spans="21:21" x14ac:dyDescent="0.3">
      <c r="U929721" s="25"/>
    </row>
    <row r="929743" spans="21:21" x14ac:dyDescent="0.3">
      <c r="U929743" s="25"/>
    </row>
    <row r="929765" spans="21:21" x14ac:dyDescent="0.3">
      <c r="U929765" s="25"/>
    </row>
    <row r="929787" spans="21:21" x14ac:dyDescent="0.3">
      <c r="U929787" s="25"/>
    </row>
    <row r="929809" spans="21:21" x14ac:dyDescent="0.3">
      <c r="U929809" s="25"/>
    </row>
    <row r="929831" spans="21:21" x14ac:dyDescent="0.3">
      <c r="U929831" s="25"/>
    </row>
    <row r="929853" spans="21:21" x14ac:dyDescent="0.3">
      <c r="U929853" s="25"/>
    </row>
    <row r="929875" spans="21:21" x14ac:dyDescent="0.3">
      <c r="U929875" s="25"/>
    </row>
    <row r="929897" spans="21:21" x14ac:dyDescent="0.3">
      <c r="U929897" s="25"/>
    </row>
    <row r="929919" spans="21:21" x14ac:dyDescent="0.3">
      <c r="U929919" s="25"/>
    </row>
    <row r="929941" spans="21:21" x14ac:dyDescent="0.3">
      <c r="U929941" s="25"/>
    </row>
    <row r="929963" spans="21:21" x14ac:dyDescent="0.3">
      <c r="U929963" s="25"/>
    </row>
    <row r="929985" spans="21:21" x14ac:dyDescent="0.3">
      <c r="U929985" s="25"/>
    </row>
    <row r="930007" spans="21:21" x14ac:dyDescent="0.3">
      <c r="U930007" s="25"/>
    </row>
    <row r="930029" spans="21:21" x14ac:dyDescent="0.3">
      <c r="U930029" s="25"/>
    </row>
    <row r="930051" spans="21:21" x14ac:dyDescent="0.3">
      <c r="U930051" s="25"/>
    </row>
    <row r="930073" spans="21:21" x14ac:dyDescent="0.3">
      <c r="U930073" s="25"/>
    </row>
    <row r="930095" spans="21:21" x14ac:dyDescent="0.3">
      <c r="U930095" s="25"/>
    </row>
    <row r="930117" spans="21:21" x14ac:dyDescent="0.3">
      <c r="U930117" s="25"/>
    </row>
    <row r="930139" spans="21:21" x14ac:dyDescent="0.3">
      <c r="U930139" s="25"/>
    </row>
    <row r="930161" spans="21:21" x14ac:dyDescent="0.3">
      <c r="U930161" s="25"/>
    </row>
    <row r="930183" spans="21:21" x14ac:dyDescent="0.3">
      <c r="U930183" s="25"/>
    </row>
    <row r="930205" spans="21:21" x14ac:dyDescent="0.3">
      <c r="U930205" s="25"/>
    </row>
    <row r="930227" spans="21:21" x14ac:dyDescent="0.3">
      <c r="U930227" s="25"/>
    </row>
    <row r="930249" spans="21:21" x14ac:dyDescent="0.3">
      <c r="U930249" s="25"/>
    </row>
    <row r="930271" spans="21:21" x14ac:dyDescent="0.3">
      <c r="U930271" s="25"/>
    </row>
    <row r="930293" spans="21:21" x14ac:dyDescent="0.3">
      <c r="U930293" s="25"/>
    </row>
    <row r="930315" spans="21:21" x14ac:dyDescent="0.3">
      <c r="U930315" s="25"/>
    </row>
    <row r="930337" spans="21:21" x14ac:dyDescent="0.3">
      <c r="U930337" s="25"/>
    </row>
    <row r="930359" spans="21:21" x14ac:dyDescent="0.3">
      <c r="U930359" s="25"/>
    </row>
    <row r="930381" spans="21:21" x14ac:dyDescent="0.3">
      <c r="U930381" s="25"/>
    </row>
    <row r="930403" spans="21:21" x14ac:dyDescent="0.3">
      <c r="U930403" s="25"/>
    </row>
    <row r="930425" spans="21:21" x14ac:dyDescent="0.3">
      <c r="U930425" s="25"/>
    </row>
    <row r="930447" spans="21:21" x14ac:dyDescent="0.3">
      <c r="U930447" s="25"/>
    </row>
    <row r="930469" spans="21:21" x14ac:dyDescent="0.3">
      <c r="U930469" s="25"/>
    </row>
    <row r="930491" spans="21:21" x14ac:dyDescent="0.3">
      <c r="U930491" s="25"/>
    </row>
    <row r="930513" spans="21:21" x14ac:dyDescent="0.3">
      <c r="U930513" s="25"/>
    </row>
    <row r="930535" spans="21:21" x14ac:dyDescent="0.3">
      <c r="U930535" s="25"/>
    </row>
    <row r="930557" spans="21:21" x14ac:dyDescent="0.3">
      <c r="U930557" s="25"/>
    </row>
    <row r="930579" spans="21:21" x14ac:dyDescent="0.3">
      <c r="U930579" s="25"/>
    </row>
    <row r="930601" spans="21:21" x14ac:dyDescent="0.3">
      <c r="U930601" s="25"/>
    </row>
    <row r="930623" spans="21:21" x14ac:dyDescent="0.3">
      <c r="U930623" s="25"/>
    </row>
    <row r="930645" spans="21:21" x14ac:dyDescent="0.3">
      <c r="U930645" s="25"/>
    </row>
    <row r="930667" spans="21:21" x14ac:dyDescent="0.3">
      <c r="U930667" s="25"/>
    </row>
    <row r="930689" spans="21:21" x14ac:dyDescent="0.3">
      <c r="U930689" s="25"/>
    </row>
    <row r="930711" spans="21:21" x14ac:dyDescent="0.3">
      <c r="U930711" s="25"/>
    </row>
    <row r="930733" spans="21:21" x14ac:dyDescent="0.3">
      <c r="U930733" s="25"/>
    </row>
    <row r="930755" spans="21:21" x14ac:dyDescent="0.3">
      <c r="U930755" s="25"/>
    </row>
    <row r="930777" spans="21:21" x14ac:dyDescent="0.3">
      <c r="U930777" s="25"/>
    </row>
    <row r="930799" spans="21:21" x14ac:dyDescent="0.3">
      <c r="U930799" s="25"/>
    </row>
    <row r="930821" spans="21:21" x14ac:dyDescent="0.3">
      <c r="U930821" s="25"/>
    </row>
    <row r="930843" spans="21:21" x14ac:dyDescent="0.3">
      <c r="U930843" s="25"/>
    </row>
    <row r="930865" spans="21:21" x14ac:dyDescent="0.3">
      <c r="U930865" s="25"/>
    </row>
    <row r="930887" spans="21:21" x14ac:dyDescent="0.3">
      <c r="U930887" s="25"/>
    </row>
    <row r="930909" spans="21:21" x14ac:dyDescent="0.3">
      <c r="U930909" s="25"/>
    </row>
    <row r="930931" spans="21:21" x14ac:dyDescent="0.3">
      <c r="U930931" s="25"/>
    </row>
    <row r="930953" spans="21:21" x14ac:dyDescent="0.3">
      <c r="U930953" s="25"/>
    </row>
    <row r="930975" spans="21:21" x14ac:dyDescent="0.3">
      <c r="U930975" s="25"/>
    </row>
    <row r="930997" spans="21:21" x14ac:dyDescent="0.3">
      <c r="U930997" s="25"/>
    </row>
    <row r="931019" spans="21:21" x14ac:dyDescent="0.3">
      <c r="U931019" s="25"/>
    </row>
    <row r="931041" spans="21:21" x14ac:dyDescent="0.3">
      <c r="U931041" s="25"/>
    </row>
    <row r="931063" spans="21:21" x14ac:dyDescent="0.3">
      <c r="U931063" s="25"/>
    </row>
    <row r="931085" spans="21:21" x14ac:dyDescent="0.3">
      <c r="U931085" s="25"/>
    </row>
    <row r="931107" spans="21:21" x14ac:dyDescent="0.3">
      <c r="U931107" s="25"/>
    </row>
    <row r="931129" spans="21:21" x14ac:dyDescent="0.3">
      <c r="U931129" s="25"/>
    </row>
    <row r="931151" spans="21:21" x14ac:dyDescent="0.3">
      <c r="U931151" s="25"/>
    </row>
    <row r="931173" spans="21:21" x14ac:dyDescent="0.3">
      <c r="U931173" s="25"/>
    </row>
    <row r="931195" spans="21:21" x14ac:dyDescent="0.3">
      <c r="U931195" s="25"/>
    </row>
    <row r="931217" spans="21:21" x14ac:dyDescent="0.3">
      <c r="U931217" s="25"/>
    </row>
    <row r="931239" spans="21:21" x14ac:dyDescent="0.3">
      <c r="U931239" s="25"/>
    </row>
    <row r="931261" spans="21:21" x14ac:dyDescent="0.3">
      <c r="U931261" s="25"/>
    </row>
    <row r="931283" spans="21:21" x14ac:dyDescent="0.3">
      <c r="U931283" s="25"/>
    </row>
    <row r="931305" spans="21:21" x14ac:dyDescent="0.3">
      <c r="U931305" s="25"/>
    </row>
    <row r="931327" spans="21:21" x14ac:dyDescent="0.3">
      <c r="U931327" s="25"/>
    </row>
    <row r="931349" spans="21:21" x14ac:dyDescent="0.3">
      <c r="U931349" s="25"/>
    </row>
    <row r="931371" spans="21:21" x14ac:dyDescent="0.3">
      <c r="U931371" s="25"/>
    </row>
    <row r="931393" spans="21:21" x14ac:dyDescent="0.3">
      <c r="U931393" s="25"/>
    </row>
    <row r="931415" spans="21:21" x14ac:dyDescent="0.3">
      <c r="U931415" s="25"/>
    </row>
    <row r="931437" spans="21:21" x14ac:dyDescent="0.3">
      <c r="U931437" s="25"/>
    </row>
    <row r="931459" spans="21:21" x14ac:dyDescent="0.3">
      <c r="U931459" s="25"/>
    </row>
    <row r="931481" spans="21:21" x14ac:dyDescent="0.3">
      <c r="U931481" s="25"/>
    </row>
    <row r="931503" spans="21:21" x14ac:dyDescent="0.3">
      <c r="U931503" s="25"/>
    </row>
    <row r="931525" spans="21:21" x14ac:dyDescent="0.3">
      <c r="U931525" s="25"/>
    </row>
    <row r="931547" spans="21:21" x14ac:dyDescent="0.3">
      <c r="U931547" s="25"/>
    </row>
    <row r="931569" spans="21:21" x14ac:dyDescent="0.3">
      <c r="U931569" s="25"/>
    </row>
    <row r="931591" spans="21:21" x14ac:dyDescent="0.3">
      <c r="U931591" s="25"/>
    </row>
    <row r="931613" spans="21:21" x14ac:dyDescent="0.3">
      <c r="U931613" s="25"/>
    </row>
    <row r="931635" spans="21:21" x14ac:dyDescent="0.3">
      <c r="U931635" s="25"/>
    </row>
    <row r="931657" spans="21:21" x14ac:dyDescent="0.3">
      <c r="U931657" s="25"/>
    </row>
    <row r="931679" spans="21:21" x14ac:dyDescent="0.3">
      <c r="U931679" s="25"/>
    </row>
    <row r="931701" spans="21:21" x14ac:dyDescent="0.3">
      <c r="U931701" s="25"/>
    </row>
    <row r="931723" spans="21:21" x14ac:dyDescent="0.3">
      <c r="U931723" s="25"/>
    </row>
    <row r="931745" spans="21:21" x14ac:dyDescent="0.3">
      <c r="U931745" s="25"/>
    </row>
    <row r="931767" spans="21:21" x14ac:dyDescent="0.3">
      <c r="U931767" s="25"/>
    </row>
    <row r="931789" spans="21:21" x14ac:dyDescent="0.3">
      <c r="U931789" s="25"/>
    </row>
    <row r="931811" spans="21:21" x14ac:dyDescent="0.3">
      <c r="U931811" s="25"/>
    </row>
    <row r="931833" spans="21:21" x14ac:dyDescent="0.3">
      <c r="U931833" s="25"/>
    </row>
    <row r="931855" spans="21:21" x14ac:dyDescent="0.3">
      <c r="U931855" s="25"/>
    </row>
    <row r="931877" spans="21:21" x14ac:dyDescent="0.3">
      <c r="U931877" s="25"/>
    </row>
    <row r="931899" spans="21:21" x14ac:dyDescent="0.3">
      <c r="U931899" s="25"/>
    </row>
    <row r="931921" spans="21:21" x14ac:dyDescent="0.3">
      <c r="U931921" s="25"/>
    </row>
    <row r="931943" spans="21:21" x14ac:dyDescent="0.3">
      <c r="U931943" s="25"/>
    </row>
    <row r="931965" spans="21:21" x14ac:dyDescent="0.3">
      <c r="U931965" s="25"/>
    </row>
    <row r="931987" spans="21:21" x14ac:dyDescent="0.3">
      <c r="U931987" s="25"/>
    </row>
    <row r="932009" spans="21:21" x14ac:dyDescent="0.3">
      <c r="U932009" s="25"/>
    </row>
    <row r="932031" spans="21:21" x14ac:dyDescent="0.3">
      <c r="U932031" s="25"/>
    </row>
    <row r="932053" spans="21:21" x14ac:dyDescent="0.3">
      <c r="U932053" s="25"/>
    </row>
    <row r="932075" spans="21:21" x14ac:dyDescent="0.3">
      <c r="U932075" s="25"/>
    </row>
    <row r="932097" spans="21:21" x14ac:dyDescent="0.3">
      <c r="U932097" s="25"/>
    </row>
    <row r="932119" spans="21:21" x14ac:dyDescent="0.3">
      <c r="U932119" s="25"/>
    </row>
    <row r="932141" spans="21:21" x14ac:dyDescent="0.3">
      <c r="U932141" s="25"/>
    </row>
    <row r="932163" spans="21:21" x14ac:dyDescent="0.3">
      <c r="U932163" s="25"/>
    </row>
    <row r="932185" spans="21:21" x14ac:dyDescent="0.3">
      <c r="U932185" s="25"/>
    </row>
    <row r="932207" spans="21:21" x14ac:dyDescent="0.3">
      <c r="U932207" s="25"/>
    </row>
    <row r="932229" spans="21:21" x14ac:dyDescent="0.3">
      <c r="U932229" s="25"/>
    </row>
    <row r="932251" spans="21:21" x14ac:dyDescent="0.3">
      <c r="U932251" s="25"/>
    </row>
    <row r="932273" spans="21:21" x14ac:dyDescent="0.3">
      <c r="U932273" s="25"/>
    </row>
    <row r="932295" spans="21:21" x14ac:dyDescent="0.3">
      <c r="U932295" s="25"/>
    </row>
    <row r="932317" spans="21:21" x14ac:dyDescent="0.3">
      <c r="U932317" s="25"/>
    </row>
    <row r="932339" spans="21:21" x14ac:dyDescent="0.3">
      <c r="U932339" s="25"/>
    </row>
    <row r="932361" spans="21:21" x14ac:dyDescent="0.3">
      <c r="U932361" s="25"/>
    </row>
    <row r="932383" spans="21:21" x14ac:dyDescent="0.3">
      <c r="U932383" s="25"/>
    </row>
    <row r="932405" spans="21:21" x14ac:dyDescent="0.3">
      <c r="U932405" s="25"/>
    </row>
    <row r="932427" spans="21:21" x14ac:dyDescent="0.3">
      <c r="U932427" s="25"/>
    </row>
    <row r="932449" spans="21:21" x14ac:dyDescent="0.3">
      <c r="U932449" s="25"/>
    </row>
    <row r="932471" spans="21:21" x14ac:dyDescent="0.3">
      <c r="U932471" s="25"/>
    </row>
    <row r="932493" spans="21:21" x14ac:dyDescent="0.3">
      <c r="U932493" s="25"/>
    </row>
    <row r="932515" spans="21:21" x14ac:dyDescent="0.3">
      <c r="U932515" s="25"/>
    </row>
    <row r="932537" spans="21:21" x14ac:dyDescent="0.3">
      <c r="U932537" s="25"/>
    </row>
    <row r="932559" spans="21:21" x14ac:dyDescent="0.3">
      <c r="U932559" s="25"/>
    </row>
    <row r="932581" spans="21:21" x14ac:dyDescent="0.3">
      <c r="U932581" s="25"/>
    </row>
    <row r="932603" spans="21:21" x14ac:dyDescent="0.3">
      <c r="U932603" s="25"/>
    </row>
    <row r="932625" spans="21:21" x14ac:dyDescent="0.3">
      <c r="U932625" s="25"/>
    </row>
    <row r="932647" spans="21:21" x14ac:dyDescent="0.3">
      <c r="U932647" s="25"/>
    </row>
    <row r="932669" spans="21:21" x14ac:dyDescent="0.3">
      <c r="U932669" s="25"/>
    </row>
    <row r="932691" spans="21:21" x14ac:dyDescent="0.3">
      <c r="U932691" s="25"/>
    </row>
    <row r="932713" spans="21:21" x14ac:dyDescent="0.3">
      <c r="U932713" s="25"/>
    </row>
    <row r="932735" spans="21:21" x14ac:dyDescent="0.3">
      <c r="U932735" s="25"/>
    </row>
    <row r="932757" spans="21:21" x14ac:dyDescent="0.3">
      <c r="U932757" s="25"/>
    </row>
    <row r="932779" spans="21:21" x14ac:dyDescent="0.3">
      <c r="U932779" s="25"/>
    </row>
    <row r="932801" spans="21:21" x14ac:dyDescent="0.3">
      <c r="U932801" s="25"/>
    </row>
    <row r="932823" spans="21:21" x14ac:dyDescent="0.3">
      <c r="U932823" s="25"/>
    </row>
    <row r="932845" spans="21:21" x14ac:dyDescent="0.3">
      <c r="U932845" s="25"/>
    </row>
    <row r="932867" spans="21:21" x14ac:dyDescent="0.3">
      <c r="U932867" s="25"/>
    </row>
    <row r="932889" spans="21:21" x14ac:dyDescent="0.3">
      <c r="U932889" s="25"/>
    </row>
    <row r="932911" spans="21:21" x14ac:dyDescent="0.3">
      <c r="U932911" s="25"/>
    </row>
    <row r="932933" spans="21:21" x14ac:dyDescent="0.3">
      <c r="U932933" s="25"/>
    </row>
    <row r="932955" spans="21:21" x14ac:dyDescent="0.3">
      <c r="U932955" s="25"/>
    </row>
    <row r="932977" spans="21:21" x14ac:dyDescent="0.3">
      <c r="U932977" s="25"/>
    </row>
    <row r="932999" spans="21:21" x14ac:dyDescent="0.3">
      <c r="U932999" s="25"/>
    </row>
    <row r="933021" spans="21:21" x14ac:dyDescent="0.3">
      <c r="U933021" s="25"/>
    </row>
    <row r="933043" spans="21:21" x14ac:dyDescent="0.3">
      <c r="U933043" s="25"/>
    </row>
    <row r="933065" spans="21:21" x14ac:dyDescent="0.3">
      <c r="U933065" s="25"/>
    </row>
    <row r="933087" spans="21:21" x14ac:dyDescent="0.3">
      <c r="U933087" s="25"/>
    </row>
    <row r="933109" spans="21:21" x14ac:dyDescent="0.3">
      <c r="U933109" s="25"/>
    </row>
    <row r="933131" spans="21:21" x14ac:dyDescent="0.3">
      <c r="U933131" s="25"/>
    </row>
    <row r="933153" spans="21:21" x14ac:dyDescent="0.3">
      <c r="U933153" s="25"/>
    </row>
    <row r="933175" spans="21:21" x14ac:dyDescent="0.3">
      <c r="U933175" s="25"/>
    </row>
    <row r="933197" spans="21:21" x14ac:dyDescent="0.3">
      <c r="U933197" s="25"/>
    </row>
    <row r="933219" spans="21:21" x14ac:dyDescent="0.3">
      <c r="U933219" s="25"/>
    </row>
    <row r="933241" spans="21:21" x14ac:dyDescent="0.3">
      <c r="U933241" s="25"/>
    </row>
    <row r="933263" spans="21:21" x14ac:dyDescent="0.3">
      <c r="U933263" s="25"/>
    </row>
    <row r="933285" spans="21:21" x14ac:dyDescent="0.3">
      <c r="U933285" s="25"/>
    </row>
    <row r="933307" spans="21:21" x14ac:dyDescent="0.3">
      <c r="U933307" s="25"/>
    </row>
    <row r="933329" spans="21:21" x14ac:dyDescent="0.3">
      <c r="U933329" s="25"/>
    </row>
    <row r="933351" spans="21:21" x14ac:dyDescent="0.3">
      <c r="U933351" s="25"/>
    </row>
    <row r="933373" spans="21:21" x14ac:dyDescent="0.3">
      <c r="U933373" s="25"/>
    </row>
    <row r="933395" spans="21:21" x14ac:dyDescent="0.3">
      <c r="U933395" s="25"/>
    </row>
    <row r="933417" spans="21:21" x14ac:dyDescent="0.3">
      <c r="U933417" s="25"/>
    </row>
    <row r="933439" spans="21:21" x14ac:dyDescent="0.3">
      <c r="U933439" s="25"/>
    </row>
    <row r="933461" spans="21:21" x14ac:dyDescent="0.3">
      <c r="U933461" s="25"/>
    </row>
    <row r="933483" spans="21:21" x14ac:dyDescent="0.3">
      <c r="U933483" s="25"/>
    </row>
    <row r="933505" spans="21:21" x14ac:dyDescent="0.3">
      <c r="U933505" s="25"/>
    </row>
    <row r="933527" spans="21:21" x14ac:dyDescent="0.3">
      <c r="U933527" s="25"/>
    </row>
    <row r="933549" spans="21:21" x14ac:dyDescent="0.3">
      <c r="U933549" s="25"/>
    </row>
    <row r="933571" spans="21:21" x14ac:dyDescent="0.3">
      <c r="U933571" s="25"/>
    </row>
    <row r="933593" spans="21:21" x14ac:dyDescent="0.3">
      <c r="U933593" s="25"/>
    </row>
    <row r="933615" spans="21:21" x14ac:dyDescent="0.3">
      <c r="U933615" s="25"/>
    </row>
    <row r="933637" spans="21:21" x14ac:dyDescent="0.3">
      <c r="U933637" s="25"/>
    </row>
    <row r="933659" spans="21:21" x14ac:dyDescent="0.3">
      <c r="U933659" s="25"/>
    </row>
    <row r="933681" spans="21:21" x14ac:dyDescent="0.3">
      <c r="U933681" s="25"/>
    </row>
    <row r="933703" spans="21:21" x14ac:dyDescent="0.3">
      <c r="U933703" s="25"/>
    </row>
    <row r="933725" spans="21:21" x14ac:dyDescent="0.3">
      <c r="U933725" s="25"/>
    </row>
    <row r="933747" spans="21:21" x14ac:dyDescent="0.3">
      <c r="U933747" s="25"/>
    </row>
    <row r="933769" spans="21:21" x14ac:dyDescent="0.3">
      <c r="U933769" s="25"/>
    </row>
    <row r="933791" spans="21:21" x14ac:dyDescent="0.3">
      <c r="U933791" s="25"/>
    </row>
    <row r="933813" spans="21:21" x14ac:dyDescent="0.3">
      <c r="U933813" s="25"/>
    </row>
    <row r="933835" spans="21:21" x14ac:dyDescent="0.3">
      <c r="U933835" s="25"/>
    </row>
    <row r="933857" spans="21:21" x14ac:dyDescent="0.3">
      <c r="U933857" s="25"/>
    </row>
    <row r="933879" spans="21:21" x14ac:dyDescent="0.3">
      <c r="U933879" s="25"/>
    </row>
    <row r="933901" spans="21:21" x14ac:dyDescent="0.3">
      <c r="U933901" s="25"/>
    </row>
    <row r="933923" spans="21:21" x14ac:dyDescent="0.3">
      <c r="U933923" s="25"/>
    </row>
    <row r="933945" spans="21:21" x14ac:dyDescent="0.3">
      <c r="U933945" s="25"/>
    </row>
    <row r="933967" spans="21:21" x14ac:dyDescent="0.3">
      <c r="U933967" s="25"/>
    </row>
    <row r="933989" spans="21:21" x14ac:dyDescent="0.3">
      <c r="U933989" s="25"/>
    </row>
    <row r="934011" spans="21:21" x14ac:dyDescent="0.3">
      <c r="U934011" s="25"/>
    </row>
    <row r="934033" spans="21:21" x14ac:dyDescent="0.3">
      <c r="U934033" s="25"/>
    </row>
    <row r="934055" spans="21:21" x14ac:dyDescent="0.3">
      <c r="U934055" s="25"/>
    </row>
    <row r="934077" spans="21:21" x14ac:dyDescent="0.3">
      <c r="U934077" s="25"/>
    </row>
    <row r="934099" spans="21:21" x14ac:dyDescent="0.3">
      <c r="U934099" s="25"/>
    </row>
    <row r="934121" spans="21:21" x14ac:dyDescent="0.3">
      <c r="U934121" s="25"/>
    </row>
    <row r="934143" spans="21:21" x14ac:dyDescent="0.3">
      <c r="U934143" s="25"/>
    </row>
    <row r="934165" spans="21:21" x14ac:dyDescent="0.3">
      <c r="U934165" s="25"/>
    </row>
    <row r="934187" spans="21:21" x14ac:dyDescent="0.3">
      <c r="U934187" s="25"/>
    </row>
    <row r="934209" spans="21:21" x14ac:dyDescent="0.3">
      <c r="U934209" s="25"/>
    </row>
    <row r="934231" spans="21:21" x14ac:dyDescent="0.3">
      <c r="U934231" s="25"/>
    </row>
    <row r="934253" spans="21:21" x14ac:dyDescent="0.3">
      <c r="U934253" s="25"/>
    </row>
    <row r="934275" spans="21:21" x14ac:dyDescent="0.3">
      <c r="U934275" s="25"/>
    </row>
    <row r="934297" spans="21:21" x14ac:dyDescent="0.3">
      <c r="U934297" s="25"/>
    </row>
    <row r="934319" spans="21:21" x14ac:dyDescent="0.3">
      <c r="U934319" s="25"/>
    </row>
    <row r="934341" spans="21:21" x14ac:dyDescent="0.3">
      <c r="U934341" s="25"/>
    </row>
    <row r="934363" spans="21:21" x14ac:dyDescent="0.3">
      <c r="U934363" s="25"/>
    </row>
    <row r="934385" spans="21:21" x14ac:dyDescent="0.3">
      <c r="U934385" s="25"/>
    </row>
    <row r="934407" spans="21:21" x14ac:dyDescent="0.3">
      <c r="U934407" s="25"/>
    </row>
    <row r="934429" spans="21:21" x14ac:dyDescent="0.3">
      <c r="U934429" s="25"/>
    </row>
    <row r="934451" spans="21:21" x14ac:dyDescent="0.3">
      <c r="U934451" s="25"/>
    </row>
    <row r="934473" spans="21:21" x14ac:dyDescent="0.3">
      <c r="U934473" s="25"/>
    </row>
    <row r="934495" spans="21:21" x14ac:dyDescent="0.3">
      <c r="U934495" s="25"/>
    </row>
    <row r="934517" spans="21:21" x14ac:dyDescent="0.3">
      <c r="U934517" s="25"/>
    </row>
    <row r="934539" spans="21:21" x14ac:dyDescent="0.3">
      <c r="U934539" s="25"/>
    </row>
    <row r="934561" spans="21:21" x14ac:dyDescent="0.3">
      <c r="U934561" s="25"/>
    </row>
    <row r="934583" spans="21:21" x14ac:dyDescent="0.3">
      <c r="U934583" s="25"/>
    </row>
    <row r="934605" spans="21:21" x14ac:dyDescent="0.3">
      <c r="U934605" s="25"/>
    </row>
    <row r="934627" spans="21:21" x14ac:dyDescent="0.3">
      <c r="U934627" s="25"/>
    </row>
    <row r="934649" spans="21:21" x14ac:dyDescent="0.3">
      <c r="U934649" s="25"/>
    </row>
    <row r="934671" spans="21:21" x14ac:dyDescent="0.3">
      <c r="U934671" s="25"/>
    </row>
    <row r="934693" spans="21:21" x14ac:dyDescent="0.3">
      <c r="U934693" s="25"/>
    </row>
    <row r="934715" spans="21:21" x14ac:dyDescent="0.3">
      <c r="U934715" s="25"/>
    </row>
    <row r="934737" spans="21:21" x14ac:dyDescent="0.3">
      <c r="U934737" s="25"/>
    </row>
    <row r="934759" spans="21:21" x14ac:dyDescent="0.3">
      <c r="U934759" s="25"/>
    </row>
    <row r="934781" spans="21:21" x14ac:dyDescent="0.3">
      <c r="U934781" s="25"/>
    </row>
    <row r="934803" spans="21:21" x14ac:dyDescent="0.3">
      <c r="U934803" s="25"/>
    </row>
    <row r="934825" spans="21:21" x14ac:dyDescent="0.3">
      <c r="U934825" s="25"/>
    </row>
    <row r="934847" spans="21:21" x14ac:dyDescent="0.3">
      <c r="U934847" s="25"/>
    </row>
    <row r="934869" spans="21:21" x14ac:dyDescent="0.3">
      <c r="U934869" s="25"/>
    </row>
    <row r="934891" spans="21:21" x14ac:dyDescent="0.3">
      <c r="U934891" s="25"/>
    </row>
    <row r="934913" spans="21:21" x14ac:dyDescent="0.3">
      <c r="U934913" s="25"/>
    </row>
    <row r="934935" spans="21:21" x14ac:dyDescent="0.3">
      <c r="U934935" s="25"/>
    </row>
    <row r="934957" spans="21:21" x14ac:dyDescent="0.3">
      <c r="U934957" s="25"/>
    </row>
    <row r="934979" spans="21:21" x14ac:dyDescent="0.3">
      <c r="U934979" s="25"/>
    </row>
    <row r="935001" spans="21:21" x14ac:dyDescent="0.3">
      <c r="U935001" s="25"/>
    </row>
    <row r="935023" spans="21:21" x14ac:dyDescent="0.3">
      <c r="U935023" s="25"/>
    </row>
    <row r="935045" spans="21:21" x14ac:dyDescent="0.3">
      <c r="U935045" s="25"/>
    </row>
    <row r="935067" spans="21:21" x14ac:dyDescent="0.3">
      <c r="U935067" s="25"/>
    </row>
    <row r="935089" spans="21:21" x14ac:dyDescent="0.3">
      <c r="U935089" s="25"/>
    </row>
    <row r="935111" spans="21:21" x14ac:dyDescent="0.3">
      <c r="U935111" s="25"/>
    </row>
    <row r="935133" spans="21:21" x14ac:dyDescent="0.3">
      <c r="U935133" s="25"/>
    </row>
    <row r="935155" spans="21:21" x14ac:dyDescent="0.3">
      <c r="U935155" s="25"/>
    </row>
    <row r="935177" spans="21:21" x14ac:dyDescent="0.3">
      <c r="U935177" s="25"/>
    </row>
    <row r="935199" spans="21:21" x14ac:dyDescent="0.3">
      <c r="U935199" s="25"/>
    </row>
    <row r="935221" spans="21:21" x14ac:dyDescent="0.3">
      <c r="U935221" s="25"/>
    </row>
    <row r="935243" spans="21:21" x14ac:dyDescent="0.3">
      <c r="U935243" s="25"/>
    </row>
    <row r="935265" spans="21:21" x14ac:dyDescent="0.3">
      <c r="U935265" s="25"/>
    </row>
    <row r="935287" spans="21:21" x14ac:dyDescent="0.3">
      <c r="U935287" s="25"/>
    </row>
    <row r="935309" spans="21:21" x14ac:dyDescent="0.3">
      <c r="U935309" s="25"/>
    </row>
    <row r="935331" spans="21:21" x14ac:dyDescent="0.3">
      <c r="U935331" s="25"/>
    </row>
    <row r="935353" spans="21:21" x14ac:dyDescent="0.3">
      <c r="U935353" s="25"/>
    </row>
    <row r="935375" spans="21:21" x14ac:dyDescent="0.3">
      <c r="U935375" s="25"/>
    </row>
    <row r="935397" spans="21:21" x14ac:dyDescent="0.3">
      <c r="U935397" s="25"/>
    </row>
    <row r="935419" spans="21:21" x14ac:dyDescent="0.3">
      <c r="U935419" s="25"/>
    </row>
    <row r="935441" spans="21:21" x14ac:dyDescent="0.3">
      <c r="U935441" s="25"/>
    </row>
    <row r="935463" spans="21:21" x14ac:dyDescent="0.3">
      <c r="U935463" s="25"/>
    </row>
    <row r="935485" spans="21:21" x14ac:dyDescent="0.3">
      <c r="U935485" s="25"/>
    </row>
    <row r="935507" spans="21:21" x14ac:dyDescent="0.3">
      <c r="U935507" s="25"/>
    </row>
    <row r="935529" spans="21:21" x14ac:dyDescent="0.3">
      <c r="U935529" s="25"/>
    </row>
    <row r="935551" spans="21:21" x14ac:dyDescent="0.3">
      <c r="U935551" s="25"/>
    </row>
    <row r="935573" spans="21:21" x14ac:dyDescent="0.3">
      <c r="U935573" s="25"/>
    </row>
    <row r="935595" spans="21:21" x14ac:dyDescent="0.3">
      <c r="U935595" s="25"/>
    </row>
    <row r="935617" spans="21:21" x14ac:dyDescent="0.3">
      <c r="U935617" s="25"/>
    </row>
    <row r="935639" spans="21:21" x14ac:dyDescent="0.3">
      <c r="U935639" s="25"/>
    </row>
    <row r="935661" spans="21:21" x14ac:dyDescent="0.3">
      <c r="U935661" s="25"/>
    </row>
    <row r="935683" spans="21:21" x14ac:dyDescent="0.3">
      <c r="U935683" s="25"/>
    </row>
    <row r="935705" spans="21:21" x14ac:dyDescent="0.3">
      <c r="U935705" s="25"/>
    </row>
    <row r="935727" spans="21:21" x14ac:dyDescent="0.3">
      <c r="U935727" s="25"/>
    </row>
    <row r="935749" spans="21:21" x14ac:dyDescent="0.3">
      <c r="U935749" s="25"/>
    </row>
    <row r="935771" spans="21:21" x14ac:dyDescent="0.3">
      <c r="U935771" s="25"/>
    </row>
    <row r="935793" spans="21:21" x14ac:dyDescent="0.3">
      <c r="U935793" s="25"/>
    </row>
    <row r="935815" spans="21:21" x14ac:dyDescent="0.3">
      <c r="U935815" s="25"/>
    </row>
    <row r="935837" spans="21:21" x14ac:dyDescent="0.3">
      <c r="U935837" s="25"/>
    </row>
    <row r="935859" spans="21:21" x14ac:dyDescent="0.3">
      <c r="U935859" s="25"/>
    </row>
    <row r="935881" spans="21:21" x14ac:dyDescent="0.3">
      <c r="U935881" s="25"/>
    </row>
    <row r="935903" spans="21:21" x14ac:dyDescent="0.3">
      <c r="U935903" s="25"/>
    </row>
    <row r="935925" spans="21:21" x14ac:dyDescent="0.3">
      <c r="U935925" s="25"/>
    </row>
    <row r="935947" spans="21:21" x14ac:dyDescent="0.3">
      <c r="U935947" s="25"/>
    </row>
    <row r="935969" spans="21:21" x14ac:dyDescent="0.3">
      <c r="U935969" s="25"/>
    </row>
    <row r="935991" spans="21:21" x14ac:dyDescent="0.3">
      <c r="U935991" s="25"/>
    </row>
    <row r="936013" spans="21:21" x14ac:dyDescent="0.3">
      <c r="U936013" s="25"/>
    </row>
    <row r="936035" spans="21:21" x14ac:dyDescent="0.3">
      <c r="U936035" s="25"/>
    </row>
    <row r="936057" spans="21:21" x14ac:dyDescent="0.3">
      <c r="U936057" s="25"/>
    </row>
    <row r="936079" spans="21:21" x14ac:dyDescent="0.3">
      <c r="U936079" s="25"/>
    </row>
    <row r="936101" spans="21:21" x14ac:dyDescent="0.3">
      <c r="U936101" s="25"/>
    </row>
    <row r="936123" spans="21:21" x14ac:dyDescent="0.3">
      <c r="U936123" s="25"/>
    </row>
    <row r="936145" spans="21:21" x14ac:dyDescent="0.3">
      <c r="U936145" s="25"/>
    </row>
    <row r="936167" spans="21:21" x14ac:dyDescent="0.3">
      <c r="U936167" s="25"/>
    </row>
    <row r="936189" spans="21:21" x14ac:dyDescent="0.3">
      <c r="U936189" s="25"/>
    </row>
    <row r="936211" spans="21:21" x14ac:dyDescent="0.3">
      <c r="U936211" s="25"/>
    </row>
    <row r="936233" spans="21:21" x14ac:dyDescent="0.3">
      <c r="U936233" s="25"/>
    </row>
    <row r="936255" spans="21:21" x14ac:dyDescent="0.3">
      <c r="U936255" s="25"/>
    </row>
    <row r="936277" spans="21:21" x14ac:dyDescent="0.3">
      <c r="U936277" s="25"/>
    </row>
    <row r="936299" spans="21:21" x14ac:dyDescent="0.3">
      <c r="U936299" s="25"/>
    </row>
    <row r="936321" spans="21:21" x14ac:dyDescent="0.3">
      <c r="U936321" s="25"/>
    </row>
    <row r="936343" spans="21:21" x14ac:dyDescent="0.3">
      <c r="U936343" s="25"/>
    </row>
    <row r="936365" spans="21:21" x14ac:dyDescent="0.3">
      <c r="U936365" s="25"/>
    </row>
    <row r="936387" spans="21:21" x14ac:dyDescent="0.3">
      <c r="U936387" s="25"/>
    </row>
    <row r="936409" spans="21:21" x14ac:dyDescent="0.3">
      <c r="U936409" s="25"/>
    </row>
    <row r="936431" spans="21:21" x14ac:dyDescent="0.3">
      <c r="U936431" s="25"/>
    </row>
    <row r="936453" spans="21:21" x14ac:dyDescent="0.3">
      <c r="U936453" s="25"/>
    </row>
    <row r="936475" spans="21:21" x14ac:dyDescent="0.3">
      <c r="U936475" s="25"/>
    </row>
    <row r="936497" spans="21:21" x14ac:dyDescent="0.3">
      <c r="U936497" s="25"/>
    </row>
    <row r="936519" spans="21:21" x14ac:dyDescent="0.3">
      <c r="U936519" s="25"/>
    </row>
    <row r="936541" spans="21:21" x14ac:dyDescent="0.3">
      <c r="U936541" s="25"/>
    </row>
    <row r="936563" spans="21:21" x14ac:dyDescent="0.3">
      <c r="U936563" s="25"/>
    </row>
    <row r="936585" spans="21:21" x14ac:dyDescent="0.3">
      <c r="U936585" s="25"/>
    </row>
    <row r="936607" spans="21:21" x14ac:dyDescent="0.3">
      <c r="U936607" s="25"/>
    </row>
    <row r="936629" spans="21:21" x14ac:dyDescent="0.3">
      <c r="U936629" s="25"/>
    </row>
    <row r="936651" spans="21:21" x14ac:dyDescent="0.3">
      <c r="U936651" s="25"/>
    </row>
    <row r="936673" spans="21:21" x14ac:dyDescent="0.3">
      <c r="U936673" s="25"/>
    </row>
    <row r="936695" spans="21:21" x14ac:dyDescent="0.3">
      <c r="U936695" s="25"/>
    </row>
    <row r="936717" spans="21:21" x14ac:dyDescent="0.3">
      <c r="U936717" s="25"/>
    </row>
    <row r="936739" spans="21:21" x14ac:dyDescent="0.3">
      <c r="U936739" s="25"/>
    </row>
    <row r="936761" spans="21:21" x14ac:dyDescent="0.3">
      <c r="U936761" s="25"/>
    </row>
    <row r="936783" spans="21:21" x14ac:dyDescent="0.3">
      <c r="U936783" s="25"/>
    </row>
    <row r="936805" spans="21:21" x14ac:dyDescent="0.3">
      <c r="U936805" s="25"/>
    </row>
    <row r="936827" spans="21:21" x14ac:dyDescent="0.3">
      <c r="U936827" s="25"/>
    </row>
    <row r="936849" spans="21:21" x14ac:dyDescent="0.3">
      <c r="U936849" s="25"/>
    </row>
    <row r="936871" spans="21:21" x14ac:dyDescent="0.3">
      <c r="U936871" s="25"/>
    </row>
    <row r="936893" spans="21:21" x14ac:dyDescent="0.3">
      <c r="U936893" s="25"/>
    </row>
    <row r="936915" spans="21:21" x14ac:dyDescent="0.3">
      <c r="U936915" s="25"/>
    </row>
    <row r="936937" spans="21:21" x14ac:dyDescent="0.3">
      <c r="U936937" s="25"/>
    </row>
    <row r="936959" spans="21:21" x14ac:dyDescent="0.3">
      <c r="U936959" s="25"/>
    </row>
    <row r="936981" spans="21:21" x14ac:dyDescent="0.3">
      <c r="U936981" s="25"/>
    </row>
    <row r="937003" spans="21:21" x14ac:dyDescent="0.3">
      <c r="U937003" s="25"/>
    </row>
    <row r="937025" spans="21:21" x14ac:dyDescent="0.3">
      <c r="U937025" s="25"/>
    </row>
    <row r="937047" spans="21:21" x14ac:dyDescent="0.3">
      <c r="U937047" s="25"/>
    </row>
    <row r="937069" spans="21:21" x14ac:dyDescent="0.3">
      <c r="U937069" s="25"/>
    </row>
    <row r="937091" spans="21:21" x14ac:dyDescent="0.3">
      <c r="U937091" s="25"/>
    </row>
    <row r="937113" spans="21:21" x14ac:dyDescent="0.3">
      <c r="U937113" s="25"/>
    </row>
    <row r="937135" spans="21:21" x14ac:dyDescent="0.3">
      <c r="U937135" s="25"/>
    </row>
    <row r="937157" spans="21:21" x14ac:dyDescent="0.3">
      <c r="U937157" s="25"/>
    </row>
    <row r="937179" spans="21:21" x14ac:dyDescent="0.3">
      <c r="U937179" s="25"/>
    </row>
    <row r="937201" spans="21:21" x14ac:dyDescent="0.3">
      <c r="U937201" s="25"/>
    </row>
    <row r="937223" spans="21:21" x14ac:dyDescent="0.3">
      <c r="U937223" s="25"/>
    </row>
    <row r="937245" spans="21:21" x14ac:dyDescent="0.3">
      <c r="U937245" s="25"/>
    </row>
    <row r="937267" spans="21:21" x14ac:dyDescent="0.3">
      <c r="U937267" s="25"/>
    </row>
    <row r="937289" spans="21:21" x14ac:dyDescent="0.3">
      <c r="U937289" s="25"/>
    </row>
    <row r="937311" spans="21:21" x14ac:dyDescent="0.3">
      <c r="U937311" s="25"/>
    </row>
    <row r="937333" spans="21:21" x14ac:dyDescent="0.3">
      <c r="U937333" s="25"/>
    </row>
    <row r="937355" spans="21:21" x14ac:dyDescent="0.3">
      <c r="U937355" s="25"/>
    </row>
    <row r="937377" spans="21:21" x14ac:dyDescent="0.3">
      <c r="U937377" s="25"/>
    </row>
    <row r="937399" spans="21:21" x14ac:dyDescent="0.3">
      <c r="U937399" s="25"/>
    </row>
    <row r="937421" spans="21:21" x14ac:dyDescent="0.3">
      <c r="U937421" s="25"/>
    </row>
    <row r="937443" spans="21:21" x14ac:dyDescent="0.3">
      <c r="U937443" s="25"/>
    </row>
    <row r="937465" spans="21:21" x14ac:dyDescent="0.3">
      <c r="U937465" s="25"/>
    </row>
    <row r="937487" spans="21:21" x14ac:dyDescent="0.3">
      <c r="U937487" s="25"/>
    </row>
    <row r="937509" spans="21:21" x14ac:dyDescent="0.3">
      <c r="U937509" s="25"/>
    </row>
    <row r="937531" spans="21:21" x14ac:dyDescent="0.3">
      <c r="U937531" s="25"/>
    </row>
    <row r="937553" spans="21:21" x14ac:dyDescent="0.3">
      <c r="U937553" s="25"/>
    </row>
    <row r="937575" spans="21:21" x14ac:dyDescent="0.3">
      <c r="U937575" s="25"/>
    </row>
    <row r="937597" spans="21:21" x14ac:dyDescent="0.3">
      <c r="U937597" s="25"/>
    </row>
    <row r="937619" spans="21:21" x14ac:dyDescent="0.3">
      <c r="U937619" s="25"/>
    </row>
    <row r="937641" spans="21:21" x14ac:dyDescent="0.3">
      <c r="U937641" s="25"/>
    </row>
    <row r="937663" spans="21:21" x14ac:dyDescent="0.3">
      <c r="U937663" s="25"/>
    </row>
    <row r="937685" spans="21:21" x14ac:dyDescent="0.3">
      <c r="U937685" s="25"/>
    </row>
    <row r="937707" spans="21:21" x14ac:dyDescent="0.3">
      <c r="U937707" s="25"/>
    </row>
    <row r="937729" spans="21:21" x14ac:dyDescent="0.3">
      <c r="U937729" s="25"/>
    </row>
    <row r="937751" spans="21:21" x14ac:dyDescent="0.3">
      <c r="U937751" s="25"/>
    </row>
    <row r="937773" spans="21:21" x14ac:dyDescent="0.3">
      <c r="U937773" s="25"/>
    </row>
    <row r="937795" spans="21:21" x14ac:dyDescent="0.3">
      <c r="U937795" s="25"/>
    </row>
    <row r="937817" spans="21:21" x14ac:dyDescent="0.3">
      <c r="U937817" s="25"/>
    </row>
    <row r="937839" spans="21:21" x14ac:dyDescent="0.3">
      <c r="U937839" s="25"/>
    </row>
    <row r="937861" spans="21:21" x14ac:dyDescent="0.3">
      <c r="U937861" s="25"/>
    </row>
    <row r="937883" spans="21:21" x14ac:dyDescent="0.3">
      <c r="U937883" s="25"/>
    </row>
    <row r="937905" spans="21:21" x14ac:dyDescent="0.3">
      <c r="U937905" s="25"/>
    </row>
    <row r="937927" spans="21:21" x14ac:dyDescent="0.3">
      <c r="U937927" s="25"/>
    </row>
    <row r="937949" spans="21:21" x14ac:dyDescent="0.3">
      <c r="U937949" s="25"/>
    </row>
    <row r="937971" spans="21:21" x14ac:dyDescent="0.3">
      <c r="U937971" s="25"/>
    </row>
    <row r="937993" spans="21:21" x14ac:dyDescent="0.3">
      <c r="U937993" s="25"/>
    </row>
    <row r="938015" spans="21:21" x14ac:dyDescent="0.3">
      <c r="U938015" s="25"/>
    </row>
    <row r="938037" spans="21:21" x14ac:dyDescent="0.3">
      <c r="U938037" s="25"/>
    </row>
    <row r="938059" spans="21:21" x14ac:dyDescent="0.3">
      <c r="U938059" s="25"/>
    </row>
    <row r="938081" spans="21:21" x14ac:dyDescent="0.3">
      <c r="U938081" s="25"/>
    </row>
    <row r="938103" spans="21:21" x14ac:dyDescent="0.3">
      <c r="U938103" s="25"/>
    </row>
    <row r="938125" spans="21:21" x14ac:dyDescent="0.3">
      <c r="U938125" s="25"/>
    </row>
    <row r="938147" spans="21:21" x14ac:dyDescent="0.3">
      <c r="U938147" s="25"/>
    </row>
    <row r="938169" spans="21:21" x14ac:dyDescent="0.3">
      <c r="U938169" s="25"/>
    </row>
    <row r="938191" spans="21:21" x14ac:dyDescent="0.3">
      <c r="U938191" s="25"/>
    </row>
    <row r="938213" spans="21:21" x14ac:dyDescent="0.3">
      <c r="U938213" s="25"/>
    </row>
    <row r="938235" spans="21:21" x14ac:dyDescent="0.3">
      <c r="U938235" s="25"/>
    </row>
    <row r="938257" spans="21:21" x14ac:dyDescent="0.3">
      <c r="U938257" s="25"/>
    </row>
    <row r="938279" spans="21:21" x14ac:dyDescent="0.3">
      <c r="U938279" s="25"/>
    </row>
    <row r="938301" spans="21:21" x14ac:dyDescent="0.3">
      <c r="U938301" s="25"/>
    </row>
    <row r="938323" spans="21:21" x14ac:dyDescent="0.3">
      <c r="U938323" s="25"/>
    </row>
    <row r="938345" spans="21:21" x14ac:dyDescent="0.3">
      <c r="U938345" s="25"/>
    </row>
    <row r="938367" spans="21:21" x14ac:dyDescent="0.3">
      <c r="U938367" s="25"/>
    </row>
    <row r="938389" spans="21:21" x14ac:dyDescent="0.3">
      <c r="U938389" s="25"/>
    </row>
    <row r="938411" spans="21:21" x14ac:dyDescent="0.3">
      <c r="U938411" s="25"/>
    </row>
    <row r="938433" spans="21:21" x14ac:dyDescent="0.3">
      <c r="U938433" s="25"/>
    </row>
    <row r="938455" spans="21:21" x14ac:dyDescent="0.3">
      <c r="U938455" s="25"/>
    </row>
    <row r="938477" spans="21:21" x14ac:dyDescent="0.3">
      <c r="U938477" s="25"/>
    </row>
    <row r="938499" spans="21:21" x14ac:dyDescent="0.3">
      <c r="U938499" s="25"/>
    </row>
    <row r="938521" spans="21:21" x14ac:dyDescent="0.3">
      <c r="U938521" s="25"/>
    </row>
    <row r="938543" spans="21:21" x14ac:dyDescent="0.3">
      <c r="U938543" s="25"/>
    </row>
    <row r="938565" spans="21:21" x14ac:dyDescent="0.3">
      <c r="U938565" s="25"/>
    </row>
    <row r="938587" spans="21:21" x14ac:dyDescent="0.3">
      <c r="U938587" s="25"/>
    </row>
    <row r="938609" spans="21:21" x14ac:dyDescent="0.3">
      <c r="U938609" s="25"/>
    </row>
    <row r="938631" spans="21:21" x14ac:dyDescent="0.3">
      <c r="U938631" s="25"/>
    </row>
    <row r="938653" spans="21:21" x14ac:dyDescent="0.3">
      <c r="U938653" s="25"/>
    </row>
    <row r="938675" spans="21:21" x14ac:dyDescent="0.3">
      <c r="U938675" s="25"/>
    </row>
    <row r="938697" spans="21:21" x14ac:dyDescent="0.3">
      <c r="U938697" s="25"/>
    </row>
    <row r="938719" spans="21:21" x14ac:dyDescent="0.3">
      <c r="U938719" s="25"/>
    </row>
    <row r="938741" spans="21:21" x14ac:dyDescent="0.3">
      <c r="U938741" s="25"/>
    </row>
    <row r="938763" spans="21:21" x14ac:dyDescent="0.3">
      <c r="U938763" s="25"/>
    </row>
    <row r="938785" spans="21:21" x14ac:dyDescent="0.3">
      <c r="U938785" s="25"/>
    </row>
    <row r="938807" spans="21:21" x14ac:dyDescent="0.3">
      <c r="U938807" s="25"/>
    </row>
    <row r="938829" spans="21:21" x14ac:dyDescent="0.3">
      <c r="U938829" s="25"/>
    </row>
    <row r="938851" spans="21:21" x14ac:dyDescent="0.3">
      <c r="U938851" s="25"/>
    </row>
    <row r="938873" spans="21:21" x14ac:dyDescent="0.3">
      <c r="U938873" s="25"/>
    </row>
    <row r="938895" spans="21:21" x14ac:dyDescent="0.3">
      <c r="U938895" s="25"/>
    </row>
    <row r="938917" spans="21:21" x14ac:dyDescent="0.3">
      <c r="U938917" s="25"/>
    </row>
    <row r="938939" spans="21:21" x14ac:dyDescent="0.3">
      <c r="U938939" s="25"/>
    </row>
    <row r="938961" spans="21:21" x14ac:dyDescent="0.3">
      <c r="U938961" s="25"/>
    </row>
    <row r="938983" spans="21:21" x14ac:dyDescent="0.3">
      <c r="U938983" s="25"/>
    </row>
    <row r="939005" spans="21:21" x14ac:dyDescent="0.3">
      <c r="U939005" s="25"/>
    </row>
    <row r="939027" spans="21:21" x14ac:dyDescent="0.3">
      <c r="U939027" s="25"/>
    </row>
    <row r="939049" spans="21:21" x14ac:dyDescent="0.3">
      <c r="U939049" s="25"/>
    </row>
    <row r="939071" spans="21:21" x14ac:dyDescent="0.3">
      <c r="U939071" s="25"/>
    </row>
    <row r="939093" spans="21:21" x14ac:dyDescent="0.3">
      <c r="U939093" s="25"/>
    </row>
    <row r="939115" spans="21:21" x14ac:dyDescent="0.3">
      <c r="U939115" s="25"/>
    </row>
    <row r="939137" spans="21:21" x14ac:dyDescent="0.3">
      <c r="U939137" s="25"/>
    </row>
    <row r="939159" spans="21:21" x14ac:dyDescent="0.3">
      <c r="U939159" s="25"/>
    </row>
    <row r="939181" spans="21:21" x14ac:dyDescent="0.3">
      <c r="U939181" s="25"/>
    </row>
    <row r="939203" spans="21:21" x14ac:dyDescent="0.3">
      <c r="U939203" s="25"/>
    </row>
    <row r="939225" spans="21:21" x14ac:dyDescent="0.3">
      <c r="U939225" s="25"/>
    </row>
    <row r="939247" spans="21:21" x14ac:dyDescent="0.3">
      <c r="U939247" s="25"/>
    </row>
    <row r="939269" spans="21:21" x14ac:dyDescent="0.3">
      <c r="U939269" s="25"/>
    </row>
    <row r="939291" spans="21:21" x14ac:dyDescent="0.3">
      <c r="U939291" s="25"/>
    </row>
    <row r="939313" spans="21:21" x14ac:dyDescent="0.3">
      <c r="U939313" s="25"/>
    </row>
    <row r="939335" spans="21:21" x14ac:dyDescent="0.3">
      <c r="U939335" s="25"/>
    </row>
    <row r="939357" spans="21:21" x14ac:dyDescent="0.3">
      <c r="U939357" s="25"/>
    </row>
    <row r="939379" spans="21:21" x14ac:dyDescent="0.3">
      <c r="U939379" s="25"/>
    </row>
    <row r="939401" spans="21:21" x14ac:dyDescent="0.3">
      <c r="U939401" s="25"/>
    </row>
    <row r="939423" spans="21:21" x14ac:dyDescent="0.3">
      <c r="U939423" s="25"/>
    </row>
    <row r="939445" spans="21:21" x14ac:dyDescent="0.3">
      <c r="U939445" s="25"/>
    </row>
    <row r="939467" spans="21:21" x14ac:dyDescent="0.3">
      <c r="U939467" s="25"/>
    </row>
    <row r="939489" spans="21:21" x14ac:dyDescent="0.3">
      <c r="U939489" s="25"/>
    </row>
    <row r="939511" spans="21:21" x14ac:dyDescent="0.3">
      <c r="U939511" s="25"/>
    </row>
    <row r="939533" spans="21:21" x14ac:dyDescent="0.3">
      <c r="U939533" s="25"/>
    </row>
    <row r="939555" spans="21:21" x14ac:dyDescent="0.3">
      <c r="U939555" s="25"/>
    </row>
    <row r="939577" spans="21:21" x14ac:dyDescent="0.3">
      <c r="U939577" s="25"/>
    </row>
    <row r="939599" spans="21:21" x14ac:dyDescent="0.3">
      <c r="U939599" s="25"/>
    </row>
    <row r="939621" spans="21:21" x14ac:dyDescent="0.3">
      <c r="U939621" s="25"/>
    </row>
    <row r="939643" spans="21:21" x14ac:dyDescent="0.3">
      <c r="U939643" s="25"/>
    </row>
    <row r="939665" spans="21:21" x14ac:dyDescent="0.3">
      <c r="U939665" s="25"/>
    </row>
    <row r="939687" spans="21:21" x14ac:dyDescent="0.3">
      <c r="U939687" s="25"/>
    </row>
    <row r="939709" spans="21:21" x14ac:dyDescent="0.3">
      <c r="U939709" s="25"/>
    </row>
    <row r="939731" spans="21:21" x14ac:dyDescent="0.3">
      <c r="U939731" s="25"/>
    </row>
    <row r="939753" spans="21:21" x14ac:dyDescent="0.3">
      <c r="U939753" s="25"/>
    </row>
    <row r="939775" spans="21:21" x14ac:dyDescent="0.3">
      <c r="U939775" s="25"/>
    </row>
    <row r="939797" spans="21:21" x14ac:dyDescent="0.3">
      <c r="U939797" s="25"/>
    </row>
    <row r="939819" spans="21:21" x14ac:dyDescent="0.3">
      <c r="U939819" s="25"/>
    </row>
    <row r="939841" spans="21:21" x14ac:dyDescent="0.3">
      <c r="U939841" s="25"/>
    </row>
    <row r="939863" spans="21:21" x14ac:dyDescent="0.3">
      <c r="U939863" s="25"/>
    </row>
    <row r="939885" spans="21:21" x14ac:dyDescent="0.3">
      <c r="U939885" s="25"/>
    </row>
    <row r="939907" spans="21:21" x14ac:dyDescent="0.3">
      <c r="U939907" s="25"/>
    </row>
    <row r="939929" spans="21:21" x14ac:dyDescent="0.3">
      <c r="U939929" s="25"/>
    </row>
    <row r="939951" spans="21:21" x14ac:dyDescent="0.3">
      <c r="U939951" s="25"/>
    </row>
    <row r="939973" spans="21:21" x14ac:dyDescent="0.3">
      <c r="U939973" s="25"/>
    </row>
    <row r="939995" spans="21:21" x14ac:dyDescent="0.3">
      <c r="U939995" s="25"/>
    </row>
    <row r="940017" spans="21:21" x14ac:dyDescent="0.3">
      <c r="U940017" s="25"/>
    </row>
    <row r="940039" spans="21:21" x14ac:dyDescent="0.3">
      <c r="U940039" s="25"/>
    </row>
    <row r="940061" spans="21:21" x14ac:dyDescent="0.3">
      <c r="U940061" s="25"/>
    </row>
    <row r="940083" spans="21:21" x14ac:dyDescent="0.3">
      <c r="U940083" s="25"/>
    </row>
    <row r="940105" spans="21:21" x14ac:dyDescent="0.3">
      <c r="U940105" s="25"/>
    </row>
    <row r="940127" spans="21:21" x14ac:dyDescent="0.3">
      <c r="U940127" s="25"/>
    </row>
    <row r="940149" spans="21:21" x14ac:dyDescent="0.3">
      <c r="U940149" s="25"/>
    </row>
    <row r="940171" spans="21:21" x14ac:dyDescent="0.3">
      <c r="U940171" s="25"/>
    </row>
    <row r="940193" spans="21:21" x14ac:dyDescent="0.3">
      <c r="U940193" s="25"/>
    </row>
    <row r="940215" spans="21:21" x14ac:dyDescent="0.3">
      <c r="U940215" s="25"/>
    </row>
    <row r="940237" spans="21:21" x14ac:dyDescent="0.3">
      <c r="U940237" s="25"/>
    </row>
    <row r="940259" spans="21:21" x14ac:dyDescent="0.3">
      <c r="U940259" s="25"/>
    </row>
    <row r="940281" spans="21:21" x14ac:dyDescent="0.3">
      <c r="U940281" s="25"/>
    </row>
    <row r="940303" spans="21:21" x14ac:dyDescent="0.3">
      <c r="U940303" s="25"/>
    </row>
    <row r="940325" spans="21:21" x14ac:dyDescent="0.3">
      <c r="U940325" s="25"/>
    </row>
    <row r="940347" spans="21:21" x14ac:dyDescent="0.3">
      <c r="U940347" s="25"/>
    </row>
    <row r="940369" spans="21:21" x14ac:dyDescent="0.3">
      <c r="U940369" s="25"/>
    </row>
    <row r="940391" spans="21:21" x14ac:dyDescent="0.3">
      <c r="U940391" s="25"/>
    </row>
    <row r="940413" spans="21:21" x14ac:dyDescent="0.3">
      <c r="U940413" s="25"/>
    </row>
    <row r="940435" spans="21:21" x14ac:dyDescent="0.3">
      <c r="U940435" s="25"/>
    </row>
    <row r="940457" spans="21:21" x14ac:dyDescent="0.3">
      <c r="U940457" s="25"/>
    </row>
    <row r="940479" spans="21:21" x14ac:dyDescent="0.3">
      <c r="U940479" s="25"/>
    </row>
    <row r="940501" spans="21:21" x14ac:dyDescent="0.3">
      <c r="U940501" s="25"/>
    </row>
    <row r="940523" spans="21:21" x14ac:dyDescent="0.3">
      <c r="U940523" s="25"/>
    </row>
    <row r="940545" spans="21:21" x14ac:dyDescent="0.3">
      <c r="U940545" s="25"/>
    </row>
    <row r="940567" spans="21:21" x14ac:dyDescent="0.3">
      <c r="U940567" s="25"/>
    </row>
    <row r="940589" spans="21:21" x14ac:dyDescent="0.3">
      <c r="U940589" s="25"/>
    </row>
    <row r="940611" spans="21:21" x14ac:dyDescent="0.3">
      <c r="U940611" s="25"/>
    </row>
    <row r="940633" spans="21:21" x14ac:dyDescent="0.3">
      <c r="U940633" s="25"/>
    </row>
    <row r="940655" spans="21:21" x14ac:dyDescent="0.3">
      <c r="U940655" s="25"/>
    </row>
    <row r="940677" spans="21:21" x14ac:dyDescent="0.3">
      <c r="U940677" s="25"/>
    </row>
    <row r="940699" spans="21:21" x14ac:dyDescent="0.3">
      <c r="U940699" s="25"/>
    </row>
    <row r="940721" spans="21:21" x14ac:dyDescent="0.3">
      <c r="U940721" s="25"/>
    </row>
    <row r="940743" spans="21:21" x14ac:dyDescent="0.3">
      <c r="U940743" s="25"/>
    </row>
    <row r="940765" spans="21:21" x14ac:dyDescent="0.3">
      <c r="U940765" s="25"/>
    </row>
    <row r="940787" spans="21:21" x14ac:dyDescent="0.3">
      <c r="U940787" s="25"/>
    </row>
    <row r="940809" spans="21:21" x14ac:dyDescent="0.3">
      <c r="U940809" s="25"/>
    </row>
    <row r="940831" spans="21:21" x14ac:dyDescent="0.3">
      <c r="U940831" s="25"/>
    </row>
    <row r="940853" spans="21:21" x14ac:dyDescent="0.3">
      <c r="U940853" s="25"/>
    </row>
    <row r="940875" spans="21:21" x14ac:dyDescent="0.3">
      <c r="U940875" s="25"/>
    </row>
    <row r="940897" spans="21:21" x14ac:dyDescent="0.3">
      <c r="U940897" s="25"/>
    </row>
    <row r="940919" spans="21:21" x14ac:dyDescent="0.3">
      <c r="U940919" s="25"/>
    </row>
    <row r="940941" spans="21:21" x14ac:dyDescent="0.3">
      <c r="U940941" s="25"/>
    </row>
    <row r="940963" spans="21:21" x14ac:dyDescent="0.3">
      <c r="U940963" s="25"/>
    </row>
    <row r="940985" spans="21:21" x14ac:dyDescent="0.3">
      <c r="U940985" s="25"/>
    </row>
    <row r="941007" spans="21:21" x14ac:dyDescent="0.3">
      <c r="U941007" s="25"/>
    </row>
    <row r="941029" spans="21:21" x14ac:dyDescent="0.3">
      <c r="U941029" s="25"/>
    </row>
    <row r="941051" spans="21:21" x14ac:dyDescent="0.3">
      <c r="U941051" s="25"/>
    </row>
    <row r="941073" spans="21:21" x14ac:dyDescent="0.3">
      <c r="U941073" s="25"/>
    </row>
    <row r="941095" spans="21:21" x14ac:dyDescent="0.3">
      <c r="U941095" s="25"/>
    </row>
    <row r="941117" spans="21:21" x14ac:dyDescent="0.3">
      <c r="U941117" s="25"/>
    </row>
    <row r="941139" spans="21:21" x14ac:dyDescent="0.3">
      <c r="U941139" s="25"/>
    </row>
    <row r="941161" spans="21:21" x14ac:dyDescent="0.3">
      <c r="U941161" s="25"/>
    </row>
    <row r="941183" spans="21:21" x14ac:dyDescent="0.3">
      <c r="U941183" s="25"/>
    </row>
    <row r="941205" spans="21:21" x14ac:dyDescent="0.3">
      <c r="U941205" s="25"/>
    </row>
    <row r="941227" spans="21:21" x14ac:dyDescent="0.3">
      <c r="U941227" s="25"/>
    </row>
    <row r="941249" spans="21:21" x14ac:dyDescent="0.3">
      <c r="U941249" s="25"/>
    </row>
    <row r="941271" spans="21:21" x14ac:dyDescent="0.3">
      <c r="U941271" s="25"/>
    </row>
    <row r="941293" spans="21:21" x14ac:dyDescent="0.3">
      <c r="U941293" s="25"/>
    </row>
    <row r="941315" spans="21:21" x14ac:dyDescent="0.3">
      <c r="U941315" s="25"/>
    </row>
    <row r="941337" spans="21:21" x14ac:dyDescent="0.3">
      <c r="U941337" s="25"/>
    </row>
    <row r="941359" spans="21:21" x14ac:dyDescent="0.3">
      <c r="U941359" s="25"/>
    </row>
    <row r="941381" spans="21:21" x14ac:dyDescent="0.3">
      <c r="U941381" s="25"/>
    </row>
    <row r="941403" spans="21:21" x14ac:dyDescent="0.3">
      <c r="U941403" s="25"/>
    </row>
    <row r="941425" spans="21:21" x14ac:dyDescent="0.3">
      <c r="U941425" s="25"/>
    </row>
    <row r="941447" spans="21:21" x14ac:dyDescent="0.3">
      <c r="U941447" s="25"/>
    </row>
    <row r="941469" spans="21:21" x14ac:dyDescent="0.3">
      <c r="U941469" s="25"/>
    </row>
    <row r="941491" spans="21:21" x14ac:dyDescent="0.3">
      <c r="U941491" s="25"/>
    </row>
    <row r="941513" spans="21:21" x14ac:dyDescent="0.3">
      <c r="U941513" s="25"/>
    </row>
    <row r="941535" spans="21:21" x14ac:dyDescent="0.3">
      <c r="U941535" s="25"/>
    </row>
    <row r="941557" spans="21:21" x14ac:dyDescent="0.3">
      <c r="U941557" s="25"/>
    </row>
    <row r="941579" spans="21:21" x14ac:dyDescent="0.3">
      <c r="U941579" s="25"/>
    </row>
    <row r="941601" spans="21:21" x14ac:dyDescent="0.3">
      <c r="U941601" s="25"/>
    </row>
    <row r="941623" spans="21:21" x14ac:dyDescent="0.3">
      <c r="U941623" s="25"/>
    </row>
    <row r="941645" spans="21:21" x14ac:dyDescent="0.3">
      <c r="U941645" s="25"/>
    </row>
    <row r="941667" spans="21:21" x14ac:dyDescent="0.3">
      <c r="U941667" s="25"/>
    </row>
    <row r="941689" spans="21:21" x14ac:dyDescent="0.3">
      <c r="U941689" s="25"/>
    </row>
    <row r="941711" spans="21:21" x14ac:dyDescent="0.3">
      <c r="U941711" s="25"/>
    </row>
    <row r="941733" spans="21:21" x14ac:dyDescent="0.3">
      <c r="U941733" s="25"/>
    </row>
    <row r="941755" spans="21:21" x14ac:dyDescent="0.3">
      <c r="U941755" s="25"/>
    </row>
    <row r="941777" spans="21:21" x14ac:dyDescent="0.3">
      <c r="U941777" s="25"/>
    </row>
    <row r="941799" spans="21:21" x14ac:dyDescent="0.3">
      <c r="U941799" s="25"/>
    </row>
    <row r="941821" spans="21:21" x14ac:dyDescent="0.3">
      <c r="U941821" s="25"/>
    </row>
    <row r="941843" spans="21:21" x14ac:dyDescent="0.3">
      <c r="U941843" s="25"/>
    </row>
    <row r="941865" spans="21:21" x14ac:dyDescent="0.3">
      <c r="U941865" s="25"/>
    </row>
    <row r="941887" spans="21:21" x14ac:dyDescent="0.3">
      <c r="U941887" s="25"/>
    </row>
    <row r="941909" spans="21:21" x14ac:dyDescent="0.3">
      <c r="U941909" s="25"/>
    </row>
    <row r="941931" spans="21:21" x14ac:dyDescent="0.3">
      <c r="U941931" s="25"/>
    </row>
    <row r="941953" spans="21:21" x14ac:dyDescent="0.3">
      <c r="U941953" s="25"/>
    </row>
    <row r="941975" spans="21:21" x14ac:dyDescent="0.3">
      <c r="U941975" s="25"/>
    </row>
    <row r="941997" spans="21:21" x14ac:dyDescent="0.3">
      <c r="U941997" s="25"/>
    </row>
    <row r="942019" spans="21:21" x14ac:dyDescent="0.3">
      <c r="U942019" s="25"/>
    </row>
    <row r="942041" spans="21:21" x14ac:dyDescent="0.3">
      <c r="U942041" s="25"/>
    </row>
    <row r="942063" spans="21:21" x14ac:dyDescent="0.3">
      <c r="U942063" s="25"/>
    </row>
    <row r="942085" spans="21:21" x14ac:dyDescent="0.3">
      <c r="U942085" s="25"/>
    </row>
    <row r="942107" spans="21:21" x14ac:dyDescent="0.3">
      <c r="U942107" s="25"/>
    </row>
    <row r="942129" spans="21:21" x14ac:dyDescent="0.3">
      <c r="U942129" s="25"/>
    </row>
    <row r="942151" spans="21:21" x14ac:dyDescent="0.3">
      <c r="U942151" s="25"/>
    </row>
    <row r="942173" spans="21:21" x14ac:dyDescent="0.3">
      <c r="U942173" s="25"/>
    </row>
    <row r="942195" spans="21:21" x14ac:dyDescent="0.3">
      <c r="U942195" s="25"/>
    </row>
    <row r="942217" spans="21:21" x14ac:dyDescent="0.3">
      <c r="U942217" s="25"/>
    </row>
    <row r="942239" spans="21:21" x14ac:dyDescent="0.3">
      <c r="U942239" s="25"/>
    </row>
    <row r="942261" spans="21:21" x14ac:dyDescent="0.3">
      <c r="U942261" s="25"/>
    </row>
    <row r="942283" spans="21:21" x14ac:dyDescent="0.3">
      <c r="U942283" s="25"/>
    </row>
    <row r="942305" spans="21:21" x14ac:dyDescent="0.3">
      <c r="U942305" s="25"/>
    </row>
    <row r="942327" spans="21:21" x14ac:dyDescent="0.3">
      <c r="U942327" s="25"/>
    </row>
    <row r="942349" spans="21:21" x14ac:dyDescent="0.3">
      <c r="U942349" s="25"/>
    </row>
    <row r="942371" spans="21:21" x14ac:dyDescent="0.3">
      <c r="U942371" s="25"/>
    </row>
    <row r="942393" spans="21:21" x14ac:dyDescent="0.3">
      <c r="U942393" s="25"/>
    </row>
    <row r="942415" spans="21:21" x14ac:dyDescent="0.3">
      <c r="U942415" s="25"/>
    </row>
    <row r="942437" spans="21:21" x14ac:dyDescent="0.3">
      <c r="U942437" s="25"/>
    </row>
    <row r="942459" spans="21:21" x14ac:dyDescent="0.3">
      <c r="U942459" s="25"/>
    </row>
    <row r="942481" spans="21:21" x14ac:dyDescent="0.3">
      <c r="U942481" s="25"/>
    </row>
    <row r="942503" spans="21:21" x14ac:dyDescent="0.3">
      <c r="U942503" s="25"/>
    </row>
    <row r="942525" spans="21:21" x14ac:dyDescent="0.3">
      <c r="U942525" s="25"/>
    </row>
    <row r="942547" spans="21:21" x14ac:dyDescent="0.3">
      <c r="U942547" s="25"/>
    </row>
    <row r="942569" spans="21:21" x14ac:dyDescent="0.3">
      <c r="U942569" s="25"/>
    </row>
    <row r="942591" spans="21:21" x14ac:dyDescent="0.3">
      <c r="U942591" s="25"/>
    </row>
    <row r="942613" spans="21:21" x14ac:dyDescent="0.3">
      <c r="U942613" s="25"/>
    </row>
    <row r="942635" spans="21:21" x14ac:dyDescent="0.3">
      <c r="U942635" s="25"/>
    </row>
    <row r="942657" spans="21:21" x14ac:dyDescent="0.3">
      <c r="U942657" s="25"/>
    </row>
    <row r="942679" spans="21:21" x14ac:dyDescent="0.3">
      <c r="U942679" s="25"/>
    </row>
    <row r="942701" spans="21:21" x14ac:dyDescent="0.3">
      <c r="U942701" s="25"/>
    </row>
    <row r="942723" spans="21:21" x14ac:dyDescent="0.3">
      <c r="U942723" s="25"/>
    </row>
    <row r="942745" spans="21:21" x14ac:dyDescent="0.3">
      <c r="U942745" s="25"/>
    </row>
    <row r="942767" spans="21:21" x14ac:dyDescent="0.3">
      <c r="U942767" s="25"/>
    </row>
    <row r="942789" spans="21:21" x14ac:dyDescent="0.3">
      <c r="U942789" s="25"/>
    </row>
    <row r="942811" spans="21:21" x14ac:dyDescent="0.3">
      <c r="U942811" s="25"/>
    </row>
    <row r="942833" spans="21:21" x14ac:dyDescent="0.3">
      <c r="U942833" s="25"/>
    </row>
    <row r="942855" spans="21:21" x14ac:dyDescent="0.3">
      <c r="U942855" s="25"/>
    </row>
    <row r="942877" spans="21:21" x14ac:dyDescent="0.3">
      <c r="U942877" s="25"/>
    </row>
    <row r="942899" spans="21:21" x14ac:dyDescent="0.3">
      <c r="U942899" s="25"/>
    </row>
    <row r="942921" spans="21:21" x14ac:dyDescent="0.3">
      <c r="U942921" s="25"/>
    </row>
    <row r="942943" spans="21:21" x14ac:dyDescent="0.3">
      <c r="U942943" s="25"/>
    </row>
    <row r="942965" spans="21:21" x14ac:dyDescent="0.3">
      <c r="U942965" s="25"/>
    </row>
    <row r="942987" spans="21:21" x14ac:dyDescent="0.3">
      <c r="U942987" s="25"/>
    </row>
    <row r="943009" spans="21:21" x14ac:dyDescent="0.3">
      <c r="U943009" s="25"/>
    </row>
    <row r="943031" spans="21:21" x14ac:dyDescent="0.3">
      <c r="U943031" s="25"/>
    </row>
    <row r="943053" spans="21:21" x14ac:dyDescent="0.3">
      <c r="U943053" s="25"/>
    </row>
    <row r="943075" spans="21:21" x14ac:dyDescent="0.3">
      <c r="U943075" s="25"/>
    </row>
    <row r="943097" spans="21:21" x14ac:dyDescent="0.3">
      <c r="U943097" s="25"/>
    </row>
    <row r="943119" spans="21:21" x14ac:dyDescent="0.3">
      <c r="U943119" s="25"/>
    </row>
    <row r="943141" spans="21:21" x14ac:dyDescent="0.3">
      <c r="U943141" s="25"/>
    </row>
    <row r="943163" spans="21:21" x14ac:dyDescent="0.3">
      <c r="U943163" s="25"/>
    </row>
    <row r="943185" spans="21:21" x14ac:dyDescent="0.3">
      <c r="U943185" s="25"/>
    </row>
    <row r="943207" spans="21:21" x14ac:dyDescent="0.3">
      <c r="U943207" s="25"/>
    </row>
    <row r="943229" spans="21:21" x14ac:dyDescent="0.3">
      <c r="U943229" s="25"/>
    </row>
    <row r="943251" spans="21:21" x14ac:dyDescent="0.3">
      <c r="U943251" s="25"/>
    </row>
    <row r="943273" spans="21:21" x14ac:dyDescent="0.3">
      <c r="U943273" s="25"/>
    </row>
    <row r="943295" spans="21:21" x14ac:dyDescent="0.3">
      <c r="U943295" s="25"/>
    </row>
    <row r="943317" spans="21:21" x14ac:dyDescent="0.3">
      <c r="U943317" s="25"/>
    </row>
    <row r="943339" spans="21:21" x14ac:dyDescent="0.3">
      <c r="U943339" s="25"/>
    </row>
    <row r="943361" spans="21:21" x14ac:dyDescent="0.3">
      <c r="U943361" s="25"/>
    </row>
    <row r="943383" spans="21:21" x14ac:dyDescent="0.3">
      <c r="U943383" s="25"/>
    </row>
    <row r="943405" spans="21:21" x14ac:dyDescent="0.3">
      <c r="U943405" s="25"/>
    </row>
    <row r="943427" spans="21:21" x14ac:dyDescent="0.3">
      <c r="U943427" s="25"/>
    </row>
    <row r="943449" spans="21:21" x14ac:dyDescent="0.3">
      <c r="U943449" s="25"/>
    </row>
    <row r="943471" spans="21:21" x14ac:dyDescent="0.3">
      <c r="U943471" s="25"/>
    </row>
    <row r="943493" spans="21:21" x14ac:dyDescent="0.3">
      <c r="U943493" s="25"/>
    </row>
    <row r="943515" spans="21:21" x14ac:dyDescent="0.3">
      <c r="U943515" s="25"/>
    </row>
    <row r="943537" spans="21:21" x14ac:dyDescent="0.3">
      <c r="U943537" s="25"/>
    </row>
    <row r="943559" spans="21:21" x14ac:dyDescent="0.3">
      <c r="U943559" s="25"/>
    </row>
    <row r="943581" spans="21:21" x14ac:dyDescent="0.3">
      <c r="U943581" s="25"/>
    </row>
    <row r="943603" spans="21:21" x14ac:dyDescent="0.3">
      <c r="U943603" s="25"/>
    </row>
    <row r="943625" spans="21:21" x14ac:dyDescent="0.3">
      <c r="U943625" s="25"/>
    </row>
    <row r="943647" spans="21:21" x14ac:dyDescent="0.3">
      <c r="U943647" s="25"/>
    </row>
    <row r="943669" spans="21:21" x14ac:dyDescent="0.3">
      <c r="U943669" s="25"/>
    </row>
    <row r="943691" spans="21:21" x14ac:dyDescent="0.3">
      <c r="U943691" s="25"/>
    </row>
    <row r="943713" spans="21:21" x14ac:dyDescent="0.3">
      <c r="U943713" s="25"/>
    </row>
    <row r="943735" spans="21:21" x14ac:dyDescent="0.3">
      <c r="U943735" s="25"/>
    </row>
    <row r="943757" spans="21:21" x14ac:dyDescent="0.3">
      <c r="U943757" s="25"/>
    </row>
    <row r="943779" spans="21:21" x14ac:dyDescent="0.3">
      <c r="U943779" s="25"/>
    </row>
    <row r="943801" spans="21:21" x14ac:dyDescent="0.3">
      <c r="U943801" s="25"/>
    </row>
    <row r="943823" spans="21:21" x14ac:dyDescent="0.3">
      <c r="U943823" s="25"/>
    </row>
    <row r="943845" spans="21:21" x14ac:dyDescent="0.3">
      <c r="U943845" s="25"/>
    </row>
    <row r="943867" spans="21:21" x14ac:dyDescent="0.3">
      <c r="U943867" s="25"/>
    </row>
    <row r="943889" spans="21:21" x14ac:dyDescent="0.3">
      <c r="U943889" s="25"/>
    </row>
    <row r="943911" spans="21:21" x14ac:dyDescent="0.3">
      <c r="U943911" s="25"/>
    </row>
    <row r="943933" spans="21:21" x14ac:dyDescent="0.3">
      <c r="U943933" s="25"/>
    </row>
    <row r="943955" spans="21:21" x14ac:dyDescent="0.3">
      <c r="U943955" s="25"/>
    </row>
    <row r="943977" spans="21:21" x14ac:dyDescent="0.3">
      <c r="U943977" s="25"/>
    </row>
    <row r="943999" spans="21:21" x14ac:dyDescent="0.3">
      <c r="U943999" s="25"/>
    </row>
    <row r="944021" spans="21:21" x14ac:dyDescent="0.3">
      <c r="U944021" s="25"/>
    </row>
    <row r="944043" spans="21:21" x14ac:dyDescent="0.3">
      <c r="U944043" s="25"/>
    </row>
    <row r="944065" spans="21:21" x14ac:dyDescent="0.3">
      <c r="U944065" s="25"/>
    </row>
    <row r="944087" spans="21:21" x14ac:dyDescent="0.3">
      <c r="U944087" s="25"/>
    </row>
    <row r="944109" spans="21:21" x14ac:dyDescent="0.3">
      <c r="U944109" s="25"/>
    </row>
    <row r="944131" spans="21:21" x14ac:dyDescent="0.3">
      <c r="U944131" s="25"/>
    </row>
    <row r="944153" spans="21:21" x14ac:dyDescent="0.3">
      <c r="U944153" s="25"/>
    </row>
    <row r="944175" spans="21:21" x14ac:dyDescent="0.3">
      <c r="U944175" s="25"/>
    </row>
    <row r="944197" spans="21:21" x14ac:dyDescent="0.3">
      <c r="U944197" s="25"/>
    </row>
    <row r="944219" spans="21:21" x14ac:dyDescent="0.3">
      <c r="U944219" s="25"/>
    </row>
    <row r="944241" spans="21:21" x14ac:dyDescent="0.3">
      <c r="U944241" s="25"/>
    </row>
    <row r="944263" spans="21:21" x14ac:dyDescent="0.3">
      <c r="U944263" s="25"/>
    </row>
    <row r="944285" spans="21:21" x14ac:dyDescent="0.3">
      <c r="U944285" s="25"/>
    </row>
    <row r="944307" spans="21:21" x14ac:dyDescent="0.3">
      <c r="U944307" s="25"/>
    </row>
    <row r="944329" spans="21:21" x14ac:dyDescent="0.3">
      <c r="U944329" s="25"/>
    </row>
    <row r="944351" spans="21:21" x14ac:dyDescent="0.3">
      <c r="U944351" s="25"/>
    </row>
    <row r="944373" spans="21:21" x14ac:dyDescent="0.3">
      <c r="U944373" s="25"/>
    </row>
    <row r="944395" spans="21:21" x14ac:dyDescent="0.3">
      <c r="U944395" s="25"/>
    </row>
    <row r="944417" spans="21:21" x14ac:dyDescent="0.3">
      <c r="U944417" s="25"/>
    </row>
    <row r="944439" spans="21:21" x14ac:dyDescent="0.3">
      <c r="U944439" s="25"/>
    </row>
    <row r="944461" spans="21:21" x14ac:dyDescent="0.3">
      <c r="U944461" s="25"/>
    </row>
    <row r="944483" spans="21:21" x14ac:dyDescent="0.3">
      <c r="U944483" s="25"/>
    </row>
    <row r="944505" spans="21:21" x14ac:dyDescent="0.3">
      <c r="U944505" s="25"/>
    </row>
    <row r="944527" spans="21:21" x14ac:dyDescent="0.3">
      <c r="U944527" s="25"/>
    </row>
    <row r="944549" spans="21:21" x14ac:dyDescent="0.3">
      <c r="U944549" s="25"/>
    </row>
    <row r="944571" spans="21:21" x14ac:dyDescent="0.3">
      <c r="U944571" s="25"/>
    </row>
    <row r="944593" spans="21:21" x14ac:dyDescent="0.3">
      <c r="U944593" s="25"/>
    </row>
    <row r="944615" spans="21:21" x14ac:dyDescent="0.3">
      <c r="U944615" s="25"/>
    </row>
    <row r="944637" spans="21:21" x14ac:dyDescent="0.3">
      <c r="U944637" s="25"/>
    </row>
    <row r="944659" spans="21:21" x14ac:dyDescent="0.3">
      <c r="U944659" s="25"/>
    </row>
    <row r="944681" spans="21:21" x14ac:dyDescent="0.3">
      <c r="U944681" s="25"/>
    </row>
    <row r="944703" spans="21:21" x14ac:dyDescent="0.3">
      <c r="U944703" s="25"/>
    </row>
    <row r="944725" spans="21:21" x14ac:dyDescent="0.3">
      <c r="U944725" s="25"/>
    </row>
    <row r="944747" spans="21:21" x14ac:dyDescent="0.3">
      <c r="U944747" s="25"/>
    </row>
    <row r="944769" spans="21:21" x14ac:dyDescent="0.3">
      <c r="U944769" s="25"/>
    </row>
    <row r="944791" spans="21:21" x14ac:dyDescent="0.3">
      <c r="U944791" s="25"/>
    </row>
    <row r="944813" spans="21:21" x14ac:dyDescent="0.3">
      <c r="U944813" s="25"/>
    </row>
    <row r="944835" spans="21:21" x14ac:dyDescent="0.3">
      <c r="U944835" s="25"/>
    </row>
    <row r="944857" spans="21:21" x14ac:dyDescent="0.3">
      <c r="U944857" s="25"/>
    </row>
    <row r="944879" spans="21:21" x14ac:dyDescent="0.3">
      <c r="U944879" s="25"/>
    </row>
    <row r="944901" spans="21:21" x14ac:dyDescent="0.3">
      <c r="U944901" s="25"/>
    </row>
    <row r="944923" spans="21:21" x14ac:dyDescent="0.3">
      <c r="U944923" s="25"/>
    </row>
    <row r="944945" spans="21:21" x14ac:dyDescent="0.3">
      <c r="U944945" s="25"/>
    </row>
    <row r="944967" spans="21:21" x14ac:dyDescent="0.3">
      <c r="U944967" s="25"/>
    </row>
    <row r="944989" spans="21:21" x14ac:dyDescent="0.3">
      <c r="U944989" s="25"/>
    </row>
    <row r="945011" spans="21:21" x14ac:dyDescent="0.3">
      <c r="U945011" s="25"/>
    </row>
    <row r="945033" spans="21:21" x14ac:dyDescent="0.3">
      <c r="U945033" s="25"/>
    </row>
    <row r="945055" spans="21:21" x14ac:dyDescent="0.3">
      <c r="U945055" s="25"/>
    </row>
    <row r="945077" spans="21:21" x14ac:dyDescent="0.3">
      <c r="U945077" s="25"/>
    </row>
    <row r="945099" spans="21:21" x14ac:dyDescent="0.3">
      <c r="U945099" s="25"/>
    </row>
    <row r="945121" spans="21:21" x14ac:dyDescent="0.3">
      <c r="U945121" s="25"/>
    </row>
    <row r="945143" spans="21:21" x14ac:dyDescent="0.3">
      <c r="U945143" s="25"/>
    </row>
    <row r="945165" spans="21:21" x14ac:dyDescent="0.3">
      <c r="U945165" s="25"/>
    </row>
    <row r="945187" spans="21:21" x14ac:dyDescent="0.3">
      <c r="U945187" s="25"/>
    </row>
    <row r="945209" spans="21:21" x14ac:dyDescent="0.3">
      <c r="U945209" s="25"/>
    </row>
    <row r="945231" spans="21:21" x14ac:dyDescent="0.3">
      <c r="U945231" s="25"/>
    </row>
    <row r="945253" spans="21:21" x14ac:dyDescent="0.3">
      <c r="U945253" s="25"/>
    </row>
    <row r="945275" spans="21:21" x14ac:dyDescent="0.3">
      <c r="U945275" s="25"/>
    </row>
    <row r="945297" spans="21:21" x14ac:dyDescent="0.3">
      <c r="U945297" s="25"/>
    </row>
    <row r="945319" spans="21:21" x14ac:dyDescent="0.3">
      <c r="U945319" s="25"/>
    </row>
    <row r="945341" spans="21:21" x14ac:dyDescent="0.3">
      <c r="U945341" s="25"/>
    </row>
    <row r="945363" spans="21:21" x14ac:dyDescent="0.3">
      <c r="U945363" s="25"/>
    </row>
    <row r="945385" spans="21:21" x14ac:dyDescent="0.3">
      <c r="U945385" s="25"/>
    </row>
    <row r="945407" spans="21:21" x14ac:dyDescent="0.3">
      <c r="U945407" s="25"/>
    </row>
    <row r="945429" spans="21:21" x14ac:dyDescent="0.3">
      <c r="U945429" s="25"/>
    </row>
    <row r="945451" spans="21:21" x14ac:dyDescent="0.3">
      <c r="U945451" s="25"/>
    </row>
    <row r="945473" spans="21:21" x14ac:dyDescent="0.3">
      <c r="U945473" s="25"/>
    </row>
    <row r="945495" spans="21:21" x14ac:dyDescent="0.3">
      <c r="U945495" s="25"/>
    </row>
    <row r="945517" spans="21:21" x14ac:dyDescent="0.3">
      <c r="U945517" s="25"/>
    </row>
    <row r="945539" spans="21:21" x14ac:dyDescent="0.3">
      <c r="U945539" s="25"/>
    </row>
    <row r="945561" spans="21:21" x14ac:dyDescent="0.3">
      <c r="U945561" s="25"/>
    </row>
    <row r="945583" spans="21:21" x14ac:dyDescent="0.3">
      <c r="U945583" s="25"/>
    </row>
    <row r="945605" spans="21:21" x14ac:dyDescent="0.3">
      <c r="U945605" s="25"/>
    </row>
    <row r="945627" spans="21:21" x14ac:dyDescent="0.3">
      <c r="U945627" s="25"/>
    </row>
    <row r="945649" spans="21:21" x14ac:dyDescent="0.3">
      <c r="U945649" s="25"/>
    </row>
    <row r="945671" spans="21:21" x14ac:dyDescent="0.3">
      <c r="U945671" s="25"/>
    </row>
    <row r="945693" spans="21:21" x14ac:dyDescent="0.3">
      <c r="U945693" s="25"/>
    </row>
    <row r="945715" spans="21:21" x14ac:dyDescent="0.3">
      <c r="U945715" s="25"/>
    </row>
    <row r="945737" spans="21:21" x14ac:dyDescent="0.3">
      <c r="U945737" s="25"/>
    </row>
    <row r="945759" spans="21:21" x14ac:dyDescent="0.3">
      <c r="U945759" s="25"/>
    </row>
    <row r="945781" spans="21:21" x14ac:dyDescent="0.3">
      <c r="U945781" s="25"/>
    </row>
    <row r="945803" spans="21:21" x14ac:dyDescent="0.3">
      <c r="U945803" s="25"/>
    </row>
    <row r="945825" spans="21:21" x14ac:dyDescent="0.3">
      <c r="U945825" s="25"/>
    </row>
    <row r="945847" spans="21:21" x14ac:dyDescent="0.3">
      <c r="U945847" s="25"/>
    </row>
    <row r="945869" spans="21:21" x14ac:dyDescent="0.3">
      <c r="U945869" s="25"/>
    </row>
    <row r="945891" spans="21:21" x14ac:dyDescent="0.3">
      <c r="U945891" s="25"/>
    </row>
    <row r="945913" spans="21:21" x14ac:dyDescent="0.3">
      <c r="U945913" s="25"/>
    </row>
    <row r="945935" spans="21:21" x14ac:dyDescent="0.3">
      <c r="U945935" s="25"/>
    </row>
    <row r="945957" spans="21:21" x14ac:dyDescent="0.3">
      <c r="U945957" s="25"/>
    </row>
    <row r="945979" spans="21:21" x14ac:dyDescent="0.3">
      <c r="U945979" s="25"/>
    </row>
    <row r="946001" spans="21:21" x14ac:dyDescent="0.3">
      <c r="U946001" s="25"/>
    </row>
    <row r="946023" spans="21:21" x14ac:dyDescent="0.3">
      <c r="U946023" s="25"/>
    </row>
    <row r="946045" spans="21:21" x14ac:dyDescent="0.3">
      <c r="U946045" s="25"/>
    </row>
    <row r="946067" spans="21:21" x14ac:dyDescent="0.3">
      <c r="U946067" s="25"/>
    </row>
    <row r="946089" spans="21:21" x14ac:dyDescent="0.3">
      <c r="U946089" s="25"/>
    </row>
    <row r="946111" spans="21:21" x14ac:dyDescent="0.3">
      <c r="U946111" s="25"/>
    </row>
    <row r="946133" spans="21:21" x14ac:dyDescent="0.3">
      <c r="U946133" s="25"/>
    </row>
    <row r="946155" spans="21:21" x14ac:dyDescent="0.3">
      <c r="U946155" s="25"/>
    </row>
    <row r="946177" spans="21:21" x14ac:dyDescent="0.3">
      <c r="U946177" s="25"/>
    </row>
    <row r="946199" spans="21:21" x14ac:dyDescent="0.3">
      <c r="U946199" s="25"/>
    </row>
    <row r="946221" spans="21:21" x14ac:dyDescent="0.3">
      <c r="U946221" s="25"/>
    </row>
    <row r="946243" spans="21:21" x14ac:dyDescent="0.3">
      <c r="U946243" s="25"/>
    </row>
    <row r="946265" spans="21:21" x14ac:dyDescent="0.3">
      <c r="U946265" s="25"/>
    </row>
    <row r="946287" spans="21:21" x14ac:dyDescent="0.3">
      <c r="U946287" s="25"/>
    </row>
    <row r="946309" spans="21:21" x14ac:dyDescent="0.3">
      <c r="U946309" s="25"/>
    </row>
    <row r="946331" spans="21:21" x14ac:dyDescent="0.3">
      <c r="U946331" s="25"/>
    </row>
    <row r="946353" spans="21:21" x14ac:dyDescent="0.3">
      <c r="U946353" s="25"/>
    </row>
    <row r="946375" spans="21:21" x14ac:dyDescent="0.3">
      <c r="U946375" s="25"/>
    </row>
    <row r="946397" spans="21:21" x14ac:dyDescent="0.3">
      <c r="U946397" s="25"/>
    </row>
    <row r="946419" spans="21:21" x14ac:dyDescent="0.3">
      <c r="U946419" s="25"/>
    </row>
    <row r="946441" spans="21:21" x14ac:dyDescent="0.3">
      <c r="U946441" s="25"/>
    </row>
    <row r="946463" spans="21:21" x14ac:dyDescent="0.3">
      <c r="U946463" s="25"/>
    </row>
    <row r="946485" spans="21:21" x14ac:dyDescent="0.3">
      <c r="U946485" s="25"/>
    </row>
    <row r="946507" spans="21:21" x14ac:dyDescent="0.3">
      <c r="U946507" s="25"/>
    </row>
    <row r="946529" spans="21:21" x14ac:dyDescent="0.3">
      <c r="U946529" s="25"/>
    </row>
    <row r="946551" spans="21:21" x14ac:dyDescent="0.3">
      <c r="U946551" s="25"/>
    </row>
    <row r="946573" spans="21:21" x14ac:dyDescent="0.3">
      <c r="U946573" s="25"/>
    </row>
    <row r="946595" spans="21:21" x14ac:dyDescent="0.3">
      <c r="U946595" s="25"/>
    </row>
    <row r="946617" spans="21:21" x14ac:dyDescent="0.3">
      <c r="U946617" s="25"/>
    </row>
    <row r="946639" spans="21:21" x14ac:dyDescent="0.3">
      <c r="U946639" s="25"/>
    </row>
    <row r="946661" spans="21:21" x14ac:dyDescent="0.3">
      <c r="U946661" s="25"/>
    </row>
    <row r="946683" spans="21:21" x14ac:dyDescent="0.3">
      <c r="U946683" s="25"/>
    </row>
    <row r="946705" spans="21:21" x14ac:dyDescent="0.3">
      <c r="U946705" s="25"/>
    </row>
    <row r="946727" spans="21:21" x14ac:dyDescent="0.3">
      <c r="U946727" s="25"/>
    </row>
    <row r="946749" spans="21:21" x14ac:dyDescent="0.3">
      <c r="U946749" s="25"/>
    </row>
    <row r="946771" spans="21:21" x14ac:dyDescent="0.3">
      <c r="U946771" s="25"/>
    </row>
    <row r="946793" spans="21:21" x14ac:dyDescent="0.3">
      <c r="U946793" s="25"/>
    </row>
    <row r="946815" spans="21:21" x14ac:dyDescent="0.3">
      <c r="U946815" s="25"/>
    </row>
    <row r="946837" spans="21:21" x14ac:dyDescent="0.3">
      <c r="U946837" s="25"/>
    </row>
    <row r="946859" spans="21:21" x14ac:dyDescent="0.3">
      <c r="U946859" s="25"/>
    </row>
    <row r="946881" spans="21:21" x14ac:dyDescent="0.3">
      <c r="U946881" s="25"/>
    </row>
    <row r="946903" spans="21:21" x14ac:dyDescent="0.3">
      <c r="U946903" s="25"/>
    </row>
    <row r="946925" spans="21:21" x14ac:dyDescent="0.3">
      <c r="U946925" s="25"/>
    </row>
    <row r="946947" spans="21:21" x14ac:dyDescent="0.3">
      <c r="U946947" s="25"/>
    </row>
    <row r="946969" spans="21:21" x14ac:dyDescent="0.3">
      <c r="U946969" s="25"/>
    </row>
    <row r="946991" spans="21:21" x14ac:dyDescent="0.3">
      <c r="U946991" s="25"/>
    </row>
    <row r="947013" spans="21:21" x14ac:dyDescent="0.3">
      <c r="U947013" s="25"/>
    </row>
    <row r="947035" spans="21:21" x14ac:dyDescent="0.3">
      <c r="U947035" s="25"/>
    </row>
    <row r="947057" spans="21:21" x14ac:dyDescent="0.3">
      <c r="U947057" s="25"/>
    </row>
    <row r="947079" spans="21:21" x14ac:dyDescent="0.3">
      <c r="U947079" s="25"/>
    </row>
    <row r="947101" spans="21:21" x14ac:dyDescent="0.3">
      <c r="U947101" s="25"/>
    </row>
    <row r="947123" spans="21:21" x14ac:dyDescent="0.3">
      <c r="U947123" s="25"/>
    </row>
    <row r="947145" spans="21:21" x14ac:dyDescent="0.3">
      <c r="U947145" s="25"/>
    </row>
    <row r="947167" spans="21:21" x14ac:dyDescent="0.3">
      <c r="U947167" s="25"/>
    </row>
    <row r="947189" spans="21:21" x14ac:dyDescent="0.3">
      <c r="U947189" s="25"/>
    </row>
    <row r="947211" spans="21:21" x14ac:dyDescent="0.3">
      <c r="U947211" s="25"/>
    </row>
    <row r="947233" spans="21:21" x14ac:dyDescent="0.3">
      <c r="U947233" s="25"/>
    </row>
    <row r="947255" spans="21:21" x14ac:dyDescent="0.3">
      <c r="U947255" s="25"/>
    </row>
    <row r="947277" spans="21:21" x14ac:dyDescent="0.3">
      <c r="U947277" s="25"/>
    </row>
    <row r="947299" spans="21:21" x14ac:dyDescent="0.3">
      <c r="U947299" s="25"/>
    </row>
    <row r="947321" spans="21:21" x14ac:dyDescent="0.3">
      <c r="U947321" s="25"/>
    </row>
    <row r="947343" spans="21:21" x14ac:dyDescent="0.3">
      <c r="U947343" s="25"/>
    </row>
    <row r="947365" spans="21:21" x14ac:dyDescent="0.3">
      <c r="U947365" s="25"/>
    </row>
    <row r="947387" spans="21:21" x14ac:dyDescent="0.3">
      <c r="U947387" s="25"/>
    </row>
    <row r="947409" spans="21:21" x14ac:dyDescent="0.3">
      <c r="U947409" s="25"/>
    </row>
    <row r="947431" spans="21:21" x14ac:dyDescent="0.3">
      <c r="U947431" s="25"/>
    </row>
    <row r="947453" spans="21:21" x14ac:dyDescent="0.3">
      <c r="U947453" s="25"/>
    </row>
    <row r="947475" spans="21:21" x14ac:dyDescent="0.3">
      <c r="U947475" s="25"/>
    </row>
    <row r="947497" spans="21:21" x14ac:dyDescent="0.3">
      <c r="U947497" s="25"/>
    </row>
    <row r="947519" spans="21:21" x14ac:dyDescent="0.3">
      <c r="U947519" s="25"/>
    </row>
    <row r="947541" spans="21:21" x14ac:dyDescent="0.3">
      <c r="U947541" s="25"/>
    </row>
    <row r="947563" spans="21:21" x14ac:dyDescent="0.3">
      <c r="U947563" s="25"/>
    </row>
    <row r="947585" spans="21:21" x14ac:dyDescent="0.3">
      <c r="U947585" s="25"/>
    </row>
    <row r="947607" spans="21:21" x14ac:dyDescent="0.3">
      <c r="U947607" s="25"/>
    </row>
    <row r="947629" spans="21:21" x14ac:dyDescent="0.3">
      <c r="U947629" s="25"/>
    </row>
    <row r="947651" spans="21:21" x14ac:dyDescent="0.3">
      <c r="U947651" s="25"/>
    </row>
    <row r="947673" spans="21:21" x14ac:dyDescent="0.3">
      <c r="U947673" s="25"/>
    </row>
    <row r="947695" spans="21:21" x14ac:dyDescent="0.3">
      <c r="U947695" s="25"/>
    </row>
    <row r="947717" spans="21:21" x14ac:dyDescent="0.3">
      <c r="U947717" s="25"/>
    </row>
    <row r="947739" spans="21:21" x14ac:dyDescent="0.3">
      <c r="U947739" s="25"/>
    </row>
    <row r="947761" spans="21:21" x14ac:dyDescent="0.3">
      <c r="U947761" s="25"/>
    </row>
    <row r="947783" spans="21:21" x14ac:dyDescent="0.3">
      <c r="U947783" s="25"/>
    </row>
    <row r="947805" spans="21:21" x14ac:dyDescent="0.3">
      <c r="U947805" s="25"/>
    </row>
    <row r="947827" spans="21:21" x14ac:dyDescent="0.3">
      <c r="U947827" s="25"/>
    </row>
    <row r="947849" spans="21:21" x14ac:dyDescent="0.3">
      <c r="U947849" s="25"/>
    </row>
    <row r="947871" spans="21:21" x14ac:dyDescent="0.3">
      <c r="U947871" s="25"/>
    </row>
    <row r="947893" spans="21:21" x14ac:dyDescent="0.3">
      <c r="U947893" s="25"/>
    </row>
    <row r="947915" spans="21:21" x14ac:dyDescent="0.3">
      <c r="U947915" s="25"/>
    </row>
    <row r="947937" spans="21:21" x14ac:dyDescent="0.3">
      <c r="U947937" s="25"/>
    </row>
    <row r="947959" spans="21:21" x14ac:dyDescent="0.3">
      <c r="U947959" s="25"/>
    </row>
    <row r="947981" spans="21:21" x14ac:dyDescent="0.3">
      <c r="U947981" s="25"/>
    </row>
    <row r="948003" spans="21:21" x14ac:dyDescent="0.3">
      <c r="U948003" s="25"/>
    </row>
    <row r="948025" spans="21:21" x14ac:dyDescent="0.3">
      <c r="U948025" s="25"/>
    </row>
    <row r="948047" spans="21:21" x14ac:dyDescent="0.3">
      <c r="U948047" s="25"/>
    </row>
    <row r="948069" spans="21:21" x14ac:dyDescent="0.3">
      <c r="U948069" s="25"/>
    </row>
    <row r="948091" spans="21:21" x14ac:dyDescent="0.3">
      <c r="U948091" s="25"/>
    </row>
    <row r="948113" spans="21:21" x14ac:dyDescent="0.3">
      <c r="U948113" s="25"/>
    </row>
    <row r="948135" spans="21:21" x14ac:dyDescent="0.3">
      <c r="U948135" s="25"/>
    </row>
    <row r="948157" spans="21:21" x14ac:dyDescent="0.3">
      <c r="U948157" s="25"/>
    </row>
    <row r="948179" spans="21:21" x14ac:dyDescent="0.3">
      <c r="U948179" s="25"/>
    </row>
    <row r="948201" spans="21:21" x14ac:dyDescent="0.3">
      <c r="U948201" s="25"/>
    </row>
    <row r="948223" spans="21:21" x14ac:dyDescent="0.3">
      <c r="U948223" s="25"/>
    </row>
    <row r="948245" spans="21:21" x14ac:dyDescent="0.3">
      <c r="U948245" s="25"/>
    </row>
    <row r="948267" spans="21:21" x14ac:dyDescent="0.3">
      <c r="U948267" s="25"/>
    </row>
    <row r="948289" spans="21:21" x14ac:dyDescent="0.3">
      <c r="U948289" s="25"/>
    </row>
    <row r="948311" spans="21:21" x14ac:dyDescent="0.3">
      <c r="U948311" s="25"/>
    </row>
    <row r="948333" spans="21:21" x14ac:dyDescent="0.3">
      <c r="U948333" s="25"/>
    </row>
    <row r="948355" spans="21:21" x14ac:dyDescent="0.3">
      <c r="U948355" s="25"/>
    </row>
    <row r="948377" spans="21:21" x14ac:dyDescent="0.3">
      <c r="U948377" s="25"/>
    </row>
    <row r="948399" spans="21:21" x14ac:dyDescent="0.3">
      <c r="U948399" s="25"/>
    </row>
    <row r="948421" spans="21:21" x14ac:dyDescent="0.3">
      <c r="U948421" s="25"/>
    </row>
    <row r="948443" spans="21:21" x14ac:dyDescent="0.3">
      <c r="U948443" s="25"/>
    </row>
    <row r="948465" spans="21:21" x14ac:dyDescent="0.3">
      <c r="U948465" s="25"/>
    </row>
    <row r="948487" spans="21:21" x14ac:dyDescent="0.3">
      <c r="U948487" s="25"/>
    </row>
    <row r="948509" spans="21:21" x14ac:dyDescent="0.3">
      <c r="U948509" s="25"/>
    </row>
    <row r="948531" spans="21:21" x14ac:dyDescent="0.3">
      <c r="U948531" s="25"/>
    </row>
    <row r="948553" spans="21:21" x14ac:dyDescent="0.3">
      <c r="U948553" s="25"/>
    </row>
    <row r="948575" spans="21:21" x14ac:dyDescent="0.3">
      <c r="U948575" s="25"/>
    </row>
    <row r="948597" spans="21:21" x14ac:dyDescent="0.3">
      <c r="U948597" s="25"/>
    </row>
    <row r="948619" spans="21:21" x14ac:dyDescent="0.3">
      <c r="U948619" s="25"/>
    </row>
    <row r="948641" spans="21:21" x14ac:dyDescent="0.3">
      <c r="U948641" s="25"/>
    </row>
    <row r="948663" spans="21:21" x14ac:dyDescent="0.3">
      <c r="U948663" s="25"/>
    </row>
    <row r="948685" spans="21:21" x14ac:dyDescent="0.3">
      <c r="U948685" s="25"/>
    </row>
    <row r="948707" spans="21:21" x14ac:dyDescent="0.3">
      <c r="U948707" s="25"/>
    </row>
    <row r="948729" spans="21:21" x14ac:dyDescent="0.3">
      <c r="U948729" s="25"/>
    </row>
    <row r="948751" spans="21:21" x14ac:dyDescent="0.3">
      <c r="U948751" s="25"/>
    </row>
    <row r="948773" spans="21:21" x14ac:dyDescent="0.3">
      <c r="U948773" s="25"/>
    </row>
    <row r="948795" spans="21:21" x14ac:dyDescent="0.3">
      <c r="U948795" s="25"/>
    </row>
    <row r="948817" spans="21:21" x14ac:dyDescent="0.3">
      <c r="U948817" s="25"/>
    </row>
    <row r="948839" spans="21:21" x14ac:dyDescent="0.3">
      <c r="U948839" s="25"/>
    </row>
    <row r="948861" spans="21:21" x14ac:dyDescent="0.3">
      <c r="U948861" s="25"/>
    </row>
    <row r="948883" spans="21:21" x14ac:dyDescent="0.3">
      <c r="U948883" s="25"/>
    </row>
    <row r="948905" spans="21:21" x14ac:dyDescent="0.3">
      <c r="U948905" s="25"/>
    </row>
    <row r="948927" spans="21:21" x14ac:dyDescent="0.3">
      <c r="U948927" s="25"/>
    </row>
    <row r="948949" spans="21:21" x14ac:dyDescent="0.3">
      <c r="U948949" s="25"/>
    </row>
    <row r="948971" spans="21:21" x14ac:dyDescent="0.3">
      <c r="U948971" s="25"/>
    </row>
    <row r="948993" spans="21:21" x14ac:dyDescent="0.3">
      <c r="U948993" s="25"/>
    </row>
    <row r="949015" spans="21:21" x14ac:dyDescent="0.3">
      <c r="U949015" s="25"/>
    </row>
    <row r="949037" spans="21:21" x14ac:dyDescent="0.3">
      <c r="U949037" s="25"/>
    </row>
    <row r="949059" spans="21:21" x14ac:dyDescent="0.3">
      <c r="U949059" s="25"/>
    </row>
    <row r="949081" spans="21:21" x14ac:dyDescent="0.3">
      <c r="U949081" s="25"/>
    </row>
    <row r="949103" spans="21:21" x14ac:dyDescent="0.3">
      <c r="U949103" s="25"/>
    </row>
    <row r="949125" spans="21:21" x14ac:dyDescent="0.3">
      <c r="U949125" s="25"/>
    </row>
    <row r="949147" spans="21:21" x14ac:dyDescent="0.3">
      <c r="U949147" s="25"/>
    </row>
    <row r="949169" spans="21:21" x14ac:dyDescent="0.3">
      <c r="U949169" s="25"/>
    </row>
    <row r="949191" spans="21:21" x14ac:dyDescent="0.3">
      <c r="U949191" s="25"/>
    </row>
    <row r="949213" spans="21:21" x14ac:dyDescent="0.3">
      <c r="U949213" s="25"/>
    </row>
    <row r="949235" spans="21:21" x14ac:dyDescent="0.3">
      <c r="U949235" s="25"/>
    </row>
    <row r="949257" spans="21:21" x14ac:dyDescent="0.3">
      <c r="U949257" s="25"/>
    </row>
    <row r="949279" spans="21:21" x14ac:dyDescent="0.3">
      <c r="U949279" s="25"/>
    </row>
    <row r="949301" spans="21:21" x14ac:dyDescent="0.3">
      <c r="U949301" s="25"/>
    </row>
    <row r="949323" spans="21:21" x14ac:dyDescent="0.3">
      <c r="U949323" s="25"/>
    </row>
    <row r="949345" spans="21:21" x14ac:dyDescent="0.3">
      <c r="U949345" s="25"/>
    </row>
    <row r="949367" spans="21:21" x14ac:dyDescent="0.3">
      <c r="U949367" s="25"/>
    </row>
    <row r="949389" spans="21:21" x14ac:dyDescent="0.3">
      <c r="U949389" s="25"/>
    </row>
    <row r="949411" spans="21:21" x14ac:dyDescent="0.3">
      <c r="U949411" s="25"/>
    </row>
    <row r="949433" spans="21:21" x14ac:dyDescent="0.3">
      <c r="U949433" s="25"/>
    </row>
    <row r="949455" spans="21:21" x14ac:dyDescent="0.3">
      <c r="U949455" s="25"/>
    </row>
    <row r="949477" spans="21:21" x14ac:dyDescent="0.3">
      <c r="U949477" s="25"/>
    </row>
    <row r="949499" spans="21:21" x14ac:dyDescent="0.3">
      <c r="U949499" s="25"/>
    </row>
    <row r="949521" spans="21:21" x14ac:dyDescent="0.3">
      <c r="U949521" s="25"/>
    </row>
    <row r="949543" spans="21:21" x14ac:dyDescent="0.3">
      <c r="U949543" s="25"/>
    </row>
    <row r="949565" spans="21:21" x14ac:dyDescent="0.3">
      <c r="U949565" s="25"/>
    </row>
    <row r="949587" spans="21:21" x14ac:dyDescent="0.3">
      <c r="U949587" s="25"/>
    </row>
    <row r="949609" spans="21:21" x14ac:dyDescent="0.3">
      <c r="U949609" s="25"/>
    </row>
    <row r="949631" spans="21:21" x14ac:dyDescent="0.3">
      <c r="U949631" s="25"/>
    </row>
    <row r="949653" spans="21:21" x14ac:dyDescent="0.3">
      <c r="U949653" s="25"/>
    </row>
    <row r="949675" spans="21:21" x14ac:dyDescent="0.3">
      <c r="U949675" s="25"/>
    </row>
    <row r="949697" spans="21:21" x14ac:dyDescent="0.3">
      <c r="U949697" s="25"/>
    </row>
    <row r="949719" spans="21:21" x14ac:dyDescent="0.3">
      <c r="U949719" s="25"/>
    </row>
    <row r="949741" spans="21:21" x14ac:dyDescent="0.3">
      <c r="U949741" s="25"/>
    </row>
    <row r="949763" spans="21:21" x14ac:dyDescent="0.3">
      <c r="U949763" s="25"/>
    </row>
    <row r="949785" spans="21:21" x14ac:dyDescent="0.3">
      <c r="U949785" s="25"/>
    </row>
    <row r="949807" spans="21:21" x14ac:dyDescent="0.3">
      <c r="U949807" s="25"/>
    </row>
    <row r="949829" spans="21:21" x14ac:dyDescent="0.3">
      <c r="U949829" s="25"/>
    </row>
    <row r="949851" spans="21:21" x14ac:dyDescent="0.3">
      <c r="U949851" s="25"/>
    </row>
    <row r="949873" spans="21:21" x14ac:dyDescent="0.3">
      <c r="U949873" s="25"/>
    </row>
    <row r="949895" spans="21:21" x14ac:dyDescent="0.3">
      <c r="U949895" s="25"/>
    </row>
    <row r="949917" spans="21:21" x14ac:dyDescent="0.3">
      <c r="U949917" s="25"/>
    </row>
    <row r="949939" spans="21:21" x14ac:dyDescent="0.3">
      <c r="U949939" s="25"/>
    </row>
    <row r="949961" spans="21:21" x14ac:dyDescent="0.3">
      <c r="U949961" s="25"/>
    </row>
    <row r="949983" spans="21:21" x14ac:dyDescent="0.3">
      <c r="U949983" s="25"/>
    </row>
    <row r="950005" spans="21:21" x14ac:dyDescent="0.3">
      <c r="U950005" s="25"/>
    </row>
    <row r="950027" spans="21:21" x14ac:dyDescent="0.3">
      <c r="U950027" s="25"/>
    </row>
    <row r="950049" spans="21:21" x14ac:dyDescent="0.3">
      <c r="U950049" s="25"/>
    </row>
    <row r="950071" spans="21:21" x14ac:dyDescent="0.3">
      <c r="U950071" s="25"/>
    </row>
    <row r="950093" spans="21:21" x14ac:dyDescent="0.3">
      <c r="U950093" s="25"/>
    </row>
    <row r="950115" spans="21:21" x14ac:dyDescent="0.3">
      <c r="U950115" s="25"/>
    </row>
    <row r="950137" spans="21:21" x14ac:dyDescent="0.3">
      <c r="U950137" s="25"/>
    </row>
    <row r="950159" spans="21:21" x14ac:dyDescent="0.3">
      <c r="U950159" s="25"/>
    </row>
    <row r="950181" spans="21:21" x14ac:dyDescent="0.3">
      <c r="U950181" s="25"/>
    </row>
    <row r="950203" spans="21:21" x14ac:dyDescent="0.3">
      <c r="U950203" s="25"/>
    </row>
    <row r="950225" spans="21:21" x14ac:dyDescent="0.3">
      <c r="U950225" s="25"/>
    </row>
    <row r="950247" spans="21:21" x14ac:dyDescent="0.3">
      <c r="U950247" s="25"/>
    </row>
    <row r="950269" spans="21:21" x14ac:dyDescent="0.3">
      <c r="U950269" s="25"/>
    </row>
    <row r="950291" spans="21:21" x14ac:dyDescent="0.3">
      <c r="U950291" s="25"/>
    </row>
    <row r="950313" spans="21:21" x14ac:dyDescent="0.3">
      <c r="U950313" s="25"/>
    </row>
    <row r="950335" spans="21:21" x14ac:dyDescent="0.3">
      <c r="U950335" s="25"/>
    </row>
    <row r="950357" spans="21:21" x14ac:dyDescent="0.3">
      <c r="U950357" s="25"/>
    </row>
    <row r="950379" spans="21:21" x14ac:dyDescent="0.3">
      <c r="U950379" s="25"/>
    </row>
    <row r="950401" spans="21:21" x14ac:dyDescent="0.3">
      <c r="U950401" s="25"/>
    </row>
    <row r="950423" spans="21:21" x14ac:dyDescent="0.3">
      <c r="U950423" s="25"/>
    </row>
    <row r="950445" spans="21:21" x14ac:dyDescent="0.3">
      <c r="U950445" s="25"/>
    </row>
    <row r="950467" spans="21:21" x14ac:dyDescent="0.3">
      <c r="U950467" s="25"/>
    </row>
    <row r="950489" spans="21:21" x14ac:dyDescent="0.3">
      <c r="U950489" s="25"/>
    </row>
    <row r="950511" spans="21:21" x14ac:dyDescent="0.3">
      <c r="U950511" s="25"/>
    </row>
    <row r="950533" spans="21:21" x14ac:dyDescent="0.3">
      <c r="U950533" s="25"/>
    </row>
    <row r="950555" spans="21:21" x14ac:dyDescent="0.3">
      <c r="U950555" s="25"/>
    </row>
    <row r="950577" spans="21:21" x14ac:dyDescent="0.3">
      <c r="U950577" s="25"/>
    </row>
    <row r="950599" spans="21:21" x14ac:dyDescent="0.3">
      <c r="U950599" s="25"/>
    </row>
    <row r="950621" spans="21:21" x14ac:dyDescent="0.3">
      <c r="U950621" s="25"/>
    </row>
    <row r="950643" spans="21:21" x14ac:dyDescent="0.3">
      <c r="U950643" s="25"/>
    </row>
    <row r="950665" spans="21:21" x14ac:dyDescent="0.3">
      <c r="U950665" s="25"/>
    </row>
    <row r="950687" spans="21:21" x14ac:dyDescent="0.3">
      <c r="U950687" s="25"/>
    </row>
    <row r="950709" spans="21:21" x14ac:dyDescent="0.3">
      <c r="U950709" s="25"/>
    </row>
    <row r="950731" spans="21:21" x14ac:dyDescent="0.3">
      <c r="U950731" s="25"/>
    </row>
    <row r="950753" spans="21:21" x14ac:dyDescent="0.3">
      <c r="U950753" s="25"/>
    </row>
    <row r="950775" spans="21:21" x14ac:dyDescent="0.3">
      <c r="U950775" s="25"/>
    </row>
    <row r="950797" spans="21:21" x14ac:dyDescent="0.3">
      <c r="U950797" s="25"/>
    </row>
    <row r="950819" spans="21:21" x14ac:dyDescent="0.3">
      <c r="U950819" s="25"/>
    </row>
    <row r="950841" spans="21:21" x14ac:dyDescent="0.3">
      <c r="U950841" s="25"/>
    </row>
    <row r="950863" spans="21:21" x14ac:dyDescent="0.3">
      <c r="U950863" s="25"/>
    </row>
    <row r="950885" spans="21:21" x14ac:dyDescent="0.3">
      <c r="U950885" s="25"/>
    </row>
    <row r="950907" spans="21:21" x14ac:dyDescent="0.3">
      <c r="U950907" s="25"/>
    </row>
    <row r="950929" spans="21:21" x14ac:dyDescent="0.3">
      <c r="U950929" s="25"/>
    </row>
    <row r="950951" spans="21:21" x14ac:dyDescent="0.3">
      <c r="U950951" s="25"/>
    </row>
    <row r="950973" spans="21:21" x14ac:dyDescent="0.3">
      <c r="U950973" s="25"/>
    </row>
    <row r="950995" spans="21:21" x14ac:dyDescent="0.3">
      <c r="U950995" s="25"/>
    </row>
    <row r="951017" spans="21:21" x14ac:dyDescent="0.3">
      <c r="U951017" s="25"/>
    </row>
    <row r="951039" spans="21:21" x14ac:dyDescent="0.3">
      <c r="U951039" s="25"/>
    </row>
    <row r="951061" spans="21:21" x14ac:dyDescent="0.3">
      <c r="U951061" s="25"/>
    </row>
    <row r="951083" spans="21:21" x14ac:dyDescent="0.3">
      <c r="U951083" s="25"/>
    </row>
    <row r="951105" spans="21:21" x14ac:dyDescent="0.3">
      <c r="U951105" s="25"/>
    </row>
    <row r="951127" spans="21:21" x14ac:dyDescent="0.3">
      <c r="U951127" s="25"/>
    </row>
    <row r="951149" spans="21:21" x14ac:dyDescent="0.3">
      <c r="U951149" s="25"/>
    </row>
    <row r="951171" spans="21:21" x14ac:dyDescent="0.3">
      <c r="U951171" s="25"/>
    </row>
    <row r="951193" spans="21:21" x14ac:dyDescent="0.3">
      <c r="U951193" s="25"/>
    </row>
    <row r="951215" spans="21:21" x14ac:dyDescent="0.3">
      <c r="U951215" s="25"/>
    </row>
    <row r="951237" spans="21:21" x14ac:dyDescent="0.3">
      <c r="U951237" s="25"/>
    </row>
    <row r="951259" spans="21:21" x14ac:dyDescent="0.3">
      <c r="U951259" s="25"/>
    </row>
    <row r="951281" spans="21:21" x14ac:dyDescent="0.3">
      <c r="U951281" s="25"/>
    </row>
    <row r="951303" spans="21:21" x14ac:dyDescent="0.3">
      <c r="U951303" s="25"/>
    </row>
    <row r="951325" spans="21:21" x14ac:dyDescent="0.3">
      <c r="U951325" s="25"/>
    </row>
    <row r="951347" spans="21:21" x14ac:dyDescent="0.3">
      <c r="U951347" s="25"/>
    </row>
    <row r="951369" spans="21:21" x14ac:dyDescent="0.3">
      <c r="U951369" s="25"/>
    </row>
    <row r="951391" spans="21:21" x14ac:dyDescent="0.3">
      <c r="U951391" s="25"/>
    </row>
    <row r="951413" spans="21:21" x14ac:dyDescent="0.3">
      <c r="U951413" s="25"/>
    </row>
    <row r="951435" spans="21:21" x14ac:dyDescent="0.3">
      <c r="U951435" s="25"/>
    </row>
    <row r="951457" spans="21:21" x14ac:dyDescent="0.3">
      <c r="U951457" s="25"/>
    </row>
    <row r="951479" spans="21:21" x14ac:dyDescent="0.3">
      <c r="U951479" s="25"/>
    </row>
    <row r="951501" spans="21:21" x14ac:dyDescent="0.3">
      <c r="U951501" s="25"/>
    </row>
    <row r="951523" spans="21:21" x14ac:dyDescent="0.3">
      <c r="U951523" s="25"/>
    </row>
    <row r="951545" spans="21:21" x14ac:dyDescent="0.3">
      <c r="U951545" s="25"/>
    </row>
    <row r="951567" spans="21:21" x14ac:dyDescent="0.3">
      <c r="U951567" s="25"/>
    </row>
    <row r="951589" spans="21:21" x14ac:dyDescent="0.3">
      <c r="U951589" s="25"/>
    </row>
    <row r="951611" spans="21:21" x14ac:dyDescent="0.3">
      <c r="U951611" s="25"/>
    </row>
    <row r="951633" spans="21:21" x14ac:dyDescent="0.3">
      <c r="U951633" s="25"/>
    </row>
    <row r="951655" spans="21:21" x14ac:dyDescent="0.3">
      <c r="U951655" s="25"/>
    </row>
    <row r="951677" spans="21:21" x14ac:dyDescent="0.3">
      <c r="U951677" s="25"/>
    </row>
    <row r="951699" spans="21:21" x14ac:dyDescent="0.3">
      <c r="U951699" s="25"/>
    </row>
    <row r="951721" spans="21:21" x14ac:dyDescent="0.3">
      <c r="U951721" s="25"/>
    </row>
    <row r="951743" spans="21:21" x14ac:dyDescent="0.3">
      <c r="U951743" s="25"/>
    </row>
    <row r="951765" spans="21:21" x14ac:dyDescent="0.3">
      <c r="U951765" s="25"/>
    </row>
    <row r="951787" spans="21:21" x14ac:dyDescent="0.3">
      <c r="U951787" s="25"/>
    </row>
    <row r="951809" spans="21:21" x14ac:dyDescent="0.3">
      <c r="U951809" s="25"/>
    </row>
    <row r="951831" spans="21:21" x14ac:dyDescent="0.3">
      <c r="U951831" s="25"/>
    </row>
    <row r="951853" spans="21:21" x14ac:dyDescent="0.3">
      <c r="U951853" s="25"/>
    </row>
    <row r="951875" spans="21:21" x14ac:dyDescent="0.3">
      <c r="U951875" s="25"/>
    </row>
    <row r="951897" spans="21:21" x14ac:dyDescent="0.3">
      <c r="U951897" s="25"/>
    </row>
    <row r="951919" spans="21:21" x14ac:dyDescent="0.3">
      <c r="U951919" s="25"/>
    </row>
    <row r="951941" spans="21:21" x14ac:dyDescent="0.3">
      <c r="U951941" s="25"/>
    </row>
    <row r="951963" spans="21:21" x14ac:dyDescent="0.3">
      <c r="U951963" s="25"/>
    </row>
    <row r="951985" spans="21:21" x14ac:dyDescent="0.3">
      <c r="U951985" s="25"/>
    </row>
    <row r="952007" spans="21:21" x14ac:dyDescent="0.3">
      <c r="U952007" s="25"/>
    </row>
    <row r="952029" spans="21:21" x14ac:dyDescent="0.3">
      <c r="U952029" s="25"/>
    </row>
    <row r="952051" spans="21:21" x14ac:dyDescent="0.3">
      <c r="U952051" s="25"/>
    </row>
    <row r="952073" spans="21:21" x14ac:dyDescent="0.3">
      <c r="U952073" s="25"/>
    </row>
    <row r="952095" spans="21:21" x14ac:dyDescent="0.3">
      <c r="U952095" s="25"/>
    </row>
    <row r="952117" spans="21:21" x14ac:dyDescent="0.3">
      <c r="U952117" s="25"/>
    </row>
    <row r="952139" spans="21:21" x14ac:dyDescent="0.3">
      <c r="U952139" s="25"/>
    </row>
    <row r="952161" spans="21:21" x14ac:dyDescent="0.3">
      <c r="U952161" s="25"/>
    </row>
    <row r="952183" spans="21:21" x14ac:dyDescent="0.3">
      <c r="U952183" s="25"/>
    </row>
    <row r="952205" spans="21:21" x14ac:dyDescent="0.3">
      <c r="U952205" s="25"/>
    </row>
    <row r="952227" spans="21:21" x14ac:dyDescent="0.3">
      <c r="U952227" s="25"/>
    </row>
    <row r="952249" spans="21:21" x14ac:dyDescent="0.3">
      <c r="U952249" s="25"/>
    </row>
    <row r="952271" spans="21:21" x14ac:dyDescent="0.3">
      <c r="U952271" s="25"/>
    </row>
    <row r="952293" spans="21:21" x14ac:dyDescent="0.3">
      <c r="U952293" s="25"/>
    </row>
    <row r="952315" spans="21:21" x14ac:dyDescent="0.3">
      <c r="U952315" s="25"/>
    </row>
    <row r="952337" spans="21:21" x14ac:dyDescent="0.3">
      <c r="U952337" s="25"/>
    </row>
    <row r="952359" spans="21:21" x14ac:dyDescent="0.3">
      <c r="U952359" s="25"/>
    </row>
    <row r="952381" spans="21:21" x14ac:dyDescent="0.3">
      <c r="U952381" s="25"/>
    </row>
    <row r="952403" spans="21:21" x14ac:dyDescent="0.3">
      <c r="U952403" s="25"/>
    </row>
    <row r="952425" spans="21:21" x14ac:dyDescent="0.3">
      <c r="U952425" s="25"/>
    </row>
    <row r="952447" spans="21:21" x14ac:dyDescent="0.3">
      <c r="U952447" s="25"/>
    </row>
    <row r="952469" spans="21:21" x14ac:dyDescent="0.3">
      <c r="U952469" s="25"/>
    </row>
    <row r="952491" spans="21:21" x14ac:dyDescent="0.3">
      <c r="U952491" s="25"/>
    </row>
    <row r="952513" spans="21:21" x14ac:dyDescent="0.3">
      <c r="U952513" s="25"/>
    </row>
    <row r="952535" spans="21:21" x14ac:dyDescent="0.3">
      <c r="U952535" s="25"/>
    </row>
    <row r="952557" spans="21:21" x14ac:dyDescent="0.3">
      <c r="U952557" s="25"/>
    </row>
    <row r="952579" spans="21:21" x14ac:dyDescent="0.3">
      <c r="U952579" s="25"/>
    </row>
    <row r="952601" spans="21:21" x14ac:dyDescent="0.3">
      <c r="U952601" s="25"/>
    </row>
    <row r="952623" spans="21:21" x14ac:dyDescent="0.3">
      <c r="U952623" s="25"/>
    </row>
    <row r="952645" spans="21:21" x14ac:dyDescent="0.3">
      <c r="U952645" s="25"/>
    </row>
    <row r="952667" spans="21:21" x14ac:dyDescent="0.3">
      <c r="U952667" s="25"/>
    </row>
    <row r="952689" spans="21:21" x14ac:dyDescent="0.3">
      <c r="U952689" s="25"/>
    </row>
    <row r="952711" spans="21:21" x14ac:dyDescent="0.3">
      <c r="U952711" s="25"/>
    </row>
    <row r="952733" spans="21:21" x14ac:dyDescent="0.3">
      <c r="U952733" s="25"/>
    </row>
    <row r="952755" spans="21:21" x14ac:dyDescent="0.3">
      <c r="U952755" s="25"/>
    </row>
    <row r="952777" spans="21:21" x14ac:dyDescent="0.3">
      <c r="U952777" s="25"/>
    </row>
    <row r="952799" spans="21:21" x14ac:dyDescent="0.3">
      <c r="U952799" s="25"/>
    </row>
    <row r="952821" spans="21:21" x14ac:dyDescent="0.3">
      <c r="U952821" s="25"/>
    </row>
    <row r="952843" spans="21:21" x14ac:dyDescent="0.3">
      <c r="U952843" s="25"/>
    </row>
    <row r="952865" spans="21:21" x14ac:dyDescent="0.3">
      <c r="U952865" s="25"/>
    </row>
    <row r="952887" spans="21:21" x14ac:dyDescent="0.3">
      <c r="U952887" s="25"/>
    </row>
    <row r="952909" spans="21:21" x14ac:dyDescent="0.3">
      <c r="U952909" s="25"/>
    </row>
    <row r="952931" spans="21:21" x14ac:dyDescent="0.3">
      <c r="U952931" s="25"/>
    </row>
    <row r="952953" spans="21:21" x14ac:dyDescent="0.3">
      <c r="U952953" s="25"/>
    </row>
    <row r="952975" spans="21:21" x14ac:dyDescent="0.3">
      <c r="U952975" s="25"/>
    </row>
    <row r="952997" spans="21:21" x14ac:dyDescent="0.3">
      <c r="U952997" s="25"/>
    </row>
    <row r="953019" spans="21:21" x14ac:dyDescent="0.3">
      <c r="U953019" s="25"/>
    </row>
    <row r="953041" spans="21:21" x14ac:dyDescent="0.3">
      <c r="U953041" s="25"/>
    </row>
    <row r="953063" spans="21:21" x14ac:dyDescent="0.3">
      <c r="U953063" s="25"/>
    </row>
    <row r="953085" spans="21:21" x14ac:dyDescent="0.3">
      <c r="U953085" s="25"/>
    </row>
    <row r="953107" spans="21:21" x14ac:dyDescent="0.3">
      <c r="U953107" s="25"/>
    </row>
    <row r="953129" spans="21:21" x14ac:dyDescent="0.3">
      <c r="U953129" s="25"/>
    </row>
    <row r="953151" spans="21:21" x14ac:dyDescent="0.3">
      <c r="U953151" s="25"/>
    </row>
    <row r="953173" spans="21:21" x14ac:dyDescent="0.3">
      <c r="U953173" s="25"/>
    </row>
    <row r="953195" spans="21:21" x14ac:dyDescent="0.3">
      <c r="U953195" s="25"/>
    </row>
    <row r="953217" spans="21:21" x14ac:dyDescent="0.3">
      <c r="U953217" s="25"/>
    </row>
    <row r="953239" spans="21:21" x14ac:dyDescent="0.3">
      <c r="U953239" s="25"/>
    </row>
    <row r="953261" spans="21:21" x14ac:dyDescent="0.3">
      <c r="U953261" s="25"/>
    </row>
    <row r="953283" spans="21:21" x14ac:dyDescent="0.3">
      <c r="U953283" s="25"/>
    </row>
    <row r="953305" spans="21:21" x14ac:dyDescent="0.3">
      <c r="U953305" s="25"/>
    </row>
    <row r="953327" spans="21:21" x14ac:dyDescent="0.3">
      <c r="U953327" s="25"/>
    </row>
    <row r="953349" spans="21:21" x14ac:dyDescent="0.3">
      <c r="U953349" s="25"/>
    </row>
    <row r="953371" spans="21:21" x14ac:dyDescent="0.3">
      <c r="U953371" s="25"/>
    </row>
    <row r="953393" spans="21:21" x14ac:dyDescent="0.3">
      <c r="U953393" s="25"/>
    </row>
    <row r="953415" spans="21:21" x14ac:dyDescent="0.3">
      <c r="U953415" s="25"/>
    </row>
    <row r="953437" spans="21:21" x14ac:dyDescent="0.3">
      <c r="U953437" s="25"/>
    </row>
    <row r="953459" spans="21:21" x14ac:dyDescent="0.3">
      <c r="U953459" s="25"/>
    </row>
    <row r="953481" spans="21:21" x14ac:dyDescent="0.3">
      <c r="U953481" s="25"/>
    </row>
    <row r="953503" spans="21:21" x14ac:dyDescent="0.3">
      <c r="U953503" s="25"/>
    </row>
    <row r="953525" spans="21:21" x14ac:dyDescent="0.3">
      <c r="U953525" s="25"/>
    </row>
    <row r="953547" spans="21:21" x14ac:dyDescent="0.3">
      <c r="U953547" s="25"/>
    </row>
    <row r="953569" spans="21:21" x14ac:dyDescent="0.3">
      <c r="U953569" s="25"/>
    </row>
    <row r="953591" spans="21:21" x14ac:dyDescent="0.3">
      <c r="U953591" s="25"/>
    </row>
    <row r="953613" spans="21:21" x14ac:dyDescent="0.3">
      <c r="U953613" s="25"/>
    </row>
    <row r="953635" spans="21:21" x14ac:dyDescent="0.3">
      <c r="U953635" s="25"/>
    </row>
    <row r="953657" spans="21:21" x14ac:dyDescent="0.3">
      <c r="U953657" s="25"/>
    </row>
    <row r="953679" spans="21:21" x14ac:dyDescent="0.3">
      <c r="U953679" s="25"/>
    </row>
    <row r="953701" spans="21:21" x14ac:dyDescent="0.3">
      <c r="U953701" s="25"/>
    </row>
    <row r="953723" spans="21:21" x14ac:dyDescent="0.3">
      <c r="U953723" s="25"/>
    </row>
    <row r="953745" spans="21:21" x14ac:dyDescent="0.3">
      <c r="U953745" s="25"/>
    </row>
    <row r="953767" spans="21:21" x14ac:dyDescent="0.3">
      <c r="U953767" s="25"/>
    </row>
    <row r="953789" spans="21:21" x14ac:dyDescent="0.3">
      <c r="U953789" s="25"/>
    </row>
    <row r="953811" spans="21:21" x14ac:dyDescent="0.3">
      <c r="U953811" s="25"/>
    </row>
    <row r="953833" spans="21:21" x14ac:dyDescent="0.3">
      <c r="U953833" s="25"/>
    </row>
    <row r="953855" spans="21:21" x14ac:dyDescent="0.3">
      <c r="U953855" s="25"/>
    </row>
    <row r="953877" spans="21:21" x14ac:dyDescent="0.3">
      <c r="U953877" s="25"/>
    </row>
    <row r="953899" spans="21:21" x14ac:dyDescent="0.3">
      <c r="U953899" s="25"/>
    </row>
    <row r="953921" spans="21:21" x14ac:dyDescent="0.3">
      <c r="U953921" s="25"/>
    </row>
    <row r="953943" spans="21:21" x14ac:dyDescent="0.3">
      <c r="U953943" s="25"/>
    </row>
    <row r="953965" spans="21:21" x14ac:dyDescent="0.3">
      <c r="U953965" s="25"/>
    </row>
    <row r="953987" spans="21:21" x14ac:dyDescent="0.3">
      <c r="U953987" s="25"/>
    </row>
    <row r="954009" spans="21:21" x14ac:dyDescent="0.3">
      <c r="U954009" s="25"/>
    </row>
    <row r="954031" spans="21:21" x14ac:dyDescent="0.3">
      <c r="U954031" s="25"/>
    </row>
    <row r="954053" spans="21:21" x14ac:dyDescent="0.3">
      <c r="U954053" s="25"/>
    </row>
    <row r="954075" spans="21:21" x14ac:dyDescent="0.3">
      <c r="U954075" s="25"/>
    </row>
    <row r="954097" spans="21:21" x14ac:dyDescent="0.3">
      <c r="U954097" s="25"/>
    </row>
    <row r="954119" spans="21:21" x14ac:dyDescent="0.3">
      <c r="U954119" s="25"/>
    </row>
    <row r="954141" spans="21:21" x14ac:dyDescent="0.3">
      <c r="U954141" s="25"/>
    </row>
    <row r="954163" spans="21:21" x14ac:dyDescent="0.3">
      <c r="U954163" s="25"/>
    </row>
    <row r="954185" spans="21:21" x14ac:dyDescent="0.3">
      <c r="U954185" s="25"/>
    </row>
    <row r="954207" spans="21:21" x14ac:dyDescent="0.3">
      <c r="U954207" s="25"/>
    </row>
    <row r="954229" spans="21:21" x14ac:dyDescent="0.3">
      <c r="U954229" s="25"/>
    </row>
    <row r="954251" spans="21:21" x14ac:dyDescent="0.3">
      <c r="U954251" s="25"/>
    </row>
    <row r="954273" spans="21:21" x14ac:dyDescent="0.3">
      <c r="U954273" s="25"/>
    </row>
    <row r="954295" spans="21:21" x14ac:dyDescent="0.3">
      <c r="U954295" s="25"/>
    </row>
    <row r="954317" spans="21:21" x14ac:dyDescent="0.3">
      <c r="U954317" s="25"/>
    </row>
    <row r="954339" spans="21:21" x14ac:dyDescent="0.3">
      <c r="U954339" s="25"/>
    </row>
    <row r="954361" spans="21:21" x14ac:dyDescent="0.3">
      <c r="U954361" s="25"/>
    </row>
    <row r="954383" spans="21:21" x14ac:dyDescent="0.3">
      <c r="U954383" s="25"/>
    </row>
    <row r="954405" spans="21:21" x14ac:dyDescent="0.3">
      <c r="U954405" s="25"/>
    </row>
    <row r="954427" spans="21:21" x14ac:dyDescent="0.3">
      <c r="U954427" s="25"/>
    </row>
    <row r="954449" spans="21:21" x14ac:dyDescent="0.3">
      <c r="U954449" s="25"/>
    </row>
    <row r="954471" spans="21:21" x14ac:dyDescent="0.3">
      <c r="U954471" s="25"/>
    </row>
    <row r="954493" spans="21:21" x14ac:dyDescent="0.3">
      <c r="U954493" s="25"/>
    </row>
    <row r="954515" spans="21:21" x14ac:dyDescent="0.3">
      <c r="U954515" s="25"/>
    </row>
    <row r="954537" spans="21:21" x14ac:dyDescent="0.3">
      <c r="U954537" s="25"/>
    </row>
    <row r="954559" spans="21:21" x14ac:dyDescent="0.3">
      <c r="U954559" s="25"/>
    </row>
    <row r="954581" spans="21:21" x14ac:dyDescent="0.3">
      <c r="U954581" s="25"/>
    </row>
    <row r="954603" spans="21:21" x14ac:dyDescent="0.3">
      <c r="U954603" s="25"/>
    </row>
    <row r="954625" spans="21:21" x14ac:dyDescent="0.3">
      <c r="U954625" s="25"/>
    </row>
    <row r="954647" spans="21:21" x14ac:dyDescent="0.3">
      <c r="U954647" s="25"/>
    </row>
    <row r="954669" spans="21:21" x14ac:dyDescent="0.3">
      <c r="U954669" s="25"/>
    </row>
    <row r="954691" spans="21:21" x14ac:dyDescent="0.3">
      <c r="U954691" s="25"/>
    </row>
    <row r="954713" spans="21:21" x14ac:dyDescent="0.3">
      <c r="U954713" s="25"/>
    </row>
    <row r="954735" spans="21:21" x14ac:dyDescent="0.3">
      <c r="U954735" s="25"/>
    </row>
    <row r="954757" spans="21:21" x14ac:dyDescent="0.3">
      <c r="U954757" s="25"/>
    </row>
    <row r="954779" spans="21:21" x14ac:dyDescent="0.3">
      <c r="U954779" s="25"/>
    </row>
    <row r="954801" spans="21:21" x14ac:dyDescent="0.3">
      <c r="U954801" s="25"/>
    </row>
    <row r="954823" spans="21:21" x14ac:dyDescent="0.3">
      <c r="U954823" s="25"/>
    </row>
    <row r="954845" spans="21:21" x14ac:dyDescent="0.3">
      <c r="U954845" s="25"/>
    </row>
    <row r="954867" spans="21:21" x14ac:dyDescent="0.3">
      <c r="U954867" s="25"/>
    </row>
    <row r="954889" spans="21:21" x14ac:dyDescent="0.3">
      <c r="U954889" s="25"/>
    </row>
    <row r="954911" spans="21:21" x14ac:dyDescent="0.3">
      <c r="U954911" s="25"/>
    </row>
    <row r="954933" spans="21:21" x14ac:dyDescent="0.3">
      <c r="U954933" s="25"/>
    </row>
    <row r="954955" spans="21:21" x14ac:dyDescent="0.3">
      <c r="U954955" s="25"/>
    </row>
    <row r="954977" spans="21:21" x14ac:dyDescent="0.3">
      <c r="U954977" s="25"/>
    </row>
    <row r="954999" spans="21:21" x14ac:dyDescent="0.3">
      <c r="U954999" s="25"/>
    </row>
    <row r="955021" spans="21:21" x14ac:dyDescent="0.3">
      <c r="U955021" s="25"/>
    </row>
    <row r="955043" spans="21:21" x14ac:dyDescent="0.3">
      <c r="U955043" s="25"/>
    </row>
    <row r="955065" spans="21:21" x14ac:dyDescent="0.3">
      <c r="U955065" s="25"/>
    </row>
    <row r="955087" spans="21:21" x14ac:dyDescent="0.3">
      <c r="U955087" s="25"/>
    </row>
    <row r="955109" spans="21:21" x14ac:dyDescent="0.3">
      <c r="U955109" s="25"/>
    </row>
    <row r="955131" spans="21:21" x14ac:dyDescent="0.3">
      <c r="U955131" s="25"/>
    </row>
    <row r="955153" spans="21:21" x14ac:dyDescent="0.3">
      <c r="U955153" s="25"/>
    </row>
    <row r="955175" spans="21:21" x14ac:dyDescent="0.3">
      <c r="U955175" s="25"/>
    </row>
    <row r="955197" spans="21:21" x14ac:dyDescent="0.3">
      <c r="U955197" s="25"/>
    </row>
    <row r="955219" spans="21:21" x14ac:dyDescent="0.3">
      <c r="U955219" s="25"/>
    </row>
    <row r="955241" spans="21:21" x14ac:dyDescent="0.3">
      <c r="U955241" s="25"/>
    </row>
    <row r="955263" spans="21:21" x14ac:dyDescent="0.3">
      <c r="U955263" s="25"/>
    </row>
    <row r="955285" spans="21:21" x14ac:dyDescent="0.3">
      <c r="U955285" s="25"/>
    </row>
    <row r="955307" spans="21:21" x14ac:dyDescent="0.3">
      <c r="U955307" s="25"/>
    </row>
    <row r="955329" spans="21:21" x14ac:dyDescent="0.3">
      <c r="U955329" s="25"/>
    </row>
    <row r="955351" spans="21:21" x14ac:dyDescent="0.3">
      <c r="U955351" s="25"/>
    </row>
    <row r="955373" spans="21:21" x14ac:dyDescent="0.3">
      <c r="U955373" s="25"/>
    </row>
    <row r="955395" spans="21:21" x14ac:dyDescent="0.3">
      <c r="U955395" s="25"/>
    </row>
    <row r="955417" spans="21:21" x14ac:dyDescent="0.3">
      <c r="U955417" s="25"/>
    </row>
    <row r="955439" spans="21:21" x14ac:dyDescent="0.3">
      <c r="U955439" s="25"/>
    </row>
    <row r="955461" spans="21:21" x14ac:dyDescent="0.3">
      <c r="U955461" s="25"/>
    </row>
    <row r="955483" spans="21:21" x14ac:dyDescent="0.3">
      <c r="U955483" s="25"/>
    </row>
    <row r="955505" spans="21:21" x14ac:dyDescent="0.3">
      <c r="U955505" s="25"/>
    </row>
    <row r="955527" spans="21:21" x14ac:dyDescent="0.3">
      <c r="U955527" s="25"/>
    </row>
    <row r="955549" spans="21:21" x14ac:dyDescent="0.3">
      <c r="U955549" s="25"/>
    </row>
    <row r="955571" spans="21:21" x14ac:dyDescent="0.3">
      <c r="U955571" s="25"/>
    </row>
    <row r="955593" spans="21:21" x14ac:dyDescent="0.3">
      <c r="U955593" s="25"/>
    </row>
    <row r="955615" spans="21:21" x14ac:dyDescent="0.3">
      <c r="U955615" s="25"/>
    </row>
    <row r="955637" spans="21:21" x14ac:dyDescent="0.3">
      <c r="U955637" s="25"/>
    </row>
    <row r="955659" spans="21:21" x14ac:dyDescent="0.3">
      <c r="U955659" s="25"/>
    </row>
    <row r="955681" spans="21:21" x14ac:dyDescent="0.3">
      <c r="U955681" s="25"/>
    </row>
    <row r="955703" spans="21:21" x14ac:dyDescent="0.3">
      <c r="U955703" s="25"/>
    </row>
    <row r="955725" spans="21:21" x14ac:dyDescent="0.3">
      <c r="U955725" s="25"/>
    </row>
    <row r="955747" spans="21:21" x14ac:dyDescent="0.3">
      <c r="U955747" s="25"/>
    </row>
    <row r="955769" spans="21:21" x14ac:dyDescent="0.3">
      <c r="U955769" s="25"/>
    </row>
    <row r="955791" spans="21:21" x14ac:dyDescent="0.3">
      <c r="U955791" s="25"/>
    </row>
    <row r="955813" spans="21:21" x14ac:dyDescent="0.3">
      <c r="U955813" s="25"/>
    </row>
    <row r="955835" spans="21:21" x14ac:dyDescent="0.3">
      <c r="U955835" s="25"/>
    </row>
    <row r="955857" spans="21:21" x14ac:dyDescent="0.3">
      <c r="U955857" s="25"/>
    </row>
    <row r="955879" spans="21:21" x14ac:dyDescent="0.3">
      <c r="U955879" s="25"/>
    </row>
    <row r="955901" spans="21:21" x14ac:dyDescent="0.3">
      <c r="U955901" s="25"/>
    </row>
    <row r="955923" spans="21:21" x14ac:dyDescent="0.3">
      <c r="U955923" s="25"/>
    </row>
    <row r="955945" spans="21:21" x14ac:dyDescent="0.3">
      <c r="U955945" s="25"/>
    </row>
    <row r="955967" spans="21:21" x14ac:dyDescent="0.3">
      <c r="U955967" s="25"/>
    </row>
    <row r="955989" spans="21:21" x14ac:dyDescent="0.3">
      <c r="U955989" s="25"/>
    </row>
    <row r="956011" spans="21:21" x14ac:dyDescent="0.3">
      <c r="U956011" s="25"/>
    </row>
    <row r="956033" spans="21:21" x14ac:dyDescent="0.3">
      <c r="U956033" s="25"/>
    </row>
    <row r="956055" spans="21:21" x14ac:dyDescent="0.3">
      <c r="U956055" s="25"/>
    </row>
    <row r="956077" spans="21:21" x14ac:dyDescent="0.3">
      <c r="U956077" s="25"/>
    </row>
    <row r="956099" spans="21:21" x14ac:dyDescent="0.3">
      <c r="U956099" s="25"/>
    </row>
    <row r="956121" spans="21:21" x14ac:dyDescent="0.3">
      <c r="U956121" s="25"/>
    </row>
    <row r="956143" spans="21:21" x14ac:dyDescent="0.3">
      <c r="U956143" s="25"/>
    </row>
    <row r="956165" spans="21:21" x14ac:dyDescent="0.3">
      <c r="U956165" s="25"/>
    </row>
    <row r="956187" spans="21:21" x14ac:dyDescent="0.3">
      <c r="U956187" s="25"/>
    </row>
    <row r="956209" spans="21:21" x14ac:dyDescent="0.3">
      <c r="U956209" s="25"/>
    </row>
    <row r="956231" spans="21:21" x14ac:dyDescent="0.3">
      <c r="U956231" s="25"/>
    </row>
    <row r="956253" spans="21:21" x14ac:dyDescent="0.3">
      <c r="U956253" s="25"/>
    </row>
    <row r="956275" spans="21:21" x14ac:dyDescent="0.3">
      <c r="U956275" s="25"/>
    </row>
    <row r="956297" spans="21:21" x14ac:dyDescent="0.3">
      <c r="U956297" s="25"/>
    </row>
    <row r="956319" spans="21:21" x14ac:dyDescent="0.3">
      <c r="U956319" s="25"/>
    </row>
    <row r="956341" spans="21:21" x14ac:dyDescent="0.3">
      <c r="U956341" s="25"/>
    </row>
    <row r="956363" spans="21:21" x14ac:dyDescent="0.3">
      <c r="U956363" s="25"/>
    </row>
    <row r="956385" spans="21:21" x14ac:dyDescent="0.3">
      <c r="U956385" s="25"/>
    </row>
    <row r="956407" spans="21:21" x14ac:dyDescent="0.3">
      <c r="U956407" s="25"/>
    </row>
    <row r="956429" spans="21:21" x14ac:dyDescent="0.3">
      <c r="U956429" s="25"/>
    </row>
    <row r="956451" spans="21:21" x14ac:dyDescent="0.3">
      <c r="U956451" s="25"/>
    </row>
    <row r="956473" spans="21:21" x14ac:dyDescent="0.3">
      <c r="U956473" s="25"/>
    </row>
    <row r="956495" spans="21:21" x14ac:dyDescent="0.3">
      <c r="U956495" s="25"/>
    </row>
    <row r="956517" spans="21:21" x14ac:dyDescent="0.3">
      <c r="U956517" s="25"/>
    </row>
    <row r="956539" spans="21:21" x14ac:dyDescent="0.3">
      <c r="U956539" s="25"/>
    </row>
    <row r="956561" spans="21:21" x14ac:dyDescent="0.3">
      <c r="U956561" s="25"/>
    </row>
    <row r="956583" spans="21:21" x14ac:dyDescent="0.3">
      <c r="U956583" s="25"/>
    </row>
    <row r="956605" spans="21:21" x14ac:dyDescent="0.3">
      <c r="U956605" s="25"/>
    </row>
    <row r="956627" spans="21:21" x14ac:dyDescent="0.3">
      <c r="U956627" s="25"/>
    </row>
    <row r="956649" spans="21:21" x14ac:dyDescent="0.3">
      <c r="U956649" s="25"/>
    </row>
    <row r="956671" spans="21:21" x14ac:dyDescent="0.3">
      <c r="U956671" s="25"/>
    </row>
    <row r="956693" spans="21:21" x14ac:dyDescent="0.3">
      <c r="U956693" s="25"/>
    </row>
    <row r="956715" spans="21:21" x14ac:dyDescent="0.3">
      <c r="U956715" s="25"/>
    </row>
    <row r="956737" spans="21:21" x14ac:dyDescent="0.3">
      <c r="U956737" s="25"/>
    </row>
    <row r="956759" spans="21:21" x14ac:dyDescent="0.3">
      <c r="U956759" s="25"/>
    </row>
    <row r="956781" spans="21:21" x14ac:dyDescent="0.3">
      <c r="U956781" s="25"/>
    </row>
    <row r="956803" spans="21:21" x14ac:dyDescent="0.3">
      <c r="U956803" s="25"/>
    </row>
    <row r="956825" spans="21:21" x14ac:dyDescent="0.3">
      <c r="U956825" s="25"/>
    </row>
    <row r="956847" spans="21:21" x14ac:dyDescent="0.3">
      <c r="U956847" s="25"/>
    </row>
    <row r="956869" spans="21:21" x14ac:dyDescent="0.3">
      <c r="U956869" s="25"/>
    </row>
    <row r="956891" spans="21:21" x14ac:dyDescent="0.3">
      <c r="U956891" s="25"/>
    </row>
    <row r="956913" spans="21:21" x14ac:dyDescent="0.3">
      <c r="U956913" s="25"/>
    </row>
    <row r="956935" spans="21:21" x14ac:dyDescent="0.3">
      <c r="U956935" s="25"/>
    </row>
    <row r="956957" spans="21:21" x14ac:dyDescent="0.3">
      <c r="U956957" s="25"/>
    </row>
    <row r="956979" spans="21:21" x14ac:dyDescent="0.3">
      <c r="U956979" s="25"/>
    </row>
    <row r="957001" spans="21:21" x14ac:dyDescent="0.3">
      <c r="U957001" s="25"/>
    </row>
    <row r="957023" spans="21:21" x14ac:dyDescent="0.3">
      <c r="U957023" s="25"/>
    </row>
    <row r="957045" spans="21:21" x14ac:dyDescent="0.3">
      <c r="U957045" s="25"/>
    </row>
    <row r="957067" spans="21:21" x14ac:dyDescent="0.3">
      <c r="U957067" s="25"/>
    </row>
    <row r="957089" spans="21:21" x14ac:dyDescent="0.3">
      <c r="U957089" s="25"/>
    </row>
    <row r="957111" spans="21:21" x14ac:dyDescent="0.3">
      <c r="U957111" s="25"/>
    </row>
    <row r="957133" spans="21:21" x14ac:dyDescent="0.3">
      <c r="U957133" s="25"/>
    </row>
    <row r="957155" spans="21:21" x14ac:dyDescent="0.3">
      <c r="U957155" s="25"/>
    </row>
    <row r="957177" spans="21:21" x14ac:dyDescent="0.3">
      <c r="U957177" s="25"/>
    </row>
    <row r="957199" spans="21:21" x14ac:dyDescent="0.3">
      <c r="U957199" s="25"/>
    </row>
    <row r="957221" spans="21:21" x14ac:dyDescent="0.3">
      <c r="U957221" s="25"/>
    </row>
    <row r="957243" spans="21:21" x14ac:dyDescent="0.3">
      <c r="U957243" s="25"/>
    </row>
    <row r="957265" spans="21:21" x14ac:dyDescent="0.3">
      <c r="U957265" s="25"/>
    </row>
    <row r="957287" spans="21:21" x14ac:dyDescent="0.3">
      <c r="U957287" s="25"/>
    </row>
    <row r="957309" spans="21:21" x14ac:dyDescent="0.3">
      <c r="U957309" s="25"/>
    </row>
    <row r="957331" spans="21:21" x14ac:dyDescent="0.3">
      <c r="U957331" s="25"/>
    </row>
    <row r="957353" spans="21:21" x14ac:dyDescent="0.3">
      <c r="U957353" s="25"/>
    </row>
    <row r="957375" spans="21:21" x14ac:dyDescent="0.3">
      <c r="U957375" s="25"/>
    </row>
    <row r="957397" spans="21:21" x14ac:dyDescent="0.3">
      <c r="U957397" s="25"/>
    </row>
    <row r="957419" spans="21:21" x14ac:dyDescent="0.3">
      <c r="U957419" s="25"/>
    </row>
    <row r="957441" spans="21:21" x14ac:dyDescent="0.3">
      <c r="U957441" s="25"/>
    </row>
    <row r="957463" spans="21:21" x14ac:dyDescent="0.3">
      <c r="U957463" s="25"/>
    </row>
    <row r="957485" spans="21:21" x14ac:dyDescent="0.3">
      <c r="U957485" s="25"/>
    </row>
    <row r="957507" spans="21:21" x14ac:dyDescent="0.3">
      <c r="U957507" s="25"/>
    </row>
    <row r="957529" spans="21:21" x14ac:dyDescent="0.3">
      <c r="U957529" s="25"/>
    </row>
    <row r="957551" spans="21:21" x14ac:dyDescent="0.3">
      <c r="U957551" s="25"/>
    </row>
    <row r="957573" spans="21:21" x14ac:dyDescent="0.3">
      <c r="U957573" s="25"/>
    </row>
    <row r="957595" spans="21:21" x14ac:dyDescent="0.3">
      <c r="U957595" s="25"/>
    </row>
    <row r="957617" spans="21:21" x14ac:dyDescent="0.3">
      <c r="U957617" s="25"/>
    </row>
    <row r="957639" spans="21:21" x14ac:dyDescent="0.3">
      <c r="U957639" s="25"/>
    </row>
    <row r="957661" spans="21:21" x14ac:dyDescent="0.3">
      <c r="U957661" s="25"/>
    </row>
    <row r="957683" spans="21:21" x14ac:dyDescent="0.3">
      <c r="U957683" s="25"/>
    </row>
    <row r="957705" spans="21:21" x14ac:dyDescent="0.3">
      <c r="U957705" s="25"/>
    </row>
    <row r="957727" spans="21:21" x14ac:dyDescent="0.3">
      <c r="U957727" s="25"/>
    </row>
    <row r="957749" spans="21:21" x14ac:dyDescent="0.3">
      <c r="U957749" s="25"/>
    </row>
    <row r="957771" spans="21:21" x14ac:dyDescent="0.3">
      <c r="U957771" s="25"/>
    </row>
    <row r="957793" spans="21:21" x14ac:dyDescent="0.3">
      <c r="U957793" s="25"/>
    </row>
    <row r="957815" spans="21:21" x14ac:dyDescent="0.3">
      <c r="U957815" s="25"/>
    </row>
    <row r="957837" spans="21:21" x14ac:dyDescent="0.3">
      <c r="U957837" s="25"/>
    </row>
    <row r="957859" spans="21:21" x14ac:dyDescent="0.3">
      <c r="U957859" s="25"/>
    </row>
    <row r="957881" spans="21:21" x14ac:dyDescent="0.3">
      <c r="U957881" s="25"/>
    </row>
    <row r="957903" spans="21:21" x14ac:dyDescent="0.3">
      <c r="U957903" s="25"/>
    </row>
    <row r="957925" spans="21:21" x14ac:dyDescent="0.3">
      <c r="U957925" s="25"/>
    </row>
    <row r="957947" spans="21:21" x14ac:dyDescent="0.3">
      <c r="U957947" s="25"/>
    </row>
    <row r="957969" spans="21:21" x14ac:dyDescent="0.3">
      <c r="U957969" s="25"/>
    </row>
    <row r="957991" spans="21:21" x14ac:dyDescent="0.3">
      <c r="U957991" s="25"/>
    </row>
    <row r="958013" spans="21:21" x14ac:dyDescent="0.3">
      <c r="U958013" s="25"/>
    </row>
    <row r="958035" spans="21:21" x14ac:dyDescent="0.3">
      <c r="U958035" s="25"/>
    </row>
    <row r="958057" spans="21:21" x14ac:dyDescent="0.3">
      <c r="U958057" s="25"/>
    </row>
    <row r="958079" spans="21:21" x14ac:dyDescent="0.3">
      <c r="U958079" s="25"/>
    </row>
    <row r="958101" spans="21:21" x14ac:dyDescent="0.3">
      <c r="U958101" s="25"/>
    </row>
    <row r="958123" spans="21:21" x14ac:dyDescent="0.3">
      <c r="U958123" s="25"/>
    </row>
    <row r="958145" spans="21:21" x14ac:dyDescent="0.3">
      <c r="U958145" s="25"/>
    </row>
    <row r="958167" spans="21:21" x14ac:dyDescent="0.3">
      <c r="U958167" s="25"/>
    </row>
    <row r="958189" spans="21:21" x14ac:dyDescent="0.3">
      <c r="U958189" s="25"/>
    </row>
    <row r="958211" spans="21:21" x14ac:dyDescent="0.3">
      <c r="U958211" s="25"/>
    </row>
    <row r="958233" spans="21:21" x14ac:dyDescent="0.3">
      <c r="U958233" s="25"/>
    </row>
    <row r="958255" spans="21:21" x14ac:dyDescent="0.3">
      <c r="U958255" s="25"/>
    </row>
    <row r="958277" spans="21:21" x14ac:dyDescent="0.3">
      <c r="U958277" s="25"/>
    </row>
    <row r="958299" spans="21:21" x14ac:dyDescent="0.3">
      <c r="U958299" s="25"/>
    </row>
    <row r="958321" spans="21:21" x14ac:dyDescent="0.3">
      <c r="U958321" s="25"/>
    </row>
    <row r="958343" spans="21:21" x14ac:dyDescent="0.3">
      <c r="U958343" s="25"/>
    </row>
    <row r="958365" spans="21:21" x14ac:dyDescent="0.3">
      <c r="U958365" s="25"/>
    </row>
    <row r="958387" spans="21:21" x14ac:dyDescent="0.3">
      <c r="U958387" s="25"/>
    </row>
    <row r="958409" spans="21:21" x14ac:dyDescent="0.3">
      <c r="U958409" s="25"/>
    </row>
    <row r="958431" spans="21:21" x14ac:dyDescent="0.3">
      <c r="U958431" s="25"/>
    </row>
    <row r="958453" spans="21:21" x14ac:dyDescent="0.3">
      <c r="U958453" s="25"/>
    </row>
    <row r="958475" spans="21:21" x14ac:dyDescent="0.3">
      <c r="U958475" s="25"/>
    </row>
    <row r="958497" spans="21:21" x14ac:dyDescent="0.3">
      <c r="U958497" s="25"/>
    </row>
    <row r="958519" spans="21:21" x14ac:dyDescent="0.3">
      <c r="U958519" s="25"/>
    </row>
    <row r="958541" spans="21:21" x14ac:dyDescent="0.3">
      <c r="U958541" s="25"/>
    </row>
    <row r="958563" spans="21:21" x14ac:dyDescent="0.3">
      <c r="U958563" s="25"/>
    </row>
    <row r="958585" spans="21:21" x14ac:dyDescent="0.3">
      <c r="U958585" s="25"/>
    </row>
    <row r="958607" spans="21:21" x14ac:dyDescent="0.3">
      <c r="U958607" s="25"/>
    </row>
    <row r="958629" spans="21:21" x14ac:dyDescent="0.3">
      <c r="U958629" s="25"/>
    </row>
    <row r="958651" spans="21:21" x14ac:dyDescent="0.3">
      <c r="U958651" s="25"/>
    </row>
    <row r="958673" spans="21:21" x14ac:dyDescent="0.3">
      <c r="U958673" s="25"/>
    </row>
    <row r="958695" spans="21:21" x14ac:dyDescent="0.3">
      <c r="U958695" s="25"/>
    </row>
    <row r="958717" spans="21:21" x14ac:dyDescent="0.3">
      <c r="U958717" s="25"/>
    </row>
    <row r="958739" spans="21:21" x14ac:dyDescent="0.3">
      <c r="U958739" s="25"/>
    </row>
    <row r="958761" spans="21:21" x14ac:dyDescent="0.3">
      <c r="U958761" s="25"/>
    </row>
    <row r="958783" spans="21:21" x14ac:dyDescent="0.3">
      <c r="U958783" s="25"/>
    </row>
    <row r="958805" spans="21:21" x14ac:dyDescent="0.3">
      <c r="U958805" s="25"/>
    </row>
    <row r="958827" spans="21:21" x14ac:dyDescent="0.3">
      <c r="U958827" s="25"/>
    </row>
    <row r="958849" spans="21:21" x14ac:dyDescent="0.3">
      <c r="U958849" s="25"/>
    </row>
    <row r="958871" spans="21:21" x14ac:dyDescent="0.3">
      <c r="U958871" s="25"/>
    </row>
    <row r="958893" spans="21:21" x14ac:dyDescent="0.3">
      <c r="U958893" s="25"/>
    </row>
    <row r="958915" spans="21:21" x14ac:dyDescent="0.3">
      <c r="U958915" s="25"/>
    </row>
    <row r="958937" spans="21:21" x14ac:dyDescent="0.3">
      <c r="U958937" s="25"/>
    </row>
    <row r="958959" spans="21:21" x14ac:dyDescent="0.3">
      <c r="U958959" s="25"/>
    </row>
    <row r="958981" spans="21:21" x14ac:dyDescent="0.3">
      <c r="U958981" s="25"/>
    </row>
    <row r="959003" spans="21:21" x14ac:dyDescent="0.3">
      <c r="U959003" s="25"/>
    </row>
    <row r="959025" spans="21:21" x14ac:dyDescent="0.3">
      <c r="U959025" s="25"/>
    </row>
    <row r="959047" spans="21:21" x14ac:dyDescent="0.3">
      <c r="U959047" s="25"/>
    </row>
    <row r="959069" spans="21:21" x14ac:dyDescent="0.3">
      <c r="U959069" s="25"/>
    </row>
    <row r="959091" spans="21:21" x14ac:dyDescent="0.3">
      <c r="U959091" s="25"/>
    </row>
    <row r="959113" spans="21:21" x14ac:dyDescent="0.3">
      <c r="U959113" s="25"/>
    </row>
    <row r="959135" spans="21:21" x14ac:dyDescent="0.3">
      <c r="U959135" s="25"/>
    </row>
    <row r="959157" spans="21:21" x14ac:dyDescent="0.3">
      <c r="U959157" s="25"/>
    </row>
    <row r="959179" spans="21:21" x14ac:dyDescent="0.3">
      <c r="U959179" s="25"/>
    </row>
    <row r="959201" spans="21:21" x14ac:dyDescent="0.3">
      <c r="U959201" s="25"/>
    </row>
    <row r="959223" spans="21:21" x14ac:dyDescent="0.3">
      <c r="U959223" s="25"/>
    </row>
    <row r="959245" spans="21:21" x14ac:dyDescent="0.3">
      <c r="U959245" s="25"/>
    </row>
    <row r="959267" spans="21:21" x14ac:dyDescent="0.3">
      <c r="U959267" s="25"/>
    </row>
    <row r="959289" spans="21:21" x14ac:dyDescent="0.3">
      <c r="U959289" s="25"/>
    </row>
    <row r="959311" spans="21:21" x14ac:dyDescent="0.3">
      <c r="U959311" s="25"/>
    </row>
    <row r="959333" spans="21:21" x14ac:dyDescent="0.3">
      <c r="U959333" s="25"/>
    </row>
    <row r="959355" spans="21:21" x14ac:dyDescent="0.3">
      <c r="U959355" s="25"/>
    </row>
    <row r="959377" spans="21:21" x14ac:dyDescent="0.3">
      <c r="U959377" s="25"/>
    </row>
    <row r="959399" spans="21:21" x14ac:dyDescent="0.3">
      <c r="U959399" s="25"/>
    </row>
    <row r="959421" spans="21:21" x14ac:dyDescent="0.3">
      <c r="U959421" s="25"/>
    </row>
    <row r="959443" spans="21:21" x14ac:dyDescent="0.3">
      <c r="U959443" s="25"/>
    </row>
    <row r="959465" spans="21:21" x14ac:dyDescent="0.3">
      <c r="U959465" s="25"/>
    </row>
    <row r="959487" spans="21:21" x14ac:dyDescent="0.3">
      <c r="U959487" s="25"/>
    </row>
    <row r="959509" spans="21:21" x14ac:dyDescent="0.3">
      <c r="U959509" s="25"/>
    </row>
    <row r="959531" spans="21:21" x14ac:dyDescent="0.3">
      <c r="U959531" s="25"/>
    </row>
    <row r="959553" spans="21:21" x14ac:dyDescent="0.3">
      <c r="U959553" s="25"/>
    </row>
    <row r="959575" spans="21:21" x14ac:dyDescent="0.3">
      <c r="U959575" s="25"/>
    </row>
    <row r="959597" spans="21:21" x14ac:dyDescent="0.3">
      <c r="U959597" s="25"/>
    </row>
    <row r="959619" spans="21:21" x14ac:dyDescent="0.3">
      <c r="U959619" s="25"/>
    </row>
    <row r="959641" spans="21:21" x14ac:dyDescent="0.3">
      <c r="U959641" s="25"/>
    </row>
    <row r="959663" spans="21:21" x14ac:dyDescent="0.3">
      <c r="U959663" s="25"/>
    </row>
    <row r="959685" spans="21:21" x14ac:dyDescent="0.3">
      <c r="U959685" s="25"/>
    </row>
    <row r="959707" spans="21:21" x14ac:dyDescent="0.3">
      <c r="U959707" s="25"/>
    </row>
    <row r="959729" spans="21:21" x14ac:dyDescent="0.3">
      <c r="U959729" s="25"/>
    </row>
    <row r="959751" spans="21:21" x14ac:dyDescent="0.3">
      <c r="U959751" s="25"/>
    </row>
    <row r="959773" spans="21:21" x14ac:dyDescent="0.3">
      <c r="U959773" s="25"/>
    </row>
    <row r="959795" spans="21:21" x14ac:dyDescent="0.3">
      <c r="U959795" s="25"/>
    </row>
    <row r="959817" spans="21:21" x14ac:dyDescent="0.3">
      <c r="U959817" s="25"/>
    </row>
    <row r="959839" spans="21:21" x14ac:dyDescent="0.3">
      <c r="U959839" s="25"/>
    </row>
    <row r="959861" spans="21:21" x14ac:dyDescent="0.3">
      <c r="U959861" s="25"/>
    </row>
    <row r="959883" spans="21:21" x14ac:dyDescent="0.3">
      <c r="U959883" s="25"/>
    </row>
    <row r="959905" spans="21:21" x14ac:dyDescent="0.3">
      <c r="U959905" s="25"/>
    </row>
    <row r="959927" spans="21:21" x14ac:dyDescent="0.3">
      <c r="U959927" s="25"/>
    </row>
    <row r="959949" spans="21:21" x14ac:dyDescent="0.3">
      <c r="U959949" s="25"/>
    </row>
    <row r="959971" spans="21:21" x14ac:dyDescent="0.3">
      <c r="U959971" s="25"/>
    </row>
    <row r="959993" spans="21:21" x14ac:dyDescent="0.3">
      <c r="U959993" s="25"/>
    </row>
    <row r="960015" spans="21:21" x14ac:dyDescent="0.3">
      <c r="U960015" s="25"/>
    </row>
    <row r="960037" spans="21:21" x14ac:dyDescent="0.3">
      <c r="U960037" s="25"/>
    </row>
    <row r="960059" spans="21:21" x14ac:dyDescent="0.3">
      <c r="U960059" s="25"/>
    </row>
    <row r="960081" spans="21:21" x14ac:dyDescent="0.3">
      <c r="U960081" s="25"/>
    </row>
    <row r="960103" spans="21:21" x14ac:dyDescent="0.3">
      <c r="U960103" s="25"/>
    </row>
    <row r="960125" spans="21:21" x14ac:dyDescent="0.3">
      <c r="U960125" s="25"/>
    </row>
    <row r="960147" spans="21:21" x14ac:dyDescent="0.3">
      <c r="U960147" s="25"/>
    </row>
    <row r="960169" spans="21:21" x14ac:dyDescent="0.3">
      <c r="U960169" s="25"/>
    </row>
    <row r="960191" spans="21:21" x14ac:dyDescent="0.3">
      <c r="U960191" s="25"/>
    </row>
    <row r="960213" spans="21:21" x14ac:dyDescent="0.3">
      <c r="U960213" s="25"/>
    </row>
    <row r="960235" spans="21:21" x14ac:dyDescent="0.3">
      <c r="U960235" s="25"/>
    </row>
    <row r="960257" spans="21:21" x14ac:dyDescent="0.3">
      <c r="U960257" s="25"/>
    </row>
    <row r="960279" spans="21:21" x14ac:dyDescent="0.3">
      <c r="U960279" s="25"/>
    </row>
    <row r="960301" spans="21:21" x14ac:dyDescent="0.3">
      <c r="U960301" s="25"/>
    </row>
    <row r="960323" spans="21:21" x14ac:dyDescent="0.3">
      <c r="U960323" s="25"/>
    </row>
    <row r="960345" spans="21:21" x14ac:dyDescent="0.3">
      <c r="U960345" s="25"/>
    </row>
    <row r="960367" spans="21:21" x14ac:dyDescent="0.3">
      <c r="U960367" s="25"/>
    </row>
    <row r="960389" spans="21:21" x14ac:dyDescent="0.3">
      <c r="U960389" s="25"/>
    </row>
    <row r="960411" spans="21:21" x14ac:dyDescent="0.3">
      <c r="U960411" s="25"/>
    </row>
    <row r="960433" spans="21:21" x14ac:dyDescent="0.3">
      <c r="U960433" s="25"/>
    </row>
    <row r="960455" spans="21:21" x14ac:dyDescent="0.3">
      <c r="U960455" s="25"/>
    </row>
    <row r="960477" spans="21:21" x14ac:dyDescent="0.3">
      <c r="U960477" s="25"/>
    </row>
    <row r="960499" spans="21:21" x14ac:dyDescent="0.3">
      <c r="U960499" s="25"/>
    </row>
    <row r="960521" spans="21:21" x14ac:dyDescent="0.3">
      <c r="U960521" s="25"/>
    </row>
    <row r="960543" spans="21:21" x14ac:dyDescent="0.3">
      <c r="U960543" s="25"/>
    </row>
    <row r="960565" spans="21:21" x14ac:dyDescent="0.3">
      <c r="U960565" s="25"/>
    </row>
    <row r="960587" spans="21:21" x14ac:dyDescent="0.3">
      <c r="U960587" s="25"/>
    </row>
    <row r="960609" spans="21:21" x14ac:dyDescent="0.3">
      <c r="U960609" s="25"/>
    </row>
    <row r="960631" spans="21:21" x14ac:dyDescent="0.3">
      <c r="U960631" s="25"/>
    </row>
    <row r="960653" spans="21:21" x14ac:dyDescent="0.3">
      <c r="U960653" s="25"/>
    </row>
    <row r="960675" spans="21:21" x14ac:dyDescent="0.3">
      <c r="U960675" s="25"/>
    </row>
    <row r="960697" spans="21:21" x14ac:dyDescent="0.3">
      <c r="U960697" s="25"/>
    </row>
    <row r="960719" spans="21:21" x14ac:dyDescent="0.3">
      <c r="U960719" s="25"/>
    </row>
    <row r="960741" spans="21:21" x14ac:dyDescent="0.3">
      <c r="U960741" s="25"/>
    </row>
    <row r="960763" spans="21:21" x14ac:dyDescent="0.3">
      <c r="U960763" s="25"/>
    </row>
    <row r="960785" spans="21:21" x14ac:dyDescent="0.3">
      <c r="U960785" s="25"/>
    </row>
    <row r="960807" spans="21:21" x14ac:dyDescent="0.3">
      <c r="U960807" s="25"/>
    </row>
    <row r="960829" spans="21:21" x14ac:dyDescent="0.3">
      <c r="U960829" s="25"/>
    </row>
    <row r="960851" spans="21:21" x14ac:dyDescent="0.3">
      <c r="U960851" s="25"/>
    </row>
    <row r="960873" spans="21:21" x14ac:dyDescent="0.3">
      <c r="U960873" s="25"/>
    </row>
    <row r="960895" spans="21:21" x14ac:dyDescent="0.3">
      <c r="U960895" s="25"/>
    </row>
    <row r="960917" spans="21:21" x14ac:dyDescent="0.3">
      <c r="U960917" s="25"/>
    </row>
    <row r="960939" spans="21:21" x14ac:dyDescent="0.3">
      <c r="U960939" s="25"/>
    </row>
    <row r="960961" spans="21:21" x14ac:dyDescent="0.3">
      <c r="U960961" s="25"/>
    </row>
    <row r="960983" spans="21:21" x14ac:dyDescent="0.3">
      <c r="U960983" s="25"/>
    </row>
    <row r="961005" spans="21:21" x14ac:dyDescent="0.3">
      <c r="U961005" s="25"/>
    </row>
    <row r="961027" spans="21:21" x14ac:dyDescent="0.3">
      <c r="U961027" s="25"/>
    </row>
    <row r="961049" spans="21:21" x14ac:dyDescent="0.3">
      <c r="U961049" s="25"/>
    </row>
    <row r="961071" spans="21:21" x14ac:dyDescent="0.3">
      <c r="U961071" s="25"/>
    </row>
    <row r="961093" spans="21:21" x14ac:dyDescent="0.3">
      <c r="U961093" s="25"/>
    </row>
    <row r="961115" spans="21:21" x14ac:dyDescent="0.3">
      <c r="U961115" s="25"/>
    </row>
    <row r="961137" spans="21:21" x14ac:dyDescent="0.3">
      <c r="U961137" s="25"/>
    </row>
    <row r="961159" spans="21:21" x14ac:dyDescent="0.3">
      <c r="U961159" s="25"/>
    </row>
    <row r="961181" spans="21:21" x14ac:dyDescent="0.3">
      <c r="U961181" s="25"/>
    </row>
    <row r="961203" spans="21:21" x14ac:dyDescent="0.3">
      <c r="U961203" s="25"/>
    </row>
    <row r="961225" spans="21:21" x14ac:dyDescent="0.3">
      <c r="U961225" s="25"/>
    </row>
    <row r="961247" spans="21:21" x14ac:dyDescent="0.3">
      <c r="U961247" s="25"/>
    </row>
    <row r="961269" spans="21:21" x14ac:dyDescent="0.3">
      <c r="U961269" s="25"/>
    </row>
    <row r="961291" spans="21:21" x14ac:dyDescent="0.3">
      <c r="U961291" s="25"/>
    </row>
    <row r="961313" spans="21:21" x14ac:dyDescent="0.3">
      <c r="U961313" s="25"/>
    </row>
    <row r="961335" spans="21:21" x14ac:dyDescent="0.3">
      <c r="U961335" s="25"/>
    </row>
    <row r="961357" spans="21:21" x14ac:dyDescent="0.3">
      <c r="U961357" s="25"/>
    </row>
    <row r="961379" spans="21:21" x14ac:dyDescent="0.3">
      <c r="U961379" s="25"/>
    </row>
    <row r="961401" spans="21:21" x14ac:dyDescent="0.3">
      <c r="U961401" s="25"/>
    </row>
    <row r="961423" spans="21:21" x14ac:dyDescent="0.3">
      <c r="U961423" s="25"/>
    </row>
    <row r="961445" spans="21:21" x14ac:dyDescent="0.3">
      <c r="U961445" s="25"/>
    </row>
    <row r="961467" spans="21:21" x14ac:dyDescent="0.3">
      <c r="U961467" s="25"/>
    </row>
    <row r="961489" spans="21:21" x14ac:dyDescent="0.3">
      <c r="U961489" s="25"/>
    </row>
    <row r="961511" spans="21:21" x14ac:dyDescent="0.3">
      <c r="U961511" s="25"/>
    </row>
    <row r="961533" spans="21:21" x14ac:dyDescent="0.3">
      <c r="U961533" s="25"/>
    </row>
    <row r="961555" spans="21:21" x14ac:dyDescent="0.3">
      <c r="U961555" s="25"/>
    </row>
    <row r="961577" spans="21:21" x14ac:dyDescent="0.3">
      <c r="U961577" s="25"/>
    </row>
    <row r="961599" spans="21:21" x14ac:dyDescent="0.3">
      <c r="U961599" s="25"/>
    </row>
    <row r="961621" spans="21:21" x14ac:dyDescent="0.3">
      <c r="U961621" s="25"/>
    </row>
    <row r="961643" spans="21:21" x14ac:dyDescent="0.3">
      <c r="U961643" s="25"/>
    </row>
    <row r="961665" spans="21:21" x14ac:dyDescent="0.3">
      <c r="U961665" s="25"/>
    </row>
    <row r="961687" spans="21:21" x14ac:dyDescent="0.3">
      <c r="U961687" s="25"/>
    </row>
    <row r="961709" spans="21:21" x14ac:dyDescent="0.3">
      <c r="U961709" s="25"/>
    </row>
    <row r="961731" spans="21:21" x14ac:dyDescent="0.3">
      <c r="U961731" s="25"/>
    </row>
    <row r="961753" spans="21:21" x14ac:dyDescent="0.3">
      <c r="U961753" s="25"/>
    </row>
    <row r="961775" spans="21:21" x14ac:dyDescent="0.3">
      <c r="U961775" s="25"/>
    </row>
    <row r="961797" spans="21:21" x14ac:dyDescent="0.3">
      <c r="U961797" s="25"/>
    </row>
    <row r="961819" spans="21:21" x14ac:dyDescent="0.3">
      <c r="U961819" s="25"/>
    </row>
    <row r="961841" spans="21:21" x14ac:dyDescent="0.3">
      <c r="U961841" s="25"/>
    </row>
    <row r="961863" spans="21:21" x14ac:dyDescent="0.3">
      <c r="U961863" s="25"/>
    </row>
    <row r="961885" spans="21:21" x14ac:dyDescent="0.3">
      <c r="U961885" s="25"/>
    </row>
    <row r="961907" spans="21:21" x14ac:dyDescent="0.3">
      <c r="U961907" s="25"/>
    </row>
    <row r="961929" spans="21:21" x14ac:dyDescent="0.3">
      <c r="U961929" s="25"/>
    </row>
    <row r="961951" spans="21:21" x14ac:dyDescent="0.3">
      <c r="U961951" s="25"/>
    </row>
    <row r="961973" spans="21:21" x14ac:dyDescent="0.3">
      <c r="U961973" s="25"/>
    </row>
    <row r="961995" spans="21:21" x14ac:dyDescent="0.3">
      <c r="U961995" s="25"/>
    </row>
    <row r="962017" spans="21:21" x14ac:dyDescent="0.3">
      <c r="U962017" s="25"/>
    </row>
    <row r="962039" spans="21:21" x14ac:dyDescent="0.3">
      <c r="U962039" s="25"/>
    </row>
    <row r="962061" spans="21:21" x14ac:dyDescent="0.3">
      <c r="U962061" s="25"/>
    </row>
    <row r="962083" spans="21:21" x14ac:dyDescent="0.3">
      <c r="U962083" s="25"/>
    </row>
    <row r="962105" spans="21:21" x14ac:dyDescent="0.3">
      <c r="U962105" s="25"/>
    </row>
    <row r="962127" spans="21:21" x14ac:dyDescent="0.3">
      <c r="U962127" s="25"/>
    </row>
    <row r="962149" spans="21:21" x14ac:dyDescent="0.3">
      <c r="U962149" s="25"/>
    </row>
    <row r="962171" spans="21:21" x14ac:dyDescent="0.3">
      <c r="U962171" s="25"/>
    </row>
    <row r="962193" spans="21:21" x14ac:dyDescent="0.3">
      <c r="U962193" s="25"/>
    </row>
    <row r="962215" spans="21:21" x14ac:dyDescent="0.3">
      <c r="U962215" s="25"/>
    </row>
    <row r="962237" spans="21:21" x14ac:dyDescent="0.3">
      <c r="U962237" s="25"/>
    </row>
    <row r="962259" spans="21:21" x14ac:dyDescent="0.3">
      <c r="U962259" s="25"/>
    </row>
    <row r="962281" spans="21:21" x14ac:dyDescent="0.3">
      <c r="U962281" s="25"/>
    </row>
    <row r="962303" spans="21:21" x14ac:dyDescent="0.3">
      <c r="U962303" s="25"/>
    </row>
    <row r="962325" spans="21:21" x14ac:dyDescent="0.3">
      <c r="U962325" s="25"/>
    </row>
    <row r="962347" spans="21:21" x14ac:dyDescent="0.3">
      <c r="U962347" s="25"/>
    </row>
    <row r="962369" spans="21:21" x14ac:dyDescent="0.3">
      <c r="U962369" s="25"/>
    </row>
    <row r="962391" spans="21:21" x14ac:dyDescent="0.3">
      <c r="U962391" s="25"/>
    </row>
    <row r="962413" spans="21:21" x14ac:dyDescent="0.3">
      <c r="U962413" s="25"/>
    </row>
    <row r="962435" spans="21:21" x14ac:dyDescent="0.3">
      <c r="U962435" s="25"/>
    </row>
    <row r="962457" spans="21:21" x14ac:dyDescent="0.3">
      <c r="U962457" s="25"/>
    </row>
    <row r="962479" spans="21:21" x14ac:dyDescent="0.3">
      <c r="U962479" s="25"/>
    </row>
    <row r="962501" spans="21:21" x14ac:dyDescent="0.3">
      <c r="U962501" s="25"/>
    </row>
    <row r="962523" spans="21:21" x14ac:dyDescent="0.3">
      <c r="U962523" s="25"/>
    </row>
    <row r="962545" spans="21:21" x14ac:dyDescent="0.3">
      <c r="U962545" s="25"/>
    </row>
    <row r="962567" spans="21:21" x14ac:dyDescent="0.3">
      <c r="U962567" s="25"/>
    </row>
    <row r="962589" spans="21:21" x14ac:dyDescent="0.3">
      <c r="U962589" s="25"/>
    </row>
    <row r="962611" spans="21:21" x14ac:dyDescent="0.3">
      <c r="U962611" s="25"/>
    </row>
    <row r="962633" spans="21:21" x14ac:dyDescent="0.3">
      <c r="U962633" s="25"/>
    </row>
    <row r="962655" spans="21:21" x14ac:dyDescent="0.3">
      <c r="U962655" s="25"/>
    </row>
    <row r="962677" spans="21:21" x14ac:dyDescent="0.3">
      <c r="U962677" s="25"/>
    </row>
    <row r="962699" spans="21:21" x14ac:dyDescent="0.3">
      <c r="U962699" s="25"/>
    </row>
    <row r="962721" spans="21:21" x14ac:dyDescent="0.3">
      <c r="U962721" s="25"/>
    </row>
    <row r="962743" spans="21:21" x14ac:dyDescent="0.3">
      <c r="U962743" s="25"/>
    </row>
    <row r="962765" spans="21:21" x14ac:dyDescent="0.3">
      <c r="U962765" s="25"/>
    </row>
    <row r="962787" spans="21:21" x14ac:dyDescent="0.3">
      <c r="U962787" s="25"/>
    </row>
    <row r="962809" spans="21:21" x14ac:dyDescent="0.3">
      <c r="U962809" s="25"/>
    </row>
    <row r="962831" spans="21:21" x14ac:dyDescent="0.3">
      <c r="U962831" s="25"/>
    </row>
    <row r="962853" spans="21:21" x14ac:dyDescent="0.3">
      <c r="U962853" s="25"/>
    </row>
    <row r="962875" spans="21:21" x14ac:dyDescent="0.3">
      <c r="U962875" s="25"/>
    </row>
    <row r="962897" spans="21:21" x14ac:dyDescent="0.3">
      <c r="U962897" s="25"/>
    </row>
    <row r="962919" spans="21:21" x14ac:dyDescent="0.3">
      <c r="U962919" s="25"/>
    </row>
    <row r="962941" spans="21:21" x14ac:dyDescent="0.3">
      <c r="U962941" s="25"/>
    </row>
    <row r="962963" spans="21:21" x14ac:dyDescent="0.3">
      <c r="U962963" s="25"/>
    </row>
    <row r="962985" spans="21:21" x14ac:dyDescent="0.3">
      <c r="U962985" s="25"/>
    </row>
    <row r="963007" spans="21:21" x14ac:dyDescent="0.3">
      <c r="U963007" s="25"/>
    </row>
    <row r="963029" spans="21:21" x14ac:dyDescent="0.3">
      <c r="U963029" s="25"/>
    </row>
    <row r="963051" spans="21:21" x14ac:dyDescent="0.3">
      <c r="U963051" s="25"/>
    </row>
    <row r="963073" spans="21:21" x14ac:dyDescent="0.3">
      <c r="U963073" s="25"/>
    </row>
    <row r="963095" spans="21:21" x14ac:dyDescent="0.3">
      <c r="U963095" s="25"/>
    </row>
    <row r="963117" spans="21:21" x14ac:dyDescent="0.3">
      <c r="U963117" s="25"/>
    </row>
    <row r="963139" spans="21:21" x14ac:dyDescent="0.3">
      <c r="U963139" s="25"/>
    </row>
    <row r="963161" spans="21:21" x14ac:dyDescent="0.3">
      <c r="U963161" s="25"/>
    </row>
    <row r="963183" spans="21:21" x14ac:dyDescent="0.3">
      <c r="U963183" s="25"/>
    </row>
    <row r="963205" spans="21:21" x14ac:dyDescent="0.3">
      <c r="U963205" s="25"/>
    </row>
    <row r="963227" spans="21:21" x14ac:dyDescent="0.3">
      <c r="U963227" s="25"/>
    </row>
    <row r="963249" spans="21:21" x14ac:dyDescent="0.3">
      <c r="U963249" s="25"/>
    </row>
    <row r="963271" spans="21:21" x14ac:dyDescent="0.3">
      <c r="U963271" s="25"/>
    </row>
    <row r="963293" spans="21:21" x14ac:dyDescent="0.3">
      <c r="U963293" s="25"/>
    </row>
    <row r="963315" spans="21:21" x14ac:dyDescent="0.3">
      <c r="U963315" s="25"/>
    </row>
    <row r="963337" spans="21:21" x14ac:dyDescent="0.3">
      <c r="U963337" s="25"/>
    </row>
    <row r="963359" spans="21:21" x14ac:dyDescent="0.3">
      <c r="U963359" s="25"/>
    </row>
    <row r="963381" spans="21:21" x14ac:dyDescent="0.3">
      <c r="U963381" s="25"/>
    </row>
    <row r="963403" spans="21:21" x14ac:dyDescent="0.3">
      <c r="U963403" s="25"/>
    </row>
    <row r="963425" spans="21:21" x14ac:dyDescent="0.3">
      <c r="U963425" s="25"/>
    </row>
    <row r="963447" spans="21:21" x14ac:dyDescent="0.3">
      <c r="U963447" s="25"/>
    </row>
    <row r="963469" spans="21:21" x14ac:dyDescent="0.3">
      <c r="U963469" s="25"/>
    </row>
    <row r="963491" spans="21:21" x14ac:dyDescent="0.3">
      <c r="U963491" s="25"/>
    </row>
    <row r="963513" spans="21:21" x14ac:dyDescent="0.3">
      <c r="U963513" s="25"/>
    </row>
    <row r="963535" spans="21:21" x14ac:dyDescent="0.3">
      <c r="U963535" s="25"/>
    </row>
    <row r="963557" spans="21:21" x14ac:dyDescent="0.3">
      <c r="U963557" s="25"/>
    </row>
    <row r="963579" spans="21:21" x14ac:dyDescent="0.3">
      <c r="U963579" s="25"/>
    </row>
    <row r="963601" spans="21:21" x14ac:dyDescent="0.3">
      <c r="U963601" s="25"/>
    </row>
    <row r="963623" spans="21:21" x14ac:dyDescent="0.3">
      <c r="U963623" s="25"/>
    </row>
    <row r="963645" spans="21:21" x14ac:dyDescent="0.3">
      <c r="U963645" s="25"/>
    </row>
    <row r="963667" spans="21:21" x14ac:dyDescent="0.3">
      <c r="U963667" s="25"/>
    </row>
    <row r="963689" spans="21:21" x14ac:dyDescent="0.3">
      <c r="U963689" s="25"/>
    </row>
    <row r="963711" spans="21:21" x14ac:dyDescent="0.3">
      <c r="U963711" s="25"/>
    </row>
    <row r="963733" spans="21:21" x14ac:dyDescent="0.3">
      <c r="U963733" s="25"/>
    </row>
    <row r="963755" spans="21:21" x14ac:dyDescent="0.3">
      <c r="U963755" s="25"/>
    </row>
    <row r="963777" spans="21:21" x14ac:dyDescent="0.3">
      <c r="U963777" s="25"/>
    </row>
    <row r="963799" spans="21:21" x14ac:dyDescent="0.3">
      <c r="U963799" s="25"/>
    </row>
    <row r="963821" spans="21:21" x14ac:dyDescent="0.3">
      <c r="U963821" s="25"/>
    </row>
    <row r="963843" spans="21:21" x14ac:dyDescent="0.3">
      <c r="U963843" s="25"/>
    </row>
    <row r="963865" spans="21:21" x14ac:dyDescent="0.3">
      <c r="U963865" s="25"/>
    </row>
    <row r="963887" spans="21:21" x14ac:dyDescent="0.3">
      <c r="U963887" s="25"/>
    </row>
    <row r="963909" spans="21:21" x14ac:dyDescent="0.3">
      <c r="U963909" s="25"/>
    </row>
    <row r="963931" spans="21:21" x14ac:dyDescent="0.3">
      <c r="U963931" s="25"/>
    </row>
    <row r="963953" spans="21:21" x14ac:dyDescent="0.3">
      <c r="U963953" s="25"/>
    </row>
    <row r="963975" spans="21:21" x14ac:dyDescent="0.3">
      <c r="U963975" s="25"/>
    </row>
    <row r="963997" spans="21:21" x14ac:dyDescent="0.3">
      <c r="U963997" s="25"/>
    </row>
    <row r="964019" spans="21:21" x14ac:dyDescent="0.3">
      <c r="U964019" s="25"/>
    </row>
    <row r="964041" spans="21:21" x14ac:dyDescent="0.3">
      <c r="U964041" s="25"/>
    </row>
    <row r="964063" spans="21:21" x14ac:dyDescent="0.3">
      <c r="U964063" s="25"/>
    </row>
    <row r="964085" spans="21:21" x14ac:dyDescent="0.3">
      <c r="U964085" s="25"/>
    </row>
    <row r="964107" spans="21:21" x14ac:dyDescent="0.3">
      <c r="U964107" s="25"/>
    </row>
    <row r="964129" spans="21:21" x14ac:dyDescent="0.3">
      <c r="U964129" s="25"/>
    </row>
    <row r="964151" spans="21:21" x14ac:dyDescent="0.3">
      <c r="U964151" s="25"/>
    </row>
    <row r="964173" spans="21:21" x14ac:dyDescent="0.3">
      <c r="U964173" s="25"/>
    </row>
    <row r="964195" spans="21:21" x14ac:dyDescent="0.3">
      <c r="U964195" s="25"/>
    </row>
    <row r="964217" spans="21:21" x14ac:dyDescent="0.3">
      <c r="U964217" s="25"/>
    </row>
    <row r="964239" spans="21:21" x14ac:dyDescent="0.3">
      <c r="U964239" s="25"/>
    </row>
    <row r="964261" spans="21:21" x14ac:dyDescent="0.3">
      <c r="U964261" s="25"/>
    </row>
    <row r="964283" spans="21:21" x14ac:dyDescent="0.3">
      <c r="U964283" s="25"/>
    </row>
    <row r="964305" spans="21:21" x14ac:dyDescent="0.3">
      <c r="U964305" s="25"/>
    </row>
    <row r="964327" spans="21:21" x14ac:dyDescent="0.3">
      <c r="U964327" s="25"/>
    </row>
    <row r="964349" spans="21:21" x14ac:dyDescent="0.3">
      <c r="U964349" s="25"/>
    </row>
    <row r="964371" spans="21:21" x14ac:dyDescent="0.3">
      <c r="U964371" s="25"/>
    </row>
    <row r="964393" spans="21:21" x14ac:dyDescent="0.3">
      <c r="U964393" s="25"/>
    </row>
    <row r="964415" spans="21:21" x14ac:dyDescent="0.3">
      <c r="U964415" s="25"/>
    </row>
    <row r="964437" spans="21:21" x14ac:dyDescent="0.3">
      <c r="U964437" s="25"/>
    </row>
    <row r="964459" spans="21:21" x14ac:dyDescent="0.3">
      <c r="U964459" s="25"/>
    </row>
    <row r="964481" spans="21:21" x14ac:dyDescent="0.3">
      <c r="U964481" s="25"/>
    </row>
    <row r="964503" spans="21:21" x14ac:dyDescent="0.3">
      <c r="U964503" s="25"/>
    </row>
    <row r="964525" spans="21:21" x14ac:dyDescent="0.3">
      <c r="U964525" s="25"/>
    </row>
    <row r="964547" spans="21:21" x14ac:dyDescent="0.3">
      <c r="U964547" s="25"/>
    </row>
    <row r="964569" spans="21:21" x14ac:dyDescent="0.3">
      <c r="U964569" s="25"/>
    </row>
    <row r="964591" spans="21:21" x14ac:dyDescent="0.3">
      <c r="U964591" s="25"/>
    </row>
    <row r="964613" spans="21:21" x14ac:dyDescent="0.3">
      <c r="U964613" s="25"/>
    </row>
    <row r="964635" spans="21:21" x14ac:dyDescent="0.3">
      <c r="U964635" s="25"/>
    </row>
    <row r="964657" spans="21:21" x14ac:dyDescent="0.3">
      <c r="U964657" s="25"/>
    </row>
    <row r="964679" spans="21:21" x14ac:dyDescent="0.3">
      <c r="U964679" s="25"/>
    </row>
    <row r="964701" spans="21:21" x14ac:dyDescent="0.3">
      <c r="U964701" s="25"/>
    </row>
    <row r="964723" spans="21:21" x14ac:dyDescent="0.3">
      <c r="U964723" s="25"/>
    </row>
    <row r="964745" spans="21:21" x14ac:dyDescent="0.3">
      <c r="U964745" s="25"/>
    </row>
    <row r="964767" spans="21:21" x14ac:dyDescent="0.3">
      <c r="U964767" s="25"/>
    </row>
    <row r="964789" spans="21:21" x14ac:dyDescent="0.3">
      <c r="U964789" s="25"/>
    </row>
    <row r="964811" spans="21:21" x14ac:dyDescent="0.3">
      <c r="U964811" s="25"/>
    </row>
    <row r="964833" spans="21:21" x14ac:dyDescent="0.3">
      <c r="U964833" s="25"/>
    </row>
    <row r="964855" spans="21:21" x14ac:dyDescent="0.3">
      <c r="U964855" s="25"/>
    </row>
    <row r="964877" spans="21:21" x14ac:dyDescent="0.3">
      <c r="U964877" s="25"/>
    </row>
    <row r="964899" spans="21:21" x14ac:dyDescent="0.3">
      <c r="U964899" s="25"/>
    </row>
    <row r="964921" spans="21:21" x14ac:dyDescent="0.3">
      <c r="U964921" s="25"/>
    </row>
    <row r="964943" spans="21:21" x14ac:dyDescent="0.3">
      <c r="U964943" s="25"/>
    </row>
    <row r="964965" spans="21:21" x14ac:dyDescent="0.3">
      <c r="U964965" s="25"/>
    </row>
    <row r="964987" spans="21:21" x14ac:dyDescent="0.3">
      <c r="U964987" s="25"/>
    </row>
    <row r="965009" spans="21:21" x14ac:dyDescent="0.3">
      <c r="U965009" s="25"/>
    </row>
    <row r="965031" spans="21:21" x14ac:dyDescent="0.3">
      <c r="U965031" s="25"/>
    </row>
    <row r="965053" spans="21:21" x14ac:dyDescent="0.3">
      <c r="U965053" s="25"/>
    </row>
    <row r="965075" spans="21:21" x14ac:dyDescent="0.3">
      <c r="U965075" s="25"/>
    </row>
    <row r="965097" spans="21:21" x14ac:dyDescent="0.3">
      <c r="U965097" s="25"/>
    </row>
    <row r="965119" spans="21:21" x14ac:dyDescent="0.3">
      <c r="U965119" s="25"/>
    </row>
    <row r="965141" spans="21:21" x14ac:dyDescent="0.3">
      <c r="U965141" s="25"/>
    </row>
    <row r="965163" spans="21:21" x14ac:dyDescent="0.3">
      <c r="U965163" s="25"/>
    </row>
    <row r="965185" spans="21:21" x14ac:dyDescent="0.3">
      <c r="U965185" s="25"/>
    </row>
    <row r="965207" spans="21:21" x14ac:dyDescent="0.3">
      <c r="U965207" s="25"/>
    </row>
    <row r="965229" spans="21:21" x14ac:dyDescent="0.3">
      <c r="U965229" s="25"/>
    </row>
    <row r="965251" spans="21:21" x14ac:dyDescent="0.3">
      <c r="U965251" s="25"/>
    </row>
    <row r="965273" spans="21:21" x14ac:dyDescent="0.3">
      <c r="U965273" s="25"/>
    </row>
    <row r="965295" spans="21:21" x14ac:dyDescent="0.3">
      <c r="U965295" s="25"/>
    </row>
    <row r="965317" spans="21:21" x14ac:dyDescent="0.3">
      <c r="U965317" s="25"/>
    </row>
    <row r="965339" spans="21:21" x14ac:dyDescent="0.3">
      <c r="U965339" s="25"/>
    </row>
    <row r="965361" spans="21:21" x14ac:dyDescent="0.3">
      <c r="U965361" s="25"/>
    </row>
    <row r="965383" spans="21:21" x14ac:dyDescent="0.3">
      <c r="U965383" s="25"/>
    </row>
    <row r="965405" spans="21:21" x14ac:dyDescent="0.3">
      <c r="U965405" s="25"/>
    </row>
    <row r="965427" spans="21:21" x14ac:dyDescent="0.3">
      <c r="U965427" s="25"/>
    </row>
    <row r="965449" spans="21:21" x14ac:dyDescent="0.3">
      <c r="U965449" s="25"/>
    </row>
    <row r="965471" spans="21:21" x14ac:dyDescent="0.3">
      <c r="U965471" s="25"/>
    </row>
    <row r="965493" spans="21:21" x14ac:dyDescent="0.3">
      <c r="U965493" s="25"/>
    </row>
    <row r="965515" spans="21:21" x14ac:dyDescent="0.3">
      <c r="U965515" s="25"/>
    </row>
    <row r="965537" spans="21:21" x14ac:dyDescent="0.3">
      <c r="U965537" s="25"/>
    </row>
    <row r="965559" spans="21:21" x14ac:dyDescent="0.3">
      <c r="U965559" s="25"/>
    </row>
    <row r="965581" spans="21:21" x14ac:dyDescent="0.3">
      <c r="U965581" s="25"/>
    </row>
    <row r="965603" spans="21:21" x14ac:dyDescent="0.3">
      <c r="U965603" s="25"/>
    </row>
    <row r="965625" spans="21:21" x14ac:dyDescent="0.3">
      <c r="U965625" s="25"/>
    </row>
    <row r="965647" spans="21:21" x14ac:dyDescent="0.3">
      <c r="U965647" s="25"/>
    </row>
    <row r="965669" spans="21:21" x14ac:dyDescent="0.3">
      <c r="U965669" s="25"/>
    </row>
    <row r="965691" spans="21:21" x14ac:dyDescent="0.3">
      <c r="U965691" s="25"/>
    </row>
    <row r="965713" spans="21:21" x14ac:dyDescent="0.3">
      <c r="U965713" s="25"/>
    </row>
    <row r="965735" spans="21:21" x14ac:dyDescent="0.3">
      <c r="U965735" s="25"/>
    </row>
    <row r="965757" spans="21:21" x14ac:dyDescent="0.3">
      <c r="U965757" s="25"/>
    </row>
    <row r="965779" spans="21:21" x14ac:dyDescent="0.3">
      <c r="U965779" s="25"/>
    </row>
    <row r="965801" spans="21:21" x14ac:dyDescent="0.3">
      <c r="U965801" s="25"/>
    </row>
    <row r="965823" spans="21:21" x14ac:dyDescent="0.3">
      <c r="U965823" s="25"/>
    </row>
    <row r="965845" spans="21:21" x14ac:dyDescent="0.3">
      <c r="U965845" s="25"/>
    </row>
    <row r="965867" spans="21:21" x14ac:dyDescent="0.3">
      <c r="U965867" s="25"/>
    </row>
    <row r="965889" spans="21:21" x14ac:dyDescent="0.3">
      <c r="U965889" s="25"/>
    </row>
    <row r="965911" spans="21:21" x14ac:dyDescent="0.3">
      <c r="U965911" s="25"/>
    </row>
    <row r="965933" spans="21:21" x14ac:dyDescent="0.3">
      <c r="U965933" s="25"/>
    </row>
    <row r="965955" spans="21:21" x14ac:dyDescent="0.3">
      <c r="U965955" s="25"/>
    </row>
    <row r="965977" spans="21:21" x14ac:dyDescent="0.3">
      <c r="U965977" s="25"/>
    </row>
    <row r="965999" spans="21:21" x14ac:dyDescent="0.3">
      <c r="U965999" s="25"/>
    </row>
    <row r="966021" spans="21:21" x14ac:dyDescent="0.3">
      <c r="U966021" s="25"/>
    </row>
    <row r="966043" spans="21:21" x14ac:dyDescent="0.3">
      <c r="U966043" s="25"/>
    </row>
    <row r="966065" spans="21:21" x14ac:dyDescent="0.3">
      <c r="U966065" s="25"/>
    </row>
    <row r="966087" spans="21:21" x14ac:dyDescent="0.3">
      <c r="U966087" s="25"/>
    </row>
    <row r="966109" spans="21:21" x14ac:dyDescent="0.3">
      <c r="U966109" s="25"/>
    </row>
    <row r="966131" spans="21:21" x14ac:dyDescent="0.3">
      <c r="U966131" s="25"/>
    </row>
    <row r="966153" spans="21:21" x14ac:dyDescent="0.3">
      <c r="U966153" s="25"/>
    </row>
    <row r="966175" spans="21:21" x14ac:dyDescent="0.3">
      <c r="U966175" s="25"/>
    </row>
    <row r="966197" spans="21:21" x14ac:dyDescent="0.3">
      <c r="U966197" s="25"/>
    </row>
    <row r="966219" spans="21:21" x14ac:dyDescent="0.3">
      <c r="U966219" s="25"/>
    </row>
    <row r="966241" spans="21:21" x14ac:dyDescent="0.3">
      <c r="U966241" s="25"/>
    </row>
    <row r="966263" spans="21:21" x14ac:dyDescent="0.3">
      <c r="U966263" s="25"/>
    </row>
    <row r="966285" spans="21:21" x14ac:dyDescent="0.3">
      <c r="U966285" s="25"/>
    </row>
    <row r="966307" spans="21:21" x14ac:dyDescent="0.3">
      <c r="U966307" s="25"/>
    </row>
    <row r="966329" spans="21:21" x14ac:dyDescent="0.3">
      <c r="U966329" s="25"/>
    </row>
    <row r="966351" spans="21:21" x14ac:dyDescent="0.3">
      <c r="U966351" s="25"/>
    </row>
    <row r="966373" spans="21:21" x14ac:dyDescent="0.3">
      <c r="U966373" s="25"/>
    </row>
    <row r="966395" spans="21:21" x14ac:dyDescent="0.3">
      <c r="U966395" s="25"/>
    </row>
    <row r="966417" spans="21:21" x14ac:dyDescent="0.3">
      <c r="U966417" s="25"/>
    </row>
    <row r="966439" spans="21:21" x14ac:dyDescent="0.3">
      <c r="U966439" s="25"/>
    </row>
    <row r="966461" spans="21:21" x14ac:dyDescent="0.3">
      <c r="U966461" s="25"/>
    </row>
    <row r="966483" spans="21:21" x14ac:dyDescent="0.3">
      <c r="U966483" s="25"/>
    </row>
    <row r="966505" spans="21:21" x14ac:dyDescent="0.3">
      <c r="U966505" s="25"/>
    </row>
    <row r="966527" spans="21:21" x14ac:dyDescent="0.3">
      <c r="U966527" s="25"/>
    </row>
    <row r="966549" spans="21:21" x14ac:dyDescent="0.3">
      <c r="U966549" s="25"/>
    </row>
    <row r="966571" spans="21:21" x14ac:dyDescent="0.3">
      <c r="U966571" s="25"/>
    </row>
    <row r="966593" spans="21:21" x14ac:dyDescent="0.3">
      <c r="U966593" s="25"/>
    </row>
    <row r="966615" spans="21:21" x14ac:dyDescent="0.3">
      <c r="U966615" s="25"/>
    </row>
    <row r="966637" spans="21:21" x14ac:dyDescent="0.3">
      <c r="U966637" s="25"/>
    </row>
    <row r="966659" spans="21:21" x14ac:dyDescent="0.3">
      <c r="U966659" s="25"/>
    </row>
    <row r="966681" spans="21:21" x14ac:dyDescent="0.3">
      <c r="U966681" s="25"/>
    </row>
    <row r="966703" spans="21:21" x14ac:dyDescent="0.3">
      <c r="U966703" s="25"/>
    </row>
    <row r="966725" spans="21:21" x14ac:dyDescent="0.3">
      <c r="U966725" s="25"/>
    </row>
    <row r="966747" spans="21:21" x14ac:dyDescent="0.3">
      <c r="U966747" s="25"/>
    </row>
    <row r="966769" spans="21:21" x14ac:dyDescent="0.3">
      <c r="U966769" s="25"/>
    </row>
    <row r="966791" spans="21:21" x14ac:dyDescent="0.3">
      <c r="U966791" s="25"/>
    </row>
    <row r="966813" spans="21:21" x14ac:dyDescent="0.3">
      <c r="U966813" s="25"/>
    </row>
    <row r="966835" spans="21:21" x14ac:dyDescent="0.3">
      <c r="U966835" s="25"/>
    </row>
    <row r="966857" spans="21:21" x14ac:dyDescent="0.3">
      <c r="U966857" s="25"/>
    </row>
    <row r="966879" spans="21:21" x14ac:dyDescent="0.3">
      <c r="U966879" s="25"/>
    </row>
    <row r="966901" spans="21:21" x14ac:dyDescent="0.3">
      <c r="U966901" s="25"/>
    </row>
    <row r="966923" spans="21:21" x14ac:dyDescent="0.3">
      <c r="U966923" s="25"/>
    </row>
    <row r="966945" spans="21:21" x14ac:dyDescent="0.3">
      <c r="U966945" s="25"/>
    </row>
    <row r="966967" spans="21:21" x14ac:dyDescent="0.3">
      <c r="U966967" s="25"/>
    </row>
    <row r="966989" spans="21:21" x14ac:dyDescent="0.3">
      <c r="U966989" s="25"/>
    </row>
    <row r="967011" spans="21:21" x14ac:dyDescent="0.3">
      <c r="U967011" s="25"/>
    </row>
    <row r="967033" spans="21:21" x14ac:dyDescent="0.3">
      <c r="U967033" s="25"/>
    </row>
    <row r="967055" spans="21:21" x14ac:dyDescent="0.3">
      <c r="U967055" s="25"/>
    </row>
    <row r="967077" spans="21:21" x14ac:dyDescent="0.3">
      <c r="U967077" s="25"/>
    </row>
    <row r="967099" spans="21:21" x14ac:dyDescent="0.3">
      <c r="U967099" s="25"/>
    </row>
    <row r="967121" spans="21:21" x14ac:dyDescent="0.3">
      <c r="U967121" s="25"/>
    </row>
    <row r="967143" spans="21:21" x14ac:dyDescent="0.3">
      <c r="U967143" s="25"/>
    </row>
    <row r="967165" spans="21:21" x14ac:dyDescent="0.3">
      <c r="U967165" s="25"/>
    </row>
    <row r="967187" spans="21:21" x14ac:dyDescent="0.3">
      <c r="U967187" s="25"/>
    </row>
    <row r="967209" spans="21:21" x14ac:dyDescent="0.3">
      <c r="U967209" s="25"/>
    </row>
    <row r="967231" spans="21:21" x14ac:dyDescent="0.3">
      <c r="U967231" s="25"/>
    </row>
    <row r="967253" spans="21:21" x14ac:dyDescent="0.3">
      <c r="U967253" s="25"/>
    </row>
    <row r="967275" spans="21:21" x14ac:dyDescent="0.3">
      <c r="U967275" s="25"/>
    </row>
    <row r="967297" spans="21:21" x14ac:dyDescent="0.3">
      <c r="U967297" s="25"/>
    </row>
    <row r="967319" spans="21:21" x14ac:dyDescent="0.3">
      <c r="U967319" s="25"/>
    </row>
    <row r="967341" spans="21:21" x14ac:dyDescent="0.3">
      <c r="U967341" s="25"/>
    </row>
    <row r="967363" spans="21:21" x14ac:dyDescent="0.3">
      <c r="U967363" s="25"/>
    </row>
    <row r="967385" spans="21:21" x14ac:dyDescent="0.3">
      <c r="U967385" s="25"/>
    </row>
    <row r="967407" spans="21:21" x14ac:dyDescent="0.3">
      <c r="U967407" s="25"/>
    </row>
    <row r="967429" spans="21:21" x14ac:dyDescent="0.3">
      <c r="U967429" s="25"/>
    </row>
    <row r="967451" spans="21:21" x14ac:dyDescent="0.3">
      <c r="U967451" s="25"/>
    </row>
    <row r="967473" spans="21:21" x14ac:dyDescent="0.3">
      <c r="U967473" s="25"/>
    </row>
    <row r="967495" spans="21:21" x14ac:dyDescent="0.3">
      <c r="U967495" s="25"/>
    </row>
    <row r="967517" spans="21:21" x14ac:dyDescent="0.3">
      <c r="U967517" s="25"/>
    </row>
    <row r="967539" spans="21:21" x14ac:dyDescent="0.3">
      <c r="U967539" s="25"/>
    </row>
    <row r="967561" spans="21:21" x14ac:dyDescent="0.3">
      <c r="U967561" s="25"/>
    </row>
    <row r="967583" spans="21:21" x14ac:dyDescent="0.3">
      <c r="U967583" s="25"/>
    </row>
    <row r="967605" spans="21:21" x14ac:dyDescent="0.3">
      <c r="U967605" s="25"/>
    </row>
    <row r="967627" spans="21:21" x14ac:dyDescent="0.3">
      <c r="U967627" s="25"/>
    </row>
    <row r="967649" spans="21:21" x14ac:dyDescent="0.3">
      <c r="U967649" s="25"/>
    </row>
    <row r="967671" spans="21:21" x14ac:dyDescent="0.3">
      <c r="U967671" s="25"/>
    </row>
    <row r="967693" spans="21:21" x14ac:dyDescent="0.3">
      <c r="U967693" s="25"/>
    </row>
    <row r="967715" spans="21:21" x14ac:dyDescent="0.3">
      <c r="U967715" s="25"/>
    </row>
    <row r="967737" spans="21:21" x14ac:dyDescent="0.3">
      <c r="U967737" s="25"/>
    </row>
    <row r="967759" spans="21:21" x14ac:dyDescent="0.3">
      <c r="U967759" s="25"/>
    </row>
    <row r="967781" spans="21:21" x14ac:dyDescent="0.3">
      <c r="U967781" s="25"/>
    </row>
    <row r="967803" spans="21:21" x14ac:dyDescent="0.3">
      <c r="U967803" s="25"/>
    </row>
    <row r="967825" spans="21:21" x14ac:dyDescent="0.3">
      <c r="U967825" s="25"/>
    </row>
    <row r="967847" spans="21:21" x14ac:dyDescent="0.3">
      <c r="U967847" s="25"/>
    </row>
    <row r="967869" spans="21:21" x14ac:dyDescent="0.3">
      <c r="U967869" s="25"/>
    </row>
    <row r="967891" spans="21:21" x14ac:dyDescent="0.3">
      <c r="U967891" s="25"/>
    </row>
    <row r="967913" spans="21:21" x14ac:dyDescent="0.3">
      <c r="U967913" s="25"/>
    </row>
    <row r="967935" spans="21:21" x14ac:dyDescent="0.3">
      <c r="U967935" s="25"/>
    </row>
    <row r="967957" spans="21:21" x14ac:dyDescent="0.3">
      <c r="U967957" s="25"/>
    </row>
    <row r="967979" spans="21:21" x14ac:dyDescent="0.3">
      <c r="U967979" s="25"/>
    </row>
    <row r="968001" spans="21:21" x14ac:dyDescent="0.3">
      <c r="U968001" s="25"/>
    </row>
    <row r="968023" spans="21:21" x14ac:dyDescent="0.3">
      <c r="U968023" s="25"/>
    </row>
    <row r="968045" spans="21:21" x14ac:dyDescent="0.3">
      <c r="U968045" s="25"/>
    </row>
    <row r="968067" spans="21:21" x14ac:dyDescent="0.3">
      <c r="U968067" s="25"/>
    </row>
    <row r="968089" spans="21:21" x14ac:dyDescent="0.3">
      <c r="U968089" s="25"/>
    </row>
    <row r="968111" spans="21:21" x14ac:dyDescent="0.3">
      <c r="U968111" s="25"/>
    </row>
    <row r="968133" spans="21:21" x14ac:dyDescent="0.3">
      <c r="U968133" s="25"/>
    </row>
    <row r="968155" spans="21:21" x14ac:dyDescent="0.3">
      <c r="U968155" s="25"/>
    </row>
    <row r="968177" spans="21:21" x14ac:dyDescent="0.3">
      <c r="U968177" s="25"/>
    </row>
    <row r="968199" spans="21:21" x14ac:dyDescent="0.3">
      <c r="U968199" s="25"/>
    </row>
    <row r="968221" spans="21:21" x14ac:dyDescent="0.3">
      <c r="U968221" s="25"/>
    </row>
    <row r="968243" spans="21:21" x14ac:dyDescent="0.3">
      <c r="U968243" s="25"/>
    </row>
    <row r="968265" spans="21:21" x14ac:dyDescent="0.3">
      <c r="U968265" s="25"/>
    </row>
    <row r="968287" spans="21:21" x14ac:dyDescent="0.3">
      <c r="U968287" s="25"/>
    </row>
    <row r="968309" spans="21:21" x14ac:dyDescent="0.3">
      <c r="U968309" s="25"/>
    </row>
    <row r="968331" spans="21:21" x14ac:dyDescent="0.3">
      <c r="U968331" s="25"/>
    </row>
    <row r="968353" spans="21:21" x14ac:dyDescent="0.3">
      <c r="U968353" s="25"/>
    </row>
    <row r="968375" spans="21:21" x14ac:dyDescent="0.3">
      <c r="U968375" s="25"/>
    </row>
    <row r="968397" spans="21:21" x14ac:dyDescent="0.3">
      <c r="U968397" s="25"/>
    </row>
    <row r="968419" spans="21:21" x14ac:dyDescent="0.3">
      <c r="U968419" s="25"/>
    </row>
    <row r="968441" spans="21:21" x14ac:dyDescent="0.3">
      <c r="U968441" s="25"/>
    </row>
    <row r="968463" spans="21:21" x14ac:dyDescent="0.3">
      <c r="U968463" s="25"/>
    </row>
    <row r="968485" spans="21:21" x14ac:dyDescent="0.3">
      <c r="U968485" s="25"/>
    </row>
    <row r="968507" spans="21:21" x14ac:dyDescent="0.3">
      <c r="U968507" s="25"/>
    </row>
    <row r="968529" spans="21:21" x14ac:dyDescent="0.3">
      <c r="U968529" s="25"/>
    </row>
    <row r="968551" spans="21:21" x14ac:dyDescent="0.3">
      <c r="U968551" s="25"/>
    </row>
    <row r="968573" spans="21:21" x14ac:dyDescent="0.3">
      <c r="U968573" s="25"/>
    </row>
    <row r="968595" spans="21:21" x14ac:dyDescent="0.3">
      <c r="U968595" s="25"/>
    </row>
    <row r="968617" spans="21:21" x14ac:dyDescent="0.3">
      <c r="U968617" s="25"/>
    </row>
    <row r="968639" spans="21:21" x14ac:dyDescent="0.3">
      <c r="U968639" s="25"/>
    </row>
    <row r="968661" spans="21:21" x14ac:dyDescent="0.3">
      <c r="U968661" s="25"/>
    </row>
    <row r="968683" spans="21:21" x14ac:dyDescent="0.3">
      <c r="U968683" s="25"/>
    </row>
    <row r="968705" spans="21:21" x14ac:dyDescent="0.3">
      <c r="U968705" s="25"/>
    </row>
    <row r="968727" spans="21:21" x14ac:dyDescent="0.3">
      <c r="U968727" s="25"/>
    </row>
    <row r="968749" spans="21:21" x14ac:dyDescent="0.3">
      <c r="U968749" s="25"/>
    </row>
    <row r="968771" spans="21:21" x14ac:dyDescent="0.3">
      <c r="U968771" s="25"/>
    </row>
    <row r="968793" spans="21:21" x14ac:dyDescent="0.3">
      <c r="U968793" s="25"/>
    </row>
    <row r="968815" spans="21:21" x14ac:dyDescent="0.3">
      <c r="U968815" s="25"/>
    </row>
    <row r="968837" spans="21:21" x14ac:dyDescent="0.3">
      <c r="U968837" s="25"/>
    </row>
    <row r="968859" spans="21:21" x14ac:dyDescent="0.3">
      <c r="U968859" s="25"/>
    </row>
    <row r="968881" spans="21:21" x14ac:dyDescent="0.3">
      <c r="U968881" s="25"/>
    </row>
    <row r="968903" spans="21:21" x14ac:dyDescent="0.3">
      <c r="U968903" s="25"/>
    </row>
    <row r="968925" spans="21:21" x14ac:dyDescent="0.3">
      <c r="U968925" s="25"/>
    </row>
    <row r="968947" spans="21:21" x14ac:dyDescent="0.3">
      <c r="U968947" s="25"/>
    </row>
    <row r="968969" spans="21:21" x14ac:dyDescent="0.3">
      <c r="U968969" s="25"/>
    </row>
    <row r="968991" spans="21:21" x14ac:dyDescent="0.3">
      <c r="U968991" s="25"/>
    </row>
    <row r="969013" spans="21:21" x14ac:dyDescent="0.3">
      <c r="U969013" s="25"/>
    </row>
    <row r="969035" spans="21:21" x14ac:dyDescent="0.3">
      <c r="U969035" s="25"/>
    </row>
    <row r="969057" spans="21:21" x14ac:dyDescent="0.3">
      <c r="U969057" s="25"/>
    </row>
    <row r="969079" spans="21:21" x14ac:dyDescent="0.3">
      <c r="U969079" s="25"/>
    </row>
    <row r="969101" spans="21:21" x14ac:dyDescent="0.3">
      <c r="U969101" s="25"/>
    </row>
    <row r="969123" spans="21:21" x14ac:dyDescent="0.3">
      <c r="U969123" s="25"/>
    </row>
    <row r="969145" spans="21:21" x14ac:dyDescent="0.3">
      <c r="U969145" s="25"/>
    </row>
    <row r="969167" spans="21:21" x14ac:dyDescent="0.3">
      <c r="U969167" s="25"/>
    </row>
    <row r="969189" spans="21:21" x14ac:dyDescent="0.3">
      <c r="U969189" s="25"/>
    </row>
    <row r="969211" spans="21:21" x14ac:dyDescent="0.3">
      <c r="U969211" s="25"/>
    </row>
    <row r="969233" spans="21:21" x14ac:dyDescent="0.3">
      <c r="U969233" s="25"/>
    </row>
    <row r="969255" spans="21:21" x14ac:dyDescent="0.3">
      <c r="U969255" s="25"/>
    </row>
    <row r="969277" spans="21:21" x14ac:dyDescent="0.3">
      <c r="U969277" s="25"/>
    </row>
    <row r="969299" spans="21:21" x14ac:dyDescent="0.3">
      <c r="U969299" s="25"/>
    </row>
    <row r="969321" spans="21:21" x14ac:dyDescent="0.3">
      <c r="U969321" s="25"/>
    </row>
    <row r="969343" spans="21:21" x14ac:dyDescent="0.3">
      <c r="U969343" s="25"/>
    </row>
    <row r="969365" spans="21:21" x14ac:dyDescent="0.3">
      <c r="U969365" s="25"/>
    </row>
    <row r="969387" spans="21:21" x14ac:dyDescent="0.3">
      <c r="U969387" s="25"/>
    </row>
    <row r="969409" spans="21:21" x14ac:dyDescent="0.3">
      <c r="U969409" s="25"/>
    </row>
    <row r="969431" spans="21:21" x14ac:dyDescent="0.3">
      <c r="U969431" s="25"/>
    </row>
    <row r="969453" spans="21:21" x14ac:dyDescent="0.3">
      <c r="U969453" s="25"/>
    </row>
    <row r="969475" spans="21:21" x14ac:dyDescent="0.3">
      <c r="U969475" s="25"/>
    </row>
    <row r="969497" spans="21:21" x14ac:dyDescent="0.3">
      <c r="U969497" s="25"/>
    </row>
    <row r="969519" spans="21:21" x14ac:dyDescent="0.3">
      <c r="U969519" s="25"/>
    </row>
    <row r="969541" spans="21:21" x14ac:dyDescent="0.3">
      <c r="U969541" s="25"/>
    </row>
    <row r="969563" spans="21:21" x14ac:dyDescent="0.3">
      <c r="U969563" s="25"/>
    </row>
    <row r="969585" spans="21:21" x14ac:dyDescent="0.3">
      <c r="U969585" s="25"/>
    </row>
    <row r="969607" spans="21:21" x14ac:dyDescent="0.3">
      <c r="U969607" s="25"/>
    </row>
    <row r="969629" spans="21:21" x14ac:dyDescent="0.3">
      <c r="U969629" s="25"/>
    </row>
    <row r="969651" spans="21:21" x14ac:dyDescent="0.3">
      <c r="U969651" s="25"/>
    </row>
    <row r="969673" spans="21:21" x14ac:dyDescent="0.3">
      <c r="U969673" s="25"/>
    </row>
    <row r="969695" spans="21:21" x14ac:dyDescent="0.3">
      <c r="U969695" s="25"/>
    </row>
    <row r="969717" spans="21:21" x14ac:dyDescent="0.3">
      <c r="U969717" s="25"/>
    </row>
    <row r="969739" spans="21:21" x14ac:dyDescent="0.3">
      <c r="U969739" s="25"/>
    </row>
    <row r="969761" spans="21:21" x14ac:dyDescent="0.3">
      <c r="U969761" s="25"/>
    </row>
    <row r="969783" spans="21:21" x14ac:dyDescent="0.3">
      <c r="U969783" s="25"/>
    </row>
    <row r="969805" spans="21:21" x14ac:dyDescent="0.3">
      <c r="U969805" s="25"/>
    </row>
    <row r="969827" spans="21:21" x14ac:dyDescent="0.3">
      <c r="U969827" s="25"/>
    </row>
    <row r="969849" spans="21:21" x14ac:dyDescent="0.3">
      <c r="U969849" s="25"/>
    </row>
    <row r="969871" spans="21:21" x14ac:dyDescent="0.3">
      <c r="U969871" s="25"/>
    </row>
    <row r="969893" spans="21:21" x14ac:dyDescent="0.3">
      <c r="U969893" s="25"/>
    </row>
    <row r="969915" spans="21:21" x14ac:dyDescent="0.3">
      <c r="U969915" s="25"/>
    </row>
    <row r="969937" spans="21:21" x14ac:dyDescent="0.3">
      <c r="U969937" s="25"/>
    </row>
    <row r="969959" spans="21:21" x14ac:dyDescent="0.3">
      <c r="U969959" s="25"/>
    </row>
    <row r="969981" spans="21:21" x14ac:dyDescent="0.3">
      <c r="U969981" s="25"/>
    </row>
    <row r="970003" spans="21:21" x14ac:dyDescent="0.3">
      <c r="U970003" s="25"/>
    </row>
    <row r="970025" spans="21:21" x14ac:dyDescent="0.3">
      <c r="U970025" s="25"/>
    </row>
    <row r="970047" spans="21:21" x14ac:dyDescent="0.3">
      <c r="U970047" s="25"/>
    </row>
    <row r="970069" spans="21:21" x14ac:dyDescent="0.3">
      <c r="U970069" s="25"/>
    </row>
    <row r="970091" spans="21:21" x14ac:dyDescent="0.3">
      <c r="U970091" s="25"/>
    </row>
    <row r="970113" spans="21:21" x14ac:dyDescent="0.3">
      <c r="U970113" s="25"/>
    </row>
    <row r="970135" spans="21:21" x14ac:dyDescent="0.3">
      <c r="U970135" s="25"/>
    </row>
    <row r="970157" spans="21:21" x14ac:dyDescent="0.3">
      <c r="U970157" s="25"/>
    </row>
    <row r="970179" spans="21:21" x14ac:dyDescent="0.3">
      <c r="U970179" s="25"/>
    </row>
    <row r="970201" spans="21:21" x14ac:dyDescent="0.3">
      <c r="U970201" s="25"/>
    </row>
    <row r="970223" spans="21:21" x14ac:dyDescent="0.3">
      <c r="U970223" s="25"/>
    </row>
    <row r="970245" spans="21:21" x14ac:dyDescent="0.3">
      <c r="U970245" s="25"/>
    </row>
    <row r="970267" spans="21:21" x14ac:dyDescent="0.3">
      <c r="U970267" s="25"/>
    </row>
    <row r="970289" spans="21:21" x14ac:dyDescent="0.3">
      <c r="U970289" s="25"/>
    </row>
    <row r="970311" spans="21:21" x14ac:dyDescent="0.3">
      <c r="U970311" s="25"/>
    </row>
    <row r="970333" spans="21:21" x14ac:dyDescent="0.3">
      <c r="U970333" s="25"/>
    </row>
    <row r="970355" spans="21:21" x14ac:dyDescent="0.3">
      <c r="U970355" s="25"/>
    </row>
    <row r="970377" spans="21:21" x14ac:dyDescent="0.3">
      <c r="U970377" s="25"/>
    </row>
    <row r="970399" spans="21:21" x14ac:dyDescent="0.3">
      <c r="U970399" s="25"/>
    </row>
    <row r="970421" spans="21:21" x14ac:dyDescent="0.3">
      <c r="U970421" s="25"/>
    </row>
    <row r="970443" spans="21:21" x14ac:dyDescent="0.3">
      <c r="U970443" s="25"/>
    </row>
    <row r="970465" spans="21:21" x14ac:dyDescent="0.3">
      <c r="U970465" s="25"/>
    </row>
    <row r="970487" spans="21:21" x14ac:dyDescent="0.3">
      <c r="U970487" s="25"/>
    </row>
    <row r="970509" spans="21:21" x14ac:dyDescent="0.3">
      <c r="U970509" s="25"/>
    </row>
    <row r="970531" spans="21:21" x14ac:dyDescent="0.3">
      <c r="U970531" s="25"/>
    </row>
    <row r="970553" spans="21:21" x14ac:dyDescent="0.3">
      <c r="U970553" s="25"/>
    </row>
    <row r="970575" spans="21:21" x14ac:dyDescent="0.3">
      <c r="U970575" s="25"/>
    </row>
    <row r="970597" spans="21:21" x14ac:dyDescent="0.3">
      <c r="U970597" s="25"/>
    </row>
    <row r="970619" spans="21:21" x14ac:dyDescent="0.3">
      <c r="U970619" s="25"/>
    </row>
    <row r="970641" spans="21:21" x14ac:dyDescent="0.3">
      <c r="U970641" s="25"/>
    </row>
    <row r="970663" spans="21:21" x14ac:dyDescent="0.3">
      <c r="U970663" s="25"/>
    </row>
    <row r="970685" spans="21:21" x14ac:dyDescent="0.3">
      <c r="U970685" s="25"/>
    </row>
    <row r="970707" spans="21:21" x14ac:dyDescent="0.3">
      <c r="U970707" s="25"/>
    </row>
    <row r="970729" spans="21:21" x14ac:dyDescent="0.3">
      <c r="U970729" s="25"/>
    </row>
    <row r="970751" spans="21:21" x14ac:dyDescent="0.3">
      <c r="U970751" s="25"/>
    </row>
    <row r="970773" spans="21:21" x14ac:dyDescent="0.3">
      <c r="U970773" s="25"/>
    </row>
    <row r="970795" spans="21:21" x14ac:dyDescent="0.3">
      <c r="U970795" s="25"/>
    </row>
    <row r="970817" spans="21:21" x14ac:dyDescent="0.3">
      <c r="U970817" s="25"/>
    </row>
    <row r="970839" spans="21:21" x14ac:dyDescent="0.3">
      <c r="U970839" s="25"/>
    </row>
    <row r="970861" spans="21:21" x14ac:dyDescent="0.3">
      <c r="U970861" s="25"/>
    </row>
    <row r="970883" spans="21:21" x14ac:dyDescent="0.3">
      <c r="U970883" s="25"/>
    </row>
    <row r="970905" spans="21:21" x14ac:dyDescent="0.3">
      <c r="U970905" s="25"/>
    </row>
    <row r="970927" spans="21:21" x14ac:dyDescent="0.3">
      <c r="U970927" s="25"/>
    </row>
    <row r="970949" spans="21:21" x14ac:dyDescent="0.3">
      <c r="U970949" s="25"/>
    </row>
    <row r="970971" spans="21:21" x14ac:dyDescent="0.3">
      <c r="U970971" s="25"/>
    </row>
    <row r="970993" spans="21:21" x14ac:dyDescent="0.3">
      <c r="U970993" s="25"/>
    </row>
    <row r="971015" spans="21:21" x14ac:dyDescent="0.3">
      <c r="U971015" s="25"/>
    </row>
    <row r="971037" spans="21:21" x14ac:dyDescent="0.3">
      <c r="U971037" s="25"/>
    </row>
    <row r="971059" spans="21:21" x14ac:dyDescent="0.3">
      <c r="U971059" s="25"/>
    </row>
    <row r="971081" spans="21:21" x14ac:dyDescent="0.3">
      <c r="U971081" s="25"/>
    </row>
    <row r="971103" spans="21:21" x14ac:dyDescent="0.3">
      <c r="U971103" s="25"/>
    </row>
    <row r="971125" spans="21:21" x14ac:dyDescent="0.3">
      <c r="U971125" s="25"/>
    </row>
    <row r="971147" spans="21:21" x14ac:dyDescent="0.3">
      <c r="U971147" s="25"/>
    </row>
    <row r="971169" spans="21:21" x14ac:dyDescent="0.3">
      <c r="U971169" s="25"/>
    </row>
    <row r="971191" spans="21:21" x14ac:dyDescent="0.3">
      <c r="U971191" s="25"/>
    </row>
    <row r="971213" spans="21:21" x14ac:dyDescent="0.3">
      <c r="U971213" s="25"/>
    </row>
    <row r="971235" spans="21:21" x14ac:dyDescent="0.3">
      <c r="U971235" s="25"/>
    </row>
    <row r="971257" spans="21:21" x14ac:dyDescent="0.3">
      <c r="U971257" s="25"/>
    </row>
    <row r="971279" spans="21:21" x14ac:dyDescent="0.3">
      <c r="U971279" s="25"/>
    </row>
    <row r="971301" spans="21:21" x14ac:dyDescent="0.3">
      <c r="U971301" s="25"/>
    </row>
    <row r="971323" spans="21:21" x14ac:dyDescent="0.3">
      <c r="U971323" s="25"/>
    </row>
    <row r="971345" spans="21:21" x14ac:dyDescent="0.3">
      <c r="U971345" s="25"/>
    </row>
    <row r="971367" spans="21:21" x14ac:dyDescent="0.3">
      <c r="U971367" s="25"/>
    </row>
    <row r="971389" spans="21:21" x14ac:dyDescent="0.3">
      <c r="U971389" s="25"/>
    </row>
    <row r="971411" spans="21:21" x14ac:dyDescent="0.3">
      <c r="U971411" s="25"/>
    </row>
    <row r="971433" spans="21:21" x14ac:dyDescent="0.3">
      <c r="U971433" s="25"/>
    </row>
    <row r="971455" spans="21:21" x14ac:dyDescent="0.3">
      <c r="U971455" s="25"/>
    </row>
    <row r="971477" spans="21:21" x14ac:dyDescent="0.3">
      <c r="U971477" s="25"/>
    </row>
    <row r="971499" spans="21:21" x14ac:dyDescent="0.3">
      <c r="U971499" s="25"/>
    </row>
    <row r="971521" spans="21:21" x14ac:dyDescent="0.3">
      <c r="U971521" s="25"/>
    </row>
    <row r="971543" spans="21:21" x14ac:dyDescent="0.3">
      <c r="U971543" s="25"/>
    </row>
    <row r="971565" spans="21:21" x14ac:dyDescent="0.3">
      <c r="U971565" s="25"/>
    </row>
    <row r="971587" spans="21:21" x14ac:dyDescent="0.3">
      <c r="U971587" s="25"/>
    </row>
    <row r="971609" spans="21:21" x14ac:dyDescent="0.3">
      <c r="U971609" s="25"/>
    </row>
    <row r="971631" spans="21:21" x14ac:dyDescent="0.3">
      <c r="U971631" s="25"/>
    </row>
    <row r="971653" spans="21:21" x14ac:dyDescent="0.3">
      <c r="U971653" s="25"/>
    </row>
    <row r="971675" spans="21:21" x14ac:dyDescent="0.3">
      <c r="U971675" s="25"/>
    </row>
    <row r="971697" spans="21:21" x14ac:dyDescent="0.3">
      <c r="U971697" s="25"/>
    </row>
    <row r="971719" spans="21:21" x14ac:dyDescent="0.3">
      <c r="U971719" s="25"/>
    </row>
    <row r="971741" spans="21:21" x14ac:dyDescent="0.3">
      <c r="U971741" s="25"/>
    </row>
    <row r="971763" spans="21:21" x14ac:dyDescent="0.3">
      <c r="U971763" s="25"/>
    </row>
    <row r="971785" spans="21:21" x14ac:dyDescent="0.3">
      <c r="U971785" s="25"/>
    </row>
    <row r="971807" spans="21:21" x14ac:dyDescent="0.3">
      <c r="U971807" s="25"/>
    </row>
    <row r="971829" spans="21:21" x14ac:dyDescent="0.3">
      <c r="U971829" s="25"/>
    </row>
    <row r="971851" spans="21:21" x14ac:dyDescent="0.3">
      <c r="U971851" s="25"/>
    </row>
    <row r="971873" spans="21:21" x14ac:dyDescent="0.3">
      <c r="U971873" s="25"/>
    </row>
    <row r="971895" spans="21:21" x14ac:dyDescent="0.3">
      <c r="U971895" s="25"/>
    </row>
    <row r="971917" spans="21:21" x14ac:dyDescent="0.3">
      <c r="U971917" s="25"/>
    </row>
    <row r="971939" spans="21:21" x14ac:dyDescent="0.3">
      <c r="U971939" s="25"/>
    </row>
    <row r="971961" spans="21:21" x14ac:dyDescent="0.3">
      <c r="U971961" s="25"/>
    </row>
    <row r="971983" spans="21:21" x14ac:dyDescent="0.3">
      <c r="U971983" s="25"/>
    </row>
    <row r="972005" spans="21:21" x14ac:dyDescent="0.3">
      <c r="U972005" s="25"/>
    </row>
    <row r="972027" spans="21:21" x14ac:dyDescent="0.3">
      <c r="U972027" s="25"/>
    </row>
    <row r="972049" spans="21:21" x14ac:dyDescent="0.3">
      <c r="U972049" s="25"/>
    </row>
    <row r="972071" spans="21:21" x14ac:dyDescent="0.3">
      <c r="U972071" s="25"/>
    </row>
    <row r="972093" spans="21:21" x14ac:dyDescent="0.3">
      <c r="U972093" s="25"/>
    </row>
    <row r="972115" spans="21:21" x14ac:dyDescent="0.3">
      <c r="U972115" s="25"/>
    </row>
    <row r="972137" spans="21:21" x14ac:dyDescent="0.3">
      <c r="U972137" s="25"/>
    </row>
    <row r="972159" spans="21:21" x14ac:dyDescent="0.3">
      <c r="U972159" s="25"/>
    </row>
    <row r="972181" spans="21:21" x14ac:dyDescent="0.3">
      <c r="U972181" s="25"/>
    </row>
    <row r="972203" spans="21:21" x14ac:dyDescent="0.3">
      <c r="U972203" s="25"/>
    </row>
    <row r="972225" spans="21:21" x14ac:dyDescent="0.3">
      <c r="U972225" s="25"/>
    </row>
    <row r="972247" spans="21:21" x14ac:dyDescent="0.3">
      <c r="U972247" s="25"/>
    </row>
    <row r="972269" spans="21:21" x14ac:dyDescent="0.3">
      <c r="U972269" s="25"/>
    </row>
    <row r="972291" spans="21:21" x14ac:dyDescent="0.3">
      <c r="U972291" s="25"/>
    </row>
    <row r="972313" spans="21:21" x14ac:dyDescent="0.3">
      <c r="U972313" s="25"/>
    </row>
    <row r="972335" spans="21:21" x14ac:dyDescent="0.3">
      <c r="U972335" s="25"/>
    </row>
    <row r="972357" spans="21:21" x14ac:dyDescent="0.3">
      <c r="U972357" s="25"/>
    </row>
    <row r="972379" spans="21:21" x14ac:dyDescent="0.3">
      <c r="U972379" s="25"/>
    </row>
    <row r="972401" spans="21:21" x14ac:dyDescent="0.3">
      <c r="U972401" s="25"/>
    </row>
    <row r="972423" spans="21:21" x14ac:dyDescent="0.3">
      <c r="U972423" s="25"/>
    </row>
    <row r="972445" spans="21:21" x14ac:dyDescent="0.3">
      <c r="U972445" s="25"/>
    </row>
    <row r="972467" spans="21:21" x14ac:dyDescent="0.3">
      <c r="U972467" s="25"/>
    </row>
    <row r="972489" spans="21:21" x14ac:dyDescent="0.3">
      <c r="U972489" s="25"/>
    </row>
    <row r="972511" spans="21:21" x14ac:dyDescent="0.3">
      <c r="U972511" s="25"/>
    </row>
    <row r="972533" spans="21:21" x14ac:dyDescent="0.3">
      <c r="U972533" s="25"/>
    </row>
    <row r="972555" spans="21:21" x14ac:dyDescent="0.3">
      <c r="U972555" s="25"/>
    </row>
    <row r="972577" spans="21:21" x14ac:dyDescent="0.3">
      <c r="U972577" s="25"/>
    </row>
    <row r="972599" spans="21:21" x14ac:dyDescent="0.3">
      <c r="U972599" s="25"/>
    </row>
    <row r="972621" spans="21:21" x14ac:dyDescent="0.3">
      <c r="U972621" s="25"/>
    </row>
    <row r="972643" spans="21:21" x14ac:dyDescent="0.3">
      <c r="U972643" s="25"/>
    </row>
    <row r="972665" spans="21:21" x14ac:dyDescent="0.3">
      <c r="U972665" s="25"/>
    </row>
    <row r="972687" spans="21:21" x14ac:dyDescent="0.3">
      <c r="U972687" s="25"/>
    </row>
    <row r="972709" spans="21:21" x14ac:dyDescent="0.3">
      <c r="U972709" s="25"/>
    </row>
    <row r="972731" spans="21:21" x14ac:dyDescent="0.3">
      <c r="U972731" s="25"/>
    </row>
    <row r="972753" spans="21:21" x14ac:dyDescent="0.3">
      <c r="U972753" s="25"/>
    </row>
    <row r="972775" spans="21:21" x14ac:dyDescent="0.3">
      <c r="U972775" s="25"/>
    </row>
    <row r="972797" spans="21:21" x14ac:dyDescent="0.3">
      <c r="U972797" s="25"/>
    </row>
    <row r="972819" spans="21:21" x14ac:dyDescent="0.3">
      <c r="U972819" s="25"/>
    </row>
    <row r="972841" spans="21:21" x14ac:dyDescent="0.3">
      <c r="U972841" s="25"/>
    </row>
    <row r="972863" spans="21:21" x14ac:dyDescent="0.3">
      <c r="U972863" s="25"/>
    </row>
    <row r="972885" spans="21:21" x14ac:dyDescent="0.3">
      <c r="U972885" s="25"/>
    </row>
    <row r="972907" spans="21:21" x14ac:dyDescent="0.3">
      <c r="U972907" s="25"/>
    </row>
    <row r="972929" spans="21:21" x14ac:dyDescent="0.3">
      <c r="U972929" s="25"/>
    </row>
    <row r="972951" spans="21:21" x14ac:dyDescent="0.3">
      <c r="U972951" s="25"/>
    </row>
    <row r="972973" spans="21:21" x14ac:dyDescent="0.3">
      <c r="U972973" s="25"/>
    </row>
    <row r="972995" spans="21:21" x14ac:dyDescent="0.3">
      <c r="U972995" s="25"/>
    </row>
    <row r="973017" spans="21:21" x14ac:dyDescent="0.3">
      <c r="U973017" s="25"/>
    </row>
    <row r="973039" spans="21:21" x14ac:dyDescent="0.3">
      <c r="U973039" s="25"/>
    </row>
    <row r="973061" spans="21:21" x14ac:dyDescent="0.3">
      <c r="U973061" s="25"/>
    </row>
    <row r="973083" spans="21:21" x14ac:dyDescent="0.3">
      <c r="U973083" s="25"/>
    </row>
    <row r="973105" spans="21:21" x14ac:dyDescent="0.3">
      <c r="U973105" s="25"/>
    </row>
    <row r="973127" spans="21:21" x14ac:dyDescent="0.3">
      <c r="U973127" s="25"/>
    </row>
    <row r="973149" spans="21:21" x14ac:dyDescent="0.3">
      <c r="U973149" s="25"/>
    </row>
    <row r="973171" spans="21:21" x14ac:dyDescent="0.3">
      <c r="U973171" s="25"/>
    </row>
    <row r="973193" spans="21:21" x14ac:dyDescent="0.3">
      <c r="U973193" s="25"/>
    </row>
    <row r="973215" spans="21:21" x14ac:dyDescent="0.3">
      <c r="U973215" s="25"/>
    </row>
    <row r="973237" spans="21:21" x14ac:dyDescent="0.3">
      <c r="U973237" s="25"/>
    </row>
    <row r="973259" spans="21:21" x14ac:dyDescent="0.3">
      <c r="U973259" s="25"/>
    </row>
    <row r="973281" spans="21:21" x14ac:dyDescent="0.3">
      <c r="U973281" s="25"/>
    </row>
    <row r="973303" spans="21:21" x14ac:dyDescent="0.3">
      <c r="U973303" s="25"/>
    </row>
    <row r="973325" spans="21:21" x14ac:dyDescent="0.3">
      <c r="U973325" s="25"/>
    </row>
    <row r="973347" spans="21:21" x14ac:dyDescent="0.3">
      <c r="U973347" s="25"/>
    </row>
    <row r="973369" spans="21:21" x14ac:dyDescent="0.3">
      <c r="U973369" s="25"/>
    </row>
    <row r="973391" spans="21:21" x14ac:dyDescent="0.3">
      <c r="U973391" s="25"/>
    </row>
    <row r="973413" spans="21:21" x14ac:dyDescent="0.3">
      <c r="U973413" s="25"/>
    </row>
    <row r="973435" spans="21:21" x14ac:dyDescent="0.3">
      <c r="U973435" s="25"/>
    </row>
    <row r="973457" spans="21:21" x14ac:dyDescent="0.3">
      <c r="U973457" s="25"/>
    </row>
    <row r="973479" spans="21:21" x14ac:dyDescent="0.3">
      <c r="U973479" s="25"/>
    </row>
    <row r="973501" spans="21:21" x14ac:dyDescent="0.3">
      <c r="U973501" s="25"/>
    </row>
    <row r="973523" spans="21:21" x14ac:dyDescent="0.3">
      <c r="U973523" s="25"/>
    </row>
    <row r="973545" spans="21:21" x14ac:dyDescent="0.3">
      <c r="U973545" s="25"/>
    </row>
    <row r="973567" spans="21:21" x14ac:dyDescent="0.3">
      <c r="U973567" s="25"/>
    </row>
    <row r="973589" spans="21:21" x14ac:dyDescent="0.3">
      <c r="U973589" s="25"/>
    </row>
    <row r="973611" spans="21:21" x14ac:dyDescent="0.3">
      <c r="U973611" s="25"/>
    </row>
    <row r="973633" spans="21:21" x14ac:dyDescent="0.3">
      <c r="U973633" s="25"/>
    </row>
    <row r="973655" spans="21:21" x14ac:dyDescent="0.3">
      <c r="U973655" s="25"/>
    </row>
    <row r="973677" spans="21:21" x14ac:dyDescent="0.3">
      <c r="U973677" s="25"/>
    </row>
    <row r="973699" spans="21:21" x14ac:dyDescent="0.3">
      <c r="U973699" s="25"/>
    </row>
    <row r="973721" spans="21:21" x14ac:dyDescent="0.3">
      <c r="U973721" s="25"/>
    </row>
    <row r="973743" spans="21:21" x14ac:dyDescent="0.3">
      <c r="U973743" s="25"/>
    </row>
    <row r="973765" spans="21:21" x14ac:dyDescent="0.3">
      <c r="U973765" s="25"/>
    </row>
    <row r="973787" spans="21:21" x14ac:dyDescent="0.3">
      <c r="U973787" s="25"/>
    </row>
    <row r="973809" spans="21:21" x14ac:dyDescent="0.3">
      <c r="U973809" s="25"/>
    </row>
    <row r="973831" spans="21:21" x14ac:dyDescent="0.3">
      <c r="U973831" s="25"/>
    </row>
    <row r="973853" spans="21:21" x14ac:dyDescent="0.3">
      <c r="U973853" s="25"/>
    </row>
    <row r="973875" spans="21:21" x14ac:dyDescent="0.3">
      <c r="U973875" s="25"/>
    </row>
    <row r="973897" spans="21:21" x14ac:dyDescent="0.3">
      <c r="U973897" s="25"/>
    </row>
    <row r="973919" spans="21:21" x14ac:dyDescent="0.3">
      <c r="U973919" s="25"/>
    </row>
    <row r="973941" spans="21:21" x14ac:dyDescent="0.3">
      <c r="U973941" s="25"/>
    </row>
    <row r="973963" spans="21:21" x14ac:dyDescent="0.3">
      <c r="U973963" s="25"/>
    </row>
    <row r="973985" spans="21:21" x14ac:dyDescent="0.3">
      <c r="U973985" s="25"/>
    </row>
    <row r="974007" spans="21:21" x14ac:dyDescent="0.3">
      <c r="U974007" s="25"/>
    </row>
    <row r="974029" spans="21:21" x14ac:dyDescent="0.3">
      <c r="U974029" s="25"/>
    </row>
    <row r="974051" spans="21:21" x14ac:dyDescent="0.3">
      <c r="U974051" s="25"/>
    </row>
    <row r="974073" spans="21:21" x14ac:dyDescent="0.3">
      <c r="U974073" s="25"/>
    </row>
    <row r="974095" spans="21:21" x14ac:dyDescent="0.3">
      <c r="U974095" s="25"/>
    </row>
    <row r="974117" spans="21:21" x14ac:dyDescent="0.3">
      <c r="U974117" s="25"/>
    </row>
    <row r="974139" spans="21:21" x14ac:dyDescent="0.3">
      <c r="U974139" s="25"/>
    </row>
    <row r="974161" spans="21:21" x14ac:dyDescent="0.3">
      <c r="U974161" s="25"/>
    </row>
    <row r="974183" spans="21:21" x14ac:dyDescent="0.3">
      <c r="U974183" s="25"/>
    </row>
    <row r="974205" spans="21:21" x14ac:dyDescent="0.3">
      <c r="U974205" s="25"/>
    </row>
    <row r="974227" spans="21:21" x14ac:dyDescent="0.3">
      <c r="U974227" s="25"/>
    </row>
    <row r="974249" spans="21:21" x14ac:dyDescent="0.3">
      <c r="U974249" s="25"/>
    </row>
    <row r="974271" spans="21:21" x14ac:dyDescent="0.3">
      <c r="U974271" s="25"/>
    </row>
    <row r="974293" spans="21:21" x14ac:dyDescent="0.3">
      <c r="U974293" s="25"/>
    </row>
    <row r="974315" spans="21:21" x14ac:dyDescent="0.3">
      <c r="U974315" s="25"/>
    </row>
    <row r="974337" spans="21:21" x14ac:dyDescent="0.3">
      <c r="U974337" s="25"/>
    </row>
    <row r="974359" spans="21:21" x14ac:dyDescent="0.3">
      <c r="U974359" s="25"/>
    </row>
    <row r="974381" spans="21:21" x14ac:dyDescent="0.3">
      <c r="U974381" s="25"/>
    </row>
    <row r="974403" spans="21:21" x14ac:dyDescent="0.3">
      <c r="U974403" s="25"/>
    </row>
    <row r="974425" spans="21:21" x14ac:dyDescent="0.3">
      <c r="U974425" s="25"/>
    </row>
    <row r="974447" spans="21:21" x14ac:dyDescent="0.3">
      <c r="U974447" s="25"/>
    </row>
    <row r="974469" spans="21:21" x14ac:dyDescent="0.3">
      <c r="U974469" s="25"/>
    </row>
    <row r="974491" spans="21:21" x14ac:dyDescent="0.3">
      <c r="U974491" s="25"/>
    </row>
    <row r="974513" spans="21:21" x14ac:dyDescent="0.3">
      <c r="U974513" s="25"/>
    </row>
    <row r="974535" spans="21:21" x14ac:dyDescent="0.3">
      <c r="U974535" s="25"/>
    </row>
    <row r="974557" spans="21:21" x14ac:dyDescent="0.3">
      <c r="U974557" s="25"/>
    </row>
    <row r="974579" spans="21:21" x14ac:dyDescent="0.3">
      <c r="U974579" s="25"/>
    </row>
    <row r="974601" spans="21:21" x14ac:dyDescent="0.3">
      <c r="U974601" s="25"/>
    </row>
    <row r="974623" spans="21:21" x14ac:dyDescent="0.3">
      <c r="U974623" s="25"/>
    </row>
    <row r="974645" spans="21:21" x14ac:dyDescent="0.3">
      <c r="U974645" s="25"/>
    </row>
    <row r="974667" spans="21:21" x14ac:dyDescent="0.3">
      <c r="U974667" s="25"/>
    </row>
    <row r="974689" spans="21:21" x14ac:dyDescent="0.3">
      <c r="U974689" s="25"/>
    </row>
    <row r="974711" spans="21:21" x14ac:dyDescent="0.3">
      <c r="U974711" s="25"/>
    </row>
    <row r="974733" spans="21:21" x14ac:dyDescent="0.3">
      <c r="U974733" s="25"/>
    </row>
    <row r="974755" spans="21:21" x14ac:dyDescent="0.3">
      <c r="U974755" s="25"/>
    </row>
    <row r="974777" spans="21:21" x14ac:dyDescent="0.3">
      <c r="U974777" s="25"/>
    </row>
    <row r="974799" spans="21:21" x14ac:dyDescent="0.3">
      <c r="U974799" s="25"/>
    </row>
    <row r="974821" spans="21:21" x14ac:dyDescent="0.3">
      <c r="U974821" s="25"/>
    </row>
    <row r="974843" spans="21:21" x14ac:dyDescent="0.3">
      <c r="U974843" s="25"/>
    </row>
    <row r="974865" spans="21:21" x14ac:dyDescent="0.3">
      <c r="U974865" s="25"/>
    </row>
    <row r="974887" spans="21:21" x14ac:dyDescent="0.3">
      <c r="U974887" s="25"/>
    </row>
    <row r="974909" spans="21:21" x14ac:dyDescent="0.3">
      <c r="U974909" s="25"/>
    </row>
    <row r="974931" spans="21:21" x14ac:dyDescent="0.3">
      <c r="U974931" s="25"/>
    </row>
    <row r="974953" spans="21:21" x14ac:dyDescent="0.3">
      <c r="U974953" s="25"/>
    </row>
    <row r="974975" spans="21:21" x14ac:dyDescent="0.3">
      <c r="U974975" s="25"/>
    </row>
    <row r="974997" spans="21:21" x14ac:dyDescent="0.3">
      <c r="U974997" s="25"/>
    </row>
    <row r="975019" spans="21:21" x14ac:dyDescent="0.3">
      <c r="U975019" s="25"/>
    </row>
    <row r="975041" spans="21:21" x14ac:dyDescent="0.3">
      <c r="U975041" s="25"/>
    </row>
    <row r="975063" spans="21:21" x14ac:dyDescent="0.3">
      <c r="U975063" s="25"/>
    </row>
    <row r="975085" spans="21:21" x14ac:dyDescent="0.3">
      <c r="U975085" s="25"/>
    </row>
    <row r="975107" spans="21:21" x14ac:dyDescent="0.3">
      <c r="U975107" s="25"/>
    </row>
    <row r="975129" spans="21:21" x14ac:dyDescent="0.3">
      <c r="U975129" s="25"/>
    </row>
    <row r="975151" spans="21:21" x14ac:dyDescent="0.3">
      <c r="U975151" s="25"/>
    </row>
    <row r="975173" spans="21:21" x14ac:dyDescent="0.3">
      <c r="U975173" s="25"/>
    </row>
    <row r="975195" spans="21:21" x14ac:dyDescent="0.3">
      <c r="U975195" s="25"/>
    </row>
    <row r="975217" spans="21:21" x14ac:dyDescent="0.3">
      <c r="U975217" s="25"/>
    </row>
    <row r="975239" spans="21:21" x14ac:dyDescent="0.3">
      <c r="U975239" s="25"/>
    </row>
    <row r="975261" spans="21:21" x14ac:dyDescent="0.3">
      <c r="U975261" s="25"/>
    </row>
    <row r="975283" spans="21:21" x14ac:dyDescent="0.3">
      <c r="U975283" s="25"/>
    </row>
    <row r="975305" spans="21:21" x14ac:dyDescent="0.3">
      <c r="U975305" s="25"/>
    </row>
    <row r="975327" spans="21:21" x14ac:dyDescent="0.3">
      <c r="U975327" s="25"/>
    </row>
    <row r="975349" spans="21:21" x14ac:dyDescent="0.3">
      <c r="U975349" s="25"/>
    </row>
    <row r="975371" spans="21:21" x14ac:dyDescent="0.3">
      <c r="U975371" s="25"/>
    </row>
    <row r="975393" spans="21:21" x14ac:dyDescent="0.3">
      <c r="U975393" s="25"/>
    </row>
    <row r="975415" spans="21:21" x14ac:dyDescent="0.3">
      <c r="U975415" s="25"/>
    </row>
    <row r="975437" spans="21:21" x14ac:dyDescent="0.3">
      <c r="U975437" s="25"/>
    </row>
    <row r="975459" spans="21:21" x14ac:dyDescent="0.3">
      <c r="U975459" s="25"/>
    </row>
    <row r="975481" spans="21:21" x14ac:dyDescent="0.3">
      <c r="U975481" s="25"/>
    </row>
    <row r="975503" spans="21:21" x14ac:dyDescent="0.3">
      <c r="U975503" s="25"/>
    </row>
    <row r="975525" spans="21:21" x14ac:dyDescent="0.3">
      <c r="U975525" s="25"/>
    </row>
    <row r="975547" spans="21:21" x14ac:dyDescent="0.3">
      <c r="U975547" s="25"/>
    </row>
    <row r="975569" spans="21:21" x14ac:dyDescent="0.3">
      <c r="U975569" s="25"/>
    </row>
    <row r="975591" spans="21:21" x14ac:dyDescent="0.3">
      <c r="U975591" s="25"/>
    </row>
    <row r="975613" spans="21:21" x14ac:dyDescent="0.3">
      <c r="U975613" s="25"/>
    </row>
    <row r="975635" spans="21:21" x14ac:dyDescent="0.3">
      <c r="U975635" s="25"/>
    </row>
    <row r="975657" spans="21:21" x14ac:dyDescent="0.3">
      <c r="U975657" s="25"/>
    </row>
    <row r="975679" spans="21:21" x14ac:dyDescent="0.3">
      <c r="U975679" s="25"/>
    </row>
    <row r="975701" spans="21:21" x14ac:dyDescent="0.3">
      <c r="U975701" s="25"/>
    </row>
    <row r="975723" spans="21:21" x14ac:dyDescent="0.3">
      <c r="U975723" s="25"/>
    </row>
    <row r="975745" spans="21:21" x14ac:dyDescent="0.3">
      <c r="U975745" s="25"/>
    </row>
    <row r="975767" spans="21:21" x14ac:dyDescent="0.3">
      <c r="U975767" s="25"/>
    </row>
    <row r="975789" spans="21:21" x14ac:dyDescent="0.3">
      <c r="U975789" s="25"/>
    </row>
    <row r="975811" spans="21:21" x14ac:dyDescent="0.3">
      <c r="U975811" s="25"/>
    </row>
    <row r="975833" spans="21:21" x14ac:dyDescent="0.3">
      <c r="U975833" s="25"/>
    </row>
    <row r="975855" spans="21:21" x14ac:dyDescent="0.3">
      <c r="U975855" s="25"/>
    </row>
    <row r="975877" spans="21:21" x14ac:dyDescent="0.3">
      <c r="U975877" s="25"/>
    </row>
    <row r="975899" spans="21:21" x14ac:dyDescent="0.3">
      <c r="U975899" s="25"/>
    </row>
    <row r="975921" spans="21:21" x14ac:dyDescent="0.3">
      <c r="U975921" s="25"/>
    </row>
    <row r="975943" spans="21:21" x14ac:dyDescent="0.3">
      <c r="U975943" s="25"/>
    </row>
    <row r="975965" spans="21:21" x14ac:dyDescent="0.3">
      <c r="U975965" s="25"/>
    </row>
    <row r="975987" spans="21:21" x14ac:dyDescent="0.3">
      <c r="U975987" s="25"/>
    </row>
    <row r="976009" spans="21:21" x14ac:dyDescent="0.3">
      <c r="U976009" s="25"/>
    </row>
    <row r="976031" spans="21:21" x14ac:dyDescent="0.3">
      <c r="U976031" s="25"/>
    </row>
    <row r="976053" spans="21:21" x14ac:dyDescent="0.3">
      <c r="U976053" s="25"/>
    </row>
    <row r="976075" spans="21:21" x14ac:dyDescent="0.3">
      <c r="U976075" s="25"/>
    </row>
    <row r="976097" spans="21:21" x14ac:dyDescent="0.3">
      <c r="U976097" s="25"/>
    </row>
    <row r="976119" spans="21:21" x14ac:dyDescent="0.3">
      <c r="U976119" s="25"/>
    </row>
    <row r="976141" spans="21:21" x14ac:dyDescent="0.3">
      <c r="U976141" s="25"/>
    </row>
    <row r="976163" spans="21:21" x14ac:dyDescent="0.3">
      <c r="U976163" s="25"/>
    </row>
    <row r="976185" spans="21:21" x14ac:dyDescent="0.3">
      <c r="U976185" s="25"/>
    </row>
    <row r="976207" spans="21:21" x14ac:dyDescent="0.3">
      <c r="U976207" s="25"/>
    </row>
    <row r="976229" spans="21:21" x14ac:dyDescent="0.3">
      <c r="U976229" s="25"/>
    </row>
    <row r="976251" spans="21:21" x14ac:dyDescent="0.3">
      <c r="U976251" s="25"/>
    </row>
    <row r="976273" spans="21:21" x14ac:dyDescent="0.3">
      <c r="U976273" s="25"/>
    </row>
    <row r="976295" spans="21:21" x14ac:dyDescent="0.3">
      <c r="U976295" s="25"/>
    </row>
    <row r="976317" spans="21:21" x14ac:dyDescent="0.3">
      <c r="U976317" s="25"/>
    </row>
    <row r="976339" spans="21:21" x14ac:dyDescent="0.3">
      <c r="U976339" s="25"/>
    </row>
    <row r="976361" spans="21:21" x14ac:dyDescent="0.3">
      <c r="U976361" s="25"/>
    </row>
    <row r="976383" spans="21:21" x14ac:dyDescent="0.3">
      <c r="U976383" s="25"/>
    </row>
    <row r="976405" spans="21:21" x14ac:dyDescent="0.3">
      <c r="U976405" s="25"/>
    </row>
    <row r="976427" spans="21:21" x14ac:dyDescent="0.3">
      <c r="U976427" s="25"/>
    </row>
    <row r="976449" spans="21:21" x14ac:dyDescent="0.3">
      <c r="U976449" s="25"/>
    </row>
    <row r="976471" spans="21:21" x14ac:dyDescent="0.3">
      <c r="U976471" s="25"/>
    </row>
    <row r="976493" spans="21:21" x14ac:dyDescent="0.3">
      <c r="U976493" s="25"/>
    </row>
    <row r="976515" spans="21:21" x14ac:dyDescent="0.3">
      <c r="U976515" s="25"/>
    </row>
    <row r="976537" spans="21:21" x14ac:dyDescent="0.3">
      <c r="U976537" s="25"/>
    </row>
    <row r="976559" spans="21:21" x14ac:dyDescent="0.3">
      <c r="U976559" s="25"/>
    </row>
    <row r="976581" spans="21:21" x14ac:dyDescent="0.3">
      <c r="U976581" s="25"/>
    </row>
    <row r="976603" spans="21:21" x14ac:dyDescent="0.3">
      <c r="U976603" s="25"/>
    </row>
    <row r="976625" spans="21:21" x14ac:dyDescent="0.3">
      <c r="U976625" s="25"/>
    </row>
    <row r="976647" spans="21:21" x14ac:dyDescent="0.3">
      <c r="U976647" s="25"/>
    </row>
    <row r="976669" spans="21:21" x14ac:dyDescent="0.3">
      <c r="U976669" s="25"/>
    </row>
    <row r="976691" spans="21:21" x14ac:dyDescent="0.3">
      <c r="U976691" s="25"/>
    </row>
    <row r="976713" spans="21:21" x14ac:dyDescent="0.3">
      <c r="U976713" s="25"/>
    </row>
    <row r="976735" spans="21:21" x14ac:dyDescent="0.3">
      <c r="U976735" s="25"/>
    </row>
    <row r="976757" spans="21:21" x14ac:dyDescent="0.3">
      <c r="U976757" s="25"/>
    </row>
    <row r="976779" spans="21:21" x14ac:dyDescent="0.3">
      <c r="U976779" s="25"/>
    </row>
    <row r="976801" spans="21:21" x14ac:dyDescent="0.3">
      <c r="U976801" s="25"/>
    </row>
    <row r="976823" spans="21:21" x14ac:dyDescent="0.3">
      <c r="U976823" s="25"/>
    </row>
    <row r="976845" spans="21:21" x14ac:dyDescent="0.3">
      <c r="U976845" s="25"/>
    </row>
    <row r="976867" spans="21:21" x14ac:dyDescent="0.3">
      <c r="U976867" s="25"/>
    </row>
    <row r="976889" spans="21:21" x14ac:dyDescent="0.3">
      <c r="U976889" s="25"/>
    </row>
    <row r="976911" spans="21:21" x14ac:dyDescent="0.3">
      <c r="U976911" s="25"/>
    </row>
    <row r="976933" spans="21:21" x14ac:dyDescent="0.3">
      <c r="U976933" s="25"/>
    </row>
    <row r="976955" spans="21:21" x14ac:dyDescent="0.3">
      <c r="U976955" s="25"/>
    </row>
    <row r="976977" spans="21:21" x14ac:dyDescent="0.3">
      <c r="U976977" s="25"/>
    </row>
    <row r="976999" spans="21:21" x14ac:dyDescent="0.3">
      <c r="U976999" s="25"/>
    </row>
    <row r="977021" spans="21:21" x14ac:dyDescent="0.3">
      <c r="U977021" s="25"/>
    </row>
    <row r="977043" spans="21:21" x14ac:dyDescent="0.3">
      <c r="U977043" s="25"/>
    </row>
    <row r="977065" spans="21:21" x14ac:dyDescent="0.3">
      <c r="U977065" s="25"/>
    </row>
    <row r="977087" spans="21:21" x14ac:dyDescent="0.3">
      <c r="U977087" s="25"/>
    </row>
    <row r="977109" spans="21:21" x14ac:dyDescent="0.3">
      <c r="U977109" s="25"/>
    </row>
    <row r="977131" spans="21:21" x14ac:dyDescent="0.3">
      <c r="U977131" s="25"/>
    </row>
    <row r="977153" spans="21:21" x14ac:dyDescent="0.3">
      <c r="U977153" s="25"/>
    </row>
    <row r="977175" spans="21:21" x14ac:dyDescent="0.3">
      <c r="U977175" s="25"/>
    </row>
    <row r="977197" spans="21:21" x14ac:dyDescent="0.3">
      <c r="U977197" s="25"/>
    </row>
    <row r="977219" spans="21:21" x14ac:dyDescent="0.3">
      <c r="U977219" s="25"/>
    </row>
    <row r="977241" spans="21:21" x14ac:dyDescent="0.3">
      <c r="U977241" s="25"/>
    </row>
    <row r="977263" spans="21:21" x14ac:dyDescent="0.3">
      <c r="U977263" s="25"/>
    </row>
    <row r="977285" spans="21:21" x14ac:dyDescent="0.3">
      <c r="U977285" s="25"/>
    </row>
    <row r="977307" spans="21:21" x14ac:dyDescent="0.3">
      <c r="U977307" s="25"/>
    </row>
    <row r="977329" spans="21:21" x14ac:dyDescent="0.3">
      <c r="U977329" s="25"/>
    </row>
    <row r="977351" spans="21:21" x14ac:dyDescent="0.3">
      <c r="U977351" s="25"/>
    </row>
    <row r="977373" spans="21:21" x14ac:dyDescent="0.3">
      <c r="U977373" s="25"/>
    </row>
    <row r="977395" spans="21:21" x14ac:dyDescent="0.3">
      <c r="U977395" s="25"/>
    </row>
    <row r="977417" spans="21:21" x14ac:dyDescent="0.3">
      <c r="U977417" s="25"/>
    </row>
    <row r="977439" spans="21:21" x14ac:dyDescent="0.3">
      <c r="U977439" s="25"/>
    </row>
    <row r="977461" spans="21:21" x14ac:dyDescent="0.3">
      <c r="U977461" s="25"/>
    </row>
    <row r="977483" spans="21:21" x14ac:dyDescent="0.3">
      <c r="U977483" s="25"/>
    </row>
    <row r="977505" spans="21:21" x14ac:dyDescent="0.3">
      <c r="U977505" s="25"/>
    </row>
    <row r="977527" spans="21:21" x14ac:dyDescent="0.3">
      <c r="U977527" s="25"/>
    </row>
    <row r="977549" spans="21:21" x14ac:dyDescent="0.3">
      <c r="U977549" s="25"/>
    </row>
    <row r="977571" spans="21:21" x14ac:dyDescent="0.3">
      <c r="U977571" s="25"/>
    </row>
    <row r="977593" spans="21:21" x14ac:dyDescent="0.3">
      <c r="U977593" s="25"/>
    </row>
    <row r="977615" spans="21:21" x14ac:dyDescent="0.3">
      <c r="U977615" s="25"/>
    </row>
    <row r="977637" spans="21:21" x14ac:dyDescent="0.3">
      <c r="U977637" s="25"/>
    </row>
    <row r="977659" spans="21:21" x14ac:dyDescent="0.3">
      <c r="U977659" s="25"/>
    </row>
    <row r="977681" spans="21:21" x14ac:dyDescent="0.3">
      <c r="U977681" s="25"/>
    </row>
    <row r="977703" spans="21:21" x14ac:dyDescent="0.3">
      <c r="U977703" s="25"/>
    </row>
    <row r="977725" spans="21:21" x14ac:dyDescent="0.3">
      <c r="U977725" s="25"/>
    </row>
    <row r="977747" spans="21:21" x14ac:dyDescent="0.3">
      <c r="U977747" s="25"/>
    </row>
    <row r="977769" spans="21:21" x14ac:dyDescent="0.3">
      <c r="U977769" s="25"/>
    </row>
    <row r="977791" spans="21:21" x14ac:dyDescent="0.3">
      <c r="U977791" s="25"/>
    </row>
    <row r="977813" spans="21:21" x14ac:dyDescent="0.3">
      <c r="U977813" s="25"/>
    </row>
    <row r="977835" spans="21:21" x14ac:dyDescent="0.3">
      <c r="U977835" s="25"/>
    </row>
    <row r="977857" spans="21:21" x14ac:dyDescent="0.3">
      <c r="U977857" s="25"/>
    </row>
    <row r="977879" spans="21:21" x14ac:dyDescent="0.3">
      <c r="U977879" s="25"/>
    </row>
    <row r="977901" spans="21:21" x14ac:dyDescent="0.3">
      <c r="U977901" s="25"/>
    </row>
    <row r="977923" spans="21:21" x14ac:dyDescent="0.3">
      <c r="U977923" s="25"/>
    </row>
    <row r="977945" spans="21:21" x14ac:dyDescent="0.3">
      <c r="U977945" s="25"/>
    </row>
    <row r="977967" spans="21:21" x14ac:dyDescent="0.3">
      <c r="U977967" s="25"/>
    </row>
    <row r="977989" spans="21:21" x14ac:dyDescent="0.3">
      <c r="U977989" s="25"/>
    </row>
    <row r="978011" spans="21:21" x14ac:dyDescent="0.3">
      <c r="U978011" s="25"/>
    </row>
    <row r="978033" spans="21:21" x14ac:dyDescent="0.3">
      <c r="U978033" s="25"/>
    </row>
    <row r="978055" spans="21:21" x14ac:dyDescent="0.3">
      <c r="U978055" s="25"/>
    </row>
    <row r="978077" spans="21:21" x14ac:dyDescent="0.3">
      <c r="U978077" s="25"/>
    </row>
    <row r="978099" spans="21:21" x14ac:dyDescent="0.3">
      <c r="U978099" s="25"/>
    </row>
    <row r="978121" spans="21:21" x14ac:dyDescent="0.3">
      <c r="U978121" s="25"/>
    </row>
    <row r="978143" spans="21:21" x14ac:dyDescent="0.3">
      <c r="U978143" s="25"/>
    </row>
    <row r="978165" spans="21:21" x14ac:dyDescent="0.3">
      <c r="U978165" s="25"/>
    </row>
    <row r="978187" spans="21:21" x14ac:dyDescent="0.3">
      <c r="U978187" s="25"/>
    </row>
    <row r="978209" spans="21:21" x14ac:dyDescent="0.3">
      <c r="U978209" s="25"/>
    </row>
    <row r="978231" spans="21:21" x14ac:dyDescent="0.3">
      <c r="U978231" s="25"/>
    </row>
    <row r="978253" spans="21:21" x14ac:dyDescent="0.3">
      <c r="U978253" s="25"/>
    </row>
    <row r="978275" spans="21:21" x14ac:dyDescent="0.3">
      <c r="U978275" s="25"/>
    </row>
    <row r="978297" spans="21:21" x14ac:dyDescent="0.3">
      <c r="U978297" s="25"/>
    </row>
    <row r="978319" spans="21:21" x14ac:dyDescent="0.3">
      <c r="U978319" s="25"/>
    </row>
    <row r="978341" spans="21:21" x14ac:dyDescent="0.3">
      <c r="U978341" s="25"/>
    </row>
    <row r="978363" spans="21:21" x14ac:dyDescent="0.3">
      <c r="U978363" s="25"/>
    </row>
    <row r="978385" spans="21:21" x14ac:dyDescent="0.3">
      <c r="U978385" s="25"/>
    </row>
    <row r="978407" spans="21:21" x14ac:dyDescent="0.3">
      <c r="U978407" s="25"/>
    </row>
    <row r="978429" spans="21:21" x14ac:dyDescent="0.3">
      <c r="U978429" s="25"/>
    </row>
    <row r="978451" spans="21:21" x14ac:dyDescent="0.3">
      <c r="U978451" s="25"/>
    </row>
    <row r="978473" spans="21:21" x14ac:dyDescent="0.3">
      <c r="U978473" s="25"/>
    </row>
    <row r="978495" spans="21:21" x14ac:dyDescent="0.3">
      <c r="U978495" s="25"/>
    </row>
    <row r="978517" spans="21:21" x14ac:dyDescent="0.3">
      <c r="U978517" s="25"/>
    </row>
    <row r="978539" spans="21:21" x14ac:dyDescent="0.3">
      <c r="U978539" s="25"/>
    </row>
    <row r="978561" spans="21:21" x14ac:dyDescent="0.3">
      <c r="U978561" s="25"/>
    </row>
    <row r="978583" spans="21:21" x14ac:dyDescent="0.3">
      <c r="U978583" s="25"/>
    </row>
    <row r="978605" spans="21:21" x14ac:dyDescent="0.3">
      <c r="U978605" s="25"/>
    </row>
    <row r="978627" spans="21:21" x14ac:dyDescent="0.3">
      <c r="U978627" s="25"/>
    </row>
    <row r="978649" spans="21:21" x14ac:dyDescent="0.3">
      <c r="U978649" s="25"/>
    </row>
    <row r="978671" spans="21:21" x14ac:dyDescent="0.3">
      <c r="U978671" s="25"/>
    </row>
    <row r="978693" spans="21:21" x14ac:dyDescent="0.3">
      <c r="U978693" s="25"/>
    </row>
    <row r="978715" spans="21:21" x14ac:dyDescent="0.3">
      <c r="U978715" s="25"/>
    </row>
    <row r="978737" spans="21:21" x14ac:dyDescent="0.3">
      <c r="U978737" s="25"/>
    </row>
    <row r="978759" spans="21:21" x14ac:dyDescent="0.3">
      <c r="U978759" s="25"/>
    </row>
    <row r="978781" spans="21:21" x14ac:dyDescent="0.3">
      <c r="U978781" s="25"/>
    </row>
    <row r="978803" spans="21:21" x14ac:dyDescent="0.3">
      <c r="U978803" s="25"/>
    </row>
    <row r="978825" spans="21:21" x14ac:dyDescent="0.3">
      <c r="U978825" s="25"/>
    </row>
    <row r="978847" spans="21:21" x14ac:dyDescent="0.3">
      <c r="U978847" s="25"/>
    </row>
    <row r="978869" spans="21:21" x14ac:dyDescent="0.3">
      <c r="U978869" s="25"/>
    </row>
    <row r="978891" spans="21:21" x14ac:dyDescent="0.3">
      <c r="U978891" s="25"/>
    </row>
    <row r="978913" spans="21:21" x14ac:dyDescent="0.3">
      <c r="U978913" s="25"/>
    </row>
    <row r="978935" spans="21:21" x14ac:dyDescent="0.3">
      <c r="U978935" s="25"/>
    </row>
    <row r="978957" spans="21:21" x14ac:dyDescent="0.3">
      <c r="U978957" s="25"/>
    </row>
    <row r="978979" spans="21:21" x14ac:dyDescent="0.3">
      <c r="U978979" s="25"/>
    </row>
    <row r="979001" spans="21:21" x14ac:dyDescent="0.3">
      <c r="U979001" s="25"/>
    </row>
    <row r="979023" spans="21:21" x14ac:dyDescent="0.3">
      <c r="U979023" s="25"/>
    </row>
    <row r="979045" spans="21:21" x14ac:dyDescent="0.3">
      <c r="U979045" s="25"/>
    </row>
    <row r="979067" spans="21:21" x14ac:dyDescent="0.3">
      <c r="U979067" s="25"/>
    </row>
    <row r="979089" spans="21:21" x14ac:dyDescent="0.3">
      <c r="U979089" s="25"/>
    </row>
    <row r="979111" spans="21:21" x14ac:dyDescent="0.3">
      <c r="U979111" s="25"/>
    </row>
    <row r="979133" spans="21:21" x14ac:dyDescent="0.3">
      <c r="U979133" s="25"/>
    </row>
    <row r="979155" spans="21:21" x14ac:dyDescent="0.3">
      <c r="U979155" s="25"/>
    </row>
    <row r="979177" spans="21:21" x14ac:dyDescent="0.3">
      <c r="U979177" s="25"/>
    </row>
    <row r="979199" spans="21:21" x14ac:dyDescent="0.3">
      <c r="U979199" s="25"/>
    </row>
    <row r="979221" spans="21:21" x14ac:dyDescent="0.3">
      <c r="U979221" s="25"/>
    </row>
    <row r="979243" spans="21:21" x14ac:dyDescent="0.3">
      <c r="U979243" s="25"/>
    </row>
    <row r="979265" spans="21:21" x14ac:dyDescent="0.3">
      <c r="U979265" s="25"/>
    </row>
    <row r="979287" spans="21:21" x14ac:dyDescent="0.3">
      <c r="U979287" s="25"/>
    </row>
    <row r="979309" spans="21:21" x14ac:dyDescent="0.3">
      <c r="U979309" s="25"/>
    </row>
    <row r="979331" spans="21:21" x14ac:dyDescent="0.3">
      <c r="U979331" s="25"/>
    </row>
    <row r="979353" spans="21:21" x14ac:dyDescent="0.3">
      <c r="U979353" s="25"/>
    </row>
    <row r="979375" spans="21:21" x14ac:dyDescent="0.3">
      <c r="U979375" s="25"/>
    </row>
    <row r="979397" spans="21:21" x14ac:dyDescent="0.3">
      <c r="U979397" s="25"/>
    </row>
    <row r="979419" spans="21:21" x14ac:dyDescent="0.3">
      <c r="U979419" s="25"/>
    </row>
    <row r="979441" spans="21:21" x14ac:dyDescent="0.3">
      <c r="U979441" s="25"/>
    </row>
    <row r="979463" spans="21:21" x14ac:dyDescent="0.3">
      <c r="U979463" s="25"/>
    </row>
    <row r="979485" spans="21:21" x14ac:dyDescent="0.3">
      <c r="U979485" s="25"/>
    </row>
    <row r="979507" spans="21:21" x14ac:dyDescent="0.3">
      <c r="U979507" s="25"/>
    </row>
    <row r="979529" spans="21:21" x14ac:dyDescent="0.3">
      <c r="U979529" s="25"/>
    </row>
    <row r="979551" spans="21:21" x14ac:dyDescent="0.3">
      <c r="U979551" s="25"/>
    </row>
    <row r="979573" spans="21:21" x14ac:dyDescent="0.3">
      <c r="U979573" s="25"/>
    </row>
    <row r="979595" spans="21:21" x14ac:dyDescent="0.3">
      <c r="U979595" s="25"/>
    </row>
    <row r="979617" spans="21:21" x14ac:dyDescent="0.3">
      <c r="U979617" s="25"/>
    </row>
    <row r="979639" spans="21:21" x14ac:dyDescent="0.3">
      <c r="U979639" s="25"/>
    </row>
    <row r="979661" spans="21:21" x14ac:dyDescent="0.3">
      <c r="U979661" s="25"/>
    </row>
    <row r="979683" spans="21:21" x14ac:dyDescent="0.3">
      <c r="U979683" s="25"/>
    </row>
    <row r="979705" spans="21:21" x14ac:dyDescent="0.3">
      <c r="U979705" s="25"/>
    </row>
    <row r="979727" spans="21:21" x14ac:dyDescent="0.3">
      <c r="U979727" s="25"/>
    </row>
    <row r="979749" spans="21:21" x14ac:dyDescent="0.3">
      <c r="U979749" s="25"/>
    </row>
    <row r="979771" spans="21:21" x14ac:dyDescent="0.3">
      <c r="U979771" s="25"/>
    </row>
    <row r="979793" spans="21:21" x14ac:dyDescent="0.3">
      <c r="U979793" s="25"/>
    </row>
    <row r="979815" spans="21:21" x14ac:dyDescent="0.3">
      <c r="U979815" s="25"/>
    </row>
    <row r="979837" spans="21:21" x14ac:dyDescent="0.3">
      <c r="U979837" s="25"/>
    </row>
    <row r="979859" spans="21:21" x14ac:dyDescent="0.3">
      <c r="U979859" s="25"/>
    </row>
    <row r="979881" spans="21:21" x14ac:dyDescent="0.3">
      <c r="U979881" s="25"/>
    </row>
    <row r="979903" spans="21:21" x14ac:dyDescent="0.3">
      <c r="U979903" s="25"/>
    </row>
    <row r="979925" spans="21:21" x14ac:dyDescent="0.3">
      <c r="U979925" s="25"/>
    </row>
    <row r="979947" spans="21:21" x14ac:dyDescent="0.3">
      <c r="U979947" s="25"/>
    </row>
    <row r="979969" spans="21:21" x14ac:dyDescent="0.3">
      <c r="U979969" s="25"/>
    </row>
    <row r="979991" spans="21:21" x14ac:dyDescent="0.3">
      <c r="U979991" s="25"/>
    </row>
    <row r="980013" spans="21:21" x14ac:dyDescent="0.3">
      <c r="U980013" s="25"/>
    </row>
    <row r="980035" spans="21:21" x14ac:dyDescent="0.3">
      <c r="U980035" s="25"/>
    </row>
    <row r="980057" spans="21:21" x14ac:dyDescent="0.3">
      <c r="U980057" s="25"/>
    </row>
    <row r="980079" spans="21:21" x14ac:dyDescent="0.3">
      <c r="U980079" s="25"/>
    </row>
    <row r="980101" spans="21:21" x14ac:dyDescent="0.3">
      <c r="U980101" s="25"/>
    </row>
    <row r="980123" spans="21:21" x14ac:dyDescent="0.3">
      <c r="U980123" s="25"/>
    </row>
    <row r="980145" spans="21:21" x14ac:dyDescent="0.3">
      <c r="U980145" s="25"/>
    </row>
    <row r="980167" spans="21:21" x14ac:dyDescent="0.3">
      <c r="U980167" s="25"/>
    </row>
    <row r="980189" spans="21:21" x14ac:dyDescent="0.3">
      <c r="U980189" s="25"/>
    </row>
    <row r="980211" spans="21:21" x14ac:dyDescent="0.3">
      <c r="U980211" s="25"/>
    </row>
    <row r="980233" spans="21:21" x14ac:dyDescent="0.3">
      <c r="U980233" s="25"/>
    </row>
    <row r="980255" spans="21:21" x14ac:dyDescent="0.3">
      <c r="U980255" s="25"/>
    </row>
    <row r="980277" spans="21:21" x14ac:dyDescent="0.3">
      <c r="U980277" s="25"/>
    </row>
    <row r="980299" spans="21:21" x14ac:dyDescent="0.3">
      <c r="U980299" s="25"/>
    </row>
    <row r="980321" spans="21:21" x14ac:dyDescent="0.3">
      <c r="U980321" s="25"/>
    </row>
    <row r="980343" spans="21:21" x14ac:dyDescent="0.3">
      <c r="U980343" s="25"/>
    </row>
    <row r="980365" spans="21:21" x14ac:dyDescent="0.3">
      <c r="U980365" s="25"/>
    </row>
    <row r="980387" spans="21:21" x14ac:dyDescent="0.3">
      <c r="U980387" s="25"/>
    </row>
    <row r="980409" spans="21:21" x14ac:dyDescent="0.3">
      <c r="U980409" s="25"/>
    </row>
    <row r="980431" spans="21:21" x14ac:dyDescent="0.3">
      <c r="U980431" s="25"/>
    </row>
    <row r="980453" spans="21:21" x14ac:dyDescent="0.3">
      <c r="U980453" s="25"/>
    </row>
    <row r="980475" spans="21:21" x14ac:dyDescent="0.3">
      <c r="U980475" s="25"/>
    </row>
    <row r="980497" spans="21:21" x14ac:dyDescent="0.3">
      <c r="U980497" s="25"/>
    </row>
    <row r="980519" spans="21:21" x14ac:dyDescent="0.3">
      <c r="U980519" s="25"/>
    </row>
    <row r="980541" spans="21:21" x14ac:dyDescent="0.3">
      <c r="U980541" s="25"/>
    </row>
    <row r="980563" spans="21:21" x14ac:dyDescent="0.3">
      <c r="U980563" s="25"/>
    </row>
    <row r="980585" spans="21:21" x14ac:dyDescent="0.3">
      <c r="U980585" s="25"/>
    </row>
    <row r="980607" spans="21:21" x14ac:dyDescent="0.3">
      <c r="U980607" s="25"/>
    </row>
    <row r="980629" spans="21:21" x14ac:dyDescent="0.3">
      <c r="U980629" s="25"/>
    </row>
    <row r="980651" spans="21:21" x14ac:dyDescent="0.3">
      <c r="U980651" s="25"/>
    </row>
    <row r="980673" spans="21:21" x14ac:dyDescent="0.3">
      <c r="U980673" s="25"/>
    </row>
    <row r="980695" spans="21:21" x14ac:dyDescent="0.3">
      <c r="U980695" s="25"/>
    </row>
    <row r="980717" spans="21:21" x14ac:dyDescent="0.3">
      <c r="U980717" s="25"/>
    </row>
    <row r="980739" spans="21:21" x14ac:dyDescent="0.3">
      <c r="U980739" s="25"/>
    </row>
    <row r="980761" spans="21:21" x14ac:dyDescent="0.3">
      <c r="U980761" s="25"/>
    </row>
    <row r="980783" spans="21:21" x14ac:dyDescent="0.3">
      <c r="U980783" s="25"/>
    </row>
    <row r="980805" spans="21:21" x14ac:dyDescent="0.3">
      <c r="U980805" s="25"/>
    </row>
    <row r="980827" spans="21:21" x14ac:dyDescent="0.3">
      <c r="U980827" s="25"/>
    </row>
    <row r="980849" spans="21:21" x14ac:dyDescent="0.3">
      <c r="U980849" s="25"/>
    </row>
    <row r="980871" spans="21:21" x14ac:dyDescent="0.3">
      <c r="U980871" s="25"/>
    </row>
    <row r="980893" spans="21:21" x14ac:dyDescent="0.3">
      <c r="U980893" s="25"/>
    </row>
    <row r="980915" spans="21:21" x14ac:dyDescent="0.3">
      <c r="U980915" s="25"/>
    </row>
    <row r="980937" spans="21:21" x14ac:dyDescent="0.3">
      <c r="U980937" s="25"/>
    </row>
    <row r="980959" spans="21:21" x14ac:dyDescent="0.3">
      <c r="U980959" s="25"/>
    </row>
    <row r="980981" spans="21:21" x14ac:dyDescent="0.3">
      <c r="U980981" s="25"/>
    </row>
    <row r="981003" spans="21:21" x14ac:dyDescent="0.3">
      <c r="U981003" s="25"/>
    </row>
    <row r="981025" spans="21:21" x14ac:dyDescent="0.3">
      <c r="U981025" s="25"/>
    </row>
    <row r="981047" spans="21:21" x14ac:dyDescent="0.3">
      <c r="U981047" s="25"/>
    </row>
    <row r="981069" spans="21:21" x14ac:dyDescent="0.3">
      <c r="U981069" s="25"/>
    </row>
    <row r="981091" spans="21:21" x14ac:dyDescent="0.3">
      <c r="U981091" s="25"/>
    </row>
    <row r="981113" spans="21:21" x14ac:dyDescent="0.3">
      <c r="U981113" s="25"/>
    </row>
    <row r="981135" spans="21:21" x14ac:dyDescent="0.3">
      <c r="U981135" s="25"/>
    </row>
    <row r="981157" spans="21:21" x14ac:dyDescent="0.3">
      <c r="U981157" s="25"/>
    </row>
    <row r="981179" spans="21:21" x14ac:dyDescent="0.3">
      <c r="U981179" s="25"/>
    </row>
    <row r="981201" spans="21:21" x14ac:dyDescent="0.3">
      <c r="U981201" s="25"/>
    </row>
    <row r="981223" spans="21:21" x14ac:dyDescent="0.3">
      <c r="U981223" s="25"/>
    </row>
    <row r="981245" spans="21:21" x14ac:dyDescent="0.3">
      <c r="U981245" s="25"/>
    </row>
    <row r="981267" spans="21:21" x14ac:dyDescent="0.3">
      <c r="U981267" s="25"/>
    </row>
    <row r="981289" spans="21:21" x14ac:dyDescent="0.3">
      <c r="U981289" s="25"/>
    </row>
    <row r="981311" spans="21:21" x14ac:dyDescent="0.3">
      <c r="U981311" s="25"/>
    </row>
    <row r="981333" spans="21:21" x14ac:dyDescent="0.3">
      <c r="U981333" s="25"/>
    </row>
    <row r="981355" spans="21:21" x14ac:dyDescent="0.3">
      <c r="U981355" s="25"/>
    </row>
    <row r="981377" spans="21:21" x14ac:dyDescent="0.3">
      <c r="U981377" s="25"/>
    </row>
    <row r="981399" spans="21:21" x14ac:dyDescent="0.3">
      <c r="U981399" s="25"/>
    </row>
    <row r="981421" spans="21:21" x14ac:dyDescent="0.3">
      <c r="U981421" s="25"/>
    </row>
    <row r="981443" spans="21:21" x14ac:dyDescent="0.3">
      <c r="U981443" s="25"/>
    </row>
    <row r="981465" spans="21:21" x14ac:dyDescent="0.3">
      <c r="U981465" s="25"/>
    </row>
    <row r="981487" spans="21:21" x14ac:dyDescent="0.3">
      <c r="U981487" s="25"/>
    </row>
    <row r="981509" spans="21:21" x14ac:dyDescent="0.3">
      <c r="U981509" s="25"/>
    </row>
    <row r="981531" spans="21:21" x14ac:dyDescent="0.3">
      <c r="U981531" s="25"/>
    </row>
    <row r="981553" spans="21:21" x14ac:dyDescent="0.3">
      <c r="U981553" s="25"/>
    </row>
    <row r="981575" spans="21:21" x14ac:dyDescent="0.3">
      <c r="U981575" s="25"/>
    </row>
    <row r="981597" spans="21:21" x14ac:dyDescent="0.3">
      <c r="U981597" s="25"/>
    </row>
    <row r="981619" spans="21:21" x14ac:dyDescent="0.3">
      <c r="U981619" s="25"/>
    </row>
    <row r="981641" spans="21:21" x14ac:dyDescent="0.3">
      <c r="U981641" s="25"/>
    </row>
    <row r="981663" spans="21:21" x14ac:dyDescent="0.3">
      <c r="U981663" s="25"/>
    </row>
    <row r="981685" spans="21:21" x14ac:dyDescent="0.3">
      <c r="U981685" s="25"/>
    </row>
    <row r="981707" spans="21:21" x14ac:dyDescent="0.3">
      <c r="U981707" s="25"/>
    </row>
    <row r="981729" spans="21:21" x14ac:dyDescent="0.3">
      <c r="U981729" s="25"/>
    </row>
    <row r="981751" spans="21:21" x14ac:dyDescent="0.3">
      <c r="U981751" s="25"/>
    </row>
    <row r="981773" spans="21:21" x14ac:dyDescent="0.3">
      <c r="U981773" s="25"/>
    </row>
    <row r="981795" spans="21:21" x14ac:dyDescent="0.3">
      <c r="U981795" s="25"/>
    </row>
    <row r="981817" spans="21:21" x14ac:dyDescent="0.3">
      <c r="U981817" s="25"/>
    </row>
    <row r="981839" spans="21:21" x14ac:dyDescent="0.3">
      <c r="U981839" s="25"/>
    </row>
    <row r="981861" spans="21:21" x14ac:dyDescent="0.3">
      <c r="U981861" s="25"/>
    </row>
    <row r="981883" spans="21:21" x14ac:dyDescent="0.3">
      <c r="U981883" s="25"/>
    </row>
    <row r="981905" spans="21:21" x14ac:dyDescent="0.3">
      <c r="U981905" s="25"/>
    </row>
    <row r="981927" spans="21:21" x14ac:dyDescent="0.3">
      <c r="U981927" s="25"/>
    </row>
    <row r="981949" spans="21:21" x14ac:dyDescent="0.3">
      <c r="U981949" s="25"/>
    </row>
    <row r="981971" spans="21:21" x14ac:dyDescent="0.3">
      <c r="U981971" s="25"/>
    </row>
    <row r="981993" spans="21:21" x14ac:dyDescent="0.3">
      <c r="U981993" s="25"/>
    </row>
    <row r="982015" spans="21:21" x14ac:dyDescent="0.3">
      <c r="U982015" s="25"/>
    </row>
    <row r="982037" spans="21:21" x14ac:dyDescent="0.3">
      <c r="U982037" s="25"/>
    </row>
    <row r="982059" spans="21:21" x14ac:dyDescent="0.3">
      <c r="U982059" s="25"/>
    </row>
    <row r="982081" spans="21:21" x14ac:dyDescent="0.3">
      <c r="U982081" s="25"/>
    </row>
    <row r="982103" spans="21:21" x14ac:dyDescent="0.3">
      <c r="U982103" s="25"/>
    </row>
    <row r="982125" spans="21:21" x14ac:dyDescent="0.3">
      <c r="U982125" s="25"/>
    </row>
    <row r="982147" spans="21:21" x14ac:dyDescent="0.3">
      <c r="U982147" s="25"/>
    </row>
    <row r="982169" spans="21:21" x14ac:dyDescent="0.3">
      <c r="U982169" s="25"/>
    </row>
    <row r="982191" spans="21:21" x14ac:dyDescent="0.3">
      <c r="U982191" s="25"/>
    </row>
    <row r="982213" spans="21:21" x14ac:dyDescent="0.3">
      <c r="U982213" s="25"/>
    </row>
    <row r="982235" spans="21:21" x14ac:dyDescent="0.3">
      <c r="U982235" s="25"/>
    </row>
    <row r="982257" spans="21:21" x14ac:dyDescent="0.3">
      <c r="U982257" s="25"/>
    </row>
    <row r="982279" spans="21:21" x14ac:dyDescent="0.3">
      <c r="U982279" s="25"/>
    </row>
    <row r="982301" spans="21:21" x14ac:dyDescent="0.3">
      <c r="U982301" s="25"/>
    </row>
    <row r="982323" spans="21:21" x14ac:dyDescent="0.3">
      <c r="U982323" s="25"/>
    </row>
    <row r="982345" spans="21:21" x14ac:dyDescent="0.3">
      <c r="U982345" s="25"/>
    </row>
    <row r="982367" spans="21:21" x14ac:dyDescent="0.3">
      <c r="U982367" s="25"/>
    </row>
    <row r="982389" spans="21:21" x14ac:dyDescent="0.3">
      <c r="U982389" s="25"/>
    </row>
    <row r="982411" spans="21:21" x14ac:dyDescent="0.3">
      <c r="U982411" s="25"/>
    </row>
    <row r="982433" spans="21:21" x14ac:dyDescent="0.3">
      <c r="U982433" s="25"/>
    </row>
    <row r="982455" spans="21:21" x14ac:dyDescent="0.3">
      <c r="U982455" s="25"/>
    </row>
    <row r="982477" spans="21:21" x14ac:dyDescent="0.3">
      <c r="U982477" s="25"/>
    </row>
    <row r="982499" spans="21:21" x14ac:dyDescent="0.3">
      <c r="U982499" s="25"/>
    </row>
    <row r="982521" spans="21:21" x14ac:dyDescent="0.3">
      <c r="U982521" s="25"/>
    </row>
    <row r="982543" spans="21:21" x14ac:dyDescent="0.3">
      <c r="U982543" s="25"/>
    </row>
    <row r="982565" spans="21:21" x14ac:dyDescent="0.3">
      <c r="U982565" s="25"/>
    </row>
    <row r="982587" spans="21:21" x14ac:dyDescent="0.3">
      <c r="U982587" s="25"/>
    </row>
    <row r="982609" spans="21:21" x14ac:dyDescent="0.3">
      <c r="U982609" s="25"/>
    </row>
    <row r="982631" spans="21:21" x14ac:dyDescent="0.3">
      <c r="U982631" s="25"/>
    </row>
    <row r="982653" spans="21:21" x14ac:dyDescent="0.3">
      <c r="U982653" s="25"/>
    </row>
    <row r="982675" spans="21:21" x14ac:dyDescent="0.3">
      <c r="U982675" s="25"/>
    </row>
    <row r="982697" spans="21:21" x14ac:dyDescent="0.3">
      <c r="U982697" s="25"/>
    </row>
    <row r="982719" spans="21:21" x14ac:dyDescent="0.3">
      <c r="U982719" s="25"/>
    </row>
    <row r="982741" spans="21:21" x14ac:dyDescent="0.3">
      <c r="U982741" s="25"/>
    </row>
    <row r="982763" spans="21:21" x14ac:dyDescent="0.3">
      <c r="U982763" s="25"/>
    </row>
    <row r="982785" spans="21:21" x14ac:dyDescent="0.3">
      <c r="U982785" s="25"/>
    </row>
    <row r="982807" spans="21:21" x14ac:dyDescent="0.3">
      <c r="U982807" s="25"/>
    </row>
    <row r="982829" spans="21:21" x14ac:dyDescent="0.3">
      <c r="U982829" s="25"/>
    </row>
    <row r="982851" spans="21:21" x14ac:dyDescent="0.3">
      <c r="U982851" s="25"/>
    </row>
    <row r="982873" spans="21:21" x14ac:dyDescent="0.3">
      <c r="U982873" s="25"/>
    </row>
    <row r="982895" spans="21:21" x14ac:dyDescent="0.3">
      <c r="U982895" s="25"/>
    </row>
    <row r="982917" spans="21:21" x14ac:dyDescent="0.3">
      <c r="U982917" s="25"/>
    </row>
    <row r="982939" spans="21:21" x14ac:dyDescent="0.3">
      <c r="U982939" s="25"/>
    </row>
    <row r="982961" spans="21:21" x14ac:dyDescent="0.3">
      <c r="U982961" s="25"/>
    </row>
    <row r="982983" spans="21:21" x14ac:dyDescent="0.3">
      <c r="U982983" s="25"/>
    </row>
    <row r="983005" spans="21:21" x14ac:dyDescent="0.3">
      <c r="U983005" s="25"/>
    </row>
    <row r="983027" spans="21:21" x14ac:dyDescent="0.3">
      <c r="U983027" s="25"/>
    </row>
    <row r="983049" spans="21:21" x14ac:dyDescent="0.3">
      <c r="U983049" s="25"/>
    </row>
    <row r="983071" spans="21:21" x14ac:dyDescent="0.3">
      <c r="U983071" s="25"/>
    </row>
    <row r="983093" spans="21:21" x14ac:dyDescent="0.3">
      <c r="U983093" s="25"/>
    </row>
    <row r="983115" spans="21:21" x14ac:dyDescent="0.3">
      <c r="U983115" s="25"/>
    </row>
    <row r="983137" spans="21:21" x14ac:dyDescent="0.3">
      <c r="U983137" s="25"/>
    </row>
    <row r="983159" spans="21:21" x14ac:dyDescent="0.3">
      <c r="U983159" s="25"/>
    </row>
    <row r="983181" spans="21:21" x14ac:dyDescent="0.3">
      <c r="U983181" s="25"/>
    </row>
    <row r="983203" spans="21:21" x14ac:dyDescent="0.3">
      <c r="U983203" s="25"/>
    </row>
    <row r="983225" spans="21:21" x14ac:dyDescent="0.3">
      <c r="U983225" s="25"/>
    </row>
    <row r="983247" spans="21:21" x14ac:dyDescent="0.3">
      <c r="U983247" s="25"/>
    </row>
    <row r="983269" spans="21:21" x14ac:dyDescent="0.3">
      <c r="U983269" s="25"/>
    </row>
    <row r="983291" spans="21:21" x14ac:dyDescent="0.3">
      <c r="U983291" s="25"/>
    </row>
    <row r="983313" spans="21:21" x14ac:dyDescent="0.3">
      <c r="U983313" s="25"/>
    </row>
    <row r="983335" spans="21:21" x14ac:dyDescent="0.3">
      <c r="U983335" s="25"/>
    </row>
    <row r="983357" spans="21:21" x14ac:dyDescent="0.3">
      <c r="U983357" s="25"/>
    </row>
    <row r="983379" spans="21:21" x14ac:dyDescent="0.3">
      <c r="U983379" s="25"/>
    </row>
    <row r="983401" spans="21:21" x14ac:dyDescent="0.3">
      <c r="U983401" s="25"/>
    </row>
    <row r="983423" spans="21:21" x14ac:dyDescent="0.3">
      <c r="U983423" s="25"/>
    </row>
    <row r="983445" spans="21:21" x14ac:dyDescent="0.3">
      <c r="U983445" s="25"/>
    </row>
    <row r="983467" spans="21:21" x14ac:dyDescent="0.3">
      <c r="U983467" s="25"/>
    </row>
    <row r="983489" spans="21:21" x14ac:dyDescent="0.3">
      <c r="U983489" s="25"/>
    </row>
    <row r="983511" spans="21:21" x14ac:dyDescent="0.3">
      <c r="U983511" s="25"/>
    </row>
    <row r="983533" spans="21:21" x14ac:dyDescent="0.3">
      <c r="U983533" s="25"/>
    </row>
    <row r="983555" spans="21:21" x14ac:dyDescent="0.3">
      <c r="U983555" s="25"/>
    </row>
    <row r="983577" spans="21:21" x14ac:dyDescent="0.3">
      <c r="U983577" s="25"/>
    </row>
    <row r="983599" spans="21:21" x14ac:dyDescent="0.3">
      <c r="U983599" s="25"/>
    </row>
    <row r="983621" spans="21:21" x14ac:dyDescent="0.3">
      <c r="U983621" s="25"/>
    </row>
    <row r="983643" spans="21:21" x14ac:dyDescent="0.3">
      <c r="U983643" s="25"/>
    </row>
    <row r="983665" spans="21:21" x14ac:dyDescent="0.3">
      <c r="U983665" s="25"/>
    </row>
    <row r="983687" spans="21:21" x14ac:dyDescent="0.3">
      <c r="U983687" s="25"/>
    </row>
    <row r="983709" spans="21:21" x14ac:dyDescent="0.3">
      <c r="U983709" s="25"/>
    </row>
    <row r="983731" spans="21:21" x14ac:dyDescent="0.3">
      <c r="U983731" s="25"/>
    </row>
    <row r="983753" spans="21:21" x14ac:dyDescent="0.3">
      <c r="U983753" s="25"/>
    </row>
    <row r="983775" spans="21:21" x14ac:dyDescent="0.3">
      <c r="U983775" s="25"/>
    </row>
    <row r="983797" spans="21:21" x14ac:dyDescent="0.3">
      <c r="U983797" s="25"/>
    </row>
    <row r="983819" spans="21:21" x14ac:dyDescent="0.3">
      <c r="U983819" s="25"/>
    </row>
    <row r="983841" spans="21:21" x14ac:dyDescent="0.3">
      <c r="U983841" s="25"/>
    </row>
    <row r="983863" spans="21:21" x14ac:dyDescent="0.3">
      <c r="U983863" s="25"/>
    </row>
    <row r="983885" spans="21:21" x14ac:dyDescent="0.3">
      <c r="U983885" s="25"/>
    </row>
    <row r="983907" spans="21:21" x14ac:dyDescent="0.3">
      <c r="U983907" s="25"/>
    </row>
    <row r="983929" spans="21:21" x14ac:dyDescent="0.3">
      <c r="U983929" s="25"/>
    </row>
    <row r="983951" spans="21:21" x14ac:dyDescent="0.3">
      <c r="U983951" s="25"/>
    </row>
    <row r="983973" spans="21:21" x14ac:dyDescent="0.3">
      <c r="U983973" s="25"/>
    </row>
    <row r="983995" spans="21:21" x14ac:dyDescent="0.3">
      <c r="U983995" s="25"/>
    </row>
    <row r="984017" spans="21:21" x14ac:dyDescent="0.3">
      <c r="U984017" s="25"/>
    </row>
    <row r="984039" spans="21:21" x14ac:dyDescent="0.3">
      <c r="U984039" s="25"/>
    </row>
    <row r="984061" spans="21:21" x14ac:dyDescent="0.3">
      <c r="U984061" s="25"/>
    </row>
    <row r="984083" spans="21:21" x14ac:dyDescent="0.3">
      <c r="U984083" s="25"/>
    </row>
    <row r="984105" spans="21:21" x14ac:dyDescent="0.3">
      <c r="U984105" s="25"/>
    </row>
    <row r="984127" spans="21:21" x14ac:dyDescent="0.3">
      <c r="U984127" s="25"/>
    </row>
    <row r="984149" spans="21:21" x14ac:dyDescent="0.3">
      <c r="U984149" s="25"/>
    </row>
    <row r="984171" spans="21:21" x14ac:dyDescent="0.3">
      <c r="U984171" s="25"/>
    </row>
    <row r="984193" spans="21:21" x14ac:dyDescent="0.3">
      <c r="U984193" s="25"/>
    </row>
    <row r="984215" spans="21:21" x14ac:dyDescent="0.3">
      <c r="U984215" s="25"/>
    </row>
    <row r="984237" spans="21:21" x14ac:dyDescent="0.3">
      <c r="U984237" s="25"/>
    </row>
    <row r="984259" spans="21:21" x14ac:dyDescent="0.3">
      <c r="U984259" s="25"/>
    </row>
    <row r="984281" spans="21:21" x14ac:dyDescent="0.3">
      <c r="U984281" s="25"/>
    </row>
    <row r="984303" spans="21:21" x14ac:dyDescent="0.3">
      <c r="U984303" s="25"/>
    </row>
    <row r="984325" spans="21:21" x14ac:dyDescent="0.3">
      <c r="U984325" s="25"/>
    </row>
    <row r="984347" spans="21:21" x14ac:dyDescent="0.3">
      <c r="U984347" s="25"/>
    </row>
    <row r="984369" spans="21:21" x14ac:dyDescent="0.3">
      <c r="U984369" s="25"/>
    </row>
    <row r="984391" spans="21:21" x14ac:dyDescent="0.3">
      <c r="U984391" s="25"/>
    </row>
    <row r="984413" spans="21:21" x14ac:dyDescent="0.3">
      <c r="U984413" s="25"/>
    </row>
    <row r="984435" spans="21:21" x14ac:dyDescent="0.3">
      <c r="U984435" s="25"/>
    </row>
    <row r="984457" spans="21:21" x14ac:dyDescent="0.3">
      <c r="U984457" s="25"/>
    </row>
    <row r="984479" spans="21:21" x14ac:dyDescent="0.3">
      <c r="U984479" s="25"/>
    </row>
    <row r="984501" spans="21:21" x14ac:dyDescent="0.3">
      <c r="U984501" s="25"/>
    </row>
    <row r="984523" spans="21:21" x14ac:dyDescent="0.3">
      <c r="U984523" s="25"/>
    </row>
    <row r="984545" spans="21:21" x14ac:dyDescent="0.3">
      <c r="U984545" s="25"/>
    </row>
    <row r="984567" spans="21:21" x14ac:dyDescent="0.3">
      <c r="U984567" s="25"/>
    </row>
    <row r="984589" spans="21:21" x14ac:dyDescent="0.3">
      <c r="U984589" s="25"/>
    </row>
    <row r="984611" spans="21:21" x14ac:dyDescent="0.3">
      <c r="U984611" s="25"/>
    </row>
    <row r="984633" spans="21:21" x14ac:dyDescent="0.3">
      <c r="U984633" s="25"/>
    </row>
    <row r="984655" spans="21:21" x14ac:dyDescent="0.3">
      <c r="U984655" s="25"/>
    </row>
    <row r="984677" spans="21:21" x14ac:dyDescent="0.3">
      <c r="U984677" s="25"/>
    </row>
    <row r="984699" spans="21:21" x14ac:dyDescent="0.3">
      <c r="U984699" s="25"/>
    </row>
    <row r="984721" spans="21:21" x14ac:dyDescent="0.3">
      <c r="U984721" s="25"/>
    </row>
    <row r="984743" spans="21:21" x14ac:dyDescent="0.3">
      <c r="U984743" s="25"/>
    </row>
    <row r="984765" spans="21:21" x14ac:dyDescent="0.3">
      <c r="U984765" s="25"/>
    </row>
    <row r="984787" spans="21:21" x14ac:dyDescent="0.3">
      <c r="U984787" s="25"/>
    </row>
    <row r="984809" spans="21:21" x14ac:dyDescent="0.3">
      <c r="U984809" s="25"/>
    </row>
    <row r="984831" spans="21:21" x14ac:dyDescent="0.3">
      <c r="U984831" s="25"/>
    </row>
    <row r="984853" spans="21:21" x14ac:dyDescent="0.3">
      <c r="U984853" s="25"/>
    </row>
    <row r="984875" spans="21:21" x14ac:dyDescent="0.3">
      <c r="U984875" s="25"/>
    </row>
    <row r="984897" spans="21:21" x14ac:dyDescent="0.3">
      <c r="U984897" s="25"/>
    </row>
    <row r="984919" spans="21:21" x14ac:dyDescent="0.3">
      <c r="U984919" s="25"/>
    </row>
    <row r="984941" spans="21:21" x14ac:dyDescent="0.3">
      <c r="U984941" s="25"/>
    </row>
    <row r="984963" spans="21:21" x14ac:dyDescent="0.3">
      <c r="U984963" s="25"/>
    </row>
    <row r="984985" spans="21:21" x14ac:dyDescent="0.3">
      <c r="U984985" s="25"/>
    </row>
    <row r="985007" spans="21:21" x14ac:dyDescent="0.3">
      <c r="U985007" s="25"/>
    </row>
    <row r="985029" spans="21:21" x14ac:dyDescent="0.3">
      <c r="U985029" s="25"/>
    </row>
    <row r="985051" spans="21:21" x14ac:dyDescent="0.3">
      <c r="U985051" s="25"/>
    </row>
    <row r="985073" spans="21:21" x14ac:dyDescent="0.3">
      <c r="U985073" s="25"/>
    </row>
    <row r="985095" spans="21:21" x14ac:dyDescent="0.3">
      <c r="U985095" s="25"/>
    </row>
    <row r="985117" spans="21:21" x14ac:dyDescent="0.3">
      <c r="U985117" s="25"/>
    </row>
    <row r="985139" spans="21:21" x14ac:dyDescent="0.3">
      <c r="U985139" s="25"/>
    </row>
    <row r="985161" spans="21:21" x14ac:dyDescent="0.3">
      <c r="U985161" s="25"/>
    </row>
    <row r="985183" spans="21:21" x14ac:dyDescent="0.3">
      <c r="U985183" s="25"/>
    </row>
    <row r="985205" spans="21:21" x14ac:dyDescent="0.3">
      <c r="U985205" s="25"/>
    </row>
    <row r="985227" spans="21:21" x14ac:dyDescent="0.3">
      <c r="U985227" s="25"/>
    </row>
    <row r="985249" spans="21:21" x14ac:dyDescent="0.3">
      <c r="U985249" s="25"/>
    </row>
    <row r="985271" spans="21:21" x14ac:dyDescent="0.3">
      <c r="U985271" s="25"/>
    </row>
    <row r="985293" spans="21:21" x14ac:dyDescent="0.3">
      <c r="U985293" s="25"/>
    </row>
    <row r="985315" spans="21:21" x14ac:dyDescent="0.3">
      <c r="U985315" s="25"/>
    </row>
    <row r="985337" spans="21:21" x14ac:dyDescent="0.3">
      <c r="U985337" s="25"/>
    </row>
    <row r="985359" spans="21:21" x14ac:dyDescent="0.3">
      <c r="U985359" s="25"/>
    </row>
    <row r="985381" spans="21:21" x14ac:dyDescent="0.3">
      <c r="U985381" s="25"/>
    </row>
    <row r="985403" spans="21:21" x14ac:dyDescent="0.3">
      <c r="U985403" s="25"/>
    </row>
    <row r="985425" spans="21:21" x14ac:dyDescent="0.3">
      <c r="U985425" s="25"/>
    </row>
    <row r="985447" spans="21:21" x14ac:dyDescent="0.3">
      <c r="U985447" s="25"/>
    </row>
    <row r="985469" spans="21:21" x14ac:dyDescent="0.3">
      <c r="U985469" s="25"/>
    </row>
    <row r="985491" spans="21:21" x14ac:dyDescent="0.3">
      <c r="U985491" s="25"/>
    </row>
    <row r="985513" spans="21:21" x14ac:dyDescent="0.3">
      <c r="U985513" s="25"/>
    </row>
    <row r="985535" spans="21:21" x14ac:dyDescent="0.3">
      <c r="U985535" s="25"/>
    </row>
    <row r="985557" spans="21:21" x14ac:dyDescent="0.3">
      <c r="U985557" s="25"/>
    </row>
    <row r="985579" spans="21:21" x14ac:dyDescent="0.3">
      <c r="U985579" s="25"/>
    </row>
    <row r="985601" spans="21:21" x14ac:dyDescent="0.3">
      <c r="U985601" s="25"/>
    </row>
    <row r="985623" spans="21:21" x14ac:dyDescent="0.3">
      <c r="U985623" s="25"/>
    </row>
    <row r="985645" spans="21:21" x14ac:dyDescent="0.3">
      <c r="U985645" s="25"/>
    </row>
    <row r="985667" spans="21:21" x14ac:dyDescent="0.3">
      <c r="U985667" s="25"/>
    </row>
    <row r="985689" spans="21:21" x14ac:dyDescent="0.3">
      <c r="U985689" s="25"/>
    </row>
    <row r="985711" spans="21:21" x14ac:dyDescent="0.3">
      <c r="U985711" s="25"/>
    </row>
    <row r="985733" spans="21:21" x14ac:dyDescent="0.3">
      <c r="U985733" s="25"/>
    </row>
    <row r="985755" spans="21:21" x14ac:dyDescent="0.3">
      <c r="U985755" s="25"/>
    </row>
    <row r="985777" spans="21:21" x14ac:dyDescent="0.3">
      <c r="U985777" s="25"/>
    </row>
    <row r="985799" spans="21:21" x14ac:dyDescent="0.3">
      <c r="U985799" s="25"/>
    </row>
    <row r="985821" spans="21:21" x14ac:dyDescent="0.3">
      <c r="U985821" s="25"/>
    </row>
    <row r="985843" spans="21:21" x14ac:dyDescent="0.3">
      <c r="U985843" s="25"/>
    </row>
    <row r="985865" spans="21:21" x14ac:dyDescent="0.3">
      <c r="U985865" s="25"/>
    </row>
    <row r="985887" spans="21:21" x14ac:dyDescent="0.3">
      <c r="U985887" s="25"/>
    </row>
    <row r="985909" spans="21:21" x14ac:dyDescent="0.3">
      <c r="U985909" s="25"/>
    </row>
    <row r="985931" spans="21:21" x14ac:dyDescent="0.3">
      <c r="U985931" s="25"/>
    </row>
    <row r="985953" spans="21:21" x14ac:dyDescent="0.3">
      <c r="U985953" s="25"/>
    </row>
    <row r="985975" spans="21:21" x14ac:dyDescent="0.3">
      <c r="U985975" s="25"/>
    </row>
    <row r="985997" spans="21:21" x14ac:dyDescent="0.3">
      <c r="U985997" s="25"/>
    </row>
    <row r="986019" spans="21:21" x14ac:dyDescent="0.3">
      <c r="U986019" s="25"/>
    </row>
    <row r="986041" spans="21:21" x14ac:dyDescent="0.3">
      <c r="U986041" s="25"/>
    </row>
    <row r="986063" spans="21:21" x14ac:dyDescent="0.3">
      <c r="U986063" s="25"/>
    </row>
    <row r="986085" spans="21:21" x14ac:dyDescent="0.3">
      <c r="U986085" s="25"/>
    </row>
    <row r="986107" spans="21:21" x14ac:dyDescent="0.3">
      <c r="U986107" s="25"/>
    </row>
    <row r="986129" spans="21:21" x14ac:dyDescent="0.3">
      <c r="U986129" s="25"/>
    </row>
    <row r="986151" spans="21:21" x14ac:dyDescent="0.3">
      <c r="U986151" s="25"/>
    </row>
    <row r="986173" spans="21:21" x14ac:dyDescent="0.3">
      <c r="U986173" s="25"/>
    </row>
    <row r="986195" spans="21:21" x14ac:dyDescent="0.3">
      <c r="U986195" s="25"/>
    </row>
    <row r="986217" spans="21:21" x14ac:dyDescent="0.3">
      <c r="U986217" s="25"/>
    </row>
    <row r="986239" spans="21:21" x14ac:dyDescent="0.3">
      <c r="U986239" s="25"/>
    </row>
    <row r="986261" spans="21:21" x14ac:dyDescent="0.3">
      <c r="U986261" s="25"/>
    </row>
    <row r="986283" spans="21:21" x14ac:dyDescent="0.3">
      <c r="U986283" s="25"/>
    </row>
    <row r="986305" spans="21:21" x14ac:dyDescent="0.3">
      <c r="U986305" s="25"/>
    </row>
    <row r="986327" spans="21:21" x14ac:dyDescent="0.3">
      <c r="U986327" s="25"/>
    </row>
    <row r="986349" spans="21:21" x14ac:dyDescent="0.3">
      <c r="U986349" s="25"/>
    </row>
    <row r="986371" spans="21:21" x14ac:dyDescent="0.3">
      <c r="U986371" s="25"/>
    </row>
    <row r="986393" spans="21:21" x14ac:dyDescent="0.3">
      <c r="U986393" s="25"/>
    </row>
    <row r="986415" spans="21:21" x14ac:dyDescent="0.3">
      <c r="U986415" s="25"/>
    </row>
    <row r="986437" spans="21:21" x14ac:dyDescent="0.3">
      <c r="U986437" s="25"/>
    </row>
    <row r="986459" spans="21:21" x14ac:dyDescent="0.3">
      <c r="U986459" s="25"/>
    </row>
    <row r="986481" spans="21:21" x14ac:dyDescent="0.3">
      <c r="U986481" s="25"/>
    </row>
    <row r="986503" spans="21:21" x14ac:dyDescent="0.3">
      <c r="U986503" s="25"/>
    </row>
    <row r="986525" spans="21:21" x14ac:dyDescent="0.3">
      <c r="U986525" s="25"/>
    </row>
    <row r="986547" spans="21:21" x14ac:dyDescent="0.3">
      <c r="U986547" s="25"/>
    </row>
    <row r="986569" spans="21:21" x14ac:dyDescent="0.3">
      <c r="U986569" s="25"/>
    </row>
    <row r="986591" spans="21:21" x14ac:dyDescent="0.3">
      <c r="U986591" s="25"/>
    </row>
    <row r="986613" spans="21:21" x14ac:dyDescent="0.3">
      <c r="U986613" s="25"/>
    </row>
    <row r="986635" spans="21:21" x14ac:dyDescent="0.3">
      <c r="U986635" s="25"/>
    </row>
    <row r="986657" spans="21:21" x14ac:dyDescent="0.3">
      <c r="U986657" s="25"/>
    </row>
    <row r="986679" spans="21:21" x14ac:dyDescent="0.3">
      <c r="U986679" s="25"/>
    </row>
    <row r="986701" spans="21:21" x14ac:dyDescent="0.3">
      <c r="U986701" s="25"/>
    </row>
    <row r="986723" spans="21:21" x14ac:dyDescent="0.3">
      <c r="U986723" s="25"/>
    </row>
    <row r="986745" spans="21:21" x14ac:dyDescent="0.3">
      <c r="U986745" s="25"/>
    </row>
    <row r="986767" spans="21:21" x14ac:dyDescent="0.3">
      <c r="U986767" s="25"/>
    </row>
    <row r="986789" spans="21:21" x14ac:dyDescent="0.3">
      <c r="U986789" s="25"/>
    </row>
    <row r="986811" spans="21:21" x14ac:dyDescent="0.3">
      <c r="U986811" s="25"/>
    </row>
    <row r="986833" spans="21:21" x14ac:dyDescent="0.3">
      <c r="U986833" s="25"/>
    </row>
    <row r="986855" spans="21:21" x14ac:dyDescent="0.3">
      <c r="U986855" s="25"/>
    </row>
    <row r="986877" spans="21:21" x14ac:dyDescent="0.3">
      <c r="U986877" s="25"/>
    </row>
    <row r="986899" spans="21:21" x14ac:dyDescent="0.3">
      <c r="U986899" s="25"/>
    </row>
    <row r="986921" spans="21:21" x14ac:dyDescent="0.3">
      <c r="U986921" s="25"/>
    </row>
    <row r="986943" spans="21:21" x14ac:dyDescent="0.3">
      <c r="U986943" s="25"/>
    </row>
    <row r="986965" spans="21:21" x14ac:dyDescent="0.3">
      <c r="U986965" s="25"/>
    </row>
    <row r="986987" spans="21:21" x14ac:dyDescent="0.3">
      <c r="U986987" s="25"/>
    </row>
    <row r="987009" spans="21:21" x14ac:dyDescent="0.3">
      <c r="U987009" s="25"/>
    </row>
    <row r="987031" spans="21:21" x14ac:dyDescent="0.3">
      <c r="U987031" s="25"/>
    </row>
    <row r="987053" spans="21:21" x14ac:dyDescent="0.3">
      <c r="U987053" s="25"/>
    </row>
    <row r="987075" spans="21:21" x14ac:dyDescent="0.3">
      <c r="U987075" s="25"/>
    </row>
    <row r="987097" spans="21:21" x14ac:dyDescent="0.3">
      <c r="U987097" s="25"/>
    </row>
    <row r="987119" spans="21:21" x14ac:dyDescent="0.3">
      <c r="U987119" s="25"/>
    </row>
    <row r="987141" spans="21:21" x14ac:dyDescent="0.3">
      <c r="U987141" s="25"/>
    </row>
    <row r="987163" spans="21:21" x14ac:dyDescent="0.3">
      <c r="U987163" s="25"/>
    </row>
    <row r="987185" spans="21:21" x14ac:dyDescent="0.3">
      <c r="U987185" s="25"/>
    </row>
    <row r="987207" spans="21:21" x14ac:dyDescent="0.3">
      <c r="U987207" s="25"/>
    </row>
    <row r="987229" spans="21:21" x14ac:dyDescent="0.3">
      <c r="U987229" s="25"/>
    </row>
    <row r="987251" spans="21:21" x14ac:dyDescent="0.3">
      <c r="U987251" s="25"/>
    </row>
    <row r="987273" spans="21:21" x14ac:dyDescent="0.3">
      <c r="U987273" s="25"/>
    </row>
    <row r="987295" spans="21:21" x14ac:dyDescent="0.3">
      <c r="U987295" s="25"/>
    </row>
    <row r="987317" spans="21:21" x14ac:dyDescent="0.3">
      <c r="U987317" s="25"/>
    </row>
    <row r="987339" spans="21:21" x14ac:dyDescent="0.3">
      <c r="U987339" s="25"/>
    </row>
    <row r="987361" spans="21:21" x14ac:dyDescent="0.3">
      <c r="U987361" s="25"/>
    </row>
    <row r="987383" spans="21:21" x14ac:dyDescent="0.3">
      <c r="U987383" s="25"/>
    </row>
    <row r="987405" spans="21:21" x14ac:dyDescent="0.3">
      <c r="U987405" s="25"/>
    </row>
    <row r="987427" spans="21:21" x14ac:dyDescent="0.3">
      <c r="U987427" s="25"/>
    </row>
    <row r="987449" spans="21:21" x14ac:dyDescent="0.3">
      <c r="U987449" s="25"/>
    </row>
    <row r="987471" spans="21:21" x14ac:dyDescent="0.3">
      <c r="U987471" s="25"/>
    </row>
    <row r="987493" spans="21:21" x14ac:dyDescent="0.3">
      <c r="U987493" s="25"/>
    </row>
    <row r="987515" spans="21:21" x14ac:dyDescent="0.3">
      <c r="U987515" s="25"/>
    </row>
    <row r="987537" spans="21:21" x14ac:dyDescent="0.3">
      <c r="U987537" s="25"/>
    </row>
    <row r="987559" spans="21:21" x14ac:dyDescent="0.3">
      <c r="U987559" s="25"/>
    </row>
    <row r="987581" spans="21:21" x14ac:dyDescent="0.3">
      <c r="U987581" s="25"/>
    </row>
    <row r="987603" spans="21:21" x14ac:dyDescent="0.3">
      <c r="U987603" s="25"/>
    </row>
    <row r="987625" spans="21:21" x14ac:dyDescent="0.3">
      <c r="U987625" s="25"/>
    </row>
    <row r="987647" spans="21:21" x14ac:dyDescent="0.3">
      <c r="U987647" s="25"/>
    </row>
    <row r="987669" spans="21:21" x14ac:dyDescent="0.3">
      <c r="U987669" s="25"/>
    </row>
    <row r="987691" spans="21:21" x14ac:dyDescent="0.3">
      <c r="U987691" s="25"/>
    </row>
    <row r="987713" spans="21:21" x14ac:dyDescent="0.3">
      <c r="U987713" s="25"/>
    </row>
    <row r="987735" spans="21:21" x14ac:dyDescent="0.3">
      <c r="U987735" s="25"/>
    </row>
    <row r="987757" spans="21:21" x14ac:dyDescent="0.3">
      <c r="U987757" s="25"/>
    </row>
    <row r="987779" spans="21:21" x14ac:dyDescent="0.3">
      <c r="U987779" s="25"/>
    </row>
    <row r="987801" spans="21:21" x14ac:dyDescent="0.3">
      <c r="U987801" s="25"/>
    </row>
    <row r="987823" spans="21:21" x14ac:dyDescent="0.3">
      <c r="U987823" s="25"/>
    </row>
    <row r="987845" spans="21:21" x14ac:dyDescent="0.3">
      <c r="U987845" s="25"/>
    </row>
    <row r="987867" spans="21:21" x14ac:dyDescent="0.3">
      <c r="U987867" s="25"/>
    </row>
    <row r="987889" spans="21:21" x14ac:dyDescent="0.3">
      <c r="U987889" s="25"/>
    </row>
    <row r="987911" spans="21:21" x14ac:dyDescent="0.3">
      <c r="U987911" s="25"/>
    </row>
    <row r="987933" spans="21:21" x14ac:dyDescent="0.3">
      <c r="U987933" s="25"/>
    </row>
    <row r="987955" spans="21:21" x14ac:dyDescent="0.3">
      <c r="U987955" s="25"/>
    </row>
    <row r="987977" spans="21:21" x14ac:dyDescent="0.3">
      <c r="U987977" s="25"/>
    </row>
    <row r="987999" spans="21:21" x14ac:dyDescent="0.3">
      <c r="U987999" s="25"/>
    </row>
    <row r="988021" spans="21:21" x14ac:dyDescent="0.3">
      <c r="U988021" s="25"/>
    </row>
    <row r="988043" spans="21:21" x14ac:dyDescent="0.3">
      <c r="U988043" s="25"/>
    </row>
    <row r="988065" spans="21:21" x14ac:dyDescent="0.3">
      <c r="U988065" s="25"/>
    </row>
    <row r="988087" spans="21:21" x14ac:dyDescent="0.3">
      <c r="U988087" s="25"/>
    </row>
    <row r="988109" spans="21:21" x14ac:dyDescent="0.3">
      <c r="U988109" s="25"/>
    </row>
    <row r="988131" spans="21:21" x14ac:dyDescent="0.3">
      <c r="U988131" s="25"/>
    </row>
    <row r="988153" spans="21:21" x14ac:dyDescent="0.3">
      <c r="U988153" s="25"/>
    </row>
    <row r="988175" spans="21:21" x14ac:dyDescent="0.3">
      <c r="U988175" s="25"/>
    </row>
    <row r="988197" spans="21:21" x14ac:dyDescent="0.3">
      <c r="U988197" s="25"/>
    </row>
    <row r="988219" spans="21:21" x14ac:dyDescent="0.3">
      <c r="U988219" s="25"/>
    </row>
    <row r="988241" spans="21:21" x14ac:dyDescent="0.3">
      <c r="U988241" s="25"/>
    </row>
    <row r="988263" spans="21:21" x14ac:dyDescent="0.3">
      <c r="U988263" s="25"/>
    </row>
    <row r="988285" spans="21:21" x14ac:dyDescent="0.3">
      <c r="U988285" s="25"/>
    </row>
    <row r="988307" spans="21:21" x14ac:dyDescent="0.3">
      <c r="U988307" s="25"/>
    </row>
    <row r="988329" spans="21:21" x14ac:dyDescent="0.3">
      <c r="U988329" s="25"/>
    </row>
    <row r="988351" spans="21:21" x14ac:dyDescent="0.3">
      <c r="U988351" s="25"/>
    </row>
    <row r="988373" spans="21:21" x14ac:dyDescent="0.3">
      <c r="U988373" s="25"/>
    </row>
    <row r="988395" spans="21:21" x14ac:dyDescent="0.3">
      <c r="U988395" s="25"/>
    </row>
    <row r="988417" spans="21:21" x14ac:dyDescent="0.3">
      <c r="U988417" s="25"/>
    </row>
    <row r="988439" spans="21:21" x14ac:dyDescent="0.3">
      <c r="U988439" s="25"/>
    </row>
    <row r="988461" spans="21:21" x14ac:dyDescent="0.3">
      <c r="U988461" s="25"/>
    </row>
    <row r="988483" spans="21:21" x14ac:dyDescent="0.3">
      <c r="U988483" s="25"/>
    </row>
    <row r="988505" spans="21:21" x14ac:dyDescent="0.3">
      <c r="U988505" s="25"/>
    </row>
    <row r="988527" spans="21:21" x14ac:dyDescent="0.3">
      <c r="U988527" s="25"/>
    </row>
    <row r="988549" spans="21:21" x14ac:dyDescent="0.3">
      <c r="U988549" s="25"/>
    </row>
    <row r="988571" spans="21:21" x14ac:dyDescent="0.3">
      <c r="U988571" s="25"/>
    </row>
    <row r="988593" spans="21:21" x14ac:dyDescent="0.3">
      <c r="U988593" s="25"/>
    </row>
    <row r="988615" spans="21:21" x14ac:dyDescent="0.3">
      <c r="U988615" s="25"/>
    </row>
    <row r="988637" spans="21:21" x14ac:dyDescent="0.3">
      <c r="U988637" s="25"/>
    </row>
    <row r="988659" spans="21:21" x14ac:dyDescent="0.3">
      <c r="U988659" s="25"/>
    </row>
    <row r="988681" spans="21:21" x14ac:dyDescent="0.3">
      <c r="U988681" s="25"/>
    </row>
    <row r="988703" spans="21:21" x14ac:dyDescent="0.3">
      <c r="U988703" s="25"/>
    </row>
    <row r="988725" spans="21:21" x14ac:dyDescent="0.3">
      <c r="U988725" s="25"/>
    </row>
    <row r="988747" spans="21:21" x14ac:dyDescent="0.3">
      <c r="U988747" s="25"/>
    </row>
    <row r="988769" spans="21:21" x14ac:dyDescent="0.3">
      <c r="U988769" s="25"/>
    </row>
    <row r="988791" spans="21:21" x14ac:dyDescent="0.3">
      <c r="U988791" s="25"/>
    </row>
    <row r="988813" spans="21:21" x14ac:dyDescent="0.3">
      <c r="U988813" s="25"/>
    </row>
    <row r="988835" spans="21:21" x14ac:dyDescent="0.3">
      <c r="U988835" s="25"/>
    </row>
    <row r="988857" spans="21:21" x14ac:dyDescent="0.3">
      <c r="U988857" s="25"/>
    </row>
    <row r="988879" spans="21:21" x14ac:dyDescent="0.3">
      <c r="U988879" s="25"/>
    </row>
    <row r="988901" spans="21:21" x14ac:dyDescent="0.3">
      <c r="U988901" s="25"/>
    </row>
    <row r="988923" spans="21:21" x14ac:dyDescent="0.3">
      <c r="U988923" s="25"/>
    </row>
    <row r="988945" spans="21:21" x14ac:dyDescent="0.3">
      <c r="U988945" s="25"/>
    </row>
    <row r="988967" spans="21:21" x14ac:dyDescent="0.3">
      <c r="U988967" s="25"/>
    </row>
    <row r="988989" spans="21:21" x14ac:dyDescent="0.3">
      <c r="U988989" s="25"/>
    </row>
    <row r="989011" spans="21:21" x14ac:dyDescent="0.3">
      <c r="U989011" s="25"/>
    </row>
    <row r="989033" spans="21:21" x14ac:dyDescent="0.3">
      <c r="U989033" s="25"/>
    </row>
    <row r="989055" spans="21:21" x14ac:dyDescent="0.3">
      <c r="U989055" s="25"/>
    </row>
    <row r="989077" spans="21:21" x14ac:dyDescent="0.3">
      <c r="U989077" s="25"/>
    </row>
    <row r="989099" spans="21:21" x14ac:dyDescent="0.3">
      <c r="U989099" s="25"/>
    </row>
    <row r="989121" spans="21:21" x14ac:dyDescent="0.3">
      <c r="U989121" s="25"/>
    </row>
    <row r="989143" spans="21:21" x14ac:dyDescent="0.3">
      <c r="U989143" s="25"/>
    </row>
    <row r="989165" spans="21:21" x14ac:dyDescent="0.3">
      <c r="U989165" s="25"/>
    </row>
    <row r="989187" spans="21:21" x14ac:dyDescent="0.3">
      <c r="U989187" s="25"/>
    </row>
    <row r="989209" spans="21:21" x14ac:dyDescent="0.3">
      <c r="U989209" s="25"/>
    </row>
    <row r="989231" spans="21:21" x14ac:dyDescent="0.3">
      <c r="U989231" s="25"/>
    </row>
    <row r="989253" spans="21:21" x14ac:dyDescent="0.3">
      <c r="U989253" s="25"/>
    </row>
    <row r="989275" spans="21:21" x14ac:dyDescent="0.3">
      <c r="U989275" s="25"/>
    </row>
    <row r="989297" spans="21:21" x14ac:dyDescent="0.3">
      <c r="U989297" s="25"/>
    </row>
    <row r="989319" spans="21:21" x14ac:dyDescent="0.3">
      <c r="U989319" s="25"/>
    </row>
    <row r="989341" spans="21:21" x14ac:dyDescent="0.3">
      <c r="U989341" s="25"/>
    </row>
    <row r="989363" spans="21:21" x14ac:dyDescent="0.3">
      <c r="U989363" s="25"/>
    </row>
    <row r="989385" spans="21:21" x14ac:dyDescent="0.3">
      <c r="U989385" s="25"/>
    </row>
    <row r="989407" spans="21:21" x14ac:dyDescent="0.3">
      <c r="U989407" s="25"/>
    </row>
    <row r="989429" spans="21:21" x14ac:dyDescent="0.3">
      <c r="U989429" s="25"/>
    </row>
    <row r="989451" spans="21:21" x14ac:dyDescent="0.3">
      <c r="U989451" s="25"/>
    </row>
    <row r="989473" spans="21:21" x14ac:dyDescent="0.3">
      <c r="U989473" s="25"/>
    </row>
    <row r="989495" spans="21:21" x14ac:dyDescent="0.3">
      <c r="U989495" s="25"/>
    </row>
    <row r="989517" spans="21:21" x14ac:dyDescent="0.3">
      <c r="U989517" s="25"/>
    </row>
    <row r="989539" spans="21:21" x14ac:dyDescent="0.3">
      <c r="U989539" s="25"/>
    </row>
    <row r="989561" spans="21:21" x14ac:dyDescent="0.3">
      <c r="U989561" s="25"/>
    </row>
    <row r="989583" spans="21:21" x14ac:dyDescent="0.3">
      <c r="U989583" s="25"/>
    </row>
    <row r="989605" spans="21:21" x14ac:dyDescent="0.3">
      <c r="U989605" s="25"/>
    </row>
    <row r="989627" spans="21:21" x14ac:dyDescent="0.3">
      <c r="U989627" s="25"/>
    </row>
    <row r="989649" spans="21:21" x14ac:dyDescent="0.3">
      <c r="U989649" s="25"/>
    </row>
    <row r="989671" spans="21:21" x14ac:dyDescent="0.3">
      <c r="U989671" s="25"/>
    </row>
    <row r="989693" spans="21:21" x14ac:dyDescent="0.3">
      <c r="U989693" s="25"/>
    </row>
    <row r="989715" spans="21:21" x14ac:dyDescent="0.3">
      <c r="U989715" s="25"/>
    </row>
    <row r="989737" spans="21:21" x14ac:dyDescent="0.3">
      <c r="U989737" s="25"/>
    </row>
    <row r="989759" spans="21:21" x14ac:dyDescent="0.3">
      <c r="U989759" s="25"/>
    </row>
    <row r="989781" spans="21:21" x14ac:dyDescent="0.3">
      <c r="U989781" s="25"/>
    </row>
    <row r="989803" spans="21:21" x14ac:dyDescent="0.3">
      <c r="U989803" s="25"/>
    </row>
    <row r="989825" spans="21:21" x14ac:dyDescent="0.3">
      <c r="U989825" s="25"/>
    </row>
    <row r="989847" spans="21:21" x14ac:dyDescent="0.3">
      <c r="U989847" s="25"/>
    </row>
    <row r="989869" spans="21:21" x14ac:dyDescent="0.3">
      <c r="U989869" s="25"/>
    </row>
    <row r="989891" spans="21:21" x14ac:dyDescent="0.3">
      <c r="U989891" s="25"/>
    </row>
    <row r="989913" spans="21:21" x14ac:dyDescent="0.3">
      <c r="U989913" s="25"/>
    </row>
    <row r="989935" spans="21:21" x14ac:dyDescent="0.3">
      <c r="U989935" s="25"/>
    </row>
    <row r="989957" spans="21:21" x14ac:dyDescent="0.3">
      <c r="U989957" s="25"/>
    </row>
    <row r="989979" spans="21:21" x14ac:dyDescent="0.3">
      <c r="U989979" s="25"/>
    </row>
    <row r="990001" spans="21:21" x14ac:dyDescent="0.3">
      <c r="U990001" s="25"/>
    </row>
    <row r="990023" spans="21:21" x14ac:dyDescent="0.3">
      <c r="U990023" s="25"/>
    </row>
    <row r="990045" spans="21:21" x14ac:dyDescent="0.3">
      <c r="U990045" s="25"/>
    </row>
    <row r="990067" spans="21:21" x14ac:dyDescent="0.3">
      <c r="U990067" s="25"/>
    </row>
    <row r="990089" spans="21:21" x14ac:dyDescent="0.3">
      <c r="U990089" s="25"/>
    </row>
    <row r="990111" spans="21:21" x14ac:dyDescent="0.3">
      <c r="U990111" s="25"/>
    </row>
    <row r="990133" spans="21:21" x14ac:dyDescent="0.3">
      <c r="U990133" s="25"/>
    </row>
    <row r="990155" spans="21:21" x14ac:dyDescent="0.3">
      <c r="U990155" s="25"/>
    </row>
    <row r="990177" spans="21:21" x14ac:dyDescent="0.3">
      <c r="U990177" s="25"/>
    </row>
    <row r="990199" spans="21:21" x14ac:dyDescent="0.3">
      <c r="U990199" s="25"/>
    </row>
    <row r="990221" spans="21:21" x14ac:dyDescent="0.3">
      <c r="U990221" s="25"/>
    </row>
    <row r="990243" spans="21:21" x14ac:dyDescent="0.3">
      <c r="U990243" s="25"/>
    </row>
    <row r="990265" spans="21:21" x14ac:dyDescent="0.3">
      <c r="U990265" s="25"/>
    </row>
    <row r="990287" spans="21:21" x14ac:dyDescent="0.3">
      <c r="U990287" s="25"/>
    </row>
    <row r="990309" spans="21:21" x14ac:dyDescent="0.3">
      <c r="U990309" s="25"/>
    </row>
    <row r="990331" spans="21:21" x14ac:dyDescent="0.3">
      <c r="U990331" s="25"/>
    </row>
    <row r="990353" spans="21:21" x14ac:dyDescent="0.3">
      <c r="U990353" s="25"/>
    </row>
    <row r="990375" spans="21:21" x14ac:dyDescent="0.3">
      <c r="U990375" s="25"/>
    </row>
    <row r="990397" spans="21:21" x14ac:dyDescent="0.3">
      <c r="U990397" s="25"/>
    </row>
    <row r="990419" spans="21:21" x14ac:dyDescent="0.3">
      <c r="U990419" s="25"/>
    </row>
    <row r="990441" spans="21:21" x14ac:dyDescent="0.3">
      <c r="U990441" s="25"/>
    </row>
    <row r="990463" spans="21:21" x14ac:dyDescent="0.3">
      <c r="U990463" s="25"/>
    </row>
    <row r="990485" spans="21:21" x14ac:dyDescent="0.3">
      <c r="U990485" s="25"/>
    </row>
    <row r="990507" spans="21:21" x14ac:dyDescent="0.3">
      <c r="U990507" s="25"/>
    </row>
    <row r="990529" spans="21:21" x14ac:dyDescent="0.3">
      <c r="U990529" s="25"/>
    </row>
    <row r="990551" spans="21:21" x14ac:dyDescent="0.3">
      <c r="U990551" s="25"/>
    </row>
    <row r="990573" spans="21:21" x14ac:dyDescent="0.3">
      <c r="U990573" s="25"/>
    </row>
    <row r="990595" spans="21:21" x14ac:dyDescent="0.3">
      <c r="U990595" s="25"/>
    </row>
    <row r="990617" spans="21:21" x14ac:dyDescent="0.3">
      <c r="U990617" s="25"/>
    </row>
    <row r="990639" spans="21:21" x14ac:dyDescent="0.3">
      <c r="U990639" s="25"/>
    </row>
    <row r="990661" spans="21:21" x14ac:dyDescent="0.3">
      <c r="U990661" s="25"/>
    </row>
    <row r="990683" spans="21:21" x14ac:dyDescent="0.3">
      <c r="U990683" s="25"/>
    </row>
    <row r="990705" spans="21:21" x14ac:dyDescent="0.3">
      <c r="U990705" s="25"/>
    </row>
    <row r="990727" spans="21:21" x14ac:dyDescent="0.3">
      <c r="U990727" s="25"/>
    </row>
    <row r="990749" spans="21:21" x14ac:dyDescent="0.3">
      <c r="U990749" s="25"/>
    </row>
    <row r="990771" spans="21:21" x14ac:dyDescent="0.3">
      <c r="U990771" s="25"/>
    </row>
    <row r="990793" spans="21:21" x14ac:dyDescent="0.3">
      <c r="U990793" s="25"/>
    </row>
    <row r="990815" spans="21:21" x14ac:dyDescent="0.3">
      <c r="U990815" s="25"/>
    </row>
    <row r="990837" spans="21:21" x14ac:dyDescent="0.3">
      <c r="U990837" s="25"/>
    </row>
    <row r="990859" spans="21:21" x14ac:dyDescent="0.3">
      <c r="U990859" s="25"/>
    </row>
    <row r="990881" spans="21:21" x14ac:dyDescent="0.3">
      <c r="U990881" s="25"/>
    </row>
    <row r="990903" spans="21:21" x14ac:dyDescent="0.3">
      <c r="U990903" s="25"/>
    </row>
    <row r="990925" spans="21:21" x14ac:dyDescent="0.3">
      <c r="U990925" s="25"/>
    </row>
    <row r="990947" spans="21:21" x14ac:dyDescent="0.3">
      <c r="U990947" s="25"/>
    </row>
    <row r="990969" spans="21:21" x14ac:dyDescent="0.3">
      <c r="U990969" s="25"/>
    </row>
    <row r="990991" spans="21:21" x14ac:dyDescent="0.3">
      <c r="U990991" s="25"/>
    </row>
    <row r="991013" spans="21:21" x14ac:dyDescent="0.3">
      <c r="U991013" s="25"/>
    </row>
    <row r="991035" spans="21:21" x14ac:dyDescent="0.3">
      <c r="U991035" s="25"/>
    </row>
    <row r="991057" spans="21:21" x14ac:dyDescent="0.3">
      <c r="U991057" s="25"/>
    </row>
    <row r="991079" spans="21:21" x14ac:dyDescent="0.3">
      <c r="U991079" s="25"/>
    </row>
    <row r="991101" spans="21:21" x14ac:dyDescent="0.3">
      <c r="U991101" s="25"/>
    </row>
    <row r="991123" spans="21:21" x14ac:dyDescent="0.3">
      <c r="U991123" s="25"/>
    </row>
    <row r="991145" spans="21:21" x14ac:dyDescent="0.3">
      <c r="U991145" s="25"/>
    </row>
    <row r="991167" spans="21:21" x14ac:dyDescent="0.3">
      <c r="U991167" s="25"/>
    </row>
    <row r="991189" spans="21:21" x14ac:dyDescent="0.3">
      <c r="U991189" s="25"/>
    </row>
    <row r="991211" spans="21:21" x14ac:dyDescent="0.3">
      <c r="U991211" s="25"/>
    </row>
    <row r="991233" spans="21:21" x14ac:dyDescent="0.3">
      <c r="U991233" s="25"/>
    </row>
    <row r="991255" spans="21:21" x14ac:dyDescent="0.3">
      <c r="U991255" s="25"/>
    </row>
    <row r="991277" spans="21:21" x14ac:dyDescent="0.3">
      <c r="U991277" s="25"/>
    </row>
    <row r="991299" spans="21:21" x14ac:dyDescent="0.3">
      <c r="U991299" s="25"/>
    </row>
    <row r="991321" spans="21:21" x14ac:dyDescent="0.3">
      <c r="U991321" s="25"/>
    </row>
    <row r="991343" spans="21:21" x14ac:dyDescent="0.3">
      <c r="U991343" s="25"/>
    </row>
    <row r="991365" spans="21:21" x14ac:dyDescent="0.3">
      <c r="U991365" s="25"/>
    </row>
    <row r="991387" spans="21:21" x14ac:dyDescent="0.3">
      <c r="U991387" s="25"/>
    </row>
    <row r="991409" spans="21:21" x14ac:dyDescent="0.3">
      <c r="U991409" s="25"/>
    </row>
    <row r="991431" spans="21:21" x14ac:dyDescent="0.3">
      <c r="U991431" s="25"/>
    </row>
    <row r="991453" spans="21:21" x14ac:dyDescent="0.3">
      <c r="U991453" s="25"/>
    </row>
    <row r="991475" spans="21:21" x14ac:dyDescent="0.3">
      <c r="U991475" s="25"/>
    </row>
    <row r="991497" spans="21:21" x14ac:dyDescent="0.3">
      <c r="U991497" s="25"/>
    </row>
    <row r="991519" spans="21:21" x14ac:dyDescent="0.3">
      <c r="U991519" s="25"/>
    </row>
    <row r="991541" spans="21:21" x14ac:dyDescent="0.3">
      <c r="U991541" s="25"/>
    </row>
    <row r="991563" spans="21:21" x14ac:dyDescent="0.3">
      <c r="U991563" s="25"/>
    </row>
    <row r="991585" spans="21:21" x14ac:dyDescent="0.3">
      <c r="U991585" s="25"/>
    </row>
    <row r="991607" spans="21:21" x14ac:dyDescent="0.3">
      <c r="U991607" s="25"/>
    </row>
    <row r="991629" spans="21:21" x14ac:dyDescent="0.3">
      <c r="U991629" s="25"/>
    </row>
    <row r="991651" spans="21:21" x14ac:dyDescent="0.3">
      <c r="U991651" s="25"/>
    </row>
    <row r="991673" spans="21:21" x14ac:dyDescent="0.3">
      <c r="U991673" s="25"/>
    </row>
    <row r="991695" spans="21:21" x14ac:dyDescent="0.3">
      <c r="U991695" s="25"/>
    </row>
    <row r="991717" spans="21:21" x14ac:dyDescent="0.3">
      <c r="U991717" s="25"/>
    </row>
    <row r="991739" spans="21:21" x14ac:dyDescent="0.3">
      <c r="U991739" s="25"/>
    </row>
    <row r="991761" spans="21:21" x14ac:dyDescent="0.3">
      <c r="U991761" s="25"/>
    </row>
    <row r="991783" spans="21:21" x14ac:dyDescent="0.3">
      <c r="U991783" s="25"/>
    </row>
    <row r="991805" spans="21:21" x14ac:dyDescent="0.3">
      <c r="U991805" s="25"/>
    </row>
    <row r="991827" spans="21:21" x14ac:dyDescent="0.3">
      <c r="U991827" s="25"/>
    </row>
    <row r="991849" spans="21:21" x14ac:dyDescent="0.3">
      <c r="U991849" s="25"/>
    </row>
    <row r="991871" spans="21:21" x14ac:dyDescent="0.3">
      <c r="U991871" s="25"/>
    </row>
    <row r="991893" spans="21:21" x14ac:dyDescent="0.3">
      <c r="U991893" s="25"/>
    </row>
    <row r="991915" spans="21:21" x14ac:dyDescent="0.3">
      <c r="U991915" s="25"/>
    </row>
    <row r="991937" spans="21:21" x14ac:dyDescent="0.3">
      <c r="U991937" s="25"/>
    </row>
    <row r="991959" spans="21:21" x14ac:dyDescent="0.3">
      <c r="U991959" s="25"/>
    </row>
    <row r="991981" spans="21:21" x14ac:dyDescent="0.3">
      <c r="U991981" s="25"/>
    </row>
    <row r="992003" spans="21:21" x14ac:dyDescent="0.3">
      <c r="U992003" s="25"/>
    </row>
    <row r="992025" spans="21:21" x14ac:dyDescent="0.3">
      <c r="U992025" s="25"/>
    </row>
    <row r="992047" spans="21:21" x14ac:dyDescent="0.3">
      <c r="U992047" s="25"/>
    </row>
    <row r="992069" spans="21:21" x14ac:dyDescent="0.3">
      <c r="U992069" s="25"/>
    </row>
    <row r="992091" spans="21:21" x14ac:dyDescent="0.3">
      <c r="U992091" s="25"/>
    </row>
    <row r="992113" spans="21:21" x14ac:dyDescent="0.3">
      <c r="U992113" s="25"/>
    </row>
    <row r="992135" spans="21:21" x14ac:dyDescent="0.3">
      <c r="U992135" s="25"/>
    </row>
    <row r="992157" spans="21:21" x14ac:dyDescent="0.3">
      <c r="U992157" s="25"/>
    </row>
    <row r="992179" spans="21:21" x14ac:dyDescent="0.3">
      <c r="U992179" s="25"/>
    </row>
    <row r="992201" spans="21:21" x14ac:dyDescent="0.3">
      <c r="U992201" s="25"/>
    </row>
    <row r="992223" spans="21:21" x14ac:dyDescent="0.3">
      <c r="U992223" s="25"/>
    </row>
    <row r="992245" spans="21:21" x14ac:dyDescent="0.3">
      <c r="U992245" s="25"/>
    </row>
    <row r="992267" spans="21:21" x14ac:dyDescent="0.3">
      <c r="U992267" s="25"/>
    </row>
    <row r="992289" spans="21:21" x14ac:dyDescent="0.3">
      <c r="U992289" s="25"/>
    </row>
    <row r="992311" spans="21:21" x14ac:dyDescent="0.3">
      <c r="U992311" s="25"/>
    </row>
    <row r="992333" spans="21:21" x14ac:dyDescent="0.3">
      <c r="U992333" s="25"/>
    </row>
    <row r="992355" spans="21:21" x14ac:dyDescent="0.3">
      <c r="U992355" s="25"/>
    </row>
    <row r="992377" spans="21:21" x14ac:dyDescent="0.3">
      <c r="U992377" s="25"/>
    </row>
    <row r="992399" spans="21:21" x14ac:dyDescent="0.3">
      <c r="U992399" s="25"/>
    </row>
    <row r="992421" spans="21:21" x14ac:dyDescent="0.3">
      <c r="U992421" s="25"/>
    </row>
    <row r="992443" spans="21:21" x14ac:dyDescent="0.3">
      <c r="U992443" s="25"/>
    </row>
    <row r="992465" spans="21:21" x14ac:dyDescent="0.3">
      <c r="U992465" s="25"/>
    </row>
    <row r="992487" spans="21:21" x14ac:dyDescent="0.3">
      <c r="U992487" s="25"/>
    </row>
    <row r="992509" spans="21:21" x14ac:dyDescent="0.3">
      <c r="U992509" s="25"/>
    </row>
    <row r="992531" spans="21:21" x14ac:dyDescent="0.3">
      <c r="U992531" s="25"/>
    </row>
    <row r="992553" spans="21:21" x14ac:dyDescent="0.3">
      <c r="U992553" s="25"/>
    </row>
    <row r="992575" spans="21:21" x14ac:dyDescent="0.3">
      <c r="U992575" s="25"/>
    </row>
    <row r="992597" spans="21:21" x14ac:dyDescent="0.3">
      <c r="U992597" s="25"/>
    </row>
    <row r="992619" spans="21:21" x14ac:dyDescent="0.3">
      <c r="U992619" s="25"/>
    </row>
    <row r="992641" spans="21:21" x14ac:dyDescent="0.3">
      <c r="U992641" s="25"/>
    </row>
    <row r="992663" spans="21:21" x14ac:dyDescent="0.3">
      <c r="U992663" s="25"/>
    </row>
    <row r="992685" spans="21:21" x14ac:dyDescent="0.3">
      <c r="U992685" s="25"/>
    </row>
    <row r="992707" spans="21:21" x14ac:dyDescent="0.3">
      <c r="U992707" s="25"/>
    </row>
    <row r="992729" spans="21:21" x14ac:dyDescent="0.3">
      <c r="U992729" s="25"/>
    </row>
    <row r="992751" spans="21:21" x14ac:dyDescent="0.3">
      <c r="U992751" s="25"/>
    </row>
    <row r="992773" spans="21:21" x14ac:dyDescent="0.3">
      <c r="U992773" s="25"/>
    </row>
    <row r="992795" spans="21:21" x14ac:dyDescent="0.3">
      <c r="U992795" s="25"/>
    </row>
    <row r="992817" spans="21:21" x14ac:dyDescent="0.3">
      <c r="U992817" s="25"/>
    </row>
    <row r="992839" spans="21:21" x14ac:dyDescent="0.3">
      <c r="U992839" s="25"/>
    </row>
    <row r="992861" spans="21:21" x14ac:dyDescent="0.3">
      <c r="U992861" s="25"/>
    </row>
    <row r="992883" spans="21:21" x14ac:dyDescent="0.3">
      <c r="U992883" s="25"/>
    </row>
    <row r="992905" spans="21:21" x14ac:dyDescent="0.3">
      <c r="U992905" s="25"/>
    </row>
    <row r="992927" spans="21:21" x14ac:dyDescent="0.3">
      <c r="U992927" s="25"/>
    </row>
    <row r="992949" spans="21:21" x14ac:dyDescent="0.3">
      <c r="U992949" s="25"/>
    </row>
    <row r="992971" spans="21:21" x14ac:dyDescent="0.3">
      <c r="U992971" s="25"/>
    </row>
    <row r="992993" spans="21:21" x14ac:dyDescent="0.3">
      <c r="U992993" s="25"/>
    </row>
    <row r="993015" spans="21:21" x14ac:dyDescent="0.3">
      <c r="U993015" s="25"/>
    </row>
    <row r="993037" spans="21:21" x14ac:dyDescent="0.3">
      <c r="U993037" s="25"/>
    </row>
    <row r="993059" spans="21:21" x14ac:dyDescent="0.3">
      <c r="U993059" s="25"/>
    </row>
    <row r="993081" spans="21:21" x14ac:dyDescent="0.3">
      <c r="U993081" s="25"/>
    </row>
    <row r="993103" spans="21:21" x14ac:dyDescent="0.3">
      <c r="U993103" s="25"/>
    </row>
    <row r="993125" spans="21:21" x14ac:dyDescent="0.3">
      <c r="U993125" s="25"/>
    </row>
    <row r="993147" spans="21:21" x14ac:dyDescent="0.3">
      <c r="U993147" s="25"/>
    </row>
    <row r="993169" spans="21:21" x14ac:dyDescent="0.3">
      <c r="U993169" s="25"/>
    </row>
    <row r="993191" spans="21:21" x14ac:dyDescent="0.3">
      <c r="U993191" s="25"/>
    </row>
    <row r="993213" spans="21:21" x14ac:dyDescent="0.3">
      <c r="U993213" s="25"/>
    </row>
    <row r="993235" spans="21:21" x14ac:dyDescent="0.3">
      <c r="U993235" s="25"/>
    </row>
    <row r="993257" spans="21:21" x14ac:dyDescent="0.3">
      <c r="U993257" s="25"/>
    </row>
    <row r="993279" spans="21:21" x14ac:dyDescent="0.3">
      <c r="U993279" s="25"/>
    </row>
    <row r="993301" spans="21:21" x14ac:dyDescent="0.3">
      <c r="U993301" s="25"/>
    </row>
    <row r="993323" spans="21:21" x14ac:dyDescent="0.3">
      <c r="U993323" s="25"/>
    </row>
    <row r="993345" spans="21:21" x14ac:dyDescent="0.3">
      <c r="U993345" s="25"/>
    </row>
    <row r="993367" spans="21:21" x14ac:dyDescent="0.3">
      <c r="U993367" s="25"/>
    </row>
    <row r="993389" spans="21:21" x14ac:dyDescent="0.3">
      <c r="U993389" s="25"/>
    </row>
    <row r="993411" spans="21:21" x14ac:dyDescent="0.3">
      <c r="U993411" s="25"/>
    </row>
    <row r="993433" spans="21:21" x14ac:dyDescent="0.3">
      <c r="U993433" s="25"/>
    </row>
    <row r="993455" spans="21:21" x14ac:dyDescent="0.3">
      <c r="U993455" s="25"/>
    </row>
    <row r="993477" spans="21:21" x14ac:dyDescent="0.3">
      <c r="U993477" s="25"/>
    </row>
    <row r="993499" spans="21:21" x14ac:dyDescent="0.3">
      <c r="U993499" s="25"/>
    </row>
    <row r="993521" spans="21:21" x14ac:dyDescent="0.3">
      <c r="U993521" s="25"/>
    </row>
    <row r="993543" spans="21:21" x14ac:dyDescent="0.3">
      <c r="U993543" s="25"/>
    </row>
    <row r="993565" spans="21:21" x14ac:dyDescent="0.3">
      <c r="U993565" s="25"/>
    </row>
    <row r="993587" spans="21:21" x14ac:dyDescent="0.3">
      <c r="U993587" s="25"/>
    </row>
    <row r="993609" spans="21:21" x14ac:dyDescent="0.3">
      <c r="U993609" s="25"/>
    </row>
    <row r="993631" spans="21:21" x14ac:dyDescent="0.3">
      <c r="U993631" s="25"/>
    </row>
    <row r="993653" spans="21:21" x14ac:dyDescent="0.3">
      <c r="U993653" s="25"/>
    </row>
    <row r="993675" spans="21:21" x14ac:dyDescent="0.3">
      <c r="U993675" s="25"/>
    </row>
    <row r="993697" spans="21:21" x14ac:dyDescent="0.3">
      <c r="U993697" s="25"/>
    </row>
    <row r="993719" spans="21:21" x14ac:dyDescent="0.3">
      <c r="U993719" s="25"/>
    </row>
    <row r="993741" spans="21:21" x14ac:dyDescent="0.3">
      <c r="U993741" s="25"/>
    </row>
    <row r="993763" spans="21:21" x14ac:dyDescent="0.3">
      <c r="U993763" s="25"/>
    </row>
    <row r="993785" spans="21:21" x14ac:dyDescent="0.3">
      <c r="U993785" s="25"/>
    </row>
    <row r="993807" spans="21:21" x14ac:dyDescent="0.3">
      <c r="U993807" s="25"/>
    </row>
    <row r="993829" spans="21:21" x14ac:dyDescent="0.3">
      <c r="U993829" s="25"/>
    </row>
    <row r="993851" spans="21:21" x14ac:dyDescent="0.3">
      <c r="U993851" s="25"/>
    </row>
    <row r="993873" spans="21:21" x14ac:dyDescent="0.3">
      <c r="U993873" s="25"/>
    </row>
    <row r="993895" spans="21:21" x14ac:dyDescent="0.3">
      <c r="U993895" s="25"/>
    </row>
    <row r="993917" spans="21:21" x14ac:dyDescent="0.3">
      <c r="U993917" s="25"/>
    </row>
    <row r="993939" spans="21:21" x14ac:dyDescent="0.3">
      <c r="U993939" s="25"/>
    </row>
    <row r="993961" spans="21:21" x14ac:dyDescent="0.3">
      <c r="U993961" s="25"/>
    </row>
    <row r="993983" spans="21:21" x14ac:dyDescent="0.3">
      <c r="U993983" s="25"/>
    </row>
    <row r="994005" spans="21:21" x14ac:dyDescent="0.3">
      <c r="U994005" s="25"/>
    </row>
    <row r="994027" spans="21:21" x14ac:dyDescent="0.3">
      <c r="U994027" s="25"/>
    </row>
    <row r="994049" spans="21:21" x14ac:dyDescent="0.3">
      <c r="U994049" s="25"/>
    </row>
    <row r="994071" spans="21:21" x14ac:dyDescent="0.3">
      <c r="U994071" s="25"/>
    </row>
    <row r="994093" spans="21:21" x14ac:dyDescent="0.3">
      <c r="U994093" s="25"/>
    </row>
    <row r="994115" spans="21:21" x14ac:dyDescent="0.3">
      <c r="U994115" s="25"/>
    </row>
    <row r="994137" spans="21:21" x14ac:dyDescent="0.3">
      <c r="U994137" s="25"/>
    </row>
    <row r="994159" spans="21:21" x14ac:dyDescent="0.3">
      <c r="U994159" s="25"/>
    </row>
    <row r="994181" spans="21:21" x14ac:dyDescent="0.3">
      <c r="U994181" s="25"/>
    </row>
    <row r="994203" spans="21:21" x14ac:dyDescent="0.3">
      <c r="U994203" s="25"/>
    </row>
    <row r="994225" spans="21:21" x14ac:dyDescent="0.3">
      <c r="U994225" s="25"/>
    </row>
    <row r="994247" spans="21:21" x14ac:dyDescent="0.3">
      <c r="U994247" s="25"/>
    </row>
    <row r="994269" spans="21:21" x14ac:dyDescent="0.3">
      <c r="U994269" s="25"/>
    </row>
    <row r="994291" spans="21:21" x14ac:dyDescent="0.3">
      <c r="U994291" s="25"/>
    </row>
    <row r="994313" spans="21:21" x14ac:dyDescent="0.3">
      <c r="U994313" s="25"/>
    </row>
    <row r="994335" spans="21:21" x14ac:dyDescent="0.3">
      <c r="U994335" s="25"/>
    </row>
    <row r="994357" spans="21:21" x14ac:dyDescent="0.3">
      <c r="U994357" s="25"/>
    </row>
    <row r="994379" spans="21:21" x14ac:dyDescent="0.3">
      <c r="U994379" s="25"/>
    </row>
    <row r="994401" spans="21:21" x14ac:dyDescent="0.3">
      <c r="U994401" s="25"/>
    </row>
    <row r="994423" spans="21:21" x14ac:dyDescent="0.3">
      <c r="U994423" s="25"/>
    </row>
    <row r="994445" spans="21:21" x14ac:dyDescent="0.3">
      <c r="U994445" s="25"/>
    </row>
    <row r="994467" spans="21:21" x14ac:dyDescent="0.3">
      <c r="U994467" s="25"/>
    </row>
    <row r="994489" spans="21:21" x14ac:dyDescent="0.3">
      <c r="U994489" s="25"/>
    </row>
    <row r="994511" spans="21:21" x14ac:dyDescent="0.3">
      <c r="U994511" s="25"/>
    </row>
    <row r="994533" spans="21:21" x14ac:dyDescent="0.3">
      <c r="U994533" s="25"/>
    </row>
    <row r="994555" spans="21:21" x14ac:dyDescent="0.3">
      <c r="U994555" s="25"/>
    </row>
    <row r="994577" spans="21:21" x14ac:dyDescent="0.3">
      <c r="U994577" s="25"/>
    </row>
    <row r="994599" spans="21:21" x14ac:dyDescent="0.3">
      <c r="U994599" s="25"/>
    </row>
    <row r="994621" spans="21:21" x14ac:dyDescent="0.3">
      <c r="U994621" s="25"/>
    </row>
    <row r="994643" spans="21:21" x14ac:dyDescent="0.3">
      <c r="U994643" s="25"/>
    </row>
    <row r="994665" spans="21:21" x14ac:dyDescent="0.3">
      <c r="U994665" s="25"/>
    </row>
    <row r="994687" spans="21:21" x14ac:dyDescent="0.3">
      <c r="U994687" s="25"/>
    </row>
    <row r="994709" spans="21:21" x14ac:dyDescent="0.3">
      <c r="U994709" s="25"/>
    </row>
    <row r="994731" spans="21:21" x14ac:dyDescent="0.3">
      <c r="U994731" s="25"/>
    </row>
    <row r="994753" spans="21:21" x14ac:dyDescent="0.3">
      <c r="U994753" s="25"/>
    </row>
    <row r="994775" spans="21:21" x14ac:dyDescent="0.3">
      <c r="U994775" s="25"/>
    </row>
    <row r="994797" spans="21:21" x14ac:dyDescent="0.3">
      <c r="U994797" s="25"/>
    </row>
    <row r="994819" spans="21:21" x14ac:dyDescent="0.3">
      <c r="U994819" s="25"/>
    </row>
    <row r="994841" spans="21:21" x14ac:dyDescent="0.3">
      <c r="U994841" s="25"/>
    </row>
    <row r="994863" spans="21:21" x14ac:dyDescent="0.3">
      <c r="U994863" s="25"/>
    </row>
    <row r="994885" spans="21:21" x14ac:dyDescent="0.3">
      <c r="U994885" s="25"/>
    </row>
    <row r="994907" spans="21:21" x14ac:dyDescent="0.3">
      <c r="U994907" s="25"/>
    </row>
    <row r="994929" spans="21:21" x14ac:dyDescent="0.3">
      <c r="U994929" s="25"/>
    </row>
    <row r="994951" spans="21:21" x14ac:dyDescent="0.3">
      <c r="U994951" s="25"/>
    </row>
    <row r="994973" spans="21:21" x14ac:dyDescent="0.3">
      <c r="U994973" s="25"/>
    </row>
    <row r="994995" spans="21:21" x14ac:dyDescent="0.3">
      <c r="U994995" s="25"/>
    </row>
    <row r="995017" spans="21:21" x14ac:dyDescent="0.3">
      <c r="U995017" s="25"/>
    </row>
    <row r="995039" spans="21:21" x14ac:dyDescent="0.3">
      <c r="U995039" s="25"/>
    </row>
    <row r="995061" spans="21:21" x14ac:dyDescent="0.3">
      <c r="U995061" s="25"/>
    </row>
    <row r="995083" spans="21:21" x14ac:dyDescent="0.3">
      <c r="U995083" s="25"/>
    </row>
    <row r="995105" spans="21:21" x14ac:dyDescent="0.3">
      <c r="U995105" s="25"/>
    </row>
    <row r="995127" spans="21:21" x14ac:dyDescent="0.3">
      <c r="U995127" s="25"/>
    </row>
    <row r="995149" spans="21:21" x14ac:dyDescent="0.3">
      <c r="U995149" s="25"/>
    </row>
    <row r="995171" spans="21:21" x14ac:dyDescent="0.3">
      <c r="U995171" s="25"/>
    </row>
    <row r="995193" spans="21:21" x14ac:dyDescent="0.3">
      <c r="U995193" s="25"/>
    </row>
    <row r="995215" spans="21:21" x14ac:dyDescent="0.3">
      <c r="U995215" s="25"/>
    </row>
    <row r="995237" spans="21:21" x14ac:dyDescent="0.3">
      <c r="U995237" s="25"/>
    </row>
    <row r="995259" spans="21:21" x14ac:dyDescent="0.3">
      <c r="U995259" s="25"/>
    </row>
    <row r="995281" spans="21:21" x14ac:dyDescent="0.3">
      <c r="U995281" s="25"/>
    </row>
    <row r="995303" spans="21:21" x14ac:dyDescent="0.3">
      <c r="U995303" s="25"/>
    </row>
    <row r="995325" spans="21:21" x14ac:dyDescent="0.3">
      <c r="U995325" s="25"/>
    </row>
    <row r="995347" spans="21:21" x14ac:dyDescent="0.3">
      <c r="U995347" s="25"/>
    </row>
    <row r="995369" spans="21:21" x14ac:dyDescent="0.3">
      <c r="U995369" s="25"/>
    </row>
    <row r="995391" spans="21:21" x14ac:dyDescent="0.3">
      <c r="U995391" s="25"/>
    </row>
    <row r="995413" spans="21:21" x14ac:dyDescent="0.3">
      <c r="U995413" s="25"/>
    </row>
    <row r="995435" spans="21:21" x14ac:dyDescent="0.3">
      <c r="U995435" s="25"/>
    </row>
    <row r="995457" spans="21:21" x14ac:dyDescent="0.3">
      <c r="U995457" s="25"/>
    </row>
    <row r="995479" spans="21:21" x14ac:dyDescent="0.3">
      <c r="U995479" s="25"/>
    </row>
    <row r="995501" spans="21:21" x14ac:dyDescent="0.3">
      <c r="U995501" s="25"/>
    </row>
    <row r="995523" spans="21:21" x14ac:dyDescent="0.3">
      <c r="U995523" s="25"/>
    </row>
    <row r="995545" spans="21:21" x14ac:dyDescent="0.3">
      <c r="U995545" s="25"/>
    </row>
    <row r="995567" spans="21:21" x14ac:dyDescent="0.3">
      <c r="U995567" s="25"/>
    </row>
    <row r="995589" spans="21:21" x14ac:dyDescent="0.3">
      <c r="U995589" s="25"/>
    </row>
    <row r="995611" spans="21:21" x14ac:dyDescent="0.3">
      <c r="U995611" s="25"/>
    </row>
    <row r="995633" spans="21:21" x14ac:dyDescent="0.3">
      <c r="U995633" s="25"/>
    </row>
    <row r="995655" spans="21:21" x14ac:dyDescent="0.3">
      <c r="U995655" s="25"/>
    </row>
    <row r="995677" spans="21:21" x14ac:dyDescent="0.3">
      <c r="U995677" s="25"/>
    </row>
    <row r="995699" spans="21:21" x14ac:dyDescent="0.3">
      <c r="U995699" s="25"/>
    </row>
    <row r="995721" spans="21:21" x14ac:dyDescent="0.3">
      <c r="U995721" s="25"/>
    </row>
    <row r="995743" spans="21:21" x14ac:dyDescent="0.3">
      <c r="U995743" s="25"/>
    </row>
    <row r="995765" spans="21:21" x14ac:dyDescent="0.3">
      <c r="U995765" s="25"/>
    </row>
    <row r="995787" spans="21:21" x14ac:dyDescent="0.3">
      <c r="U995787" s="25"/>
    </row>
    <row r="995809" spans="21:21" x14ac:dyDescent="0.3">
      <c r="U995809" s="25"/>
    </row>
    <row r="995831" spans="21:21" x14ac:dyDescent="0.3">
      <c r="U995831" s="25"/>
    </row>
    <row r="995853" spans="21:21" x14ac:dyDescent="0.3">
      <c r="U995853" s="25"/>
    </row>
    <row r="995875" spans="21:21" x14ac:dyDescent="0.3">
      <c r="U995875" s="25"/>
    </row>
    <row r="995897" spans="21:21" x14ac:dyDescent="0.3">
      <c r="U995897" s="25"/>
    </row>
    <row r="995919" spans="21:21" x14ac:dyDescent="0.3">
      <c r="U995919" s="25"/>
    </row>
    <row r="995941" spans="21:21" x14ac:dyDescent="0.3">
      <c r="U995941" s="25"/>
    </row>
    <row r="995963" spans="21:21" x14ac:dyDescent="0.3">
      <c r="U995963" s="25"/>
    </row>
    <row r="995985" spans="21:21" x14ac:dyDescent="0.3">
      <c r="U995985" s="25"/>
    </row>
    <row r="996007" spans="21:21" x14ac:dyDescent="0.3">
      <c r="U996007" s="25"/>
    </row>
    <row r="996029" spans="21:21" x14ac:dyDescent="0.3">
      <c r="U996029" s="25"/>
    </row>
    <row r="996051" spans="21:21" x14ac:dyDescent="0.3">
      <c r="U996051" s="25"/>
    </row>
    <row r="996073" spans="21:21" x14ac:dyDescent="0.3">
      <c r="U996073" s="25"/>
    </row>
    <row r="996095" spans="21:21" x14ac:dyDescent="0.3">
      <c r="U996095" s="25"/>
    </row>
    <row r="996117" spans="21:21" x14ac:dyDescent="0.3">
      <c r="U996117" s="25"/>
    </row>
    <row r="996139" spans="21:21" x14ac:dyDescent="0.3">
      <c r="U996139" s="25"/>
    </row>
    <row r="996161" spans="21:21" x14ac:dyDescent="0.3">
      <c r="U996161" s="25"/>
    </row>
    <row r="996183" spans="21:21" x14ac:dyDescent="0.3">
      <c r="U996183" s="25"/>
    </row>
    <row r="996205" spans="21:21" x14ac:dyDescent="0.3">
      <c r="U996205" s="25"/>
    </row>
    <row r="996227" spans="21:21" x14ac:dyDescent="0.3">
      <c r="U996227" s="25"/>
    </row>
    <row r="996249" spans="21:21" x14ac:dyDescent="0.3">
      <c r="U996249" s="25"/>
    </row>
    <row r="996271" spans="21:21" x14ac:dyDescent="0.3">
      <c r="U996271" s="25"/>
    </row>
    <row r="996293" spans="21:21" x14ac:dyDescent="0.3">
      <c r="U996293" s="25"/>
    </row>
    <row r="996315" spans="21:21" x14ac:dyDescent="0.3">
      <c r="U996315" s="25"/>
    </row>
    <row r="996337" spans="21:21" x14ac:dyDescent="0.3">
      <c r="U996337" s="25"/>
    </row>
    <row r="996359" spans="21:21" x14ac:dyDescent="0.3">
      <c r="U996359" s="25"/>
    </row>
    <row r="996381" spans="21:21" x14ac:dyDescent="0.3">
      <c r="U996381" s="25"/>
    </row>
    <row r="996403" spans="21:21" x14ac:dyDescent="0.3">
      <c r="U996403" s="25"/>
    </row>
    <row r="996425" spans="21:21" x14ac:dyDescent="0.3">
      <c r="U996425" s="25"/>
    </row>
    <row r="996447" spans="21:21" x14ac:dyDescent="0.3">
      <c r="U996447" s="25"/>
    </row>
    <row r="996469" spans="21:21" x14ac:dyDescent="0.3">
      <c r="U996469" s="25"/>
    </row>
    <row r="996491" spans="21:21" x14ac:dyDescent="0.3">
      <c r="U996491" s="25"/>
    </row>
    <row r="996513" spans="21:21" x14ac:dyDescent="0.3">
      <c r="U996513" s="25"/>
    </row>
    <row r="996535" spans="21:21" x14ac:dyDescent="0.3">
      <c r="U996535" s="25"/>
    </row>
    <row r="996557" spans="21:21" x14ac:dyDescent="0.3">
      <c r="U996557" s="25"/>
    </row>
    <row r="996579" spans="21:21" x14ac:dyDescent="0.3">
      <c r="U996579" s="25"/>
    </row>
    <row r="996601" spans="21:21" x14ac:dyDescent="0.3">
      <c r="U996601" s="25"/>
    </row>
    <row r="996623" spans="21:21" x14ac:dyDescent="0.3">
      <c r="U996623" s="25"/>
    </row>
    <row r="996645" spans="21:21" x14ac:dyDescent="0.3">
      <c r="U996645" s="25"/>
    </row>
    <row r="996667" spans="21:21" x14ac:dyDescent="0.3">
      <c r="U996667" s="25"/>
    </row>
    <row r="996689" spans="21:21" x14ac:dyDescent="0.3">
      <c r="U996689" s="25"/>
    </row>
    <row r="996711" spans="21:21" x14ac:dyDescent="0.3">
      <c r="U996711" s="25"/>
    </row>
    <row r="996733" spans="21:21" x14ac:dyDescent="0.3">
      <c r="U996733" s="25"/>
    </row>
    <row r="996755" spans="21:21" x14ac:dyDescent="0.3">
      <c r="U996755" s="25"/>
    </row>
    <row r="996777" spans="21:21" x14ac:dyDescent="0.3">
      <c r="U996777" s="25"/>
    </row>
    <row r="996799" spans="21:21" x14ac:dyDescent="0.3">
      <c r="U996799" s="25"/>
    </row>
    <row r="996821" spans="21:21" x14ac:dyDescent="0.3">
      <c r="U996821" s="25"/>
    </row>
    <row r="996843" spans="21:21" x14ac:dyDescent="0.3">
      <c r="U996843" s="25"/>
    </row>
    <row r="996865" spans="21:21" x14ac:dyDescent="0.3">
      <c r="U996865" s="25"/>
    </row>
    <row r="996887" spans="21:21" x14ac:dyDescent="0.3">
      <c r="U996887" s="25"/>
    </row>
    <row r="996909" spans="21:21" x14ac:dyDescent="0.3">
      <c r="U996909" s="25"/>
    </row>
    <row r="996931" spans="21:21" x14ac:dyDescent="0.3">
      <c r="U996931" s="25"/>
    </row>
    <row r="996953" spans="21:21" x14ac:dyDescent="0.3">
      <c r="U996953" s="25"/>
    </row>
    <row r="996975" spans="21:21" x14ac:dyDescent="0.3">
      <c r="U996975" s="25"/>
    </row>
    <row r="996997" spans="21:21" x14ac:dyDescent="0.3">
      <c r="U996997" s="25"/>
    </row>
    <row r="997019" spans="21:21" x14ac:dyDescent="0.3">
      <c r="U997019" s="25"/>
    </row>
    <row r="997041" spans="21:21" x14ac:dyDescent="0.3">
      <c r="U997041" s="25"/>
    </row>
    <row r="997063" spans="21:21" x14ac:dyDescent="0.3">
      <c r="U997063" s="25"/>
    </row>
    <row r="997085" spans="21:21" x14ac:dyDescent="0.3">
      <c r="U997085" s="25"/>
    </row>
    <row r="997107" spans="21:21" x14ac:dyDescent="0.3">
      <c r="U997107" s="25"/>
    </row>
    <row r="997129" spans="21:21" x14ac:dyDescent="0.3">
      <c r="U997129" s="25"/>
    </row>
    <row r="997151" spans="21:21" x14ac:dyDescent="0.3">
      <c r="U997151" s="25"/>
    </row>
    <row r="997173" spans="21:21" x14ac:dyDescent="0.3">
      <c r="U997173" s="25"/>
    </row>
    <row r="997195" spans="21:21" x14ac:dyDescent="0.3">
      <c r="U997195" s="25"/>
    </row>
    <row r="997217" spans="21:21" x14ac:dyDescent="0.3">
      <c r="U997217" s="25"/>
    </row>
    <row r="997239" spans="21:21" x14ac:dyDescent="0.3">
      <c r="U997239" s="25"/>
    </row>
    <row r="997261" spans="21:21" x14ac:dyDescent="0.3">
      <c r="U997261" s="25"/>
    </row>
    <row r="997283" spans="21:21" x14ac:dyDescent="0.3">
      <c r="U997283" s="25"/>
    </row>
    <row r="997305" spans="21:21" x14ac:dyDescent="0.3">
      <c r="U997305" s="25"/>
    </row>
    <row r="997327" spans="21:21" x14ac:dyDescent="0.3">
      <c r="U997327" s="25"/>
    </row>
    <row r="997349" spans="21:21" x14ac:dyDescent="0.3">
      <c r="U997349" s="25"/>
    </row>
    <row r="997371" spans="21:21" x14ac:dyDescent="0.3">
      <c r="U997371" s="25"/>
    </row>
    <row r="997393" spans="21:21" x14ac:dyDescent="0.3">
      <c r="U997393" s="25"/>
    </row>
    <row r="997415" spans="21:21" x14ac:dyDescent="0.3">
      <c r="U997415" s="25"/>
    </row>
    <row r="997437" spans="21:21" x14ac:dyDescent="0.3">
      <c r="U997437" s="25"/>
    </row>
    <row r="997459" spans="21:21" x14ac:dyDescent="0.3">
      <c r="U997459" s="25"/>
    </row>
    <row r="997481" spans="21:21" x14ac:dyDescent="0.3">
      <c r="U997481" s="25"/>
    </row>
    <row r="997503" spans="21:21" x14ac:dyDescent="0.3">
      <c r="U997503" s="25"/>
    </row>
    <row r="997525" spans="21:21" x14ac:dyDescent="0.3">
      <c r="U997525" s="25"/>
    </row>
    <row r="997547" spans="21:21" x14ac:dyDescent="0.3">
      <c r="U997547" s="25"/>
    </row>
    <row r="997569" spans="21:21" x14ac:dyDescent="0.3">
      <c r="U997569" s="25"/>
    </row>
    <row r="997591" spans="21:21" x14ac:dyDescent="0.3">
      <c r="U997591" s="25"/>
    </row>
    <row r="997613" spans="21:21" x14ac:dyDescent="0.3">
      <c r="U997613" s="25"/>
    </row>
    <row r="997635" spans="21:21" x14ac:dyDescent="0.3">
      <c r="U997635" s="25"/>
    </row>
    <row r="997657" spans="21:21" x14ac:dyDescent="0.3">
      <c r="U997657" s="25"/>
    </row>
    <row r="997679" spans="21:21" x14ac:dyDescent="0.3">
      <c r="U997679" s="25"/>
    </row>
    <row r="997701" spans="21:21" x14ac:dyDescent="0.3">
      <c r="U997701" s="25"/>
    </row>
    <row r="997723" spans="21:21" x14ac:dyDescent="0.3">
      <c r="U997723" s="25"/>
    </row>
    <row r="997745" spans="21:21" x14ac:dyDescent="0.3">
      <c r="U997745" s="25"/>
    </row>
    <row r="997767" spans="21:21" x14ac:dyDescent="0.3">
      <c r="U997767" s="25"/>
    </row>
    <row r="997789" spans="21:21" x14ac:dyDescent="0.3">
      <c r="U997789" s="25"/>
    </row>
    <row r="997811" spans="21:21" x14ac:dyDescent="0.3">
      <c r="U997811" s="25"/>
    </row>
    <row r="997833" spans="21:21" x14ac:dyDescent="0.3">
      <c r="U997833" s="25"/>
    </row>
    <row r="997855" spans="21:21" x14ac:dyDescent="0.3">
      <c r="U997855" s="25"/>
    </row>
    <row r="997877" spans="21:21" x14ac:dyDescent="0.3">
      <c r="U997877" s="25"/>
    </row>
    <row r="997899" spans="21:21" x14ac:dyDescent="0.3">
      <c r="U997899" s="25"/>
    </row>
    <row r="997921" spans="21:21" x14ac:dyDescent="0.3">
      <c r="U997921" s="25"/>
    </row>
    <row r="997943" spans="21:21" x14ac:dyDescent="0.3">
      <c r="U997943" s="25"/>
    </row>
    <row r="997965" spans="21:21" x14ac:dyDescent="0.3">
      <c r="U997965" s="25"/>
    </row>
    <row r="997987" spans="21:21" x14ac:dyDescent="0.3">
      <c r="U997987" s="25"/>
    </row>
    <row r="998009" spans="21:21" x14ac:dyDescent="0.3">
      <c r="U998009" s="25"/>
    </row>
    <row r="998031" spans="21:21" x14ac:dyDescent="0.3">
      <c r="U998031" s="25"/>
    </row>
    <row r="998053" spans="21:21" x14ac:dyDescent="0.3">
      <c r="U998053" s="25"/>
    </row>
    <row r="998075" spans="21:21" x14ac:dyDescent="0.3">
      <c r="U998075" s="25"/>
    </row>
    <row r="998097" spans="21:21" x14ac:dyDescent="0.3">
      <c r="U998097" s="25"/>
    </row>
    <row r="998119" spans="21:21" x14ac:dyDescent="0.3">
      <c r="U998119" s="25"/>
    </row>
    <row r="998141" spans="21:21" x14ac:dyDescent="0.3">
      <c r="U998141" s="25"/>
    </row>
    <row r="998163" spans="21:21" x14ac:dyDescent="0.3">
      <c r="U998163" s="25"/>
    </row>
    <row r="998185" spans="21:21" x14ac:dyDescent="0.3">
      <c r="U998185" s="25"/>
    </row>
    <row r="998207" spans="21:21" x14ac:dyDescent="0.3">
      <c r="U998207" s="25"/>
    </row>
    <row r="998229" spans="21:21" x14ac:dyDescent="0.3">
      <c r="U998229" s="25"/>
    </row>
    <row r="998251" spans="21:21" x14ac:dyDescent="0.3">
      <c r="U998251" s="25"/>
    </row>
    <row r="998273" spans="21:21" x14ac:dyDescent="0.3">
      <c r="U998273" s="25"/>
    </row>
    <row r="998295" spans="21:21" x14ac:dyDescent="0.3">
      <c r="U998295" s="25"/>
    </row>
    <row r="998317" spans="21:21" x14ac:dyDescent="0.3">
      <c r="U998317" s="25"/>
    </row>
    <row r="998339" spans="21:21" x14ac:dyDescent="0.3">
      <c r="U998339" s="25"/>
    </row>
    <row r="998361" spans="21:21" x14ac:dyDescent="0.3">
      <c r="U998361" s="25"/>
    </row>
    <row r="998383" spans="21:21" x14ac:dyDescent="0.3">
      <c r="U998383" s="25"/>
    </row>
    <row r="998405" spans="21:21" x14ac:dyDescent="0.3">
      <c r="U998405" s="25"/>
    </row>
    <row r="998427" spans="21:21" x14ac:dyDescent="0.3">
      <c r="U998427" s="25"/>
    </row>
    <row r="998449" spans="21:21" x14ac:dyDescent="0.3">
      <c r="U998449" s="25"/>
    </row>
    <row r="998471" spans="21:21" x14ac:dyDescent="0.3">
      <c r="U998471" s="25"/>
    </row>
    <row r="998493" spans="21:21" x14ac:dyDescent="0.3">
      <c r="U998493" s="25"/>
    </row>
    <row r="998515" spans="21:21" x14ac:dyDescent="0.3">
      <c r="U998515" s="25"/>
    </row>
    <row r="998537" spans="21:21" x14ac:dyDescent="0.3">
      <c r="U998537" s="25"/>
    </row>
    <row r="998559" spans="21:21" x14ac:dyDescent="0.3">
      <c r="U998559" s="25"/>
    </row>
    <row r="998581" spans="21:21" x14ac:dyDescent="0.3">
      <c r="U998581" s="25"/>
    </row>
    <row r="998603" spans="21:21" x14ac:dyDescent="0.3">
      <c r="U998603" s="25"/>
    </row>
    <row r="998625" spans="21:21" x14ac:dyDescent="0.3">
      <c r="U998625" s="25"/>
    </row>
    <row r="998647" spans="21:21" x14ac:dyDescent="0.3">
      <c r="U998647" s="25"/>
    </row>
    <row r="998669" spans="21:21" x14ac:dyDescent="0.3">
      <c r="U998669" s="25"/>
    </row>
    <row r="998691" spans="21:21" x14ac:dyDescent="0.3">
      <c r="U998691" s="25"/>
    </row>
    <row r="998713" spans="21:21" x14ac:dyDescent="0.3">
      <c r="U998713" s="25"/>
    </row>
    <row r="998735" spans="21:21" x14ac:dyDescent="0.3">
      <c r="U998735" s="25"/>
    </row>
    <row r="998757" spans="21:21" x14ac:dyDescent="0.3">
      <c r="U998757" s="25"/>
    </row>
    <row r="998779" spans="21:21" x14ac:dyDescent="0.3">
      <c r="U998779" s="25"/>
    </row>
    <row r="998801" spans="21:21" x14ac:dyDescent="0.3">
      <c r="U998801" s="25"/>
    </row>
    <row r="998823" spans="21:21" x14ac:dyDescent="0.3">
      <c r="U998823" s="25"/>
    </row>
    <row r="998845" spans="21:21" x14ac:dyDescent="0.3">
      <c r="U998845" s="25"/>
    </row>
    <row r="998867" spans="21:21" x14ac:dyDescent="0.3">
      <c r="U998867" s="25"/>
    </row>
    <row r="998889" spans="21:21" x14ac:dyDescent="0.3">
      <c r="U998889" s="25"/>
    </row>
    <row r="998911" spans="21:21" x14ac:dyDescent="0.3">
      <c r="U998911" s="25"/>
    </row>
    <row r="998933" spans="21:21" x14ac:dyDescent="0.3">
      <c r="U998933" s="25"/>
    </row>
    <row r="998955" spans="21:21" x14ac:dyDescent="0.3">
      <c r="U998955" s="25"/>
    </row>
    <row r="998977" spans="21:21" x14ac:dyDescent="0.3">
      <c r="U998977" s="25"/>
    </row>
    <row r="998999" spans="21:21" x14ac:dyDescent="0.3">
      <c r="U998999" s="25"/>
    </row>
    <row r="999021" spans="21:21" x14ac:dyDescent="0.3">
      <c r="U999021" s="25"/>
    </row>
    <row r="999043" spans="21:21" x14ac:dyDescent="0.3">
      <c r="U999043" s="25"/>
    </row>
    <row r="999065" spans="21:21" x14ac:dyDescent="0.3">
      <c r="U999065" s="25"/>
    </row>
    <row r="999087" spans="21:21" x14ac:dyDescent="0.3">
      <c r="U999087" s="25"/>
    </row>
    <row r="999109" spans="21:21" x14ac:dyDescent="0.3">
      <c r="U999109" s="25"/>
    </row>
    <row r="999131" spans="21:21" x14ac:dyDescent="0.3">
      <c r="U999131" s="25"/>
    </row>
    <row r="999153" spans="21:21" x14ac:dyDescent="0.3">
      <c r="U999153" s="25"/>
    </row>
    <row r="999175" spans="21:21" x14ac:dyDescent="0.3">
      <c r="U999175" s="25"/>
    </row>
    <row r="999197" spans="21:21" x14ac:dyDescent="0.3">
      <c r="U999197" s="25"/>
    </row>
    <row r="999219" spans="21:21" x14ac:dyDescent="0.3">
      <c r="U999219" s="25"/>
    </row>
    <row r="999241" spans="21:21" x14ac:dyDescent="0.3">
      <c r="U999241" s="25"/>
    </row>
    <row r="999263" spans="21:21" x14ac:dyDescent="0.3">
      <c r="U999263" s="25"/>
    </row>
    <row r="999285" spans="21:21" x14ac:dyDescent="0.3">
      <c r="U999285" s="25"/>
    </row>
    <row r="999307" spans="21:21" x14ac:dyDescent="0.3">
      <c r="U999307" s="25"/>
    </row>
    <row r="999329" spans="21:21" x14ac:dyDescent="0.3">
      <c r="U999329" s="25"/>
    </row>
    <row r="999351" spans="21:21" x14ac:dyDescent="0.3">
      <c r="U999351" s="25"/>
    </row>
    <row r="999373" spans="21:21" x14ac:dyDescent="0.3">
      <c r="U999373" s="25"/>
    </row>
    <row r="999395" spans="21:21" x14ac:dyDescent="0.3">
      <c r="U999395" s="25"/>
    </row>
    <row r="999417" spans="21:21" x14ac:dyDescent="0.3">
      <c r="U999417" s="25"/>
    </row>
    <row r="999439" spans="21:21" x14ac:dyDescent="0.3">
      <c r="U999439" s="25"/>
    </row>
    <row r="999461" spans="21:21" x14ac:dyDescent="0.3">
      <c r="U999461" s="25"/>
    </row>
    <row r="999483" spans="21:21" x14ac:dyDescent="0.3">
      <c r="U999483" s="25"/>
    </row>
    <row r="999505" spans="21:21" x14ac:dyDescent="0.3">
      <c r="U999505" s="25"/>
    </row>
    <row r="999527" spans="21:21" x14ac:dyDescent="0.3">
      <c r="U999527" s="25"/>
    </row>
    <row r="999549" spans="21:21" x14ac:dyDescent="0.3">
      <c r="U999549" s="25"/>
    </row>
    <row r="999571" spans="21:21" x14ac:dyDescent="0.3">
      <c r="U999571" s="25"/>
    </row>
    <row r="999593" spans="21:21" x14ac:dyDescent="0.3">
      <c r="U999593" s="25"/>
    </row>
    <row r="999615" spans="21:21" x14ac:dyDescent="0.3">
      <c r="U999615" s="25"/>
    </row>
    <row r="999637" spans="21:21" x14ac:dyDescent="0.3">
      <c r="U999637" s="25"/>
    </row>
    <row r="999659" spans="21:21" x14ac:dyDescent="0.3">
      <c r="U999659" s="25"/>
    </row>
    <row r="999681" spans="21:21" x14ac:dyDescent="0.3">
      <c r="U999681" s="25"/>
    </row>
    <row r="999703" spans="21:21" x14ac:dyDescent="0.3">
      <c r="U999703" s="25"/>
    </row>
    <row r="999725" spans="21:21" x14ac:dyDescent="0.3">
      <c r="U999725" s="25"/>
    </row>
    <row r="999747" spans="21:21" x14ac:dyDescent="0.3">
      <c r="U999747" s="25"/>
    </row>
    <row r="999769" spans="21:21" x14ac:dyDescent="0.3">
      <c r="U999769" s="25"/>
    </row>
    <row r="999791" spans="21:21" x14ac:dyDescent="0.3">
      <c r="U999791" s="25"/>
    </row>
    <row r="999813" spans="21:21" x14ac:dyDescent="0.3">
      <c r="U999813" s="25"/>
    </row>
    <row r="999835" spans="21:21" x14ac:dyDescent="0.3">
      <c r="U999835" s="25"/>
    </row>
    <row r="999857" spans="21:21" x14ac:dyDescent="0.3">
      <c r="U999857" s="25"/>
    </row>
    <row r="999879" spans="21:21" x14ac:dyDescent="0.3">
      <c r="U999879" s="25"/>
    </row>
    <row r="999901" spans="21:21" x14ac:dyDescent="0.3">
      <c r="U999901" s="25"/>
    </row>
    <row r="999923" spans="21:21" x14ac:dyDescent="0.3">
      <c r="U999923" s="25"/>
    </row>
    <row r="999945" spans="21:21" x14ac:dyDescent="0.3">
      <c r="U999945" s="25"/>
    </row>
    <row r="999967" spans="21:21" x14ac:dyDescent="0.3">
      <c r="U999967" s="25"/>
    </row>
    <row r="999989" spans="21:21" x14ac:dyDescent="0.3">
      <c r="U999989" s="25"/>
    </row>
    <row r="1000011" spans="21:21" x14ac:dyDescent="0.3">
      <c r="U1000011" s="25"/>
    </row>
    <row r="1000033" spans="21:21" x14ac:dyDescent="0.3">
      <c r="U1000033" s="25"/>
    </row>
    <row r="1000055" spans="21:21" x14ac:dyDescent="0.3">
      <c r="U1000055" s="25"/>
    </row>
    <row r="1000077" spans="21:21" x14ac:dyDescent="0.3">
      <c r="U1000077" s="25"/>
    </row>
    <row r="1000099" spans="21:21" x14ac:dyDescent="0.3">
      <c r="U1000099" s="25"/>
    </row>
    <row r="1000121" spans="21:21" x14ac:dyDescent="0.3">
      <c r="U1000121" s="25"/>
    </row>
    <row r="1000143" spans="21:21" x14ac:dyDescent="0.3">
      <c r="U1000143" s="25"/>
    </row>
    <row r="1000165" spans="21:21" x14ac:dyDescent="0.3">
      <c r="U1000165" s="25"/>
    </row>
    <row r="1000187" spans="21:21" x14ac:dyDescent="0.3">
      <c r="U1000187" s="25"/>
    </row>
    <row r="1000209" spans="21:21" x14ac:dyDescent="0.3">
      <c r="U1000209" s="25"/>
    </row>
    <row r="1000231" spans="21:21" x14ac:dyDescent="0.3">
      <c r="U1000231" s="25"/>
    </row>
    <row r="1000253" spans="21:21" x14ac:dyDescent="0.3">
      <c r="U1000253" s="25"/>
    </row>
    <row r="1000275" spans="21:21" x14ac:dyDescent="0.3">
      <c r="U1000275" s="25"/>
    </row>
    <row r="1000297" spans="21:21" x14ac:dyDescent="0.3">
      <c r="U1000297" s="25"/>
    </row>
    <row r="1000319" spans="21:21" x14ac:dyDescent="0.3">
      <c r="U1000319" s="25"/>
    </row>
    <row r="1000341" spans="21:21" x14ac:dyDescent="0.3">
      <c r="U1000341" s="25"/>
    </row>
    <row r="1000363" spans="21:21" x14ac:dyDescent="0.3">
      <c r="U1000363" s="25"/>
    </row>
    <row r="1000385" spans="21:21" x14ac:dyDescent="0.3">
      <c r="U1000385" s="25"/>
    </row>
    <row r="1000407" spans="21:21" x14ac:dyDescent="0.3">
      <c r="U1000407" s="25"/>
    </row>
    <row r="1000429" spans="21:21" x14ac:dyDescent="0.3">
      <c r="U1000429" s="25"/>
    </row>
    <row r="1000451" spans="21:21" x14ac:dyDescent="0.3">
      <c r="U1000451" s="25"/>
    </row>
    <row r="1000473" spans="21:21" x14ac:dyDescent="0.3">
      <c r="U1000473" s="25"/>
    </row>
    <row r="1000495" spans="21:21" x14ac:dyDescent="0.3">
      <c r="U1000495" s="25"/>
    </row>
    <row r="1000517" spans="21:21" x14ac:dyDescent="0.3">
      <c r="U1000517" s="25"/>
    </row>
    <row r="1000539" spans="21:21" x14ac:dyDescent="0.3">
      <c r="U1000539" s="25"/>
    </row>
    <row r="1000561" spans="21:21" x14ac:dyDescent="0.3">
      <c r="U1000561" s="25"/>
    </row>
    <row r="1000583" spans="21:21" x14ac:dyDescent="0.3">
      <c r="U1000583" s="25"/>
    </row>
    <row r="1000605" spans="21:21" x14ac:dyDescent="0.3">
      <c r="U1000605" s="25"/>
    </row>
    <row r="1000627" spans="21:21" x14ac:dyDescent="0.3">
      <c r="U1000627" s="25"/>
    </row>
    <row r="1000649" spans="21:21" x14ac:dyDescent="0.3">
      <c r="U1000649" s="25"/>
    </row>
    <row r="1000671" spans="21:21" x14ac:dyDescent="0.3">
      <c r="U1000671" s="25"/>
    </row>
    <row r="1000693" spans="21:21" x14ac:dyDescent="0.3">
      <c r="U1000693" s="25"/>
    </row>
    <row r="1000715" spans="21:21" x14ac:dyDescent="0.3">
      <c r="U1000715" s="25"/>
    </row>
    <row r="1000737" spans="21:21" x14ac:dyDescent="0.3">
      <c r="U1000737" s="25"/>
    </row>
    <row r="1000759" spans="21:21" x14ac:dyDescent="0.3">
      <c r="U1000759" s="25"/>
    </row>
    <row r="1000781" spans="21:21" x14ac:dyDescent="0.3">
      <c r="U1000781" s="25"/>
    </row>
    <row r="1000803" spans="21:21" x14ac:dyDescent="0.3">
      <c r="U1000803" s="25"/>
    </row>
    <row r="1000825" spans="21:21" x14ac:dyDescent="0.3">
      <c r="U1000825" s="25"/>
    </row>
    <row r="1000847" spans="21:21" x14ac:dyDescent="0.3">
      <c r="U1000847" s="25"/>
    </row>
    <row r="1000869" spans="21:21" x14ac:dyDescent="0.3">
      <c r="U1000869" s="25"/>
    </row>
    <row r="1000891" spans="21:21" x14ac:dyDescent="0.3">
      <c r="U1000891" s="25"/>
    </row>
    <row r="1000913" spans="21:21" x14ac:dyDescent="0.3">
      <c r="U1000913" s="25"/>
    </row>
    <row r="1000935" spans="21:21" x14ac:dyDescent="0.3">
      <c r="U1000935" s="25"/>
    </row>
    <row r="1000957" spans="21:21" x14ac:dyDescent="0.3">
      <c r="U1000957" s="25"/>
    </row>
    <row r="1000979" spans="21:21" x14ac:dyDescent="0.3">
      <c r="U1000979" s="25"/>
    </row>
    <row r="1001001" spans="21:21" x14ac:dyDescent="0.3">
      <c r="U1001001" s="25"/>
    </row>
    <row r="1001023" spans="21:21" x14ac:dyDescent="0.3">
      <c r="U1001023" s="25"/>
    </row>
    <row r="1001045" spans="21:21" x14ac:dyDescent="0.3">
      <c r="U1001045" s="25"/>
    </row>
    <row r="1001067" spans="21:21" x14ac:dyDescent="0.3">
      <c r="U1001067" s="25"/>
    </row>
    <row r="1001089" spans="21:21" x14ac:dyDescent="0.3">
      <c r="U1001089" s="25"/>
    </row>
    <row r="1001111" spans="21:21" x14ac:dyDescent="0.3">
      <c r="U1001111" s="25"/>
    </row>
    <row r="1001133" spans="21:21" x14ac:dyDescent="0.3">
      <c r="U1001133" s="25"/>
    </row>
    <row r="1001155" spans="21:21" x14ac:dyDescent="0.3">
      <c r="U1001155" s="25"/>
    </row>
    <row r="1001177" spans="21:21" x14ac:dyDescent="0.3">
      <c r="U1001177" s="25"/>
    </row>
    <row r="1001199" spans="21:21" x14ac:dyDescent="0.3">
      <c r="U1001199" s="25"/>
    </row>
    <row r="1001221" spans="21:21" x14ac:dyDescent="0.3">
      <c r="U1001221" s="25"/>
    </row>
    <row r="1001243" spans="21:21" x14ac:dyDescent="0.3">
      <c r="U1001243" s="25"/>
    </row>
    <row r="1001265" spans="21:21" x14ac:dyDescent="0.3">
      <c r="U1001265" s="25"/>
    </row>
    <row r="1001287" spans="21:21" x14ac:dyDescent="0.3">
      <c r="U1001287" s="25"/>
    </row>
    <row r="1001309" spans="21:21" x14ac:dyDescent="0.3">
      <c r="U1001309" s="25"/>
    </row>
    <row r="1001331" spans="21:21" x14ac:dyDescent="0.3">
      <c r="U1001331" s="25"/>
    </row>
    <row r="1001353" spans="21:21" x14ac:dyDescent="0.3">
      <c r="U1001353" s="25"/>
    </row>
    <row r="1001375" spans="21:21" x14ac:dyDescent="0.3">
      <c r="U1001375" s="25"/>
    </row>
    <row r="1001397" spans="21:21" x14ac:dyDescent="0.3">
      <c r="U1001397" s="25"/>
    </row>
    <row r="1001419" spans="21:21" x14ac:dyDescent="0.3">
      <c r="U1001419" s="25"/>
    </row>
    <row r="1001441" spans="21:21" x14ac:dyDescent="0.3">
      <c r="U1001441" s="25"/>
    </row>
    <row r="1001463" spans="21:21" x14ac:dyDescent="0.3">
      <c r="U1001463" s="25"/>
    </row>
    <row r="1001485" spans="21:21" x14ac:dyDescent="0.3">
      <c r="U1001485" s="25"/>
    </row>
    <row r="1001507" spans="21:21" x14ac:dyDescent="0.3">
      <c r="U1001507" s="25"/>
    </row>
    <row r="1001529" spans="21:21" x14ac:dyDescent="0.3">
      <c r="U1001529" s="25"/>
    </row>
    <row r="1001551" spans="21:21" x14ac:dyDescent="0.3">
      <c r="U1001551" s="25"/>
    </row>
    <row r="1001573" spans="21:21" x14ac:dyDescent="0.3">
      <c r="U1001573" s="25"/>
    </row>
    <row r="1001595" spans="21:21" x14ac:dyDescent="0.3">
      <c r="U1001595" s="25"/>
    </row>
    <row r="1001617" spans="21:21" x14ac:dyDescent="0.3">
      <c r="U1001617" s="25"/>
    </row>
    <row r="1001639" spans="21:21" x14ac:dyDescent="0.3">
      <c r="U1001639" s="25"/>
    </row>
    <row r="1001661" spans="21:21" x14ac:dyDescent="0.3">
      <c r="U1001661" s="25"/>
    </row>
    <row r="1001683" spans="21:21" x14ac:dyDescent="0.3">
      <c r="U1001683" s="25"/>
    </row>
    <row r="1001705" spans="21:21" x14ac:dyDescent="0.3">
      <c r="U1001705" s="25"/>
    </row>
    <row r="1001727" spans="21:21" x14ac:dyDescent="0.3">
      <c r="U1001727" s="25"/>
    </row>
    <row r="1001749" spans="21:21" x14ac:dyDescent="0.3">
      <c r="U1001749" s="25"/>
    </row>
    <row r="1001771" spans="21:21" x14ac:dyDescent="0.3">
      <c r="U1001771" s="25"/>
    </row>
    <row r="1001793" spans="21:21" x14ac:dyDescent="0.3">
      <c r="U1001793" s="25"/>
    </row>
    <row r="1001815" spans="21:21" x14ac:dyDescent="0.3">
      <c r="U1001815" s="25"/>
    </row>
    <row r="1001837" spans="21:21" x14ac:dyDescent="0.3">
      <c r="U1001837" s="25"/>
    </row>
    <row r="1001859" spans="21:21" x14ac:dyDescent="0.3">
      <c r="U1001859" s="25"/>
    </row>
    <row r="1001881" spans="21:21" x14ac:dyDescent="0.3">
      <c r="U1001881" s="25"/>
    </row>
    <row r="1001903" spans="21:21" x14ac:dyDescent="0.3">
      <c r="U1001903" s="25"/>
    </row>
    <row r="1001925" spans="21:21" x14ac:dyDescent="0.3">
      <c r="U1001925" s="25"/>
    </row>
    <row r="1001947" spans="21:21" x14ac:dyDescent="0.3">
      <c r="U1001947" s="25"/>
    </row>
    <row r="1001969" spans="21:21" x14ac:dyDescent="0.3">
      <c r="U1001969" s="25"/>
    </row>
    <row r="1001991" spans="21:21" x14ac:dyDescent="0.3">
      <c r="U1001991" s="25"/>
    </row>
    <row r="1002013" spans="21:21" x14ac:dyDescent="0.3">
      <c r="U1002013" s="25"/>
    </row>
    <row r="1002035" spans="21:21" x14ac:dyDescent="0.3">
      <c r="U1002035" s="25"/>
    </row>
    <row r="1002057" spans="21:21" x14ac:dyDescent="0.3">
      <c r="U1002057" s="25"/>
    </row>
    <row r="1002079" spans="21:21" x14ac:dyDescent="0.3">
      <c r="U1002079" s="25"/>
    </row>
    <row r="1002101" spans="21:21" x14ac:dyDescent="0.3">
      <c r="U1002101" s="25"/>
    </row>
    <row r="1002123" spans="21:21" x14ac:dyDescent="0.3">
      <c r="U1002123" s="25"/>
    </row>
    <row r="1002145" spans="21:21" x14ac:dyDescent="0.3">
      <c r="U1002145" s="25"/>
    </row>
    <row r="1002167" spans="21:21" x14ac:dyDescent="0.3">
      <c r="U1002167" s="25"/>
    </row>
    <row r="1002189" spans="21:21" x14ac:dyDescent="0.3">
      <c r="U1002189" s="25"/>
    </row>
    <row r="1002211" spans="21:21" x14ac:dyDescent="0.3">
      <c r="U1002211" s="25"/>
    </row>
    <row r="1002233" spans="21:21" x14ac:dyDescent="0.3">
      <c r="U1002233" s="25"/>
    </row>
    <row r="1002255" spans="21:21" x14ac:dyDescent="0.3">
      <c r="U1002255" s="25"/>
    </row>
    <row r="1002277" spans="21:21" x14ac:dyDescent="0.3">
      <c r="U1002277" s="25"/>
    </row>
    <row r="1002299" spans="21:21" x14ac:dyDescent="0.3">
      <c r="U1002299" s="25"/>
    </row>
    <row r="1002321" spans="21:21" x14ac:dyDescent="0.3">
      <c r="U1002321" s="25"/>
    </row>
    <row r="1002343" spans="21:21" x14ac:dyDescent="0.3">
      <c r="U1002343" s="25"/>
    </row>
    <row r="1002365" spans="21:21" x14ac:dyDescent="0.3">
      <c r="U1002365" s="25"/>
    </row>
    <row r="1002387" spans="21:21" x14ac:dyDescent="0.3">
      <c r="U1002387" s="25"/>
    </row>
    <row r="1002409" spans="21:21" x14ac:dyDescent="0.3">
      <c r="U1002409" s="25"/>
    </row>
    <row r="1002431" spans="21:21" x14ac:dyDescent="0.3">
      <c r="U1002431" s="25"/>
    </row>
    <row r="1002453" spans="21:21" x14ac:dyDescent="0.3">
      <c r="U1002453" s="25"/>
    </row>
    <row r="1002475" spans="21:21" x14ac:dyDescent="0.3">
      <c r="U1002475" s="25"/>
    </row>
    <row r="1002497" spans="21:21" x14ac:dyDescent="0.3">
      <c r="U1002497" s="25"/>
    </row>
    <row r="1002519" spans="21:21" x14ac:dyDescent="0.3">
      <c r="U1002519" s="25"/>
    </row>
    <row r="1002541" spans="21:21" x14ac:dyDescent="0.3">
      <c r="U1002541" s="25"/>
    </row>
    <row r="1002563" spans="21:21" x14ac:dyDescent="0.3">
      <c r="U1002563" s="25"/>
    </row>
    <row r="1002585" spans="21:21" x14ac:dyDescent="0.3">
      <c r="U1002585" s="25"/>
    </row>
    <row r="1002607" spans="21:21" x14ac:dyDescent="0.3">
      <c r="U1002607" s="25"/>
    </row>
    <row r="1002629" spans="21:21" x14ac:dyDescent="0.3">
      <c r="U1002629" s="25"/>
    </row>
    <row r="1002651" spans="21:21" x14ac:dyDescent="0.3">
      <c r="U1002651" s="25"/>
    </row>
    <row r="1002673" spans="21:21" x14ac:dyDescent="0.3">
      <c r="U1002673" s="25"/>
    </row>
    <row r="1002695" spans="21:21" x14ac:dyDescent="0.3">
      <c r="U1002695" s="25"/>
    </row>
    <row r="1002717" spans="21:21" x14ac:dyDescent="0.3">
      <c r="U1002717" s="25"/>
    </row>
    <row r="1002739" spans="21:21" x14ac:dyDescent="0.3">
      <c r="U1002739" s="25"/>
    </row>
    <row r="1002761" spans="21:21" x14ac:dyDescent="0.3">
      <c r="U1002761" s="25"/>
    </row>
    <row r="1002783" spans="21:21" x14ac:dyDescent="0.3">
      <c r="U1002783" s="25"/>
    </row>
    <row r="1002805" spans="21:21" x14ac:dyDescent="0.3">
      <c r="U1002805" s="25"/>
    </row>
    <row r="1002827" spans="21:21" x14ac:dyDescent="0.3">
      <c r="U1002827" s="25"/>
    </row>
    <row r="1002849" spans="21:21" x14ac:dyDescent="0.3">
      <c r="U1002849" s="25"/>
    </row>
    <row r="1002871" spans="21:21" x14ac:dyDescent="0.3">
      <c r="U1002871" s="25"/>
    </row>
    <row r="1002893" spans="21:21" x14ac:dyDescent="0.3">
      <c r="U1002893" s="25"/>
    </row>
    <row r="1002915" spans="21:21" x14ac:dyDescent="0.3">
      <c r="U1002915" s="25"/>
    </row>
    <row r="1002937" spans="21:21" x14ac:dyDescent="0.3">
      <c r="U1002937" s="25"/>
    </row>
    <row r="1002959" spans="21:21" x14ac:dyDescent="0.3">
      <c r="U1002959" s="25"/>
    </row>
    <row r="1002981" spans="21:21" x14ac:dyDescent="0.3">
      <c r="U1002981" s="25"/>
    </row>
    <row r="1003003" spans="21:21" x14ac:dyDescent="0.3">
      <c r="U1003003" s="25"/>
    </row>
    <row r="1003025" spans="21:21" x14ac:dyDescent="0.3">
      <c r="U1003025" s="25"/>
    </row>
    <row r="1003047" spans="21:21" x14ac:dyDescent="0.3">
      <c r="U1003047" s="25"/>
    </row>
    <row r="1003069" spans="21:21" x14ac:dyDescent="0.3">
      <c r="U1003069" s="25"/>
    </row>
    <row r="1003091" spans="21:21" x14ac:dyDescent="0.3">
      <c r="U1003091" s="25"/>
    </row>
    <row r="1003113" spans="21:21" x14ac:dyDescent="0.3">
      <c r="U1003113" s="25"/>
    </row>
    <row r="1003135" spans="21:21" x14ac:dyDescent="0.3">
      <c r="U1003135" s="25"/>
    </row>
    <row r="1003157" spans="21:21" x14ac:dyDescent="0.3">
      <c r="U1003157" s="25"/>
    </row>
    <row r="1003179" spans="21:21" x14ac:dyDescent="0.3">
      <c r="U1003179" s="25"/>
    </row>
    <row r="1003201" spans="21:21" x14ac:dyDescent="0.3">
      <c r="U1003201" s="25"/>
    </row>
    <row r="1003223" spans="21:21" x14ac:dyDescent="0.3">
      <c r="U1003223" s="25"/>
    </row>
    <row r="1003245" spans="21:21" x14ac:dyDescent="0.3">
      <c r="U1003245" s="25"/>
    </row>
    <row r="1003267" spans="21:21" x14ac:dyDescent="0.3">
      <c r="U1003267" s="25"/>
    </row>
    <row r="1003289" spans="21:21" x14ac:dyDescent="0.3">
      <c r="U1003289" s="25"/>
    </row>
    <row r="1003311" spans="21:21" x14ac:dyDescent="0.3">
      <c r="U1003311" s="25"/>
    </row>
    <row r="1003333" spans="21:21" x14ac:dyDescent="0.3">
      <c r="U1003333" s="25"/>
    </row>
    <row r="1003355" spans="21:21" x14ac:dyDescent="0.3">
      <c r="U1003355" s="25"/>
    </row>
    <row r="1003377" spans="21:21" x14ac:dyDescent="0.3">
      <c r="U1003377" s="25"/>
    </row>
    <row r="1003399" spans="21:21" x14ac:dyDescent="0.3">
      <c r="U1003399" s="25"/>
    </row>
    <row r="1003421" spans="21:21" x14ac:dyDescent="0.3">
      <c r="U1003421" s="25"/>
    </row>
    <row r="1003443" spans="21:21" x14ac:dyDescent="0.3">
      <c r="U1003443" s="25"/>
    </row>
    <row r="1003465" spans="21:21" x14ac:dyDescent="0.3">
      <c r="U1003465" s="25"/>
    </row>
    <row r="1003487" spans="21:21" x14ac:dyDescent="0.3">
      <c r="U1003487" s="25"/>
    </row>
    <row r="1003509" spans="21:21" x14ac:dyDescent="0.3">
      <c r="U1003509" s="25"/>
    </row>
    <row r="1003531" spans="21:21" x14ac:dyDescent="0.3">
      <c r="U1003531" s="25"/>
    </row>
    <row r="1003553" spans="21:21" x14ac:dyDescent="0.3">
      <c r="U1003553" s="25"/>
    </row>
    <row r="1003575" spans="21:21" x14ac:dyDescent="0.3">
      <c r="U1003575" s="25"/>
    </row>
    <row r="1003597" spans="21:21" x14ac:dyDescent="0.3">
      <c r="U1003597" s="25"/>
    </row>
    <row r="1003619" spans="21:21" x14ac:dyDescent="0.3">
      <c r="U1003619" s="25"/>
    </row>
    <row r="1003641" spans="21:21" x14ac:dyDescent="0.3">
      <c r="U1003641" s="25"/>
    </row>
    <row r="1003663" spans="21:21" x14ac:dyDescent="0.3">
      <c r="U1003663" s="25"/>
    </row>
    <row r="1003685" spans="21:21" x14ac:dyDescent="0.3">
      <c r="U1003685" s="25"/>
    </row>
    <row r="1003707" spans="21:21" x14ac:dyDescent="0.3">
      <c r="U1003707" s="25"/>
    </row>
    <row r="1003729" spans="21:21" x14ac:dyDescent="0.3">
      <c r="U1003729" s="25"/>
    </row>
    <row r="1003751" spans="21:21" x14ac:dyDescent="0.3">
      <c r="U1003751" s="25"/>
    </row>
    <row r="1003773" spans="21:21" x14ac:dyDescent="0.3">
      <c r="U1003773" s="25"/>
    </row>
    <row r="1003795" spans="21:21" x14ac:dyDescent="0.3">
      <c r="U1003795" s="25"/>
    </row>
    <row r="1003817" spans="21:21" x14ac:dyDescent="0.3">
      <c r="U1003817" s="25"/>
    </row>
    <row r="1003839" spans="21:21" x14ac:dyDescent="0.3">
      <c r="U1003839" s="25"/>
    </row>
    <row r="1003861" spans="21:21" x14ac:dyDescent="0.3">
      <c r="U1003861" s="25"/>
    </row>
    <row r="1003883" spans="21:21" x14ac:dyDescent="0.3">
      <c r="U1003883" s="25"/>
    </row>
    <row r="1003905" spans="21:21" x14ac:dyDescent="0.3">
      <c r="U1003905" s="25"/>
    </row>
    <row r="1003927" spans="21:21" x14ac:dyDescent="0.3">
      <c r="U1003927" s="25"/>
    </row>
    <row r="1003949" spans="21:21" x14ac:dyDescent="0.3">
      <c r="U1003949" s="25"/>
    </row>
    <row r="1003971" spans="21:21" x14ac:dyDescent="0.3">
      <c r="U1003971" s="25"/>
    </row>
    <row r="1003993" spans="21:21" x14ac:dyDescent="0.3">
      <c r="U1003993" s="25"/>
    </row>
    <row r="1004015" spans="21:21" x14ac:dyDescent="0.3">
      <c r="U1004015" s="25"/>
    </row>
    <row r="1004037" spans="21:21" x14ac:dyDescent="0.3">
      <c r="U1004037" s="25"/>
    </row>
    <row r="1004059" spans="21:21" x14ac:dyDescent="0.3">
      <c r="U1004059" s="25"/>
    </row>
    <row r="1004081" spans="21:21" x14ac:dyDescent="0.3">
      <c r="U1004081" s="25"/>
    </row>
    <row r="1004103" spans="21:21" x14ac:dyDescent="0.3">
      <c r="U1004103" s="25"/>
    </row>
    <row r="1004125" spans="21:21" x14ac:dyDescent="0.3">
      <c r="U1004125" s="25"/>
    </row>
    <row r="1004147" spans="21:21" x14ac:dyDescent="0.3">
      <c r="U1004147" s="25"/>
    </row>
    <row r="1004169" spans="21:21" x14ac:dyDescent="0.3">
      <c r="U1004169" s="25"/>
    </row>
    <row r="1004191" spans="21:21" x14ac:dyDescent="0.3">
      <c r="U1004191" s="25"/>
    </row>
    <row r="1004213" spans="21:21" x14ac:dyDescent="0.3">
      <c r="U1004213" s="25"/>
    </row>
    <row r="1004235" spans="21:21" x14ac:dyDescent="0.3">
      <c r="U1004235" s="25"/>
    </row>
    <row r="1004257" spans="21:21" x14ac:dyDescent="0.3">
      <c r="U1004257" s="25"/>
    </row>
    <row r="1004279" spans="21:21" x14ac:dyDescent="0.3">
      <c r="U1004279" s="25"/>
    </row>
    <row r="1004301" spans="21:21" x14ac:dyDescent="0.3">
      <c r="U1004301" s="25"/>
    </row>
    <row r="1004323" spans="21:21" x14ac:dyDescent="0.3">
      <c r="U1004323" s="25"/>
    </row>
    <row r="1004345" spans="21:21" x14ac:dyDescent="0.3">
      <c r="U1004345" s="25"/>
    </row>
    <row r="1004367" spans="21:21" x14ac:dyDescent="0.3">
      <c r="U1004367" s="25"/>
    </row>
    <row r="1004389" spans="21:21" x14ac:dyDescent="0.3">
      <c r="U1004389" s="25"/>
    </row>
    <row r="1004411" spans="21:21" x14ac:dyDescent="0.3">
      <c r="U1004411" s="25"/>
    </row>
    <row r="1004433" spans="21:21" x14ac:dyDescent="0.3">
      <c r="U1004433" s="25"/>
    </row>
    <row r="1004455" spans="21:21" x14ac:dyDescent="0.3">
      <c r="U1004455" s="25"/>
    </row>
    <row r="1004477" spans="21:21" x14ac:dyDescent="0.3">
      <c r="U1004477" s="25"/>
    </row>
    <row r="1004499" spans="21:21" x14ac:dyDescent="0.3">
      <c r="U1004499" s="25"/>
    </row>
    <row r="1004521" spans="21:21" x14ac:dyDescent="0.3">
      <c r="U1004521" s="25"/>
    </row>
    <row r="1004543" spans="21:21" x14ac:dyDescent="0.3">
      <c r="U1004543" s="25"/>
    </row>
    <row r="1004565" spans="21:21" x14ac:dyDescent="0.3">
      <c r="U1004565" s="25"/>
    </row>
    <row r="1004587" spans="21:21" x14ac:dyDescent="0.3">
      <c r="U1004587" s="25"/>
    </row>
    <row r="1004609" spans="21:21" x14ac:dyDescent="0.3">
      <c r="U1004609" s="25"/>
    </row>
    <row r="1004631" spans="21:21" x14ac:dyDescent="0.3">
      <c r="U1004631" s="25"/>
    </row>
    <row r="1004653" spans="21:21" x14ac:dyDescent="0.3">
      <c r="U1004653" s="25"/>
    </row>
    <row r="1004675" spans="21:21" x14ac:dyDescent="0.3">
      <c r="U1004675" s="25"/>
    </row>
    <row r="1004697" spans="21:21" x14ac:dyDescent="0.3">
      <c r="U1004697" s="25"/>
    </row>
    <row r="1004719" spans="21:21" x14ac:dyDescent="0.3">
      <c r="U1004719" s="25"/>
    </row>
    <row r="1004741" spans="21:21" x14ac:dyDescent="0.3">
      <c r="U1004741" s="25"/>
    </row>
    <row r="1004763" spans="21:21" x14ac:dyDescent="0.3">
      <c r="U1004763" s="25"/>
    </row>
    <row r="1004785" spans="21:21" x14ac:dyDescent="0.3">
      <c r="U1004785" s="25"/>
    </row>
    <row r="1004807" spans="21:21" x14ac:dyDescent="0.3">
      <c r="U1004807" s="25"/>
    </row>
    <row r="1004829" spans="21:21" x14ac:dyDescent="0.3">
      <c r="U1004829" s="25"/>
    </row>
    <row r="1004851" spans="21:21" x14ac:dyDescent="0.3">
      <c r="U1004851" s="25"/>
    </row>
    <row r="1004873" spans="21:21" x14ac:dyDescent="0.3">
      <c r="U1004873" s="25"/>
    </row>
    <row r="1004895" spans="21:21" x14ac:dyDescent="0.3">
      <c r="U1004895" s="25"/>
    </row>
    <row r="1004917" spans="21:21" x14ac:dyDescent="0.3">
      <c r="U1004917" s="25"/>
    </row>
    <row r="1004939" spans="21:21" x14ac:dyDescent="0.3">
      <c r="U1004939" s="25"/>
    </row>
    <row r="1004961" spans="21:21" x14ac:dyDescent="0.3">
      <c r="U1004961" s="25"/>
    </row>
    <row r="1004983" spans="21:21" x14ac:dyDescent="0.3">
      <c r="U1004983" s="25"/>
    </row>
    <row r="1005005" spans="21:21" x14ac:dyDescent="0.3">
      <c r="U1005005" s="25"/>
    </row>
    <row r="1005027" spans="21:21" x14ac:dyDescent="0.3">
      <c r="U1005027" s="25"/>
    </row>
    <row r="1005049" spans="21:21" x14ac:dyDescent="0.3">
      <c r="U1005049" s="25"/>
    </row>
    <row r="1005071" spans="21:21" x14ac:dyDescent="0.3">
      <c r="U1005071" s="25"/>
    </row>
    <row r="1005093" spans="21:21" x14ac:dyDescent="0.3">
      <c r="U1005093" s="25"/>
    </row>
    <row r="1005115" spans="21:21" x14ac:dyDescent="0.3">
      <c r="U1005115" s="25"/>
    </row>
    <row r="1005137" spans="21:21" x14ac:dyDescent="0.3">
      <c r="U1005137" s="25"/>
    </row>
    <row r="1005159" spans="21:21" x14ac:dyDescent="0.3">
      <c r="U1005159" s="25"/>
    </row>
    <row r="1005181" spans="21:21" x14ac:dyDescent="0.3">
      <c r="U1005181" s="25"/>
    </row>
    <row r="1005203" spans="21:21" x14ac:dyDescent="0.3">
      <c r="U1005203" s="25"/>
    </row>
    <row r="1005225" spans="21:21" x14ac:dyDescent="0.3">
      <c r="U1005225" s="25"/>
    </row>
    <row r="1005247" spans="21:21" x14ac:dyDescent="0.3">
      <c r="U1005247" s="25"/>
    </row>
    <row r="1005269" spans="21:21" x14ac:dyDescent="0.3">
      <c r="U1005269" s="25"/>
    </row>
    <row r="1005291" spans="21:21" x14ac:dyDescent="0.3">
      <c r="U1005291" s="25"/>
    </row>
    <row r="1005313" spans="21:21" x14ac:dyDescent="0.3">
      <c r="U1005313" s="25"/>
    </row>
    <row r="1005335" spans="21:21" x14ac:dyDescent="0.3">
      <c r="U1005335" s="25"/>
    </row>
    <row r="1005357" spans="21:21" x14ac:dyDescent="0.3">
      <c r="U1005357" s="25"/>
    </row>
    <row r="1005379" spans="21:21" x14ac:dyDescent="0.3">
      <c r="U1005379" s="25"/>
    </row>
    <row r="1005401" spans="21:21" x14ac:dyDescent="0.3">
      <c r="U1005401" s="25"/>
    </row>
    <row r="1005423" spans="21:21" x14ac:dyDescent="0.3">
      <c r="U1005423" s="25"/>
    </row>
    <row r="1005445" spans="21:21" x14ac:dyDescent="0.3">
      <c r="U1005445" s="25"/>
    </row>
    <row r="1005467" spans="21:21" x14ac:dyDescent="0.3">
      <c r="U1005467" s="25"/>
    </row>
    <row r="1005489" spans="21:21" x14ac:dyDescent="0.3">
      <c r="U1005489" s="25"/>
    </row>
    <row r="1005511" spans="21:21" x14ac:dyDescent="0.3">
      <c r="U1005511" s="25"/>
    </row>
    <row r="1005533" spans="21:21" x14ac:dyDescent="0.3">
      <c r="U1005533" s="25"/>
    </row>
    <row r="1005555" spans="21:21" x14ac:dyDescent="0.3">
      <c r="U1005555" s="25"/>
    </row>
    <row r="1005577" spans="21:21" x14ac:dyDescent="0.3">
      <c r="U1005577" s="25"/>
    </row>
    <row r="1005599" spans="21:21" x14ac:dyDescent="0.3">
      <c r="U1005599" s="25"/>
    </row>
    <row r="1005621" spans="21:21" x14ac:dyDescent="0.3">
      <c r="U1005621" s="25"/>
    </row>
    <row r="1005643" spans="21:21" x14ac:dyDescent="0.3">
      <c r="U1005643" s="25"/>
    </row>
    <row r="1005665" spans="21:21" x14ac:dyDescent="0.3">
      <c r="U1005665" s="25"/>
    </row>
    <row r="1005687" spans="21:21" x14ac:dyDescent="0.3">
      <c r="U1005687" s="25"/>
    </row>
    <row r="1005709" spans="21:21" x14ac:dyDescent="0.3">
      <c r="U1005709" s="25"/>
    </row>
    <row r="1005731" spans="21:21" x14ac:dyDescent="0.3">
      <c r="U1005731" s="25"/>
    </row>
    <row r="1005753" spans="21:21" x14ac:dyDescent="0.3">
      <c r="U1005753" s="25"/>
    </row>
    <row r="1005775" spans="21:21" x14ac:dyDescent="0.3">
      <c r="U1005775" s="25"/>
    </row>
    <row r="1005797" spans="21:21" x14ac:dyDescent="0.3">
      <c r="U1005797" s="25"/>
    </row>
    <row r="1005819" spans="21:21" x14ac:dyDescent="0.3">
      <c r="U1005819" s="25"/>
    </row>
    <row r="1005841" spans="21:21" x14ac:dyDescent="0.3">
      <c r="U1005841" s="25"/>
    </row>
    <row r="1005863" spans="21:21" x14ac:dyDescent="0.3">
      <c r="U1005863" s="25"/>
    </row>
    <row r="1005885" spans="21:21" x14ac:dyDescent="0.3">
      <c r="U1005885" s="25"/>
    </row>
    <row r="1005907" spans="21:21" x14ac:dyDescent="0.3">
      <c r="U1005907" s="25"/>
    </row>
    <row r="1005929" spans="21:21" x14ac:dyDescent="0.3">
      <c r="U1005929" s="25"/>
    </row>
    <row r="1005951" spans="21:21" x14ac:dyDescent="0.3">
      <c r="U1005951" s="25"/>
    </row>
    <row r="1005973" spans="21:21" x14ac:dyDescent="0.3">
      <c r="U1005973" s="25"/>
    </row>
    <row r="1005995" spans="21:21" x14ac:dyDescent="0.3">
      <c r="U1005995" s="25"/>
    </row>
    <row r="1006017" spans="21:21" x14ac:dyDescent="0.3">
      <c r="U1006017" s="25"/>
    </row>
    <row r="1006039" spans="21:21" x14ac:dyDescent="0.3">
      <c r="U1006039" s="25"/>
    </row>
    <row r="1006061" spans="21:21" x14ac:dyDescent="0.3">
      <c r="U1006061" s="25"/>
    </row>
    <row r="1006083" spans="21:21" x14ac:dyDescent="0.3">
      <c r="U1006083" s="25"/>
    </row>
    <row r="1006105" spans="21:21" x14ac:dyDescent="0.3">
      <c r="U1006105" s="25"/>
    </row>
    <row r="1006127" spans="21:21" x14ac:dyDescent="0.3">
      <c r="U1006127" s="25"/>
    </row>
    <row r="1006149" spans="21:21" x14ac:dyDescent="0.3">
      <c r="U1006149" s="25"/>
    </row>
    <row r="1006171" spans="21:21" x14ac:dyDescent="0.3">
      <c r="U1006171" s="25"/>
    </row>
    <row r="1006193" spans="21:21" x14ac:dyDescent="0.3">
      <c r="U1006193" s="25"/>
    </row>
    <row r="1006215" spans="21:21" x14ac:dyDescent="0.3">
      <c r="U1006215" s="25"/>
    </row>
    <row r="1006237" spans="21:21" x14ac:dyDescent="0.3">
      <c r="U1006237" s="25"/>
    </row>
    <row r="1006259" spans="21:21" x14ac:dyDescent="0.3">
      <c r="U1006259" s="25"/>
    </row>
    <row r="1006281" spans="21:21" x14ac:dyDescent="0.3">
      <c r="U1006281" s="25"/>
    </row>
    <row r="1006303" spans="21:21" x14ac:dyDescent="0.3">
      <c r="U1006303" s="25"/>
    </row>
    <row r="1006325" spans="21:21" x14ac:dyDescent="0.3">
      <c r="U1006325" s="25"/>
    </row>
    <row r="1006347" spans="21:21" x14ac:dyDescent="0.3">
      <c r="U1006347" s="25"/>
    </row>
    <row r="1006369" spans="21:21" x14ac:dyDescent="0.3">
      <c r="U1006369" s="25"/>
    </row>
    <row r="1006391" spans="21:21" x14ac:dyDescent="0.3">
      <c r="U1006391" s="25"/>
    </row>
    <row r="1006413" spans="21:21" x14ac:dyDescent="0.3">
      <c r="U1006413" s="25"/>
    </row>
    <row r="1006435" spans="21:21" x14ac:dyDescent="0.3">
      <c r="U1006435" s="25"/>
    </row>
    <row r="1006457" spans="21:21" x14ac:dyDescent="0.3">
      <c r="U1006457" s="25"/>
    </row>
    <row r="1006479" spans="21:21" x14ac:dyDescent="0.3">
      <c r="U1006479" s="25"/>
    </row>
    <row r="1006501" spans="21:21" x14ac:dyDescent="0.3">
      <c r="U1006501" s="25"/>
    </row>
    <row r="1006523" spans="21:21" x14ac:dyDescent="0.3">
      <c r="U1006523" s="25"/>
    </row>
    <row r="1006545" spans="21:21" x14ac:dyDescent="0.3">
      <c r="U1006545" s="25"/>
    </row>
    <row r="1006567" spans="21:21" x14ac:dyDescent="0.3">
      <c r="U1006567" s="25"/>
    </row>
    <row r="1006589" spans="21:21" x14ac:dyDescent="0.3">
      <c r="U1006589" s="25"/>
    </row>
    <row r="1006611" spans="21:21" x14ac:dyDescent="0.3">
      <c r="U1006611" s="25"/>
    </row>
    <row r="1006633" spans="21:21" x14ac:dyDescent="0.3">
      <c r="U1006633" s="25"/>
    </row>
    <row r="1006655" spans="21:21" x14ac:dyDescent="0.3">
      <c r="U1006655" s="25"/>
    </row>
    <row r="1006677" spans="21:21" x14ac:dyDescent="0.3">
      <c r="U1006677" s="25"/>
    </row>
    <row r="1006699" spans="21:21" x14ac:dyDescent="0.3">
      <c r="U1006699" s="25"/>
    </row>
    <row r="1006721" spans="21:21" x14ac:dyDescent="0.3">
      <c r="U1006721" s="25"/>
    </row>
    <row r="1006743" spans="21:21" x14ac:dyDescent="0.3">
      <c r="U1006743" s="25"/>
    </row>
    <row r="1006765" spans="21:21" x14ac:dyDescent="0.3">
      <c r="U1006765" s="25"/>
    </row>
    <row r="1006787" spans="21:21" x14ac:dyDescent="0.3">
      <c r="U1006787" s="25"/>
    </row>
    <row r="1006809" spans="21:21" x14ac:dyDescent="0.3">
      <c r="U1006809" s="25"/>
    </row>
    <row r="1006831" spans="21:21" x14ac:dyDescent="0.3">
      <c r="U1006831" s="25"/>
    </row>
    <row r="1006853" spans="21:21" x14ac:dyDescent="0.3">
      <c r="U1006853" s="25"/>
    </row>
    <row r="1006875" spans="21:21" x14ac:dyDescent="0.3">
      <c r="U1006875" s="25"/>
    </row>
    <row r="1006897" spans="21:21" x14ac:dyDescent="0.3">
      <c r="U1006897" s="25"/>
    </row>
    <row r="1006919" spans="21:21" x14ac:dyDescent="0.3">
      <c r="U1006919" s="25"/>
    </row>
    <row r="1006941" spans="21:21" x14ac:dyDescent="0.3">
      <c r="U1006941" s="25"/>
    </row>
    <row r="1006963" spans="21:21" x14ac:dyDescent="0.3">
      <c r="U1006963" s="25"/>
    </row>
    <row r="1006985" spans="21:21" x14ac:dyDescent="0.3">
      <c r="U1006985" s="25"/>
    </row>
    <row r="1007007" spans="21:21" x14ac:dyDescent="0.3">
      <c r="U1007007" s="25"/>
    </row>
    <row r="1007029" spans="21:21" x14ac:dyDescent="0.3">
      <c r="U1007029" s="25"/>
    </row>
    <row r="1007051" spans="21:21" x14ac:dyDescent="0.3">
      <c r="U1007051" s="25"/>
    </row>
    <row r="1007073" spans="21:21" x14ac:dyDescent="0.3">
      <c r="U1007073" s="25"/>
    </row>
    <row r="1007095" spans="21:21" x14ac:dyDescent="0.3">
      <c r="U1007095" s="25"/>
    </row>
    <row r="1007117" spans="21:21" x14ac:dyDescent="0.3">
      <c r="U1007117" s="25"/>
    </row>
    <row r="1007139" spans="21:21" x14ac:dyDescent="0.3">
      <c r="U1007139" s="25"/>
    </row>
    <row r="1007161" spans="21:21" x14ac:dyDescent="0.3">
      <c r="U1007161" s="25"/>
    </row>
    <row r="1007183" spans="21:21" x14ac:dyDescent="0.3">
      <c r="U1007183" s="25"/>
    </row>
    <row r="1007205" spans="21:21" x14ac:dyDescent="0.3">
      <c r="U1007205" s="25"/>
    </row>
    <row r="1007227" spans="21:21" x14ac:dyDescent="0.3">
      <c r="U1007227" s="25"/>
    </row>
    <row r="1007249" spans="21:21" x14ac:dyDescent="0.3">
      <c r="U1007249" s="25"/>
    </row>
    <row r="1007271" spans="21:21" x14ac:dyDescent="0.3">
      <c r="U1007271" s="25"/>
    </row>
    <row r="1007293" spans="21:21" x14ac:dyDescent="0.3">
      <c r="U1007293" s="25"/>
    </row>
    <row r="1007315" spans="21:21" x14ac:dyDescent="0.3">
      <c r="U1007315" s="25"/>
    </row>
    <row r="1007337" spans="21:21" x14ac:dyDescent="0.3">
      <c r="U1007337" s="25"/>
    </row>
    <row r="1007359" spans="21:21" x14ac:dyDescent="0.3">
      <c r="U1007359" s="25"/>
    </row>
    <row r="1007381" spans="21:21" x14ac:dyDescent="0.3">
      <c r="U1007381" s="25"/>
    </row>
    <row r="1007403" spans="21:21" x14ac:dyDescent="0.3">
      <c r="U1007403" s="25"/>
    </row>
    <row r="1007425" spans="21:21" x14ac:dyDescent="0.3">
      <c r="U1007425" s="25"/>
    </row>
    <row r="1007447" spans="21:21" x14ac:dyDescent="0.3">
      <c r="U1007447" s="25"/>
    </row>
    <row r="1007469" spans="21:21" x14ac:dyDescent="0.3">
      <c r="U1007469" s="25"/>
    </row>
    <row r="1007491" spans="21:21" x14ac:dyDescent="0.3">
      <c r="U1007491" s="25"/>
    </row>
    <row r="1007513" spans="21:21" x14ac:dyDescent="0.3">
      <c r="U1007513" s="25"/>
    </row>
    <row r="1007535" spans="21:21" x14ac:dyDescent="0.3">
      <c r="U1007535" s="25"/>
    </row>
    <row r="1007557" spans="21:21" x14ac:dyDescent="0.3">
      <c r="U1007557" s="25"/>
    </row>
    <row r="1007579" spans="21:21" x14ac:dyDescent="0.3">
      <c r="U1007579" s="25"/>
    </row>
    <row r="1007601" spans="21:21" x14ac:dyDescent="0.3">
      <c r="U1007601" s="25"/>
    </row>
    <row r="1007623" spans="21:21" x14ac:dyDescent="0.3">
      <c r="U1007623" s="25"/>
    </row>
    <row r="1007645" spans="21:21" x14ac:dyDescent="0.3">
      <c r="U1007645" s="25"/>
    </row>
    <row r="1007667" spans="21:21" x14ac:dyDescent="0.3">
      <c r="U1007667" s="25"/>
    </row>
    <row r="1007689" spans="21:21" x14ac:dyDescent="0.3">
      <c r="U1007689" s="25"/>
    </row>
    <row r="1007711" spans="21:21" x14ac:dyDescent="0.3">
      <c r="U1007711" s="25"/>
    </row>
    <row r="1007733" spans="21:21" x14ac:dyDescent="0.3">
      <c r="U1007733" s="25"/>
    </row>
    <row r="1007755" spans="21:21" x14ac:dyDescent="0.3">
      <c r="U1007755" s="25"/>
    </row>
    <row r="1007777" spans="21:21" x14ac:dyDescent="0.3">
      <c r="U1007777" s="25"/>
    </row>
    <row r="1007799" spans="21:21" x14ac:dyDescent="0.3">
      <c r="U1007799" s="25"/>
    </row>
    <row r="1007821" spans="21:21" x14ac:dyDescent="0.3">
      <c r="U1007821" s="25"/>
    </row>
    <row r="1007843" spans="21:21" x14ac:dyDescent="0.3">
      <c r="U1007843" s="25"/>
    </row>
    <row r="1007865" spans="21:21" x14ac:dyDescent="0.3">
      <c r="U1007865" s="25"/>
    </row>
    <row r="1007887" spans="21:21" x14ac:dyDescent="0.3">
      <c r="U1007887" s="25"/>
    </row>
    <row r="1007909" spans="21:21" x14ac:dyDescent="0.3">
      <c r="U1007909" s="25"/>
    </row>
    <row r="1007931" spans="21:21" x14ac:dyDescent="0.3">
      <c r="U1007931" s="25"/>
    </row>
    <row r="1007953" spans="21:21" x14ac:dyDescent="0.3">
      <c r="U1007953" s="25"/>
    </row>
    <row r="1007975" spans="21:21" x14ac:dyDescent="0.3">
      <c r="U1007975" s="25"/>
    </row>
    <row r="1007997" spans="21:21" x14ac:dyDescent="0.3">
      <c r="U1007997" s="25"/>
    </row>
    <row r="1008019" spans="21:21" x14ac:dyDescent="0.3">
      <c r="U1008019" s="25"/>
    </row>
    <row r="1008041" spans="21:21" x14ac:dyDescent="0.3">
      <c r="U1008041" s="25"/>
    </row>
    <row r="1008063" spans="21:21" x14ac:dyDescent="0.3">
      <c r="U1008063" s="25"/>
    </row>
    <row r="1008085" spans="21:21" x14ac:dyDescent="0.3">
      <c r="U1008085" s="25"/>
    </row>
    <row r="1008107" spans="21:21" x14ac:dyDescent="0.3">
      <c r="U1008107" s="25"/>
    </row>
    <row r="1008129" spans="21:21" x14ac:dyDescent="0.3">
      <c r="U1008129" s="25"/>
    </row>
    <row r="1008151" spans="21:21" x14ac:dyDescent="0.3">
      <c r="U1008151" s="25"/>
    </row>
    <row r="1008173" spans="21:21" x14ac:dyDescent="0.3">
      <c r="U1008173" s="25"/>
    </row>
    <row r="1008195" spans="21:21" x14ac:dyDescent="0.3">
      <c r="U1008195" s="25"/>
    </row>
    <row r="1008217" spans="21:21" x14ac:dyDescent="0.3">
      <c r="U1008217" s="25"/>
    </row>
    <row r="1008239" spans="21:21" x14ac:dyDescent="0.3">
      <c r="U1008239" s="25"/>
    </row>
    <row r="1008261" spans="21:21" x14ac:dyDescent="0.3">
      <c r="U1008261" s="25"/>
    </row>
    <row r="1008283" spans="21:21" x14ac:dyDescent="0.3">
      <c r="U1008283" s="25"/>
    </row>
    <row r="1008305" spans="21:21" x14ac:dyDescent="0.3">
      <c r="U1008305" s="25"/>
    </row>
    <row r="1008327" spans="21:21" x14ac:dyDescent="0.3">
      <c r="U1008327" s="25"/>
    </row>
    <row r="1008349" spans="21:21" x14ac:dyDescent="0.3">
      <c r="U1008349" s="25"/>
    </row>
    <row r="1008371" spans="21:21" x14ac:dyDescent="0.3">
      <c r="U1008371" s="25"/>
    </row>
    <row r="1008393" spans="21:21" x14ac:dyDescent="0.3">
      <c r="U1008393" s="25"/>
    </row>
    <row r="1008415" spans="21:21" x14ac:dyDescent="0.3">
      <c r="U1008415" s="25"/>
    </row>
    <row r="1008437" spans="21:21" x14ac:dyDescent="0.3">
      <c r="U1008437" s="25"/>
    </row>
    <row r="1008459" spans="21:21" x14ac:dyDescent="0.3">
      <c r="U1008459" s="25"/>
    </row>
    <row r="1008481" spans="21:21" x14ac:dyDescent="0.3">
      <c r="U1008481" s="25"/>
    </row>
    <row r="1008503" spans="21:21" x14ac:dyDescent="0.3">
      <c r="U1008503" s="25"/>
    </row>
    <row r="1008525" spans="21:21" x14ac:dyDescent="0.3">
      <c r="U1008525" s="25"/>
    </row>
    <row r="1008547" spans="21:21" x14ac:dyDescent="0.3">
      <c r="U1008547" s="25"/>
    </row>
    <row r="1008569" spans="21:21" x14ac:dyDescent="0.3">
      <c r="U1008569" s="25"/>
    </row>
    <row r="1008591" spans="21:21" x14ac:dyDescent="0.3">
      <c r="U1008591" s="25"/>
    </row>
    <row r="1008613" spans="21:21" x14ac:dyDescent="0.3">
      <c r="U1008613" s="25"/>
    </row>
    <row r="1008635" spans="21:21" x14ac:dyDescent="0.3">
      <c r="U1008635" s="25"/>
    </row>
    <row r="1008657" spans="21:21" x14ac:dyDescent="0.3">
      <c r="U1008657" s="25"/>
    </row>
    <row r="1008679" spans="21:21" x14ac:dyDescent="0.3">
      <c r="U1008679" s="25"/>
    </row>
    <row r="1008701" spans="21:21" x14ac:dyDescent="0.3">
      <c r="U1008701" s="25"/>
    </row>
    <row r="1008723" spans="21:21" x14ac:dyDescent="0.3">
      <c r="U1008723" s="25"/>
    </row>
    <row r="1008745" spans="21:21" x14ac:dyDescent="0.3">
      <c r="U1008745" s="25"/>
    </row>
    <row r="1008767" spans="21:21" x14ac:dyDescent="0.3">
      <c r="U1008767" s="25"/>
    </row>
    <row r="1008789" spans="21:21" x14ac:dyDescent="0.3">
      <c r="U1008789" s="25"/>
    </row>
    <row r="1008811" spans="21:21" x14ac:dyDescent="0.3">
      <c r="U1008811" s="25"/>
    </row>
    <row r="1008833" spans="21:21" x14ac:dyDescent="0.3">
      <c r="U1008833" s="25"/>
    </row>
    <row r="1008855" spans="21:21" x14ac:dyDescent="0.3">
      <c r="U1008855" s="25"/>
    </row>
    <row r="1008877" spans="21:21" x14ac:dyDescent="0.3">
      <c r="U1008877" s="25"/>
    </row>
    <row r="1008899" spans="21:21" x14ac:dyDescent="0.3">
      <c r="U1008899" s="25"/>
    </row>
    <row r="1008921" spans="21:21" x14ac:dyDescent="0.3">
      <c r="U1008921" s="25"/>
    </row>
    <row r="1008943" spans="21:21" x14ac:dyDescent="0.3">
      <c r="U1008943" s="25"/>
    </row>
    <row r="1008965" spans="21:21" x14ac:dyDescent="0.3">
      <c r="U1008965" s="25"/>
    </row>
    <row r="1008987" spans="21:21" x14ac:dyDescent="0.3">
      <c r="U1008987" s="25"/>
    </row>
    <row r="1009009" spans="21:21" x14ac:dyDescent="0.3">
      <c r="U1009009" s="25"/>
    </row>
    <row r="1009031" spans="21:21" x14ac:dyDescent="0.3">
      <c r="U1009031" s="25"/>
    </row>
    <row r="1009053" spans="21:21" x14ac:dyDescent="0.3">
      <c r="U1009053" s="25"/>
    </row>
    <row r="1009075" spans="21:21" x14ac:dyDescent="0.3">
      <c r="U1009075" s="25"/>
    </row>
    <row r="1009097" spans="21:21" x14ac:dyDescent="0.3">
      <c r="U1009097" s="25"/>
    </row>
    <row r="1009119" spans="21:21" x14ac:dyDescent="0.3">
      <c r="U1009119" s="25"/>
    </row>
    <row r="1009141" spans="21:21" x14ac:dyDescent="0.3">
      <c r="U1009141" s="25"/>
    </row>
    <row r="1009163" spans="21:21" x14ac:dyDescent="0.3">
      <c r="U1009163" s="25"/>
    </row>
    <row r="1009185" spans="21:21" x14ac:dyDescent="0.3">
      <c r="U1009185" s="25"/>
    </row>
    <row r="1009207" spans="21:21" x14ac:dyDescent="0.3">
      <c r="U1009207" s="25"/>
    </row>
    <row r="1009229" spans="21:21" x14ac:dyDescent="0.3">
      <c r="U1009229" s="25"/>
    </row>
    <row r="1009251" spans="21:21" x14ac:dyDescent="0.3">
      <c r="U1009251" s="25"/>
    </row>
    <row r="1009273" spans="21:21" x14ac:dyDescent="0.3">
      <c r="U1009273" s="25"/>
    </row>
    <row r="1009295" spans="21:21" x14ac:dyDescent="0.3">
      <c r="U1009295" s="25"/>
    </row>
    <row r="1009317" spans="21:21" x14ac:dyDescent="0.3">
      <c r="U1009317" s="25"/>
    </row>
    <row r="1009339" spans="21:21" x14ac:dyDescent="0.3">
      <c r="U1009339" s="25"/>
    </row>
    <row r="1009361" spans="21:21" x14ac:dyDescent="0.3">
      <c r="U1009361" s="25"/>
    </row>
    <row r="1009383" spans="21:21" x14ac:dyDescent="0.3">
      <c r="U1009383" s="25"/>
    </row>
    <row r="1009405" spans="21:21" x14ac:dyDescent="0.3">
      <c r="U1009405" s="25"/>
    </row>
    <row r="1009427" spans="21:21" x14ac:dyDescent="0.3">
      <c r="U1009427" s="25"/>
    </row>
    <row r="1009449" spans="21:21" x14ac:dyDescent="0.3">
      <c r="U1009449" s="25"/>
    </row>
    <row r="1009471" spans="21:21" x14ac:dyDescent="0.3">
      <c r="U1009471" s="25"/>
    </row>
    <row r="1009493" spans="21:21" x14ac:dyDescent="0.3">
      <c r="U1009493" s="25"/>
    </row>
    <row r="1009515" spans="21:21" x14ac:dyDescent="0.3">
      <c r="U1009515" s="25"/>
    </row>
    <row r="1009537" spans="21:21" x14ac:dyDescent="0.3">
      <c r="U1009537" s="25"/>
    </row>
    <row r="1009559" spans="21:21" x14ac:dyDescent="0.3">
      <c r="U1009559" s="25"/>
    </row>
    <row r="1009581" spans="21:21" x14ac:dyDescent="0.3">
      <c r="U1009581" s="25"/>
    </row>
    <row r="1009603" spans="21:21" x14ac:dyDescent="0.3">
      <c r="U1009603" s="25"/>
    </row>
    <row r="1009625" spans="21:21" x14ac:dyDescent="0.3">
      <c r="U1009625" s="25"/>
    </row>
    <row r="1009647" spans="21:21" x14ac:dyDescent="0.3">
      <c r="U1009647" s="25"/>
    </row>
    <row r="1009669" spans="21:21" x14ac:dyDescent="0.3">
      <c r="U1009669" s="25"/>
    </row>
    <row r="1009691" spans="21:21" x14ac:dyDescent="0.3">
      <c r="U1009691" s="25"/>
    </row>
    <row r="1009713" spans="21:21" x14ac:dyDescent="0.3">
      <c r="U1009713" s="25"/>
    </row>
    <row r="1009735" spans="21:21" x14ac:dyDescent="0.3">
      <c r="U1009735" s="25"/>
    </row>
    <row r="1009757" spans="21:21" x14ac:dyDescent="0.3">
      <c r="U1009757" s="25"/>
    </row>
    <row r="1009779" spans="21:21" x14ac:dyDescent="0.3">
      <c r="U1009779" s="25"/>
    </row>
    <row r="1009801" spans="21:21" x14ac:dyDescent="0.3">
      <c r="U1009801" s="25"/>
    </row>
    <row r="1009823" spans="21:21" x14ac:dyDescent="0.3">
      <c r="U1009823" s="25"/>
    </row>
    <row r="1009845" spans="21:21" x14ac:dyDescent="0.3">
      <c r="U1009845" s="25"/>
    </row>
    <row r="1009867" spans="21:21" x14ac:dyDescent="0.3">
      <c r="U1009867" s="25"/>
    </row>
    <row r="1009889" spans="21:21" x14ac:dyDescent="0.3">
      <c r="U1009889" s="25"/>
    </row>
    <row r="1009911" spans="21:21" x14ac:dyDescent="0.3">
      <c r="U1009911" s="25"/>
    </row>
    <row r="1009933" spans="21:21" x14ac:dyDescent="0.3">
      <c r="U1009933" s="25"/>
    </row>
    <row r="1009955" spans="21:21" x14ac:dyDescent="0.3">
      <c r="U1009955" s="25"/>
    </row>
    <row r="1009977" spans="21:21" x14ac:dyDescent="0.3">
      <c r="U1009977" s="25"/>
    </row>
    <row r="1009999" spans="21:21" x14ac:dyDescent="0.3">
      <c r="U1009999" s="25"/>
    </row>
    <row r="1010021" spans="21:21" x14ac:dyDescent="0.3">
      <c r="U1010021" s="25"/>
    </row>
    <row r="1010043" spans="21:21" x14ac:dyDescent="0.3">
      <c r="U1010043" s="25"/>
    </row>
    <row r="1010065" spans="21:21" x14ac:dyDescent="0.3">
      <c r="U1010065" s="25"/>
    </row>
    <row r="1010087" spans="21:21" x14ac:dyDescent="0.3">
      <c r="U1010087" s="25"/>
    </row>
    <row r="1010109" spans="21:21" x14ac:dyDescent="0.3">
      <c r="U1010109" s="25"/>
    </row>
    <row r="1010131" spans="21:21" x14ac:dyDescent="0.3">
      <c r="U1010131" s="25"/>
    </row>
    <row r="1010153" spans="21:21" x14ac:dyDescent="0.3">
      <c r="U1010153" s="25"/>
    </row>
    <row r="1010175" spans="21:21" x14ac:dyDescent="0.3">
      <c r="U1010175" s="25"/>
    </row>
    <row r="1010197" spans="21:21" x14ac:dyDescent="0.3">
      <c r="U1010197" s="25"/>
    </row>
    <row r="1010219" spans="21:21" x14ac:dyDescent="0.3">
      <c r="U1010219" s="25"/>
    </row>
    <row r="1010241" spans="21:21" x14ac:dyDescent="0.3">
      <c r="U1010241" s="25"/>
    </row>
    <row r="1010263" spans="21:21" x14ac:dyDescent="0.3">
      <c r="U1010263" s="25"/>
    </row>
    <row r="1010285" spans="21:21" x14ac:dyDescent="0.3">
      <c r="U1010285" s="25"/>
    </row>
    <row r="1010307" spans="21:21" x14ac:dyDescent="0.3">
      <c r="U1010307" s="25"/>
    </row>
    <row r="1010329" spans="21:21" x14ac:dyDescent="0.3">
      <c r="U1010329" s="25"/>
    </row>
    <row r="1010351" spans="21:21" x14ac:dyDescent="0.3">
      <c r="U1010351" s="25"/>
    </row>
    <row r="1010373" spans="21:21" x14ac:dyDescent="0.3">
      <c r="U1010373" s="25"/>
    </row>
    <row r="1010395" spans="21:21" x14ac:dyDescent="0.3">
      <c r="U1010395" s="25"/>
    </row>
    <row r="1010417" spans="21:21" x14ac:dyDescent="0.3">
      <c r="U1010417" s="25"/>
    </row>
    <row r="1010439" spans="21:21" x14ac:dyDescent="0.3">
      <c r="U1010439" s="25"/>
    </row>
    <row r="1010461" spans="21:21" x14ac:dyDescent="0.3">
      <c r="U1010461" s="25"/>
    </row>
    <row r="1010483" spans="21:21" x14ac:dyDescent="0.3">
      <c r="U1010483" s="25"/>
    </row>
    <row r="1010505" spans="21:21" x14ac:dyDescent="0.3">
      <c r="U1010505" s="25"/>
    </row>
    <row r="1010527" spans="21:21" x14ac:dyDescent="0.3">
      <c r="U1010527" s="25"/>
    </row>
    <row r="1010549" spans="21:21" x14ac:dyDescent="0.3">
      <c r="U1010549" s="25"/>
    </row>
    <row r="1010571" spans="21:21" x14ac:dyDescent="0.3">
      <c r="U1010571" s="25"/>
    </row>
    <row r="1010593" spans="21:21" x14ac:dyDescent="0.3">
      <c r="U1010593" s="25"/>
    </row>
    <row r="1010615" spans="21:21" x14ac:dyDescent="0.3">
      <c r="U1010615" s="25"/>
    </row>
    <row r="1010637" spans="21:21" x14ac:dyDescent="0.3">
      <c r="U1010637" s="25"/>
    </row>
    <row r="1010659" spans="21:21" x14ac:dyDescent="0.3">
      <c r="U1010659" s="25"/>
    </row>
    <row r="1010681" spans="21:21" x14ac:dyDescent="0.3">
      <c r="U1010681" s="25"/>
    </row>
    <row r="1010703" spans="21:21" x14ac:dyDescent="0.3">
      <c r="U1010703" s="25"/>
    </row>
    <row r="1010725" spans="21:21" x14ac:dyDescent="0.3">
      <c r="U1010725" s="25"/>
    </row>
    <row r="1010747" spans="21:21" x14ac:dyDescent="0.3">
      <c r="U1010747" s="25"/>
    </row>
    <row r="1010769" spans="21:21" x14ac:dyDescent="0.3">
      <c r="U1010769" s="25"/>
    </row>
    <row r="1010791" spans="21:21" x14ac:dyDescent="0.3">
      <c r="U1010791" s="25"/>
    </row>
    <row r="1010813" spans="21:21" x14ac:dyDescent="0.3">
      <c r="U1010813" s="25"/>
    </row>
    <row r="1010835" spans="21:21" x14ac:dyDescent="0.3">
      <c r="U1010835" s="25"/>
    </row>
    <row r="1010857" spans="21:21" x14ac:dyDescent="0.3">
      <c r="U1010857" s="25"/>
    </row>
    <row r="1010879" spans="21:21" x14ac:dyDescent="0.3">
      <c r="U1010879" s="25"/>
    </row>
    <row r="1010901" spans="21:21" x14ac:dyDescent="0.3">
      <c r="U1010901" s="25"/>
    </row>
    <row r="1010923" spans="21:21" x14ac:dyDescent="0.3">
      <c r="U1010923" s="25"/>
    </row>
    <row r="1010945" spans="21:21" x14ac:dyDescent="0.3">
      <c r="U1010945" s="25"/>
    </row>
    <row r="1010967" spans="21:21" x14ac:dyDescent="0.3">
      <c r="U1010967" s="25"/>
    </row>
    <row r="1010989" spans="21:21" x14ac:dyDescent="0.3">
      <c r="U1010989" s="25"/>
    </row>
    <row r="1011011" spans="21:21" x14ac:dyDescent="0.3">
      <c r="U1011011" s="25"/>
    </row>
    <row r="1011033" spans="21:21" x14ac:dyDescent="0.3">
      <c r="U1011033" s="25"/>
    </row>
    <row r="1011055" spans="21:21" x14ac:dyDescent="0.3">
      <c r="U1011055" s="25"/>
    </row>
    <row r="1011077" spans="21:21" x14ac:dyDescent="0.3">
      <c r="U1011077" s="25"/>
    </row>
    <row r="1011099" spans="21:21" x14ac:dyDescent="0.3">
      <c r="U1011099" s="25"/>
    </row>
    <row r="1011121" spans="21:21" x14ac:dyDescent="0.3">
      <c r="U1011121" s="25"/>
    </row>
    <row r="1011143" spans="21:21" x14ac:dyDescent="0.3">
      <c r="U1011143" s="25"/>
    </row>
    <row r="1011165" spans="21:21" x14ac:dyDescent="0.3">
      <c r="U1011165" s="25"/>
    </row>
    <row r="1011187" spans="21:21" x14ac:dyDescent="0.3">
      <c r="U1011187" s="25"/>
    </row>
    <row r="1011209" spans="21:21" x14ac:dyDescent="0.3">
      <c r="U1011209" s="25"/>
    </row>
    <row r="1011231" spans="21:21" x14ac:dyDescent="0.3">
      <c r="U1011231" s="25"/>
    </row>
    <row r="1011253" spans="21:21" x14ac:dyDescent="0.3">
      <c r="U1011253" s="25"/>
    </row>
    <row r="1011275" spans="21:21" x14ac:dyDescent="0.3">
      <c r="U1011275" s="25"/>
    </row>
    <row r="1011297" spans="21:21" x14ac:dyDescent="0.3">
      <c r="U1011297" s="25"/>
    </row>
    <row r="1011319" spans="21:21" x14ac:dyDescent="0.3">
      <c r="U1011319" s="25"/>
    </row>
    <row r="1011341" spans="21:21" x14ac:dyDescent="0.3">
      <c r="U1011341" s="25"/>
    </row>
    <row r="1011363" spans="21:21" x14ac:dyDescent="0.3">
      <c r="U1011363" s="25"/>
    </row>
    <row r="1011385" spans="21:21" x14ac:dyDescent="0.3">
      <c r="U1011385" s="25"/>
    </row>
    <row r="1011407" spans="21:21" x14ac:dyDescent="0.3">
      <c r="U1011407" s="25"/>
    </row>
    <row r="1011429" spans="21:21" x14ac:dyDescent="0.3">
      <c r="U1011429" s="25"/>
    </row>
    <row r="1011451" spans="21:21" x14ac:dyDescent="0.3">
      <c r="U1011451" s="25"/>
    </row>
    <row r="1011473" spans="21:21" x14ac:dyDescent="0.3">
      <c r="U1011473" s="25"/>
    </row>
    <row r="1011495" spans="21:21" x14ac:dyDescent="0.3">
      <c r="U1011495" s="25"/>
    </row>
    <row r="1011517" spans="21:21" x14ac:dyDescent="0.3">
      <c r="U1011517" s="25"/>
    </row>
    <row r="1011539" spans="21:21" x14ac:dyDescent="0.3">
      <c r="U1011539" s="25"/>
    </row>
    <row r="1011561" spans="21:21" x14ac:dyDescent="0.3">
      <c r="U1011561" s="25"/>
    </row>
    <row r="1011583" spans="21:21" x14ac:dyDescent="0.3">
      <c r="U1011583" s="25"/>
    </row>
    <row r="1011605" spans="21:21" x14ac:dyDescent="0.3">
      <c r="U1011605" s="25"/>
    </row>
    <row r="1011627" spans="21:21" x14ac:dyDescent="0.3">
      <c r="U1011627" s="25"/>
    </row>
    <row r="1011649" spans="21:21" x14ac:dyDescent="0.3">
      <c r="U1011649" s="25"/>
    </row>
    <row r="1011671" spans="21:21" x14ac:dyDescent="0.3">
      <c r="U1011671" s="25"/>
    </row>
    <row r="1011693" spans="21:21" x14ac:dyDescent="0.3">
      <c r="U1011693" s="25"/>
    </row>
    <row r="1011715" spans="21:21" x14ac:dyDescent="0.3">
      <c r="U1011715" s="25"/>
    </row>
    <row r="1011737" spans="21:21" x14ac:dyDescent="0.3">
      <c r="U1011737" s="25"/>
    </row>
    <row r="1011759" spans="21:21" x14ac:dyDescent="0.3">
      <c r="U1011759" s="25"/>
    </row>
    <row r="1011781" spans="21:21" x14ac:dyDescent="0.3">
      <c r="U1011781" s="25"/>
    </row>
    <row r="1011803" spans="21:21" x14ac:dyDescent="0.3">
      <c r="U1011803" s="25"/>
    </row>
    <row r="1011825" spans="21:21" x14ac:dyDescent="0.3">
      <c r="U1011825" s="25"/>
    </row>
    <row r="1011847" spans="21:21" x14ac:dyDescent="0.3">
      <c r="U1011847" s="25"/>
    </row>
    <row r="1011869" spans="21:21" x14ac:dyDescent="0.3">
      <c r="U1011869" s="25"/>
    </row>
    <row r="1011891" spans="21:21" x14ac:dyDescent="0.3">
      <c r="U1011891" s="25"/>
    </row>
    <row r="1011913" spans="21:21" x14ac:dyDescent="0.3">
      <c r="U1011913" s="25"/>
    </row>
    <row r="1011935" spans="21:21" x14ac:dyDescent="0.3">
      <c r="U1011935" s="25"/>
    </row>
    <row r="1011957" spans="21:21" x14ac:dyDescent="0.3">
      <c r="U1011957" s="25"/>
    </row>
    <row r="1011979" spans="21:21" x14ac:dyDescent="0.3">
      <c r="U1011979" s="25"/>
    </row>
    <row r="1012001" spans="21:21" x14ac:dyDescent="0.3">
      <c r="U1012001" s="25"/>
    </row>
    <row r="1012023" spans="21:21" x14ac:dyDescent="0.3">
      <c r="U1012023" s="25"/>
    </row>
    <row r="1012045" spans="21:21" x14ac:dyDescent="0.3">
      <c r="U1012045" s="25"/>
    </row>
    <row r="1012067" spans="21:21" x14ac:dyDescent="0.3">
      <c r="U1012067" s="25"/>
    </row>
    <row r="1012089" spans="21:21" x14ac:dyDescent="0.3">
      <c r="U1012089" s="25"/>
    </row>
    <row r="1012111" spans="21:21" x14ac:dyDescent="0.3">
      <c r="U1012111" s="25"/>
    </row>
    <row r="1012133" spans="21:21" x14ac:dyDescent="0.3">
      <c r="U1012133" s="25"/>
    </row>
    <row r="1012155" spans="21:21" x14ac:dyDescent="0.3">
      <c r="U1012155" s="25"/>
    </row>
    <row r="1012177" spans="21:21" x14ac:dyDescent="0.3">
      <c r="U1012177" s="25"/>
    </row>
    <row r="1012199" spans="21:21" x14ac:dyDescent="0.3">
      <c r="U1012199" s="25"/>
    </row>
    <row r="1012221" spans="21:21" x14ac:dyDescent="0.3">
      <c r="U1012221" s="25"/>
    </row>
    <row r="1012243" spans="21:21" x14ac:dyDescent="0.3">
      <c r="U1012243" s="25"/>
    </row>
    <row r="1012265" spans="21:21" x14ac:dyDescent="0.3">
      <c r="U1012265" s="25"/>
    </row>
    <row r="1012287" spans="21:21" x14ac:dyDescent="0.3">
      <c r="U1012287" s="25"/>
    </row>
    <row r="1012309" spans="21:21" x14ac:dyDescent="0.3">
      <c r="U1012309" s="25"/>
    </row>
    <row r="1012331" spans="21:21" x14ac:dyDescent="0.3">
      <c r="U1012331" s="25"/>
    </row>
    <row r="1012353" spans="21:21" x14ac:dyDescent="0.3">
      <c r="U1012353" s="25"/>
    </row>
    <row r="1012375" spans="21:21" x14ac:dyDescent="0.3">
      <c r="U1012375" s="25"/>
    </row>
    <row r="1012397" spans="21:21" x14ac:dyDescent="0.3">
      <c r="U1012397" s="25"/>
    </row>
    <row r="1012419" spans="21:21" x14ac:dyDescent="0.3">
      <c r="U1012419" s="25"/>
    </row>
    <row r="1012441" spans="21:21" x14ac:dyDescent="0.3">
      <c r="U1012441" s="25"/>
    </row>
    <row r="1012463" spans="21:21" x14ac:dyDescent="0.3">
      <c r="U1012463" s="25"/>
    </row>
    <row r="1012485" spans="21:21" x14ac:dyDescent="0.3">
      <c r="U1012485" s="25"/>
    </row>
    <row r="1012507" spans="21:21" x14ac:dyDescent="0.3">
      <c r="U1012507" s="25"/>
    </row>
    <row r="1012529" spans="21:21" x14ac:dyDescent="0.3">
      <c r="U1012529" s="25"/>
    </row>
    <row r="1012551" spans="21:21" x14ac:dyDescent="0.3">
      <c r="U1012551" s="25"/>
    </row>
    <row r="1012573" spans="21:21" x14ac:dyDescent="0.3">
      <c r="U1012573" s="25"/>
    </row>
    <row r="1012595" spans="21:21" x14ac:dyDescent="0.3">
      <c r="U1012595" s="25"/>
    </row>
    <row r="1012617" spans="21:21" x14ac:dyDescent="0.3">
      <c r="U1012617" s="25"/>
    </row>
    <row r="1012639" spans="21:21" x14ac:dyDescent="0.3">
      <c r="U1012639" s="25"/>
    </row>
    <row r="1012661" spans="21:21" x14ac:dyDescent="0.3">
      <c r="U1012661" s="25"/>
    </row>
    <row r="1012683" spans="21:21" x14ac:dyDescent="0.3">
      <c r="U1012683" s="25"/>
    </row>
    <row r="1012705" spans="21:21" x14ac:dyDescent="0.3">
      <c r="U1012705" s="25"/>
    </row>
    <row r="1012727" spans="21:21" x14ac:dyDescent="0.3">
      <c r="U1012727" s="25"/>
    </row>
    <row r="1012749" spans="21:21" x14ac:dyDescent="0.3">
      <c r="U1012749" s="25"/>
    </row>
    <row r="1012771" spans="21:21" x14ac:dyDescent="0.3">
      <c r="U1012771" s="25"/>
    </row>
    <row r="1012793" spans="21:21" x14ac:dyDescent="0.3">
      <c r="U1012793" s="25"/>
    </row>
    <row r="1012815" spans="21:21" x14ac:dyDescent="0.3">
      <c r="U1012815" s="25"/>
    </row>
    <row r="1012837" spans="21:21" x14ac:dyDescent="0.3">
      <c r="U1012837" s="25"/>
    </row>
    <row r="1012859" spans="21:21" x14ac:dyDescent="0.3">
      <c r="U1012859" s="25"/>
    </row>
    <row r="1012881" spans="21:21" x14ac:dyDescent="0.3">
      <c r="U1012881" s="25"/>
    </row>
    <row r="1012903" spans="21:21" x14ac:dyDescent="0.3">
      <c r="U1012903" s="25"/>
    </row>
    <row r="1012925" spans="21:21" x14ac:dyDescent="0.3">
      <c r="U1012925" s="25"/>
    </row>
    <row r="1012947" spans="21:21" x14ac:dyDescent="0.3">
      <c r="U1012947" s="25"/>
    </row>
    <row r="1012969" spans="21:21" x14ac:dyDescent="0.3">
      <c r="U1012969" s="25"/>
    </row>
    <row r="1012991" spans="21:21" x14ac:dyDescent="0.3">
      <c r="U1012991" s="25"/>
    </row>
    <row r="1013013" spans="21:21" x14ac:dyDescent="0.3">
      <c r="U1013013" s="25"/>
    </row>
    <row r="1013035" spans="21:21" x14ac:dyDescent="0.3">
      <c r="U1013035" s="25"/>
    </row>
    <row r="1013057" spans="21:21" x14ac:dyDescent="0.3">
      <c r="U1013057" s="25"/>
    </row>
    <row r="1013079" spans="21:21" x14ac:dyDescent="0.3">
      <c r="U1013079" s="25"/>
    </row>
    <row r="1013101" spans="21:21" x14ac:dyDescent="0.3">
      <c r="U1013101" s="25"/>
    </row>
    <row r="1013123" spans="21:21" x14ac:dyDescent="0.3">
      <c r="U1013123" s="25"/>
    </row>
    <row r="1013145" spans="21:21" x14ac:dyDescent="0.3">
      <c r="U1013145" s="25"/>
    </row>
    <row r="1013167" spans="21:21" x14ac:dyDescent="0.3">
      <c r="U1013167" s="25"/>
    </row>
    <row r="1013189" spans="21:21" x14ac:dyDescent="0.3">
      <c r="U1013189" s="25"/>
    </row>
    <row r="1013211" spans="21:21" x14ac:dyDescent="0.3">
      <c r="U1013211" s="25"/>
    </row>
    <row r="1013233" spans="21:21" x14ac:dyDescent="0.3">
      <c r="U1013233" s="25"/>
    </row>
    <row r="1013255" spans="21:21" x14ac:dyDescent="0.3">
      <c r="U1013255" s="25"/>
    </row>
    <row r="1013277" spans="21:21" x14ac:dyDescent="0.3">
      <c r="U1013277" s="25"/>
    </row>
    <row r="1013299" spans="21:21" x14ac:dyDescent="0.3">
      <c r="U1013299" s="25"/>
    </row>
    <row r="1013321" spans="21:21" x14ac:dyDescent="0.3">
      <c r="U1013321" s="25"/>
    </row>
    <row r="1013343" spans="21:21" x14ac:dyDescent="0.3">
      <c r="U1013343" s="25"/>
    </row>
    <row r="1013365" spans="21:21" x14ac:dyDescent="0.3">
      <c r="U1013365" s="25"/>
    </row>
    <row r="1013387" spans="21:21" x14ac:dyDescent="0.3">
      <c r="U1013387" s="25"/>
    </row>
    <row r="1013409" spans="21:21" x14ac:dyDescent="0.3">
      <c r="U1013409" s="25"/>
    </row>
    <row r="1013431" spans="21:21" x14ac:dyDescent="0.3">
      <c r="U1013431" s="25"/>
    </row>
    <row r="1013453" spans="21:21" x14ac:dyDescent="0.3">
      <c r="U1013453" s="25"/>
    </row>
    <row r="1013475" spans="21:21" x14ac:dyDescent="0.3">
      <c r="U1013475" s="25"/>
    </row>
    <row r="1013497" spans="21:21" x14ac:dyDescent="0.3">
      <c r="U1013497" s="25"/>
    </row>
    <row r="1013519" spans="21:21" x14ac:dyDescent="0.3">
      <c r="U1013519" s="25"/>
    </row>
    <row r="1013541" spans="21:21" x14ac:dyDescent="0.3">
      <c r="U1013541" s="25"/>
    </row>
    <row r="1013563" spans="21:21" x14ac:dyDescent="0.3">
      <c r="U1013563" s="25"/>
    </row>
    <row r="1013585" spans="21:21" x14ac:dyDescent="0.3">
      <c r="U1013585" s="25"/>
    </row>
    <row r="1013607" spans="21:21" x14ac:dyDescent="0.3">
      <c r="U1013607" s="25"/>
    </row>
    <row r="1013629" spans="21:21" x14ac:dyDescent="0.3">
      <c r="U1013629" s="25"/>
    </row>
    <row r="1013651" spans="21:21" x14ac:dyDescent="0.3">
      <c r="U1013651" s="25"/>
    </row>
    <row r="1013673" spans="21:21" x14ac:dyDescent="0.3">
      <c r="U1013673" s="25"/>
    </row>
    <row r="1013695" spans="21:21" x14ac:dyDescent="0.3">
      <c r="U1013695" s="25"/>
    </row>
    <row r="1013717" spans="21:21" x14ac:dyDescent="0.3">
      <c r="U1013717" s="25"/>
    </row>
    <row r="1013739" spans="21:21" x14ac:dyDescent="0.3">
      <c r="U1013739" s="25"/>
    </row>
    <row r="1013761" spans="21:21" x14ac:dyDescent="0.3">
      <c r="U1013761" s="25"/>
    </row>
    <row r="1013783" spans="21:21" x14ac:dyDescent="0.3">
      <c r="U1013783" s="25"/>
    </row>
    <row r="1013805" spans="21:21" x14ac:dyDescent="0.3">
      <c r="U1013805" s="25"/>
    </row>
    <row r="1013827" spans="21:21" x14ac:dyDescent="0.3">
      <c r="U1013827" s="25"/>
    </row>
    <row r="1013849" spans="21:21" x14ac:dyDescent="0.3">
      <c r="U1013849" s="25"/>
    </row>
    <row r="1013871" spans="21:21" x14ac:dyDescent="0.3">
      <c r="U1013871" s="25"/>
    </row>
    <row r="1013893" spans="21:21" x14ac:dyDescent="0.3">
      <c r="U1013893" s="25"/>
    </row>
    <row r="1013915" spans="21:21" x14ac:dyDescent="0.3">
      <c r="U1013915" s="25"/>
    </row>
    <row r="1013937" spans="21:21" x14ac:dyDescent="0.3">
      <c r="U1013937" s="25"/>
    </row>
    <row r="1013959" spans="21:21" x14ac:dyDescent="0.3">
      <c r="U1013959" s="25"/>
    </row>
    <row r="1013981" spans="21:21" x14ac:dyDescent="0.3">
      <c r="U1013981" s="25"/>
    </row>
    <row r="1014003" spans="21:21" x14ac:dyDescent="0.3">
      <c r="U1014003" s="25"/>
    </row>
    <row r="1014025" spans="21:21" x14ac:dyDescent="0.3">
      <c r="U1014025" s="25"/>
    </row>
    <row r="1014047" spans="21:21" x14ac:dyDescent="0.3">
      <c r="U1014047" s="25"/>
    </row>
    <row r="1014069" spans="21:21" x14ac:dyDescent="0.3">
      <c r="U1014069" s="25"/>
    </row>
    <row r="1014091" spans="21:21" x14ac:dyDescent="0.3">
      <c r="U1014091" s="25"/>
    </row>
    <row r="1014113" spans="21:21" x14ac:dyDescent="0.3">
      <c r="U1014113" s="25"/>
    </row>
    <row r="1014135" spans="21:21" x14ac:dyDescent="0.3">
      <c r="U1014135" s="25"/>
    </row>
    <row r="1014157" spans="21:21" x14ac:dyDescent="0.3">
      <c r="U1014157" s="25"/>
    </row>
    <row r="1014179" spans="21:21" x14ac:dyDescent="0.3">
      <c r="U1014179" s="25"/>
    </row>
    <row r="1014201" spans="21:21" x14ac:dyDescent="0.3">
      <c r="U1014201" s="25"/>
    </row>
    <row r="1014223" spans="21:21" x14ac:dyDescent="0.3">
      <c r="U1014223" s="25"/>
    </row>
    <row r="1014245" spans="21:21" x14ac:dyDescent="0.3">
      <c r="U1014245" s="25"/>
    </row>
    <row r="1014267" spans="21:21" x14ac:dyDescent="0.3">
      <c r="U1014267" s="25"/>
    </row>
    <row r="1014289" spans="21:21" x14ac:dyDescent="0.3">
      <c r="U1014289" s="25"/>
    </row>
    <row r="1014311" spans="21:21" x14ac:dyDescent="0.3">
      <c r="U1014311" s="25"/>
    </row>
    <row r="1014333" spans="21:21" x14ac:dyDescent="0.3">
      <c r="U1014333" s="25"/>
    </row>
    <row r="1014355" spans="21:21" x14ac:dyDescent="0.3">
      <c r="U1014355" s="25"/>
    </row>
    <row r="1014377" spans="21:21" x14ac:dyDescent="0.3">
      <c r="U1014377" s="25"/>
    </row>
    <row r="1014399" spans="21:21" x14ac:dyDescent="0.3">
      <c r="U1014399" s="25"/>
    </row>
    <row r="1014421" spans="21:21" x14ac:dyDescent="0.3">
      <c r="U1014421" s="25"/>
    </row>
    <row r="1014443" spans="21:21" x14ac:dyDescent="0.3">
      <c r="U1014443" s="25"/>
    </row>
    <row r="1014465" spans="21:21" x14ac:dyDescent="0.3">
      <c r="U1014465" s="25"/>
    </row>
    <row r="1014487" spans="21:21" x14ac:dyDescent="0.3">
      <c r="U1014487" s="25"/>
    </row>
    <row r="1014509" spans="21:21" x14ac:dyDescent="0.3">
      <c r="U1014509" s="25"/>
    </row>
    <row r="1014531" spans="21:21" x14ac:dyDescent="0.3">
      <c r="U1014531" s="25"/>
    </row>
    <row r="1014553" spans="21:21" x14ac:dyDescent="0.3">
      <c r="U1014553" s="25"/>
    </row>
    <row r="1014575" spans="21:21" x14ac:dyDescent="0.3">
      <c r="U1014575" s="25"/>
    </row>
    <row r="1014597" spans="21:21" x14ac:dyDescent="0.3">
      <c r="U1014597" s="25"/>
    </row>
    <row r="1014619" spans="21:21" x14ac:dyDescent="0.3">
      <c r="U1014619" s="25"/>
    </row>
    <row r="1014641" spans="21:21" x14ac:dyDescent="0.3">
      <c r="U1014641" s="25"/>
    </row>
    <row r="1014663" spans="21:21" x14ac:dyDescent="0.3">
      <c r="U1014663" s="25"/>
    </row>
    <row r="1014685" spans="21:21" x14ac:dyDescent="0.3">
      <c r="U1014685" s="25"/>
    </row>
    <row r="1014707" spans="21:21" x14ac:dyDescent="0.3">
      <c r="U1014707" s="25"/>
    </row>
    <row r="1014729" spans="21:21" x14ac:dyDescent="0.3">
      <c r="U1014729" s="25"/>
    </row>
    <row r="1014751" spans="21:21" x14ac:dyDescent="0.3">
      <c r="U1014751" s="25"/>
    </row>
    <row r="1014773" spans="21:21" x14ac:dyDescent="0.3">
      <c r="U1014773" s="25"/>
    </row>
    <row r="1014795" spans="21:21" x14ac:dyDescent="0.3">
      <c r="U1014795" s="25"/>
    </row>
    <row r="1014817" spans="21:21" x14ac:dyDescent="0.3">
      <c r="U1014817" s="25"/>
    </row>
    <row r="1014839" spans="21:21" x14ac:dyDescent="0.3">
      <c r="U1014839" s="25"/>
    </row>
    <row r="1014861" spans="21:21" x14ac:dyDescent="0.3">
      <c r="U1014861" s="25"/>
    </row>
    <row r="1014883" spans="21:21" x14ac:dyDescent="0.3">
      <c r="U1014883" s="25"/>
    </row>
    <row r="1014905" spans="21:21" x14ac:dyDescent="0.3">
      <c r="U1014905" s="25"/>
    </row>
    <row r="1014927" spans="21:21" x14ac:dyDescent="0.3">
      <c r="U1014927" s="25"/>
    </row>
    <row r="1014949" spans="21:21" x14ac:dyDescent="0.3">
      <c r="U1014949" s="25"/>
    </row>
    <row r="1014971" spans="21:21" x14ac:dyDescent="0.3">
      <c r="U1014971" s="25"/>
    </row>
    <row r="1014993" spans="21:21" x14ac:dyDescent="0.3">
      <c r="U1014993" s="25"/>
    </row>
    <row r="1015015" spans="21:21" x14ac:dyDescent="0.3">
      <c r="U1015015" s="25"/>
    </row>
    <row r="1015037" spans="21:21" x14ac:dyDescent="0.3">
      <c r="U1015037" s="25"/>
    </row>
    <row r="1015059" spans="21:21" x14ac:dyDescent="0.3">
      <c r="U1015059" s="25"/>
    </row>
    <row r="1015081" spans="21:21" x14ac:dyDescent="0.3">
      <c r="U1015081" s="25"/>
    </row>
    <row r="1015103" spans="21:21" x14ac:dyDescent="0.3">
      <c r="U1015103" s="25"/>
    </row>
    <row r="1015125" spans="21:21" x14ac:dyDescent="0.3">
      <c r="U1015125" s="25"/>
    </row>
    <row r="1015147" spans="21:21" x14ac:dyDescent="0.3">
      <c r="U1015147" s="25"/>
    </row>
    <row r="1015169" spans="21:21" x14ac:dyDescent="0.3">
      <c r="U1015169" s="25"/>
    </row>
    <row r="1015191" spans="21:21" x14ac:dyDescent="0.3">
      <c r="U1015191" s="25"/>
    </row>
    <row r="1015213" spans="21:21" x14ac:dyDescent="0.3">
      <c r="U1015213" s="25"/>
    </row>
    <row r="1015235" spans="21:21" x14ac:dyDescent="0.3">
      <c r="U1015235" s="25"/>
    </row>
    <row r="1015257" spans="21:21" x14ac:dyDescent="0.3">
      <c r="U1015257" s="25"/>
    </row>
    <row r="1015279" spans="21:21" x14ac:dyDescent="0.3">
      <c r="U1015279" s="25"/>
    </row>
    <row r="1015301" spans="21:21" x14ac:dyDescent="0.3">
      <c r="U1015301" s="25"/>
    </row>
    <row r="1015323" spans="21:21" x14ac:dyDescent="0.3">
      <c r="U1015323" s="25"/>
    </row>
    <row r="1015345" spans="21:21" x14ac:dyDescent="0.3">
      <c r="U1015345" s="25"/>
    </row>
    <row r="1015367" spans="21:21" x14ac:dyDescent="0.3">
      <c r="U1015367" s="25"/>
    </row>
    <row r="1015389" spans="21:21" x14ac:dyDescent="0.3">
      <c r="U1015389" s="25"/>
    </row>
    <row r="1015411" spans="21:21" x14ac:dyDescent="0.3">
      <c r="U1015411" s="25"/>
    </row>
    <row r="1015433" spans="21:21" x14ac:dyDescent="0.3">
      <c r="U1015433" s="25"/>
    </row>
    <row r="1015455" spans="21:21" x14ac:dyDescent="0.3">
      <c r="U1015455" s="25"/>
    </row>
    <row r="1015477" spans="21:21" x14ac:dyDescent="0.3">
      <c r="U1015477" s="25"/>
    </row>
    <row r="1015499" spans="21:21" x14ac:dyDescent="0.3">
      <c r="U1015499" s="25"/>
    </row>
    <row r="1015521" spans="21:21" x14ac:dyDescent="0.3">
      <c r="U1015521" s="25"/>
    </row>
    <row r="1015543" spans="21:21" x14ac:dyDescent="0.3">
      <c r="U1015543" s="25"/>
    </row>
    <row r="1015565" spans="21:21" x14ac:dyDescent="0.3">
      <c r="U1015565" s="25"/>
    </row>
    <row r="1015587" spans="21:21" x14ac:dyDescent="0.3">
      <c r="U1015587" s="25"/>
    </row>
    <row r="1015609" spans="21:21" x14ac:dyDescent="0.3">
      <c r="U1015609" s="25"/>
    </row>
    <row r="1015631" spans="21:21" x14ac:dyDescent="0.3">
      <c r="U1015631" s="25"/>
    </row>
    <row r="1015653" spans="21:21" x14ac:dyDescent="0.3">
      <c r="U1015653" s="25"/>
    </row>
    <row r="1015675" spans="21:21" x14ac:dyDescent="0.3">
      <c r="U1015675" s="25"/>
    </row>
    <row r="1015697" spans="21:21" x14ac:dyDescent="0.3">
      <c r="U1015697" s="25"/>
    </row>
    <row r="1015719" spans="21:21" x14ac:dyDescent="0.3">
      <c r="U1015719" s="25"/>
    </row>
    <row r="1015741" spans="21:21" x14ac:dyDescent="0.3">
      <c r="U1015741" s="25"/>
    </row>
    <row r="1015763" spans="21:21" x14ac:dyDescent="0.3">
      <c r="U1015763" s="25"/>
    </row>
    <row r="1015785" spans="21:21" x14ac:dyDescent="0.3">
      <c r="U1015785" s="25"/>
    </row>
    <row r="1015807" spans="21:21" x14ac:dyDescent="0.3">
      <c r="U1015807" s="25"/>
    </row>
    <row r="1015829" spans="21:21" x14ac:dyDescent="0.3">
      <c r="U1015829" s="25"/>
    </row>
    <row r="1015851" spans="21:21" x14ac:dyDescent="0.3">
      <c r="U1015851" s="25"/>
    </row>
    <row r="1015873" spans="21:21" x14ac:dyDescent="0.3">
      <c r="U1015873" s="25"/>
    </row>
    <row r="1015895" spans="21:21" x14ac:dyDescent="0.3">
      <c r="U1015895" s="25"/>
    </row>
    <row r="1015917" spans="21:21" x14ac:dyDescent="0.3">
      <c r="U1015917" s="25"/>
    </row>
    <row r="1015939" spans="21:21" x14ac:dyDescent="0.3">
      <c r="U1015939" s="25"/>
    </row>
    <row r="1015961" spans="21:21" x14ac:dyDescent="0.3">
      <c r="U1015961" s="25"/>
    </row>
    <row r="1015983" spans="21:21" x14ac:dyDescent="0.3">
      <c r="U1015983" s="25"/>
    </row>
    <row r="1016005" spans="21:21" x14ac:dyDescent="0.3">
      <c r="U1016005" s="25"/>
    </row>
    <row r="1016027" spans="21:21" x14ac:dyDescent="0.3">
      <c r="U1016027" s="25"/>
    </row>
    <row r="1016049" spans="21:21" x14ac:dyDescent="0.3">
      <c r="U1016049" s="25"/>
    </row>
    <row r="1016071" spans="21:21" x14ac:dyDescent="0.3">
      <c r="U1016071" s="25"/>
    </row>
    <row r="1016093" spans="21:21" x14ac:dyDescent="0.3">
      <c r="U1016093" s="25"/>
    </row>
    <row r="1016115" spans="21:21" x14ac:dyDescent="0.3">
      <c r="U1016115" s="25"/>
    </row>
    <row r="1016137" spans="21:21" x14ac:dyDescent="0.3">
      <c r="U1016137" s="25"/>
    </row>
    <row r="1016159" spans="21:21" x14ac:dyDescent="0.3">
      <c r="U1016159" s="25"/>
    </row>
    <row r="1016181" spans="21:21" x14ac:dyDescent="0.3">
      <c r="U1016181" s="25"/>
    </row>
    <row r="1016203" spans="21:21" x14ac:dyDescent="0.3">
      <c r="U1016203" s="25"/>
    </row>
    <row r="1016225" spans="21:21" x14ac:dyDescent="0.3">
      <c r="U1016225" s="25"/>
    </row>
    <row r="1016247" spans="21:21" x14ac:dyDescent="0.3">
      <c r="U1016247" s="25"/>
    </row>
    <row r="1016269" spans="21:21" x14ac:dyDescent="0.3">
      <c r="U1016269" s="25"/>
    </row>
    <row r="1016291" spans="21:21" x14ac:dyDescent="0.3">
      <c r="U1016291" s="25"/>
    </row>
    <row r="1016313" spans="21:21" x14ac:dyDescent="0.3">
      <c r="U1016313" s="25"/>
    </row>
    <row r="1016335" spans="21:21" x14ac:dyDescent="0.3">
      <c r="U1016335" s="25"/>
    </row>
    <row r="1016357" spans="21:21" x14ac:dyDescent="0.3">
      <c r="U1016357" s="25"/>
    </row>
    <row r="1016379" spans="21:21" x14ac:dyDescent="0.3">
      <c r="U1016379" s="25"/>
    </row>
    <row r="1016401" spans="21:21" x14ac:dyDescent="0.3">
      <c r="U1016401" s="25"/>
    </row>
    <row r="1016423" spans="21:21" x14ac:dyDescent="0.3">
      <c r="U1016423" s="25"/>
    </row>
    <row r="1016445" spans="21:21" x14ac:dyDescent="0.3">
      <c r="U1016445" s="25"/>
    </row>
    <row r="1016467" spans="21:21" x14ac:dyDescent="0.3">
      <c r="U1016467" s="25"/>
    </row>
    <row r="1016489" spans="21:21" x14ac:dyDescent="0.3">
      <c r="U1016489" s="25"/>
    </row>
    <row r="1016511" spans="21:21" x14ac:dyDescent="0.3">
      <c r="U1016511" s="25"/>
    </row>
    <row r="1016533" spans="21:21" x14ac:dyDescent="0.3">
      <c r="U1016533" s="25"/>
    </row>
    <row r="1016555" spans="21:21" x14ac:dyDescent="0.3">
      <c r="U1016555" s="25"/>
    </row>
    <row r="1016577" spans="21:21" x14ac:dyDescent="0.3">
      <c r="U1016577" s="25"/>
    </row>
    <row r="1016599" spans="21:21" x14ac:dyDescent="0.3">
      <c r="U1016599" s="25"/>
    </row>
    <row r="1016621" spans="21:21" x14ac:dyDescent="0.3">
      <c r="U1016621" s="25"/>
    </row>
    <row r="1016643" spans="21:21" x14ac:dyDescent="0.3">
      <c r="U1016643" s="25"/>
    </row>
    <row r="1016665" spans="21:21" x14ac:dyDescent="0.3">
      <c r="U1016665" s="25"/>
    </row>
    <row r="1016687" spans="21:21" x14ac:dyDescent="0.3">
      <c r="U1016687" s="25"/>
    </row>
    <row r="1016709" spans="21:21" x14ac:dyDescent="0.3">
      <c r="U1016709" s="25"/>
    </row>
    <row r="1016731" spans="21:21" x14ac:dyDescent="0.3">
      <c r="U1016731" s="25"/>
    </row>
    <row r="1016753" spans="21:21" x14ac:dyDescent="0.3">
      <c r="U1016753" s="25"/>
    </row>
    <row r="1016775" spans="21:21" x14ac:dyDescent="0.3">
      <c r="U1016775" s="25"/>
    </row>
    <row r="1016797" spans="21:21" x14ac:dyDescent="0.3">
      <c r="U1016797" s="25"/>
    </row>
    <row r="1016819" spans="21:21" x14ac:dyDescent="0.3">
      <c r="U1016819" s="25"/>
    </row>
    <row r="1016841" spans="21:21" x14ac:dyDescent="0.3">
      <c r="U1016841" s="25"/>
    </row>
    <row r="1016863" spans="21:21" x14ac:dyDescent="0.3">
      <c r="U1016863" s="25"/>
    </row>
    <row r="1016885" spans="21:21" x14ac:dyDescent="0.3">
      <c r="U1016885" s="25"/>
    </row>
    <row r="1016907" spans="21:21" x14ac:dyDescent="0.3">
      <c r="U1016907" s="25"/>
    </row>
    <row r="1016929" spans="21:21" x14ac:dyDescent="0.3">
      <c r="U1016929" s="25"/>
    </row>
    <row r="1016951" spans="21:21" x14ac:dyDescent="0.3">
      <c r="U1016951" s="25"/>
    </row>
    <row r="1016973" spans="21:21" x14ac:dyDescent="0.3">
      <c r="U1016973" s="25"/>
    </row>
    <row r="1016995" spans="21:21" x14ac:dyDescent="0.3">
      <c r="U1016995" s="25"/>
    </row>
    <row r="1017017" spans="21:21" x14ac:dyDescent="0.3">
      <c r="U1017017" s="25"/>
    </row>
    <row r="1017039" spans="21:21" x14ac:dyDescent="0.3">
      <c r="U1017039" s="25"/>
    </row>
    <row r="1017061" spans="21:21" x14ac:dyDescent="0.3">
      <c r="U1017061" s="25"/>
    </row>
    <row r="1017083" spans="21:21" x14ac:dyDescent="0.3">
      <c r="U1017083" s="25"/>
    </row>
    <row r="1017105" spans="21:21" x14ac:dyDescent="0.3">
      <c r="U1017105" s="25"/>
    </row>
    <row r="1017127" spans="21:21" x14ac:dyDescent="0.3">
      <c r="U1017127" s="25"/>
    </row>
    <row r="1017149" spans="21:21" x14ac:dyDescent="0.3">
      <c r="U1017149" s="25"/>
    </row>
    <row r="1017171" spans="21:21" x14ac:dyDescent="0.3">
      <c r="U1017171" s="25"/>
    </row>
    <row r="1017193" spans="21:21" x14ac:dyDescent="0.3">
      <c r="U1017193" s="25"/>
    </row>
    <row r="1017215" spans="21:21" x14ac:dyDescent="0.3">
      <c r="U1017215" s="25"/>
    </row>
    <row r="1017237" spans="21:21" x14ac:dyDescent="0.3">
      <c r="U1017237" s="25"/>
    </row>
    <row r="1017259" spans="21:21" x14ac:dyDescent="0.3">
      <c r="U1017259" s="25"/>
    </row>
    <row r="1017281" spans="21:21" x14ac:dyDescent="0.3">
      <c r="U1017281" s="25"/>
    </row>
    <row r="1017303" spans="21:21" x14ac:dyDescent="0.3">
      <c r="U1017303" s="25"/>
    </row>
    <row r="1017325" spans="21:21" x14ac:dyDescent="0.3">
      <c r="U1017325" s="25"/>
    </row>
    <row r="1017347" spans="21:21" x14ac:dyDescent="0.3">
      <c r="U1017347" s="25"/>
    </row>
    <row r="1017369" spans="21:21" x14ac:dyDescent="0.3">
      <c r="U1017369" s="25"/>
    </row>
    <row r="1017391" spans="21:21" x14ac:dyDescent="0.3">
      <c r="U1017391" s="25"/>
    </row>
    <row r="1017413" spans="21:21" x14ac:dyDescent="0.3">
      <c r="U1017413" s="25"/>
    </row>
    <row r="1017435" spans="21:21" x14ac:dyDescent="0.3">
      <c r="U1017435" s="25"/>
    </row>
    <row r="1017457" spans="21:21" x14ac:dyDescent="0.3">
      <c r="U1017457" s="25"/>
    </row>
    <row r="1017479" spans="21:21" x14ac:dyDescent="0.3">
      <c r="U1017479" s="25"/>
    </row>
    <row r="1017501" spans="21:21" x14ac:dyDescent="0.3">
      <c r="U1017501" s="25"/>
    </row>
    <row r="1017523" spans="21:21" x14ac:dyDescent="0.3">
      <c r="U1017523" s="25"/>
    </row>
    <row r="1017545" spans="21:21" x14ac:dyDescent="0.3">
      <c r="U1017545" s="25"/>
    </row>
    <row r="1017567" spans="21:21" x14ac:dyDescent="0.3">
      <c r="U1017567" s="25"/>
    </row>
    <row r="1017589" spans="21:21" x14ac:dyDescent="0.3">
      <c r="U1017589" s="25"/>
    </row>
    <row r="1017611" spans="21:21" x14ac:dyDescent="0.3">
      <c r="U1017611" s="25"/>
    </row>
    <row r="1017633" spans="21:21" x14ac:dyDescent="0.3">
      <c r="U1017633" s="25"/>
    </row>
    <row r="1017655" spans="21:21" x14ac:dyDescent="0.3">
      <c r="U1017655" s="25"/>
    </row>
    <row r="1017677" spans="21:21" x14ac:dyDescent="0.3">
      <c r="U1017677" s="25"/>
    </row>
    <row r="1017699" spans="21:21" x14ac:dyDescent="0.3">
      <c r="U1017699" s="25"/>
    </row>
    <row r="1017721" spans="21:21" x14ac:dyDescent="0.3">
      <c r="U1017721" s="25"/>
    </row>
    <row r="1017743" spans="21:21" x14ac:dyDescent="0.3">
      <c r="U1017743" s="25"/>
    </row>
    <row r="1017765" spans="21:21" x14ac:dyDescent="0.3">
      <c r="U1017765" s="25"/>
    </row>
    <row r="1017787" spans="21:21" x14ac:dyDescent="0.3">
      <c r="U1017787" s="25"/>
    </row>
    <row r="1017809" spans="21:21" x14ac:dyDescent="0.3">
      <c r="U1017809" s="25"/>
    </row>
    <row r="1017831" spans="21:21" x14ac:dyDescent="0.3">
      <c r="U1017831" s="25"/>
    </row>
    <row r="1017853" spans="21:21" x14ac:dyDescent="0.3">
      <c r="U1017853" s="25"/>
    </row>
    <row r="1017875" spans="21:21" x14ac:dyDescent="0.3">
      <c r="U1017875" s="25"/>
    </row>
    <row r="1017897" spans="21:21" x14ac:dyDescent="0.3">
      <c r="U1017897" s="25"/>
    </row>
    <row r="1017919" spans="21:21" x14ac:dyDescent="0.3">
      <c r="U1017919" s="25"/>
    </row>
    <row r="1017941" spans="21:21" x14ac:dyDescent="0.3">
      <c r="U1017941" s="25"/>
    </row>
    <row r="1017963" spans="21:21" x14ac:dyDescent="0.3">
      <c r="U1017963" s="25"/>
    </row>
    <row r="1017985" spans="21:21" x14ac:dyDescent="0.3">
      <c r="U1017985" s="25"/>
    </row>
    <row r="1018007" spans="21:21" x14ac:dyDescent="0.3">
      <c r="U1018007" s="25"/>
    </row>
    <row r="1018029" spans="21:21" x14ac:dyDescent="0.3">
      <c r="U1018029" s="25"/>
    </row>
    <row r="1018051" spans="21:21" x14ac:dyDescent="0.3">
      <c r="U1018051" s="25"/>
    </row>
    <row r="1018073" spans="21:21" x14ac:dyDescent="0.3">
      <c r="U1018073" s="25"/>
    </row>
    <row r="1018095" spans="21:21" x14ac:dyDescent="0.3">
      <c r="U1018095" s="25"/>
    </row>
    <row r="1018117" spans="21:21" x14ac:dyDescent="0.3">
      <c r="U1018117" s="25"/>
    </row>
    <row r="1018139" spans="21:21" x14ac:dyDescent="0.3">
      <c r="U1018139" s="25"/>
    </row>
    <row r="1018161" spans="21:21" x14ac:dyDescent="0.3">
      <c r="U1018161" s="25"/>
    </row>
    <row r="1018183" spans="21:21" x14ac:dyDescent="0.3">
      <c r="U1018183" s="25"/>
    </row>
    <row r="1018205" spans="21:21" x14ac:dyDescent="0.3">
      <c r="U1018205" s="25"/>
    </row>
    <row r="1018227" spans="21:21" x14ac:dyDescent="0.3">
      <c r="U1018227" s="25"/>
    </row>
    <row r="1018249" spans="21:21" x14ac:dyDescent="0.3">
      <c r="U1018249" s="25"/>
    </row>
    <row r="1018271" spans="21:21" x14ac:dyDescent="0.3">
      <c r="U1018271" s="25"/>
    </row>
    <row r="1018293" spans="21:21" x14ac:dyDescent="0.3">
      <c r="U1018293" s="25"/>
    </row>
    <row r="1018315" spans="21:21" x14ac:dyDescent="0.3">
      <c r="U1018315" s="25"/>
    </row>
    <row r="1018337" spans="21:21" x14ac:dyDescent="0.3">
      <c r="U1018337" s="25"/>
    </row>
    <row r="1018359" spans="21:21" x14ac:dyDescent="0.3">
      <c r="U1018359" s="25"/>
    </row>
    <row r="1018381" spans="21:21" x14ac:dyDescent="0.3">
      <c r="U1018381" s="25"/>
    </row>
    <row r="1018403" spans="21:21" x14ac:dyDescent="0.3">
      <c r="U1018403" s="25"/>
    </row>
    <row r="1018425" spans="21:21" x14ac:dyDescent="0.3">
      <c r="U1018425" s="25"/>
    </row>
    <row r="1018447" spans="21:21" x14ac:dyDescent="0.3">
      <c r="U1018447" s="25"/>
    </row>
    <row r="1018469" spans="21:21" x14ac:dyDescent="0.3">
      <c r="U1018469" s="25"/>
    </row>
    <row r="1018491" spans="21:21" x14ac:dyDescent="0.3">
      <c r="U1018491" s="25"/>
    </row>
    <row r="1018513" spans="21:21" x14ac:dyDescent="0.3">
      <c r="U1018513" s="25"/>
    </row>
    <row r="1018535" spans="21:21" x14ac:dyDescent="0.3">
      <c r="U1018535" s="25"/>
    </row>
    <row r="1018557" spans="21:21" x14ac:dyDescent="0.3">
      <c r="U1018557" s="25"/>
    </row>
    <row r="1018579" spans="21:21" x14ac:dyDescent="0.3">
      <c r="U1018579" s="25"/>
    </row>
    <row r="1018601" spans="21:21" x14ac:dyDescent="0.3">
      <c r="U1018601" s="25"/>
    </row>
    <row r="1018623" spans="21:21" x14ac:dyDescent="0.3">
      <c r="U1018623" s="25"/>
    </row>
    <row r="1018645" spans="21:21" x14ac:dyDescent="0.3">
      <c r="U1018645" s="25"/>
    </row>
    <row r="1018667" spans="21:21" x14ac:dyDescent="0.3">
      <c r="U1018667" s="25"/>
    </row>
    <row r="1018689" spans="21:21" x14ac:dyDescent="0.3">
      <c r="U1018689" s="25"/>
    </row>
    <row r="1018711" spans="21:21" x14ac:dyDescent="0.3">
      <c r="U1018711" s="25"/>
    </row>
    <row r="1018733" spans="21:21" x14ac:dyDescent="0.3">
      <c r="U1018733" s="25"/>
    </row>
    <row r="1018755" spans="21:21" x14ac:dyDescent="0.3">
      <c r="U1018755" s="25"/>
    </row>
    <row r="1018777" spans="21:21" x14ac:dyDescent="0.3">
      <c r="U1018777" s="25"/>
    </row>
    <row r="1018799" spans="21:21" x14ac:dyDescent="0.3">
      <c r="U1018799" s="25"/>
    </row>
    <row r="1018821" spans="21:21" x14ac:dyDescent="0.3">
      <c r="U1018821" s="25"/>
    </row>
    <row r="1018843" spans="21:21" x14ac:dyDescent="0.3">
      <c r="U1018843" s="25"/>
    </row>
    <row r="1018865" spans="21:21" x14ac:dyDescent="0.3">
      <c r="U1018865" s="25"/>
    </row>
    <row r="1018887" spans="21:21" x14ac:dyDescent="0.3">
      <c r="U1018887" s="25"/>
    </row>
    <row r="1018909" spans="21:21" x14ac:dyDescent="0.3">
      <c r="U1018909" s="25"/>
    </row>
    <row r="1018931" spans="21:21" x14ac:dyDescent="0.3">
      <c r="U1018931" s="25"/>
    </row>
    <row r="1018953" spans="21:21" x14ac:dyDescent="0.3">
      <c r="U1018953" s="25"/>
    </row>
    <row r="1018975" spans="21:21" x14ac:dyDescent="0.3">
      <c r="U1018975" s="25"/>
    </row>
    <row r="1018997" spans="21:21" x14ac:dyDescent="0.3">
      <c r="U1018997" s="25"/>
    </row>
    <row r="1019019" spans="21:21" x14ac:dyDescent="0.3">
      <c r="U1019019" s="25"/>
    </row>
    <row r="1019041" spans="21:21" x14ac:dyDescent="0.3">
      <c r="U1019041" s="25"/>
    </row>
    <row r="1019063" spans="21:21" x14ac:dyDescent="0.3">
      <c r="U1019063" s="25"/>
    </row>
    <row r="1019085" spans="21:21" x14ac:dyDescent="0.3">
      <c r="U1019085" s="25"/>
    </row>
    <row r="1019107" spans="21:21" x14ac:dyDescent="0.3">
      <c r="U1019107" s="25"/>
    </row>
    <row r="1019129" spans="21:21" x14ac:dyDescent="0.3">
      <c r="U1019129" s="25"/>
    </row>
    <row r="1019151" spans="21:21" x14ac:dyDescent="0.3">
      <c r="U1019151" s="25"/>
    </row>
    <row r="1019173" spans="21:21" x14ac:dyDescent="0.3">
      <c r="U1019173" s="25"/>
    </row>
    <row r="1019195" spans="21:21" x14ac:dyDescent="0.3">
      <c r="U1019195" s="25"/>
    </row>
    <row r="1019217" spans="21:21" x14ac:dyDescent="0.3">
      <c r="U1019217" s="25"/>
    </row>
    <row r="1019239" spans="21:21" x14ac:dyDescent="0.3">
      <c r="U1019239" s="25"/>
    </row>
    <row r="1019261" spans="21:21" x14ac:dyDescent="0.3">
      <c r="U1019261" s="25"/>
    </row>
    <row r="1019283" spans="21:21" x14ac:dyDescent="0.3">
      <c r="U1019283" s="25"/>
    </row>
    <row r="1019305" spans="21:21" x14ac:dyDescent="0.3">
      <c r="U1019305" s="25"/>
    </row>
    <row r="1019327" spans="21:21" x14ac:dyDescent="0.3">
      <c r="U1019327" s="25"/>
    </row>
    <row r="1019349" spans="21:21" x14ac:dyDescent="0.3">
      <c r="U1019349" s="25"/>
    </row>
    <row r="1019371" spans="21:21" x14ac:dyDescent="0.3">
      <c r="U1019371" s="25"/>
    </row>
    <row r="1019393" spans="21:21" x14ac:dyDescent="0.3">
      <c r="U1019393" s="25"/>
    </row>
    <row r="1019415" spans="21:21" x14ac:dyDescent="0.3">
      <c r="U1019415" s="25"/>
    </row>
    <row r="1019437" spans="21:21" x14ac:dyDescent="0.3">
      <c r="U1019437" s="25"/>
    </row>
    <row r="1019459" spans="21:21" x14ac:dyDescent="0.3">
      <c r="U1019459" s="25"/>
    </row>
    <row r="1019481" spans="21:21" x14ac:dyDescent="0.3">
      <c r="U1019481" s="25"/>
    </row>
    <row r="1019503" spans="21:21" x14ac:dyDescent="0.3">
      <c r="U1019503" s="25"/>
    </row>
    <row r="1019525" spans="21:21" x14ac:dyDescent="0.3">
      <c r="U1019525" s="25"/>
    </row>
    <row r="1019547" spans="21:21" x14ac:dyDescent="0.3">
      <c r="U1019547" s="25"/>
    </row>
    <row r="1019569" spans="21:21" x14ac:dyDescent="0.3">
      <c r="U1019569" s="25"/>
    </row>
    <row r="1019591" spans="21:21" x14ac:dyDescent="0.3">
      <c r="U1019591" s="25"/>
    </row>
    <row r="1019613" spans="21:21" x14ac:dyDescent="0.3">
      <c r="U1019613" s="25"/>
    </row>
    <row r="1019635" spans="21:21" x14ac:dyDescent="0.3">
      <c r="U1019635" s="25"/>
    </row>
    <row r="1019657" spans="21:21" x14ac:dyDescent="0.3">
      <c r="U1019657" s="25"/>
    </row>
    <row r="1019679" spans="21:21" x14ac:dyDescent="0.3">
      <c r="U1019679" s="25"/>
    </row>
    <row r="1019701" spans="21:21" x14ac:dyDescent="0.3">
      <c r="U1019701" s="25"/>
    </row>
    <row r="1019723" spans="21:21" x14ac:dyDescent="0.3">
      <c r="U1019723" s="25"/>
    </row>
    <row r="1019745" spans="21:21" x14ac:dyDescent="0.3">
      <c r="U1019745" s="25"/>
    </row>
    <row r="1019767" spans="21:21" x14ac:dyDescent="0.3">
      <c r="U1019767" s="25"/>
    </row>
    <row r="1019789" spans="21:21" x14ac:dyDescent="0.3">
      <c r="U1019789" s="25"/>
    </row>
    <row r="1019811" spans="21:21" x14ac:dyDescent="0.3">
      <c r="U1019811" s="25"/>
    </row>
    <row r="1019833" spans="21:21" x14ac:dyDescent="0.3">
      <c r="U1019833" s="25"/>
    </row>
    <row r="1019855" spans="21:21" x14ac:dyDescent="0.3">
      <c r="U1019855" s="25"/>
    </row>
    <row r="1019877" spans="21:21" x14ac:dyDescent="0.3">
      <c r="U1019877" s="25"/>
    </row>
    <row r="1019899" spans="21:21" x14ac:dyDescent="0.3">
      <c r="U1019899" s="25"/>
    </row>
    <row r="1019921" spans="21:21" x14ac:dyDescent="0.3">
      <c r="U1019921" s="25"/>
    </row>
    <row r="1019943" spans="21:21" x14ac:dyDescent="0.3">
      <c r="U1019943" s="25"/>
    </row>
    <row r="1019965" spans="21:21" x14ac:dyDescent="0.3">
      <c r="U1019965" s="25"/>
    </row>
    <row r="1019987" spans="21:21" x14ac:dyDescent="0.3">
      <c r="U1019987" s="25"/>
    </row>
    <row r="1020009" spans="21:21" x14ac:dyDescent="0.3">
      <c r="U1020009" s="25"/>
    </row>
    <row r="1020031" spans="21:21" x14ac:dyDescent="0.3">
      <c r="U1020031" s="25"/>
    </row>
    <row r="1020053" spans="21:21" x14ac:dyDescent="0.3">
      <c r="U1020053" s="25"/>
    </row>
    <row r="1020075" spans="21:21" x14ac:dyDescent="0.3">
      <c r="U1020075" s="25"/>
    </row>
    <row r="1020097" spans="21:21" x14ac:dyDescent="0.3">
      <c r="U1020097" s="25"/>
    </row>
    <row r="1020119" spans="21:21" x14ac:dyDescent="0.3">
      <c r="U1020119" s="25"/>
    </row>
    <row r="1020141" spans="21:21" x14ac:dyDescent="0.3">
      <c r="U1020141" s="25"/>
    </row>
    <row r="1020163" spans="21:21" x14ac:dyDescent="0.3">
      <c r="U1020163" s="25"/>
    </row>
    <row r="1020185" spans="21:21" x14ac:dyDescent="0.3">
      <c r="U1020185" s="25"/>
    </row>
    <row r="1020207" spans="21:21" x14ac:dyDescent="0.3">
      <c r="U1020207" s="25"/>
    </row>
    <row r="1020229" spans="21:21" x14ac:dyDescent="0.3">
      <c r="U1020229" s="25"/>
    </row>
    <row r="1020251" spans="21:21" x14ac:dyDescent="0.3">
      <c r="U1020251" s="25"/>
    </row>
    <row r="1020273" spans="21:21" x14ac:dyDescent="0.3">
      <c r="U1020273" s="25"/>
    </row>
    <row r="1020295" spans="21:21" x14ac:dyDescent="0.3">
      <c r="U1020295" s="25"/>
    </row>
    <row r="1020317" spans="21:21" x14ac:dyDescent="0.3">
      <c r="U1020317" s="25"/>
    </row>
    <row r="1020339" spans="21:21" x14ac:dyDescent="0.3">
      <c r="U1020339" s="25"/>
    </row>
    <row r="1020361" spans="21:21" x14ac:dyDescent="0.3">
      <c r="U1020361" s="25"/>
    </row>
    <row r="1020383" spans="21:21" x14ac:dyDescent="0.3">
      <c r="U1020383" s="25"/>
    </row>
    <row r="1020405" spans="21:21" x14ac:dyDescent="0.3">
      <c r="U1020405" s="25"/>
    </row>
    <row r="1020427" spans="21:21" x14ac:dyDescent="0.3">
      <c r="U1020427" s="25"/>
    </row>
    <row r="1020449" spans="21:21" x14ac:dyDescent="0.3">
      <c r="U1020449" s="25"/>
    </row>
    <row r="1020471" spans="21:21" x14ac:dyDescent="0.3">
      <c r="U1020471" s="25"/>
    </row>
    <row r="1020493" spans="21:21" x14ac:dyDescent="0.3">
      <c r="U1020493" s="25"/>
    </row>
    <row r="1020515" spans="21:21" x14ac:dyDescent="0.3">
      <c r="U1020515" s="25"/>
    </row>
    <row r="1020537" spans="21:21" x14ac:dyDescent="0.3">
      <c r="U1020537" s="25"/>
    </row>
    <row r="1020559" spans="21:21" x14ac:dyDescent="0.3">
      <c r="U1020559" s="25"/>
    </row>
    <row r="1020581" spans="21:21" x14ac:dyDescent="0.3">
      <c r="U1020581" s="25"/>
    </row>
    <row r="1020603" spans="21:21" x14ac:dyDescent="0.3">
      <c r="U1020603" s="25"/>
    </row>
    <row r="1020625" spans="21:21" x14ac:dyDescent="0.3">
      <c r="U1020625" s="25"/>
    </row>
    <row r="1020647" spans="21:21" x14ac:dyDescent="0.3">
      <c r="U1020647" s="25"/>
    </row>
    <row r="1020669" spans="21:21" x14ac:dyDescent="0.3">
      <c r="U1020669" s="25"/>
    </row>
    <row r="1020691" spans="21:21" x14ac:dyDescent="0.3">
      <c r="U1020691" s="25"/>
    </row>
    <row r="1020713" spans="21:21" x14ac:dyDescent="0.3">
      <c r="U1020713" s="25"/>
    </row>
    <row r="1020735" spans="21:21" x14ac:dyDescent="0.3">
      <c r="U1020735" s="25"/>
    </row>
    <row r="1020757" spans="21:21" x14ac:dyDescent="0.3">
      <c r="U1020757" s="25"/>
    </row>
    <row r="1020779" spans="21:21" x14ac:dyDescent="0.3">
      <c r="U1020779" s="25"/>
    </row>
    <row r="1020801" spans="21:21" x14ac:dyDescent="0.3">
      <c r="U1020801" s="25"/>
    </row>
    <row r="1020823" spans="21:21" x14ac:dyDescent="0.3">
      <c r="U1020823" s="25"/>
    </row>
    <row r="1020845" spans="21:21" x14ac:dyDescent="0.3">
      <c r="U1020845" s="25"/>
    </row>
    <row r="1020867" spans="21:21" x14ac:dyDescent="0.3">
      <c r="U1020867" s="25"/>
    </row>
    <row r="1020889" spans="21:21" x14ac:dyDescent="0.3">
      <c r="U1020889" s="25"/>
    </row>
    <row r="1020911" spans="21:21" x14ac:dyDescent="0.3">
      <c r="U1020911" s="25"/>
    </row>
    <row r="1020933" spans="21:21" x14ac:dyDescent="0.3">
      <c r="U1020933" s="25"/>
    </row>
    <row r="1020955" spans="21:21" x14ac:dyDescent="0.3">
      <c r="U1020955" s="25"/>
    </row>
    <row r="1020977" spans="21:21" x14ac:dyDescent="0.3">
      <c r="U1020977" s="25"/>
    </row>
    <row r="1020999" spans="21:21" x14ac:dyDescent="0.3">
      <c r="U1020999" s="25"/>
    </row>
    <row r="1021021" spans="21:21" x14ac:dyDescent="0.3">
      <c r="U1021021" s="25"/>
    </row>
    <row r="1021043" spans="21:21" x14ac:dyDescent="0.3">
      <c r="U1021043" s="25"/>
    </row>
    <row r="1021065" spans="21:21" x14ac:dyDescent="0.3">
      <c r="U1021065" s="25"/>
    </row>
    <row r="1021087" spans="21:21" x14ac:dyDescent="0.3">
      <c r="U1021087" s="25"/>
    </row>
    <row r="1021109" spans="21:21" x14ac:dyDescent="0.3">
      <c r="U1021109" s="25"/>
    </row>
    <row r="1021131" spans="21:21" x14ac:dyDescent="0.3">
      <c r="U1021131" s="25"/>
    </row>
    <row r="1021153" spans="21:21" x14ac:dyDescent="0.3">
      <c r="U1021153" s="25"/>
    </row>
    <row r="1021175" spans="21:21" x14ac:dyDescent="0.3">
      <c r="U1021175" s="25"/>
    </row>
    <row r="1021197" spans="21:21" x14ac:dyDescent="0.3">
      <c r="U1021197" s="25"/>
    </row>
    <row r="1021219" spans="21:21" x14ac:dyDescent="0.3">
      <c r="U1021219" s="25"/>
    </row>
    <row r="1021241" spans="21:21" x14ac:dyDescent="0.3">
      <c r="U1021241" s="25"/>
    </row>
    <row r="1021263" spans="21:21" x14ac:dyDescent="0.3">
      <c r="U1021263" s="25"/>
    </row>
    <row r="1021285" spans="21:21" x14ac:dyDescent="0.3">
      <c r="U1021285" s="25"/>
    </row>
    <row r="1021307" spans="21:21" x14ac:dyDescent="0.3">
      <c r="U1021307" s="25"/>
    </row>
    <row r="1021329" spans="21:21" x14ac:dyDescent="0.3">
      <c r="U1021329" s="25"/>
    </row>
    <row r="1021351" spans="21:21" x14ac:dyDescent="0.3">
      <c r="U1021351" s="25"/>
    </row>
    <row r="1021373" spans="21:21" x14ac:dyDescent="0.3">
      <c r="U1021373" s="25"/>
    </row>
    <row r="1021395" spans="21:21" x14ac:dyDescent="0.3">
      <c r="U1021395" s="25"/>
    </row>
    <row r="1021417" spans="21:21" x14ac:dyDescent="0.3">
      <c r="U1021417" s="25"/>
    </row>
    <row r="1021439" spans="21:21" x14ac:dyDescent="0.3">
      <c r="U1021439" s="25"/>
    </row>
    <row r="1021461" spans="21:21" x14ac:dyDescent="0.3">
      <c r="U1021461" s="25"/>
    </row>
    <row r="1021483" spans="21:21" x14ac:dyDescent="0.3">
      <c r="U1021483" s="25"/>
    </row>
    <row r="1021505" spans="21:21" x14ac:dyDescent="0.3">
      <c r="U1021505" s="25"/>
    </row>
    <row r="1021527" spans="21:21" x14ac:dyDescent="0.3">
      <c r="U1021527" s="25"/>
    </row>
    <row r="1021549" spans="21:21" x14ac:dyDescent="0.3">
      <c r="U1021549" s="25"/>
    </row>
    <row r="1021571" spans="21:21" x14ac:dyDescent="0.3">
      <c r="U1021571" s="25"/>
    </row>
    <row r="1021593" spans="21:21" x14ac:dyDescent="0.3">
      <c r="U1021593" s="25"/>
    </row>
    <row r="1021615" spans="21:21" x14ac:dyDescent="0.3">
      <c r="U1021615" s="25"/>
    </row>
    <row r="1021637" spans="21:21" x14ac:dyDescent="0.3">
      <c r="U1021637" s="25"/>
    </row>
    <row r="1021659" spans="21:21" x14ac:dyDescent="0.3">
      <c r="U1021659" s="25"/>
    </row>
    <row r="1021681" spans="21:21" x14ac:dyDescent="0.3">
      <c r="U1021681" s="25"/>
    </row>
    <row r="1021703" spans="21:21" x14ac:dyDescent="0.3">
      <c r="U1021703" s="25"/>
    </row>
    <row r="1021725" spans="21:21" x14ac:dyDescent="0.3">
      <c r="U1021725" s="25"/>
    </row>
    <row r="1021747" spans="21:21" x14ac:dyDescent="0.3">
      <c r="U1021747" s="25"/>
    </row>
    <row r="1021769" spans="21:21" x14ac:dyDescent="0.3">
      <c r="U1021769" s="25"/>
    </row>
    <row r="1021791" spans="21:21" x14ac:dyDescent="0.3">
      <c r="U1021791" s="25"/>
    </row>
    <row r="1021813" spans="21:21" x14ac:dyDescent="0.3">
      <c r="U1021813" s="25"/>
    </row>
    <row r="1021835" spans="21:21" x14ac:dyDescent="0.3">
      <c r="U1021835" s="25"/>
    </row>
    <row r="1021857" spans="21:21" x14ac:dyDescent="0.3">
      <c r="U1021857" s="25"/>
    </row>
    <row r="1021879" spans="21:21" x14ac:dyDescent="0.3">
      <c r="U1021879" s="25"/>
    </row>
    <row r="1021901" spans="21:21" x14ac:dyDescent="0.3">
      <c r="U1021901" s="25"/>
    </row>
    <row r="1021923" spans="21:21" x14ac:dyDescent="0.3">
      <c r="U1021923" s="25"/>
    </row>
    <row r="1021945" spans="21:21" x14ac:dyDescent="0.3">
      <c r="U1021945" s="25"/>
    </row>
    <row r="1021967" spans="21:21" x14ac:dyDescent="0.3">
      <c r="U1021967" s="25"/>
    </row>
    <row r="1021989" spans="21:21" x14ac:dyDescent="0.3">
      <c r="U1021989" s="25"/>
    </row>
    <row r="1022011" spans="21:21" x14ac:dyDescent="0.3">
      <c r="U1022011" s="25"/>
    </row>
    <row r="1022033" spans="21:21" x14ac:dyDescent="0.3">
      <c r="U1022033" s="25"/>
    </row>
    <row r="1022055" spans="21:21" x14ac:dyDescent="0.3">
      <c r="U1022055" s="25"/>
    </row>
    <row r="1022077" spans="21:21" x14ac:dyDescent="0.3">
      <c r="U1022077" s="25"/>
    </row>
    <row r="1022099" spans="21:21" x14ac:dyDescent="0.3">
      <c r="U1022099" s="25"/>
    </row>
    <row r="1022121" spans="21:21" x14ac:dyDescent="0.3">
      <c r="U1022121" s="25"/>
    </row>
    <row r="1022143" spans="21:21" x14ac:dyDescent="0.3">
      <c r="U1022143" s="25"/>
    </row>
    <row r="1022165" spans="21:21" x14ac:dyDescent="0.3">
      <c r="U1022165" s="25"/>
    </row>
    <row r="1022187" spans="21:21" x14ac:dyDescent="0.3">
      <c r="U1022187" s="25"/>
    </row>
    <row r="1022209" spans="21:21" x14ac:dyDescent="0.3">
      <c r="U1022209" s="25"/>
    </row>
    <row r="1022231" spans="21:21" x14ac:dyDescent="0.3">
      <c r="U1022231" s="25"/>
    </row>
    <row r="1022253" spans="21:21" x14ac:dyDescent="0.3">
      <c r="U1022253" s="25"/>
    </row>
    <row r="1022275" spans="21:21" x14ac:dyDescent="0.3">
      <c r="U1022275" s="25"/>
    </row>
    <row r="1022297" spans="21:21" x14ac:dyDescent="0.3">
      <c r="U1022297" s="25"/>
    </row>
    <row r="1022319" spans="21:21" x14ac:dyDescent="0.3">
      <c r="U1022319" s="25"/>
    </row>
    <row r="1022341" spans="21:21" x14ac:dyDescent="0.3">
      <c r="U1022341" s="25"/>
    </row>
    <row r="1022363" spans="21:21" x14ac:dyDescent="0.3">
      <c r="U1022363" s="25"/>
    </row>
    <row r="1022385" spans="21:21" x14ac:dyDescent="0.3">
      <c r="U1022385" s="25"/>
    </row>
    <row r="1022407" spans="21:21" x14ac:dyDescent="0.3">
      <c r="U1022407" s="25"/>
    </row>
    <row r="1022429" spans="21:21" x14ac:dyDescent="0.3">
      <c r="U1022429" s="25"/>
    </row>
    <row r="1022451" spans="21:21" x14ac:dyDescent="0.3">
      <c r="U1022451" s="25"/>
    </row>
    <row r="1022473" spans="21:21" x14ac:dyDescent="0.3">
      <c r="U1022473" s="25"/>
    </row>
    <row r="1022495" spans="21:21" x14ac:dyDescent="0.3">
      <c r="U1022495" s="25"/>
    </row>
    <row r="1022517" spans="21:21" x14ac:dyDescent="0.3">
      <c r="U1022517" s="25"/>
    </row>
    <row r="1022539" spans="21:21" x14ac:dyDescent="0.3">
      <c r="U1022539" s="25"/>
    </row>
    <row r="1022561" spans="21:21" x14ac:dyDescent="0.3">
      <c r="U1022561" s="25"/>
    </row>
    <row r="1022583" spans="21:21" x14ac:dyDescent="0.3">
      <c r="U1022583" s="25"/>
    </row>
    <row r="1022605" spans="21:21" x14ac:dyDescent="0.3">
      <c r="U1022605" s="25"/>
    </row>
    <row r="1022627" spans="21:21" x14ac:dyDescent="0.3">
      <c r="U1022627" s="25"/>
    </row>
    <row r="1022649" spans="21:21" x14ac:dyDescent="0.3">
      <c r="U1022649" s="25"/>
    </row>
    <row r="1022671" spans="21:21" x14ac:dyDescent="0.3">
      <c r="U1022671" s="25"/>
    </row>
    <row r="1022693" spans="21:21" x14ac:dyDescent="0.3">
      <c r="U1022693" s="25"/>
    </row>
    <row r="1022715" spans="21:21" x14ac:dyDescent="0.3">
      <c r="U1022715" s="25"/>
    </row>
    <row r="1022737" spans="21:21" x14ac:dyDescent="0.3">
      <c r="U1022737" s="25"/>
    </row>
    <row r="1022759" spans="21:21" x14ac:dyDescent="0.3">
      <c r="U1022759" s="25"/>
    </row>
    <row r="1022781" spans="21:21" x14ac:dyDescent="0.3">
      <c r="U1022781" s="25"/>
    </row>
    <row r="1022803" spans="21:21" x14ac:dyDescent="0.3">
      <c r="U1022803" s="25"/>
    </row>
    <row r="1022825" spans="21:21" x14ac:dyDescent="0.3">
      <c r="U1022825" s="25"/>
    </row>
    <row r="1022847" spans="21:21" x14ac:dyDescent="0.3">
      <c r="U1022847" s="25"/>
    </row>
    <row r="1022869" spans="21:21" x14ac:dyDescent="0.3">
      <c r="U1022869" s="25"/>
    </row>
    <row r="1022891" spans="21:21" x14ac:dyDescent="0.3">
      <c r="U1022891" s="25"/>
    </row>
    <row r="1022913" spans="21:21" x14ac:dyDescent="0.3">
      <c r="U1022913" s="25"/>
    </row>
    <row r="1022935" spans="21:21" x14ac:dyDescent="0.3">
      <c r="U1022935" s="25"/>
    </row>
    <row r="1022957" spans="21:21" x14ac:dyDescent="0.3">
      <c r="U1022957" s="25"/>
    </row>
    <row r="1022979" spans="21:21" x14ac:dyDescent="0.3">
      <c r="U1022979" s="25"/>
    </row>
    <row r="1023001" spans="21:21" x14ac:dyDescent="0.3">
      <c r="U1023001" s="25"/>
    </row>
    <row r="1023023" spans="21:21" x14ac:dyDescent="0.3">
      <c r="U1023023" s="25"/>
    </row>
    <row r="1023045" spans="21:21" x14ac:dyDescent="0.3">
      <c r="U1023045" s="25"/>
    </row>
    <row r="1023067" spans="21:21" x14ac:dyDescent="0.3">
      <c r="U1023067" s="25"/>
    </row>
    <row r="1023089" spans="21:21" x14ac:dyDescent="0.3">
      <c r="U1023089" s="25"/>
    </row>
    <row r="1023111" spans="21:21" x14ac:dyDescent="0.3">
      <c r="U1023111" s="25"/>
    </row>
    <row r="1023133" spans="21:21" x14ac:dyDescent="0.3">
      <c r="U1023133" s="25"/>
    </row>
    <row r="1023155" spans="21:21" x14ac:dyDescent="0.3">
      <c r="U1023155" s="25"/>
    </row>
    <row r="1023177" spans="21:21" x14ac:dyDescent="0.3">
      <c r="U1023177" s="25"/>
    </row>
    <row r="1023199" spans="21:21" x14ac:dyDescent="0.3">
      <c r="U1023199" s="25"/>
    </row>
    <row r="1023221" spans="21:21" x14ac:dyDescent="0.3">
      <c r="U1023221" s="25"/>
    </row>
    <row r="1023243" spans="21:21" x14ac:dyDescent="0.3">
      <c r="U1023243" s="25"/>
    </row>
    <row r="1023265" spans="21:21" x14ac:dyDescent="0.3">
      <c r="U1023265" s="25"/>
    </row>
    <row r="1023287" spans="21:21" x14ac:dyDescent="0.3">
      <c r="U1023287" s="25"/>
    </row>
    <row r="1023309" spans="21:21" x14ac:dyDescent="0.3">
      <c r="U1023309" s="25"/>
    </row>
    <row r="1023331" spans="21:21" x14ac:dyDescent="0.3">
      <c r="U1023331" s="25"/>
    </row>
    <row r="1023353" spans="21:21" x14ac:dyDescent="0.3">
      <c r="U1023353" s="25"/>
    </row>
    <row r="1023375" spans="21:21" x14ac:dyDescent="0.3">
      <c r="U1023375" s="25"/>
    </row>
    <row r="1023397" spans="21:21" x14ac:dyDescent="0.3">
      <c r="U1023397" s="25"/>
    </row>
    <row r="1023419" spans="21:21" x14ac:dyDescent="0.3">
      <c r="U1023419" s="25"/>
    </row>
    <row r="1023441" spans="21:21" x14ac:dyDescent="0.3">
      <c r="U1023441" s="25"/>
    </row>
    <row r="1023463" spans="21:21" x14ac:dyDescent="0.3">
      <c r="U1023463" s="25"/>
    </row>
    <row r="1023485" spans="21:21" x14ac:dyDescent="0.3">
      <c r="U1023485" s="25"/>
    </row>
    <row r="1023507" spans="21:21" x14ac:dyDescent="0.3">
      <c r="U1023507" s="25"/>
    </row>
    <row r="1023529" spans="21:21" x14ac:dyDescent="0.3">
      <c r="U1023529" s="25"/>
    </row>
    <row r="1023551" spans="21:21" x14ac:dyDescent="0.3">
      <c r="U1023551" s="25"/>
    </row>
    <row r="1023573" spans="21:21" x14ac:dyDescent="0.3">
      <c r="U1023573" s="25"/>
    </row>
    <row r="1023595" spans="21:21" x14ac:dyDescent="0.3">
      <c r="U1023595" s="25"/>
    </row>
    <row r="1023617" spans="21:21" x14ac:dyDescent="0.3">
      <c r="U1023617" s="25"/>
    </row>
    <row r="1023639" spans="21:21" x14ac:dyDescent="0.3">
      <c r="U1023639" s="25"/>
    </row>
    <row r="1023661" spans="21:21" x14ac:dyDescent="0.3">
      <c r="U1023661" s="25"/>
    </row>
    <row r="1023683" spans="21:21" x14ac:dyDescent="0.3">
      <c r="U1023683" s="25"/>
    </row>
    <row r="1023705" spans="21:21" x14ac:dyDescent="0.3">
      <c r="U1023705" s="25"/>
    </row>
    <row r="1023727" spans="21:21" x14ac:dyDescent="0.3">
      <c r="U1023727" s="25"/>
    </row>
    <row r="1023749" spans="21:21" x14ac:dyDescent="0.3">
      <c r="U1023749" s="25"/>
    </row>
    <row r="1023771" spans="21:21" x14ac:dyDescent="0.3">
      <c r="U1023771" s="25"/>
    </row>
    <row r="1023793" spans="21:21" x14ac:dyDescent="0.3">
      <c r="U1023793" s="25"/>
    </row>
    <row r="1023815" spans="21:21" x14ac:dyDescent="0.3">
      <c r="U1023815" s="25"/>
    </row>
    <row r="1023837" spans="21:21" x14ac:dyDescent="0.3">
      <c r="U1023837" s="25"/>
    </row>
    <row r="1023859" spans="21:21" x14ac:dyDescent="0.3">
      <c r="U1023859" s="25"/>
    </row>
    <row r="1023881" spans="21:21" x14ac:dyDescent="0.3">
      <c r="U1023881" s="25"/>
    </row>
    <row r="1023903" spans="21:21" x14ac:dyDescent="0.3">
      <c r="U1023903" s="25"/>
    </row>
    <row r="1023925" spans="21:21" x14ac:dyDescent="0.3">
      <c r="U1023925" s="25"/>
    </row>
    <row r="1023947" spans="21:21" x14ac:dyDescent="0.3">
      <c r="U1023947" s="25"/>
    </row>
    <row r="1023969" spans="21:21" x14ac:dyDescent="0.3">
      <c r="U1023969" s="25"/>
    </row>
    <row r="1023991" spans="21:21" x14ac:dyDescent="0.3">
      <c r="U1023991" s="25"/>
    </row>
    <row r="1024013" spans="21:21" x14ac:dyDescent="0.3">
      <c r="U1024013" s="25"/>
    </row>
    <row r="1024035" spans="21:21" x14ac:dyDescent="0.3">
      <c r="U1024035" s="25"/>
    </row>
    <row r="1024057" spans="21:21" x14ac:dyDescent="0.3">
      <c r="U1024057" s="25"/>
    </row>
    <row r="1024079" spans="21:21" x14ac:dyDescent="0.3">
      <c r="U1024079" s="25"/>
    </row>
    <row r="1024101" spans="21:21" x14ac:dyDescent="0.3">
      <c r="U1024101" s="25"/>
    </row>
    <row r="1024123" spans="21:21" x14ac:dyDescent="0.3">
      <c r="U1024123" s="25"/>
    </row>
    <row r="1024145" spans="21:21" x14ac:dyDescent="0.3">
      <c r="U1024145" s="25"/>
    </row>
    <row r="1024167" spans="21:21" x14ac:dyDescent="0.3">
      <c r="U1024167" s="25"/>
    </row>
    <row r="1024189" spans="21:21" x14ac:dyDescent="0.3">
      <c r="U1024189" s="25"/>
    </row>
    <row r="1024211" spans="21:21" x14ac:dyDescent="0.3">
      <c r="U1024211" s="25"/>
    </row>
    <row r="1024233" spans="21:21" x14ac:dyDescent="0.3">
      <c r="U1024233" s="25"/>
    </row>
    <row r="1024255" spans="21:21" x14ac:dyDescent="0.3">
      <c r="U1024255" s="25"/>
    </row>
    <row r="1024277" spans="21:21" x14ac:dyDescent="0.3">
      <c r="U1024277" s="25"/>
    </row>
    <row r="1024299" spans="21:21" x14ac:dyDescent="0.3">
      <c r="U1024299" s="25"/>
    </row>
    <row r="1024321" spans="21:21" x14ac:dyDescent="0.3">
      <c r="U1024321" s="25"/>
    </row>
    <row r="1024343" spans="21:21" x14ac:dyDescent="0.3">
      <c r="U1024343" s="25"/>
    </row>
    <row r="1024365" spans="21:21" x14ac:dyDescent="0.3">
      <c r="U1024365" s="25"/>
    </row>
    <row r="1024387" spans="21:21" x14ac:dyDescent="0.3">
      <c r="U1024387" s="25"/>
    </row>
    <row r="1024409" spans="21:21" x14ac:dyDescent="0.3">
      <c r="U1024409" s="25"/>
    </row>
    <row r="1024431" spans="21:21" x14ac:dyDescent="0.3">
      <c r="U1024431" s="25"/>
    </row>
    <row r="1024453" spans="21:21" x14ac:dyDescent="0.3">
      <c r="U1024453" s="25"/>
    </row>
    <row r="1024475" spans="21:21" x14ac:dyDescent="0.3">
      <c r="U1024475" s="25"/>
    </row>
    <row r="1024497" spans="21:21" x14ac:dyDescent="0.3">
      <c r="U1024497" s="25"/>
    </row>
    <row r="1024519" spans="21:21" x14ac:dyDescent="0.3">
      <c r="U1024519" s="25"/>
    </row>
    <row r="1024541" spans="21:21" x14ac:dyDescent="0.3">
      <c r="U1024541" s="25"/>
    </row>
    <row r="1024563" spans="21:21" x14ac:dyDescent="0.3">
      <c r="U1024563" s="25"/>
    </row>
    <row r="1024585" spans="21:21" x14ac:dyDescent="0.3">
      <c r="U1024585" s="25"/>
    </row>
    <row r="1024607" spans="21:21" x14ac:dyDescent="0.3">
      <c r="U1024607" s="25"/>
    </row>
    <row r="1024629" spans="21:21" x14ac:dyDescent="0.3">
      <c r="U1024629" s="25"/>
    </row>
    <row r="1024651" spans="21:21" x14ac:dyDescent="0.3">
      <c r="U1024651" s="25"/>
    </row>
    <row r="1024673" spans="21:21" x14ac:dyDescent="0.3">
      <c r="U1024673" s="25"/>
    </row>
    <row r="1024695" spans="21:21" x14ac:dyDescent="0.3">
      <c r="U1024695" s="25"/>
    </row>
    <row r="1024717" spans="21:21" x14ac:dyDescent="0.3">
      <c r="U1024717" s="25"/>
    </row>
    <row r="1024739" spans="21:21" x14ac:dyDescent="0.3">
      <c r="U1024739" s="25"/>
    </row>
    <row r="1024761" spans="21:21" x14ac:dyDescent="0.3">
      <c r="U1024761" s="25"/>
    </row>
    <row r="1024783" spans="21:21" x14ac:dyDescent="0.3">
      <c r="U1024783" s="25"/>
    </row>
    <row r="1024805" spans="21:21" x14ac:dyDescent="0.3">
      <c r="U1024805" s="25"/>
    </row>
    <row r="1024827" spans="21:21" x14ac:dyDescent="0.3">
      <c r="U1024827" s="25"/>
    </row>
    <row r="1024849" spans="21:21" x14ac:dyDescent="0.3">
      <c r="U1024849" s="25"/>
    </row>
    <row r="1024871" spans="21:21" x14ac:dyDescent="0.3">
      <c r="U1024871" s="25"/>
    </row>
    <row r="1024893" spans="21:21" x14ac:dyDescent="0.3">
      <c r="U1024893" s="25"/>
    </row>
    <row r="1024915" spans="21:21" x14ac:dyDescent="0.3">
      <c r="U1024915" s="25"/>
    </row>
    <row r="1024937" spans="21:21" x14ac:dyDescent="0.3">
      <c r="U1024937" s="25"/>
    </row>
    <row r="1024959" spans="21:21" x14ac:dyDescent="0.3">
      <c r="U1024959" s="25"/>
    </row>
    <row r="1024981" spans="21:21" x14ac:dyDescent="0.3">
      <c r="U1024981" s="25"/>
    </row>
    <row r="1025003" spans="21:21" x14ac:dyDescent="0.3">
      <c r="U1025003" s="25"/>
    </row>
    <row r="1025025" spans="21:21" x14ac:dyDescent="0.3">
      <c r="U1025025" s="25"/>
    </row>
    <row r="1025047" spans="21:21" x14ac:dyDescent="0.3">
      <c r="U1025047" s="25"/>
    </row>
    <row r="1025069" spans="21:21" x14ac:dyDescent="0.3">
      <c r="U1025069" s="25"/>
    </row>
    <row r="1025091" spans="21:21" x14ac:dyDescent="0.3">
      <c r="U1025091" s="25"/>
    </row>
    <row r="1025113" spans="21:21" x14ac:dyDescent="0.3">
      <c r="U1025113" s="25"/>
    </row>
    <row r="1025135" spans="21:21" x14ac:dyDescent="0.3">
      <c r="U1025135" s="25"/>
    </row>
    <row r="1025157" spans="21:21" x14ac:dyDescent="0.3">
      <c r="U1025157" s="25"/>
    </row>
    <row r="1025179" spans="21:21" x14ac:dyDescent="0.3">
      <c r="U1025179" s="25"/>
    </row>
    <row r="1025201" spans="21:21" x14ac:dyDescent="0.3">
      <c r="U1025201" s="25"/>
    </row>
    <row r="1025223" spans="21:21" x14ac:dyDescent="0.3">
      <c r="U1025223" s="25"/>
    </row>
    <row r="1025245" spans="21:21" x14ac:dyDescent="0.3">
      <c r="U1025245" s="25"/>
    </row>
    <row r="1025267" spans="21:21" x14ac:dyDescent="0.3">
      <c r="U1025267" s="25"/>
    </row>
    <row r="1025289" spans="21:21" x14ac:dyDescent="0.3">
      <c r="U1025289" s="25"/>
    </row>
    <row r="1025311" spans="21:21" x14ac:dyDescent="0.3">
      <c r="U1025311" s="25"/>
    </row>
    <row r="1025333" spans="21:21" x14ac:dyDescent="0.3">
      <c r="U1025333" s="25"/>
    </row>
    <row r="1025355" spans="21:21" x14ac:dyDescent="0.3">
      <c r="U1025355" s="25"/>
    </row>
    <row r="1025377" spans="21:21" x14ac:dyDescent="0.3">
      <c r="U1025377" s="25"/>
    </row>
    <row r="1025399" spans="21:21" x14ac:dyDescent="0.3">
      <c r="U1025399" s="25"/>
    </row>
    <row r="1025421" spans="21:21" x14ac:dyDescent="0.3">
      <c r="U1025421" s="25"/>
    </row>
    <row r="1025443" spans="21:21" x14ac:dyDescent="0.3">
      <c r="U1025443" s="25"/>
    </row>
    <row r="1025465" spans="21:21" x14ac:dyDescent="0.3">
      <c r="U1025465" s="25"/>
    </row>
    <row r="1025487" spans="21:21" x14ac:dyDescent="0.3">
      <c r="U1025487" s="25"/>
    </row>
    <row r="1025509" spans="21:21" x14ac:dyDescent="0.3">
      <c r="U1025509" s="25"/>
    </row>
    <row r="1025531" spans="21:21" x14ac:dyDescent="0.3">
      <c r="U1025531" s="25"/>
    </row>
    <row r="1025553" spans="21:21" x14ac:dyDescent="0.3">
      <c r="U1025553" s="25"/>
    </row>
    <row r="1025575" spans="21:21" x14ac:dyDescent="0.3">
      <c r="U1025575" s="25"/>
    </row>
    <row r="1025597" spans="21:21" x14ac:dyDescent="0.3">
      <c r="U1025597" s="25"/>
    </row>
    <row r="1025619" spans="21:21" x14ac:dyDescent="0.3">
      <c r="U1025619" s="25"/>
    </row>
    <row r="1025641" spans="21:21" x14ac:dyDescent="0.3">
      <c r="U1025641" s="25"/>
    </row>
    <row r="1025663" spans="21:21" x14ac:dyDescent="0.3">
      <c r="U1025663" s="25"/>
    </row>
    <row r="1025685" spans="21:21" x14ac:dyDescent="0.3">
      <c r="U1025685" s="25"/>
    </row>
    <row r="1025707" spans="21:21" x14ac:dyDescent="0.3">
      <c r="U1025707" s="25"/>
    </row>
    <row r="1025729" spans="21:21" x14ac:dyDescent="0.3">
      <c r="U1025729" s="25"/>
    </row>
    <row r="1025751" spans="21:21" x14ac:dyDescent="0.3">
      <c r="U1025751" s="25"/>
    </row>
    <row r="1025773" spans="21:21" x14ac:dyDescent="0.3">
      <c r="U1025773" s="25"/>
    </row>
    <row r="1025795" spans="21:21" x14ac:dyDescent="0.3">
      <c r="U1025795" s="25"/>
    </row>
    <row r="1025817" spans="21:21" x14ac:dyDescent="0.3">
      <c r="U1025817" s="25"/>
    </row>
    <row r="1025839" spans="21:21" x14ac:dyDescent="0.3">
      <c r="U1025839" s="25"/>
    </row>
    <row r="1025861" spans="21:21" x14ac:dyDescent="0.3">
      <c r="U1025861" s="25"/>
    </row>
    <row r="1025883" spans="21:21" x14ac:dyDescent="0.3">
      <c r="U1025883" s="25"/>
    </row>
    <row r="1025905" spans="21:21" x14ac:dyDescent="0.3">
      <c r="U1025905" s="25"/>
    </row>
    <row r="1025927" spans="21:21" x14ac:dyDescent="0.3">
      <c r="U1025927" s="25"/>
    </row>
    <row r="1025949" spans="21:21" x14ac:dyDescent="0.3">
      <c r="U1025949" s="25"/>
    </row>
    <row r="1025971" spans="21:21" x14ac:dyDescent="0.3">
      <c r="U1025971" s="25"/>
    </row>
    <row r="1025993" spans="21:21" x14ac:dyDescent="0.3">
      <c r="U1025993" s="25"/>
    </row>
    <row r="1026015" spans="21:21" x14ac:dyDescent="0.3">
      <c r="U1026015" s="25"/>
    </row>
    <row r="1026037" spans="21:21" x14ac:dyDescent="0.3">
      <c r="U1026037" s="25"/>
    </row>
    <row r="1026059" spans="21:21" x14ac:dyDescent="0.3">
      <c r="U1026059" s="25"/>
    </row>
    <row r="1026081" spans="21:21" x14ac:dyDescent="0.3">
      <c r="U1026081" s="25"/>
    </row>
    <row r="1026103" spans="21:21" x14ac:dyDescent="0.3">
      <c r="U1026103" s="25"/>
    </row>
    <row r="1026125" spans="21:21" x14ac:dyDescent="0.3">
      <c r="U1026125" s="25"/>
    </row>
    <row r="1026147" spans="21:21" x14ac:dyDescent="0.3">
      <c r="U1026147" s="25"/>
    </row>
    <row r="1026169" spans="21:21" x14ac:dyDescent="0.3">
      <c r="U1026169" s="25"/>
    </row>
    <row r="1026191" spans="21:21" x14ac:dyDescent="0.3">
      <c r="U1026191" s="25"/>
    </row>
    <row r="1026213" spans="21:21" x14ac:dyDescent="0.3">
      <c r="U1026213" s="25"/>
    </row>
    <row r="1026235" spans="21:21" x14ac:dyDescent="0.3">
      <c r="U1026235" s="25"/>
    </row>
    <row r="1026257" spans="21:21" x14ac:dyDescent="0.3">
      <c r="U1026257" s="25"/>
    </row>
    <row r="1026279" spans="21:21" x14ac:dyDescent="0.3">
      <c r="U1026279" s="25"/>
    </row>
    <row r="1026301" spans="21:21" x14ac:dyDescent="0.3">
      <c r="U1026301" s="25"/>
    </row>
    <row r="1026323" spans="21:21" x14ac:dyDescent="0.3">
      <c r="U1026323" s="25"/>
    </row>
    <row r="1026345" spans="21:21" x14ac:dyDescent="0.3">
      <c r="U1026345" s="25"/>
    </row>
    <row r="1026367" spans="21:21" x14ac:dyDescent="0.3">
      <c r="U1026367" s="25"/>
    </row>
    <row r="1026389" spans="21:21" x14ac:dyDescent="0.3">
      <c r="U1026389" s="25"/>
    </row>
    <row r="1026411" spans="21:21" x14ac:dyDescent="0.3">
      <c r="U1026411" s="25"/>
    </row>
    <row r="1026433" spans="21:21" x14ac:dyDescent="0.3">
      <c r="U1026433" s="25"/>
    </row>
    <row r="1026455" spans="21:21" x14ac:dyDescent="0.3">
      <c r="U1026455" s="25"/>
    </row>
    <row r="1026477" spans="21:21" x14ac:dyDescent="0.3">
      <c r="U1026477" s="25"/>
    </row>
    <row r="1026499" spans="21:21" x14ac:dyDescent="0.3">
      <c r="U1026499" s="25"/>
    </row>
    <row r="1026521" spans="21:21" x14ac:dyDescent="0.3">
      <c r="U1026521" s="25"/>
    </row>
    <row r="1026543" spans="21:21" x14ac:dyDescent="0.3">
      <c r="U1026543" s="25"/>
    </row>
    <row r="1026565" spans="21:21" x14ac:dyDescent="0.3">
      <c r="U1026565" s="25"/>
    </row>
    <row r="1026587" spans="21:21" x14ac:dyDescent="0.3">
      <c r="U1026587" s="25"/>
    </row>
    <row r="1026609" spans="21:21" x14ac:dyDescent="0.3">
      <c r="U1026609" s="25"/>
    </row>
    <row r="1026631" spans="21:21" x14ac:dyDescent="0.3">
      <c r="U1026631" s="25"/>
    </row>
    <row r="1026653" spans="21:21" x14ac:dyDescent="0.3">
      <c r="U1026653" s="25"/>
    </row>
    <row r="1026675" spans="21:21" x14ac:dyDescent="0.3">
      <c r="U1026675" s="25"/>
    </row>
    <row r="1026697" spans="21:21" x14ac:dyDescent="0.3">
      <c r="U1026697" s="25"/>
    </row>
    <row r="1026719" spans="21:21" x14ac:dyDescent="0.3">
      <c r="U1026719" s="25"/>
    </row>
    <row r="1026741" spans="21:21" x14ac:dyDescent="0.3">
      <c r="U1026741" s="25"/>
    </row>
    <row r="1026763" spans="21:21" x14ac:dyDescent="0.3">
      <c r="U1026763" s="25"/>
    </row>
    <row r="1026785" spans="21:21" x14ac:dyDescent="0.3">
      <c r="U1026785" s="25"/>
    </row>
    <row r="1026807" spans="21:21" x14ac:dyDescent="0.3">
      <c r="U1026807" s="25"/>
    </row>
    <row r="1026829" spans="21:21" x14ac:dyDescent="0.3">
      <c r="U1026829" s="25"/>
    </row>
    <row r="1026851" spans="21:21" x14ac:dyDescent="0.3">
      <c r="U1026851" s="25"/>
    </row>
    <row r="1026873" spans="21:21" x14ac:dyDescent="0.3">
      <c r="U1026873" s="25"/>
    </row>
    <row r="1026895" spans="21:21" x14ac:dyDescent="0.3">
      <c r="U1026895" s="25"/>
    </row>
    <row r="1026917" spans="21:21" x14ac:dyDescent="0.3">
      <c r="U1026917" s="25"/>
    </row>
    <row r="1026939" spans="21:21" x14ac:dyDescent="0.3">
      <c r="U1026939" s="25"/>
    </row>
    <row r="1026961" spans="21:21" x14ac:dyDescent="0.3">
      <c r="U1026961" s="25"/>
    </row>
    <row r="1026983" spans="21:21" x14ac:dyDescent="0.3">
      <c r="U1026983" s="25"/>
    </row>
    <row r="1027005" spans="21:21" x14ac:dyDescent="0.3">
      <c r="U1027005" s="25"/>
    </row>
    <row r="1027027" spans="21:21" x14ac:dyDescent="0.3">
      <c r="U1027027" s="25"/>
    </row>
    <row r="1027049" spans="21:21" x14ac:dyDescent="0.3">
      <c r="U1027049" s="25"/>
    </row>
    <row r="1027071" spans="21:21" x14ac:dyDescent="0.3">
      <c r="U1027071" s="25"/>
    </row>
    <row r="1027093" spans="21:21" x14ac:dyDescent="0.3">
      <c r="U1027093" s="25"/>
    </row>
    <row r="1027115" spans="21:21" x14ac:dyDescent="0.3">
      <c r="U1027115" s="25"/>
    </row>
    <row r="1027137" spans="21:21" x14ac:dyDescent="0.3">
      <c r="U1027137" s="25"/>
    </row>
    <row r="1027159" spans="21:21" x14ac:dyDescent="0.3">
      <c r="U1027159" s="25"/>
    </row>
    <row r="1027181" spans="21:21" x14ac:dyDescent="0.3">
      <c r="U1027181" s="25"/>
    </row>
    <row r="1027203" spans="21:21" x14ac:dyDescent="0.3">
      <c r="U1027203" s="25"/>
    </row>
    <row r="1027225" spans="21:21" x14ac:dyDescent="0.3">
      <c r="U1027225" s="25"/>
    </row>
    <row r="1027247" spans="21:21" x14ac:dyDescent="0.3">
      <c r="U1027247" s="25"/>
    </row>
    <row r="1027269" spans="21:21" x14ac:dyDescent="0.3">
      <c r="U1027269" s="25"/>
    </row>
    <row r="1027291" spans="21:21" x14ac:dyDescent="0.3">
      <c r="U1027291" s="25"/>
    </row>
    <row r="1027313" spans="21:21" x14ac:dyDescent="0.3">
      <c r="U1027313" s="25"/>
    </row>
    <row r="1027335" spans="21:21" x14ac:dyDescent="0.3">
      <c r="U1027335" s="25"/>
    </row>
    <row r="1027357" spans="21:21" x14ac:dyDescent="0.3">
      <c r="U1027357" s="25"/>
    </row>
    <row r="1027379" spans="21:21" x14ac:dyDescent="0.3">
      <c r="U1027379" s="25"/>
    </row>
    <row r="1027401" spans="21:21" x14ac:dyDescent="0.3">
      <c r="U1027401" s="25"/>
    </row>
    <row r="1027423" spans="21:21" x14ac:dyDescent="0.3">
      <c r="U1027423" s="25"/>
    </row>
    <row r="1027445" spans="21:21" x14ac:dyDescent="0.3">
      <c r="U1027445" s="25"/>
    </row>
    <row r="1027467" spans="21:21" x14ac:dyDescent="0.3">
      <c r="U1027467" s="25"/>
    </row>
    <row r="1027489" spans="21:21" x14ac:dyDescent="0.3">
      <c r="U1027489" s="25"/>
    </row>
    <row r="1027511" spans="21:21" x14ac:dyDescent="0.3">
      <c r="U1027511" s="25"/>
    </row>
    <row r="1027533" spans="21:21" x14ac:dyDescent="0.3">
      <c r="U1027533" s="25"/>
    </row>
    <row r="1027555" spans="21:21" x14ac:dyDescent="0.3">
      <c r="U1027555" s="25"/>
    </row>
    <row r="1027577" spans="21:21" x14ac:dyDescent="0.3">
      <c r="U1027577" s="25"/>
    </row>
    <row r="1027599" spans="21:21" x14ac:dyDescent="0.3">
      <c r="U1027599" s="25"/>
    </row>
    <row r="1027621" spans="21:21" x14ac:dyDescent="0.3">
      <c r="U1027621" s="25"/>
    </row>
    <row r="1027643" spans="21:21" x14ac:dyDescent="0.3">
      <c r="U1027643" s="25"/>
    </row>
    <row r="1027665" spans="21:21" x14ac:dyDescent="0.3">
      <c r="U1027665" s="25"/>
    </row>
    <row r="1027687" spans="21:21" x14ac:dyDescent="0.3">
      <c r="U1027687" s="25"/>
    </row>
    <row r="1027709" spans="21:21" x14ac:dyDescent="0.3">
      <c r="U1027709" s="25"/>
    </row>
    <row r="1027731" spans="21:21" x14ac:dyDescent="0.3">
      <c r="U1027731" s="25"/>
    </row>
    <row r="1027753" spans="21:21" x14ac:dyDescent="0.3">
      <c r="U1027753" s="25"/>
    </row>
    <row r="1027775" spans="21:21" x14ac:dyDescent="0.3">
      <c r="U1027775" s="25"/>
    </row>
    <row r="1027797" spans="21:21" x14ac:dyDescent="0.3">
      <c r="U1027797" s="25"/>
    </row>
    <row r="1027819" spans="21:21" x14ac:dyDescent="0.3">
      <c r="U1027819" s="25"/>
    </row>
    <row r="1027841" spans="21:21" x14ac:dyDescent="0.3">
      <c r="U1027841" s="25"/>
    </row>
    <row r="1027863" spans="21:21" x14ac:dyDescent="0.3">
      <c r="U1027863" s="25"/>
    </row>
    <row r="1027885" spans="21:21" x14ac:dyDescent="0.3">
      <c r="U1027885" s="25"/>
    </row>
    <row r="1027907" spans="21:21" x14ac:dyDescent="0.3">
      <c r="U1027907" s="25"/>
    </row>
    <row r="1027929" spans="21:21" x14ac:dyDescent="0.3">
      <c r="U1027929" s="25"/>
    </row>
    <row r="1027951" spans="21:21" x14ac:dyDescent="0.3">
      <c r="U1027951" s="25"/>
    </row>
    <row r="1027973" spans="21:21" x14ac:dyDescent="0.3">
      <c r="U1027973" s="25"/>
    </row>
    <row r="1027995" spans="21:21" x14ac:dyDescent="0.3">
      <c r="U1027995" s="25"/>
    </row>
    <row r="1028017" spans="21:21" x14ac:dyDescent="0.3">
      <c r="U1028017" s="25"/>
    </row>
    <row r="1028039" spans="21:21" x14ac:dyDescent="0.3">
      <c r="U1028039" s="25"/>
    </row>
    <row r="1028061" spans="21:21" x14ac:dyDescent="0.3">
      <c r="U1028061" s="25"/>
    </row>
    <row r="1028083" spans="21:21" x14ac:dyDescent="0.3">
      <c r="U1028083" s="25"/>
    </row>
    <row r="1028105" spans="21:21" x14ac:dyDescent="0.3">
      <c r="U1028105" s="25"/>
    </row>
    <row r="1028127" spans="21:21" x14ac:dyDescent="0.3">
      <c r="U1028127" s="25"/>
    </row>
    <row r="1028149" spans="21:21" x14ac:dyDescent="0.3">
      <c r="U1028149" s="25"/>
    </row>
    <row r="1028171" spans="21:21" x14ac:dyDescent="0.3">
      <c r="U1028171" s="25"/>
    </row>
    <row r="1028193" spans="21:21" x14ac:dyDescent="0.3">
      <c r="U1028193" s="25"/>
    </row>
    <row r="1028215" spans="21:21" x14ac:dyDescent="0.3">
      <c r="U1028215" s="25"/>
    </row>
    <row r="1028237" spans="21:21" x14ac:dyDescent="0.3">
      <c r="U1028237" s="25"/>
    </row>
    <row r="1028259" spans="21:21" x14ac:dyDescent="0.3">
      <c r="U1028259" s="25"/>
    </row>
    <row r="1028281" spans="21:21" x14ac:dyDescent="0.3">
      <c r="U1028281" s="25"/>
    </row>
    <row r="1028303" spans="21:21" x14ac:dyDescent="0.3">
      <c r="U1028303" s="25"/>
    </row>
    <row r="1028325" spans="21:21" x14ac:dyDescent="0.3">
      <c r="U1028325" s="25"/>
    </row>
    <row r="1028347" spans="21:21" x14ac:dyDescent="0.3">
      <c r="U1028347" s="25"/>
    </row>
    <row r="1028369" spans="21:21" x14ac:dyDescent="0.3">
      <c r="U1028369" s="25"/>
    </row>
    <row r="1028391" spans="21:21" x14ac:dyDescent="0.3">
      <c r="U1028391" s="25"/>
    </row>
    <row r="1028413" spans="21:21" x14ac:dyDescent="0.3">
      <c r="U1028413" s="25"/>
    </row>
    <row r="1028435" spans="21:21" x14ac:dyDescent="0.3">
      <c r="U1028435" s="25"/>
    </row>
    <row r="1028457" spans="21:21" x14ac:dyDescent="0.3">
      <c r="U1028457" s="25"/>
    </row>
    <row r="1028479" spans="21:21" x14ac:dyDescent="0.3">
      <c r="U1028479" s="25"/>
    </row>
    <row r="1028501" spans="21:21" x14ac:dyDescent="0.3">
      <c r="U1028501" s="25"/>
    </row>
    <row r="1028523" spans="21:21" x14ac:dyDescent="0.3">
      <c r="U1028523" s="25"/>
    </row>
    <row r="1028545" spans="21:21" x14ac:dyDescent="0.3">
      <c r="U1028545" s="25"/>
    </row>
    <row r="1028567" spans="21:21" x14ac:dyDescent="0.3">
      <c r="U1028567" s="25"/>
    </row>
    <row r="1028589" spans="21:21" x14ac:dyDescent="0.3">
      <c r="U1028589" s="25"/>
    </row>
    <row r="1028611" spans="21:21" x14ac:dyDescent="0.3">
      <c r="U1028611" s="25"/>
    </row>
    <row r="1028633" spans="21:21" x14ac:dyDescent="0.3">
      <c r="U1028633" s="25"/>
    </row>
    <row r="1028655" spans="21:21" x14ac:dyDescent="0.3">
      <c r="U1028655" s="25"/>
    </row>
    <row r="1028677" spans="21:21" x14ac:dyDescent="0.3">
      <c r="U1028677" s="25"/>
    </row>
    <row r="1028699" spans="21:21" x14ac:dyDescent="0.3">
      <c r="U1028699" s="25"/>
    </row>
    <row r="1028721" spans="21:21" x14ac:dyDescent="0.3">
      <c r="U1028721" s="25"/>
    </row>
    <row r="1028743" spans="21:21" x14ac:dyDescent="0.3">
      <c r="U1028743" s="25"/>
    </row>
    <row r="1028765" spans="21:21" x14ac:dyDescent="0.3">
      <c r="U1028765" s="25"/>
    </row>
    <row r="1028787" spans="21:21" x14ac:dyDescent="0.3">
      <c r="U1028787" s="25"/>
    </row>
    <row r="1028809" spans="21:21" x14ac:dyDescent="0.3">
      <c r="U1028809" s="25"/>
    </row>
    <row r="1028831" spans="21:21" x14ac:dyDescent="0.3">
      <c r="U1028831" s="25"/>
    </row>
    <row r="1028853" spans="21:21" x14ac:dyDescent="0.3">
      <c r="U1028853" s="25"/>
    </row>
    <row r="1028875" spans="21:21" x14ac:dyDescent="0.3">
      <c r="U1028875" s="25"/>
    </row>
    <row r="1028897" spans="21:21" x14ac:dyDescent="0.3">
      <c r="U1028897" s="25"/>
    </row>
    <row r="1028919" spans="21:21" x14ac:dyDescent="0.3">
      <c r="U1028919" s="25"/>
    </row>
    <row r="1028941" spans="21:21" x14ac:dyDescent="0.3">
      <c r="U1028941" s="25"/>
    </row>
    <row r="1028963" spans="21:21" x14ac:dyDescent="0.3">
      <c r="U1028963" s="25"/>
    </row>
    <row r="1028985" spans="21:21" x14ac:dyDescent="0.3">
      <c r="U1028985" s="25"/>
    </row>
    <row r="1029007" spans="21:21" x14ac:dyDescent="0.3">
      <c r="U1029007" s="25"/>
    </row>
    <row r="1029029" spans="21:21" x14ac:dyDescent="0.3">
      <c r="U1029029" s="25"/>
    </row>
    <row r="1029051" spans="21:21" x14ac:dyDescent="0.3">
      <c r="U1029051" s="25"/>
    </row>
    <row r="1029073" spans="21:21" x14ac:dyDescent="0.3">
      <c r="U1029073" s="25"/>
    </row>
    <row r="1029095" spans="21:21" x14ac:dyDescent="0.3">
      <c r="U1029095" s="25"/>
    </row>
    <row r="1029117" spans="21:21" x14ac:dyDescent="0.3">
      <c r="U1029117" s="25"/>
    </row>
    <row r="1029139" spans="21:21" x14ac:dyDescent="0.3">
      <c r="U1029139" s="25"/>
    </row>
    <row r="1029161" spans="21:21" x14ac:dyDescent="0.3">
      <c r="U1029161" s="25"/>
    </row>
    <row r="1029183" spans="21:21" x14ac:dyDescent="0.3">
      <c r="U1029183" s="25"/>
    </row>
    <row r="1029205" spans="21:21" x14ac:dyDescent="0.3">
      <c r="U1029205" s="25"/>
    </row>
    <row r="1029227" spans="21:21" x14ac:dyDescent="0.3">
      <c r="U1029227" s="25"/>
    </row>
    <row r="1029249" spans="21:21" x14ac:dyDescent="0.3">
      <c r="U1029249" s="25"/>
    </row>
    <row r="1029271" spans="21:21" x14ac:dyDescent="0.3">
      <c r="U1029271" s="25"/>
    </row>
    <row r="1029293" spans="21:21" x14ac:dyDescent="0.3">
      <c r="U1029293" s="25"/>
    </row>
    <row r="1029315" spans="21:21" x14ac:dyDescent="0.3">
      <c r="U1029315" s="25"/>
    </row>
    <row r="1029337" spans="21:21" x14ac:dyDescent="0.3">
      <c r="U1029337" s="25"/>
    </row>
    <row r="1029359" spans="21:21" x14ac:dyDescent="0.3">
      <c r="U1029359" s="25"/>
    </row>
    <row r="1029381" spans="21:21" x14ac:dyDescent="0.3">
      <c r="U1029381" s="25"/>
    </row>
    <row r="1029403" spans="21:21" x14ac:dyDescent="0.3">
      <c r="U1029403" s="25"/>
    </row>
    <row r="1029425" spans="21:21" x14ac:dyDescent="0.3">
      <c r="U1029425" s="25"/>
    </row>
    <row r="1029447" spans="21:21" x14ac:dyDescent="0.3">
      <c r="U1029447" s="25"/>
    </row>
    <row r="1029469" spans="21:21" x14ac:dyDescent="0.3">
      <c r="U1029469" s="25"/>
    </row>
    <row r="1029491" spans="21:21" x14ac:dyDescent="0.3">
      <c r="U1029491" s="25"/>
    </row>
    <row r="1029513" spans="21:21" x14ac:dyDescent="0.3">
      <c r="U1029513" s="25"/>
    </row>
    <row r="1029535" spans="21:21" x14ac:dyDescent="0.3">
      <c r="U1029535" s="25"/>
    </row>
    <row r="1029557" spans="21:21" x14ac:dyDescent="0.3">
      <c r="U1029557" s="25"/>
    </row>
    <row r="1029579" spans="21:21" x14ac:dyDescent="0.3">
      <c r="U1029579" s="25"/>
    </row>
    <row r="1029601" spans="21:21" x14ac:dyDescent="0.3">
      <c r="U1029601" s="25"/>
    </row>
    <row r="1029623" spans="21:21" x14ac:dyDescent="0.3">
      <c r="U1029623" s="25"/>
    </row>
    <row r="1029645" spans="21:21" x14ac:dyDescent="0.3">
      <c r="U1029645" s="25"/>
    </row>
    <row r="1029667" spans="21:21" x14ac:dyDescent="0.3">
      <c r="U1029667" s="25"/>
    </row>
    <row r="1029689" spans="21:21" x14ac:dyDescent="0.3">
      <c r="U1029689" s="25"/>
    </row>
    <row r="1029711" spans="21:21" x14ac:dyDescent="0.3">
      <c r="U1029711" s="25"/>
    </row>
    <row r="1029733" spans="21:21" x14ac:dyDescent="0.3">
      <c r="U1029733" s="25"/>
    </row>
    <row r="1029755" spans="21:21" x14ac:dyDescent="0.3">
      <c r="U1029755" s="25"/>
    </row>
    <row r="1029777" spans="21:21" x14ac:dyDescent="0.3">
      <c r="U1029777" s="25"/>
    </row>
    <row r="1029799" spans="21:21" x14ac:dyDescent="0.3">
      <c r="U1029799" s="25"/>
    </row>
    <row r="1029821" spans="21:21" x14ac:dyDescent="0.3">
      <c r="U1029821" s="25"/>
    </row>
    <row r="1029843" spans="21:21" x14ac:dyDescent="0.3">
      <c r="U1029843" s="25"/>
    </row>
    <row r="1029865" spans="21:21" x14ac:dyDescent="0.3">
      <c r="U1029865" s="25"/>
    </row>
    <row r="1029887" spans="21:21" x14ac:dyDescent="0.3">
      <c r="U1029887" s="25"/>
    </row>
    <row r="1029909" spans="21:21" x14ac:dyDescent="0.3">
      <c r="U1029909" s="25"/>
    </row>
    <row r="1029931" spans="21:21" x14ac:dyDescent="0.3">
      <c r="U1029931" s="25"/>
    </row>
    <row r="1029953" spans="21:21" x14ac:dyDescent="0.3">
      <c r="U1029953" s="25"/>
    </row>
    <row r="1029975" spans="21:21" x14ac:dyDescent="0.3">
      <c r="U1029975" s="25"/>
    </row>
    <row r="1029997" spans="21:21" x14ac:dyDescent="0.3">
      <c r="U1029997" s="25"/>
    </row>
    <row r="1030019" spans="21:21" x14ac:dyDescent="0.3">
      <c r="U1030019" s="25"/>
    </row>
    <row r="1030041" spans="21:21" x14ac:dyDescent="0.3">
      <c r="U1030041" s="25"/>
    </row>
    <row r="1030063" spans="21:21" x14ac:dyDescent="0.3">
      <c r="U1030063" s="25"/>
    </row>
    <row r="1030085" spans="21:21" x14ac:dyDescent="0.3">
      <c r="U1030085" s="25"/>
    </row>
    <row r="1030107" spans="21:21" x14ac:dyDescent="0.3">
      <c r="U1030107" s="25"/>
    </row>
    <row r="1030129" spans="21:21" x14ac:dyDescent="0.3">
      <c r="U1030129" s="25"/>
    </row>
    <row r="1030151" spans="21:21" x14ac:dyDescent="0.3">
      <c r="U1030151" s="25"/>
    </row>
    <row r="1030173" spans="21:21" x14ac:dyDescent="0.3">
      <c r="U1030173" s="25"/>
    </row>
    <row r="1030195" spans="21:21" x14ac:dyDescent="0.3">
      <c r="U1030195" s="25"/>
    </row>
    <row r="1030217" spans="21:21" x14ac:dyDescent="0.3">
      <c r="U1030217" s="25"/>
    </row>
    <row r="1030239" spans="21:21" x14ac:dyDescent="0.3">
      <c r="U1030239" s="25"/>
    </row>
    <row r="1030261" spans="21:21" x14ac:dyDescent="0.3">
      <c r="U1030261" s="25"/>
    </row>
    <row r="1030283" spans="21:21" x14ac:dyDescent="0.3">
      <c r="U1030283" s="25"/>
    </row>
    <row r="1030305" spans="21:21" x14ac:dyDescent="0.3">
      <c r="U1030305" s="25"/>
    </row>
    <row r="1030327" spans="21:21" x14ac:dyDescent="0.3">
      <c r="U1030327" s="25"/>
    </row>
    <row r="1030349" spans="21:21" x14ac:dyDescent="0.3">
      <c r="U1030349" s="25"/>
    </row>
    <row r="1030371" spans="21:21" x14ac:dyDescent="0.3">
      <c r="U1030371" s="25"/>
    </row>
    <row r="1030393" spans="21:21" x14ac:dyDescent="0.3">
      <c r="U1030393" s="25"/>
    </row>
    <row r="1030415" spans="21:21" x14ac:dyDescent="0.3">
      <c r="U1030415" s="25"/>
    </row>
    <row r="1030437" spans="21:21" x14ac:dyDescent="0.3">
      <c r="U1030437" s="25"/>
    </row>
    <row r="1030459" spans="21:21" x14ac:dyDescent="0.3">
      <c r="U1030459" s="25"/>
    </row>
    <row r="1030481" spans="21:21" x14ac:dyDescent="0.3">
      <c r="U1030481" s="25"/>
    </row>
    <row r="1030503" spans="21:21" x14ac:dyDescent="0.3">
      <c r="U1030503" s="25"/>
    </row>
    <row r="1030525" spans="21:21" x14ac:dyDescent="0.3">
      <c r="U1030525" s="25"/>
    </row>
    <row r="1030547" spans="21:21" x14ac:dyDescent="0.3">
      <c r="U1030547" s="25"/>
    </row>
    <row r="1030569" spans="21:21" x14ac:dyDescent="0.3">
      <c r="U1030569" s="25"/>
    </row>
    <row r="1030591" spans="21:21" x14ac:dyDescent="0.3">
      <c r="U1030591" s="25"/>
    </row>
    <row r="1030613" spans="21:21" x14ac:dyDescent="0.3">
      <c r="U1030613" s="25"/>
    </row>
    <row r="1030635" spans="21:21" x14ac:dyDescent="0.3">
      <c r="U1030635" s="25"/>
    </row>
    <row r="1030657" spans="21:21" x14ac:dyDescent="0.3">
      <c r="U1030657" s="25"/>
    </row>
    <row r="1030679" spans="21:21" x14ac:dyDescent="0.3">
      <c r="U1030679" s="25"/>
    </row>
    <row r="1030701" spans="21:21" x14ac:dyDescent="0.3">
      <c r="U1030701" s="25"/>
    </row>
    <row r="1030723" spans="21:21" x14ac:dyDescent="0.3">
      <c r="U1030723" s="25"/>
    </row>
    <row r="1030745" spans="21:21" x14ac:dyDescent="0.3">
      <c r="U1030745" s="25"/>
    </row>
    <row r="1030767" spans="21:21" x14ac:dyDescent="0.3">
      <c r="U1030767" s="25"/>
    </row>
    <row r="1030789" spans="21:21" x14ac:dyDescent="0.3">
      <c r="U1030789" s="25"/>
    </row>
    <row r="1030811" spans="21:21" x14ac:dyDescent="0.3">
      <c r="U1030811" s="25"/>
    </row>
    <row r="1030833" spans="21:21" x14ac:dyDescent="0.3">
      <c r="U1030833" s="25"/>
    </row>
    <row r="1030855" spans="21:21" x14ac:dyDescent="0.3">
      <c r="U1030855" s="25"/>
    </row>
    <row r="1030877" spans="21:21" x14ac:dyDescent="0.3">
      <c r="U1030877" s="25"/>
    </row>
    <row r="1030899" spans="21:21" x14ac:dyDescent="0.3">
      <c r="U1030899" s="25"/>
    </row>
    <row r="1030921" spans="21:21" x14ac:dyDescent="0.3">
      <c r="U1030921" s="25"/>
    </row>
    <row r="1030943" spans="21:21" x14ac:dyDescent="0.3">
      <c r="U1030943" s="25"/>
    </row>
    <row r="1030965" spans="21:21" x14ac:dyDescent="0.3">
      <c r="U1030965" s="25"/>
    </row>
    <row r="1030987" spans="21:21" x14ac:dyDescent="0.3">
      <c r="U1030987" s="25"/>
    </row>
    <row r="1031009" spans="21:21" x14ac:dyDescent="0.3">
      <c r="U1031009" s="25"/>
    </row>
    <row r="1031031" spans="21:21" x14ac:dyDescent="0.3">
      <c r="U1031031" s="25"/>
    </row>
    <row r="1031053" spans="21:21" x14ac:dyDescent="0.3">
      <c r="U1031053" s="25"/>
    </row>
    <row r="1031075" spans="21:21" x14ac:dyDescent="0.3">
      <c r="U1031075" s="25"/>
    </row>
    <row r="1031097" spans="21:21" x14ac:dyDescent="0.3">
      <c r="U1031097" s="25"/>
    </row>
    <row r="1031119" spans="21:21" x14ac:dyDescent="0.3">
      <c r="U1031119" s="25"/>
    </row>
    <row r="1031141" spans="21:21" x14ac:dyDescent="0.3">
      <c r="U1031141" s="25"/>
    </row>
    <row r="1031163" spans="21:21" x14ac:dyDescent="0.3">
      <c r="U1031163" s="25"/>
    </row>
    <row r="1031185" spans="21:21" x14ac:dyDescent="0.3">
      <c r="U1031185" s="25"/>
    </row>
    <row r="1031207" spans="21:21" x14ac:dyDescent="0.3">
      <c r="U1031207" s="25"/>
    </row>
    <row r="1031229" spans="21:21" x14ac:dyDescent="0.3">
      <c r="U1031229" s="25"/>
    </row>
    <row r="1031251" spans="21:21" x14ac:dyDescent="0.3">
      <c r="U1031251" s="25"/>
    </row>
    <row r="1031273" spans="21:21" x14ac:dyDescent="0.3">
      <c r="U1031273" s="25"/>
    </row>
    <row r="1031295" spans="21:21" x14ac:dyDescent="0.3">
      <c r="U1031295" s="25"/>
    </row>
    <row r="1031317" spans="21:21" x14ac:dyDescent="0.3">
      <c r="U1031317" s="25"/>
    </row>
    <row r="1031339" spans="21:21" x14ac:dyDescent="0.3">
      <c r="U1031339" s="25"/>
    </row>
    <row r="1031361" spans="21:21" x14ac:dyDescent="0.3">
      <c r="U1031361" s="25"/>
    </row>
    <row r="1031383" spans="21:21" x14ac:dyDescent="0.3">
      <c r="U1031383" s="25"/>
    </row>
    <row r="1031405" spans="21:21" x14ac:dyDescent="0.3">
      <c r="U1031405" s="25"/>
    </row>
    <row r="1031427" spans="21:21" x14ac:dyDescent="0.3">
      <c r="U1031427" s="25"/>
    </row>
    <row r="1031449" spans="21:21" x14ac:dyDescent="0.3">
      <c r="U1031449" s="25"/>
    </row>
    <row r="1031471" spans="21:21" x14ac:dyDescent="0.3">
      <c r="U1031471" s="25"/>
    </row>
    <row r="1031493" spans="21:21" x14ac:dyDescent="0.3">
      <c r="U1031493" s="25"/>
    </row>
    <row r="1031515" spans="21:21" x14ac:dyDescent="0.3">
      <c r="U1031515" s="25"/>
    </row>
    <row r="1031537" spans="21:21" x14ac:dyDescent="0.3">
      <c r="U1031537" s="25"/>
    </row>
    <row r="1031559" spans="21:21" x14ac:dyDescent="0.3">
      <c r="U1031559" s="25"/>
    </row>
    <row r="1031581" spans="21:21" x14ac:dyDescent="0.3">
      <c r="U1031581" s="25"/>
    </row>
    <row r="1031603" spans="21:21" x14ac:dyDescent="0.3">
      <c r="U1031603" s="25"/>
    </row>
    <row r="1031625" spans="21:21" x14ac:dyDescent="0.3">
      <c r="U1031625" s="25"/>
    </row>
    <row r="1031647" spans="21:21" x14ac:dyDescent="0.3">
      <c r="U1031647" s="25"/>
    </row>
    <row r="1031669" spans="21:21" x14ac:dyDescent="0.3">
      <c r="U1031669" s="25"/>
    </row>
    <row r="1031691" spans="21:21" x14ac:dyDescent="0.3">
      <c r="U1031691" s="25"/>
    </row>
    <row r="1031713" spans="21:21" x14ac:dyDescent="0.3">
      <c r="U1031713" s="25"/>
    </row>
    <row r="1031735" spans="21:21" x14ac:dyDescent="0.3">
      <c r="U1031735" s="25"/>
    </row>
    <row r="1031757" spans="21:21" x14ac:dyDescent="0.3">
      <c r="U1031757" s="25"/>
    </row>
    <row r="1031779" spans="21:21" x14ac:dyDescent="0.3">
      <c r="U1031779" s="25"/>
    </row>
    <row r="1031801" spans="21:21" x14ac:dyDescent="0.3">
      <c r="U1031801" s="25"/>
    </row>
    <row r="1031823" spans="21:21" x14ac:dyDescent="0.3">
      <c r="U1031823" s="25"/>
    </row>
    <row r="1031845" spans="21:21" x14ac:dyDescent="0.3">
      <c r="U1031845" s="25"/>
    </row>
    <row r="1031867" spans="21:21" x14ac:dyDescent="0.3">
      <c r="U1031867" s="25"/>
    </row>
    <row r="1031889" spans="21:21" x14ac:dyDescent="0.3">
      <c r="U1031889" s="25"/>
    </row>
    <row r="1031911" spans="21:21" x14ac:dyDescent="0.3">
      <c r="U1031911" s="25"/>
    </row>
    <row r="1031933" spans="21:21" x14ac:dyDescent="0.3">
      <c r="U1031933" s="25"/>
    </row>
    <row r="1031955" spans="21:21" x14ac:dyDescent="0.3">
      <c r="U1031955" s="25"/>
    </row>
    <row r="1031977" spans="21:21" x14ac:dyDescent="0.3">
      <c r="U1031977" s="25"/>
    </row>
    <row r="1031999" spans="21:21" x14ac:dyDescent="0.3">
      <c r="U1031999" s="25"/>
    </row>
    <row r="1032021" spans="21:21" x14ac:dyDescent="0.3">
      <c r="U1032021" s="25"/>
    </row>
    <row r="1032043" spans="21:21" x14ac:dyDescent="0.3">
      <c r="U1032043" s="25"/>
    </row>
    <row r="1032065" spans="21:21" x14ac:dyDescent="0.3">
      <c r="U1032065" s="25"/>
    </row>
    <row r="1032087" spans="21:21" x14ac:dyDescent="0.3">
      <c r="U1032087" s="25"/>
    </row>
    <row r="1032109" spans="21:21" x14ac:dyDescent="0.3">
      <c r="U1032109" s="25"/>
    </row>
    <row r="1032131" spans="21:21" x14ac:dyDescent="0.3">
      <c r="U1032131" s="25"/>
    </row>
    <row r="1032153" spans="21:21" x14ac:dyDescent="0.3">
      <c r="U1032153" s="25"/>
    </row>
    <row r="1032175" spans="21:21" x14ac:dyDescent="0.3">
      <c r="U1032175" s="25"/>
    </row>
    <row r="1032197" spans="21:21" x14ac:dyDescent="0.3">
      <c r="U1032197" s="25"/>
    </row>
    <row r="1032219" spans="21:21" x14ac:dyDescent="0.3">
      <c r="U1032219" s="25"/>
    </row>
    <row r="1032241" spans="21:21" x14ac:dyDescent="0.3">
      <c r="U1032241" s="25"/>
    </row>
    <row r="1032263" spans="21:21" x14ac:dyDescent="0.3">
      <c r="U1032263" s="25"/>
    </row>
    <row r="1032285" spans="21:21" x14ac:dyDescent="0.3">
      <c r="U1032285" s="25"/>
    </row>
    <row r="1032307" spans="21:21" x14ac:dyDescent="0.3">
      <c r="U1032307" s="25"/>
    </row>
    <row r="1032329" spans="21:21" x14ac:dyDescent="0.3">
      <c r="U1032329" s="25"/>
    </row>
    <row r="1032351" spans="21:21" x14ac:dyDescent="0.3">
      <c r="U1032351" s="25"/>
    </row>
    <row r="1032373" spans="21:21" x14ac:dyDescent="0.3">
      <c r="U1032373" s="25"/>
    </row>
    <row r="1032395" spans="21:21" x14ac:dyDescent="0.3">
      <c r="U1032395" s="25"/>
    </row>
    <row r="1032417" spans="21:21" x14ac:dyDescent="0.3">
      <c r="U1032417" s="25"/>
    </row>
    <row r="1032439" spans="21:21" x14ac:dyDescent="0.3">
      <c r="U1032439" s="25"/>
    </row>
    <row r="1032461" spans="21:21" x14ac:dyDescent="0.3">
      <c r="U1032461" s="25"/>
    </row>
    <row r="1032483" spans="21:21" x14ac:dyDescent="0.3">
      <c r="U1032483" s="25"/>
    </row>
    <row r="1032505" spans="21:21" x14ac:dyDescent="0.3">
      <c r="U1032505" s="25"/>
    </row>
    <row r="1032527" spans="21:21" x14ac:dyDescent="0.3">
      <c r="U1032527" s="25"/>
    </row>
    <row r="1032549" spans="21:21" x14ac:dyDescent="0.3">
      <c r="U1032549" s="25"/>
    </row>
    <row r="1032571" spans="21:21" x14ac:dyDescent="0.3">
      <c r="U1032571" s="25"/>
    </row>
    <row r="1032593" spans="21:21" x14ac:dyDescent="0.3">
      <c r="U1032593" s="25"/>
    </row>
    <row r="1032615" spans="21:21" x14ac:dyDescent="0.3">
      <c r="U1032615" s="25"/>
    </row>
    <row r="1032637" spans="21:21" x14ac:dyDescent="0.3">
      <c r="U1032637" s="25"/>
    </row>
    <row r="1032659" spans="21:21" x14ac:dyDescent="0.3">
      <c r="U1032659" s="25"/>
    </row>
    <row r="1032681" spans="21:21" x14ac:dyDescent="0.3">
      <c r="U1032681" s="25"/>
    </row>
    <row r="1032703" spans="21:21" x14ac:dyDescent="0.3">
      <c r="U1032703" s="25"/>
    </row>
    <row r="1032725" spans="21:21" x14ac:dyDescent="0.3">
      <c r="U1032725" s="25"/>
    </row>
    <row r="1032747" spans="21:21" x14ac:dyDescent="0.3">
      <c r="U1032747" s="25"/>
    </row>
    <row r="1032769" spans="21:21" x14ac:dyDescent="0.3">
      <c r="U1032769" s="25"/>
    </row>
    <row r="1032791" spans="21:21" x14ac:dyDescent="0.3">
      <c r="U1032791" s="25"/>
    </row>
    <row r="1032813" spans="21:21" x14ac:dyDescent="0.3">
      <c r="U1032813" s="25"/>
    </row>
    <row r="1032835" spans="21:21" x14ac:dyDescent="0.3">
      <c r="U1032835" s="25"/>
    </row>
    <row r="1032857" spans="21:21" x14ac:dyDescent="0.3">
      <c r="U1032857" s="25"/>
    </row>
    <row r="1032879" spans="21:21" x14ac:dyDescent="0.3">
      <c r="U1032879" s="25"/>
    </row>
    <row r="1032901" spans="21:21" x14ac:dyDescent="0.3">
      <c r="U1032901" s="25"/>
    </row>
    <row r="1032923" spans="21:21" x14ac:dyDescent="0.3">
      <c r="U1032923" s="25"/>
    </row>
    <row r="1032945" spans="21:21" x14ac:dyDescent="0.3">
      <c r="U1032945" s="25"/>
    </row>
    <row r="1032967" spans="21:21" x14ac:dyDescent="0.3">
      <c r="U1032967" s="25"/>
    </row>
    <row r="1032989" spans="21:21" x14ac:dyDescent="0.3">
      <c r="U1032989" s="25"/>
    </row>
    <row r="1033011" spans="21:21" x14ac:dyDescent="0.3">
      <c r="U1033011" s="25"/>
    </row>
    <row r="1033033" spans="21:21" x14ac:dyDescent="0.3">
      <c r="U1033033" s="25"/>
    </row>
    <row r="1033055" spans="21:21" x14ac:dyDescent="0.3">
      <c r="U1033055" s="25"/>
    </row>
    <row r="1033077" spans="21:21" x14ac:dyDescent="0.3">
      <c r="U1033077" s="25"/>
    </row>
    <row r="1033099" spans="21:21" x14ac:dyDescent="0.3">
      <c r="U1033099" s="25"/>
    </row>
    <row r="1033121" spans="21:21" x14ac:dyDescent="0.3">
      <c r="U1033121" s="25"/>
    </row>
    <row r="1033143" spans="21:21" x14ac:dyDescent="0.3">
      <c r="U1033143" s="25"/>
    </row>
    <row r="1033165" spans="21:21" x14ac:dyDescent="0.3">
      <c r="U1033165" s="25"/>
    </row>
    <row r="1033187" spans="21:21" x14ac:dyDescent="0.3">
      <c r="U1033187" s="25"/>
    </row>
    <row r="1033209" spans="21:21" x14ac:dyDescent="0.3">
      <c r="U1033209" s="25"/>
    </row>
    <row r="1033231" spans="21:21" x14ac:dyDescent="0.3">
      <c r="U1033231" s="25"/>
    </row>
    <row r="1033253" spans="21:21" x14ac:dyDescent="0.3">
      <c r="U1033253" s="25"/>
    </row>
    <row r="1033275" spans="21:21" x14ac:dyDescent="0.3">
      <c r="U1033275" s="25"/>
    </row>
    <row r="1033297" spans="21:21" x14ac:dyDescent="0.3">
      <c r="U1033297" s="25"/>
    </row>
    <row r="1033319" spans="21:21" x14ac:dyDescent="0.3">
      <c r="U1033319" s="25"/>
    </row>
    <row r="1033341" spans="21:21" x14ac:dyDescent="0.3">
      <c r="U1033341" s="25"/>
    </row>
    <row r="1033363" spans="21:21" x14ac:dyDescent="0.3">
      <c r="U1033363" s="25"/>
    </row>
    <row r="1033385" spans="21:21" x14ac:dyDescent="0.3">
      <c r="U1033385" s="25"/>
    </row>
    <row r="1033407" spans="21:21" x14ac:dyDescent="0.3">
      <c r="U1033407" s="25"/>
    </row>
    <row r="1033429" spans="21:21" x14ac:dyDescent="0.3">
      <c r="U1033429" s="25"/>
    </row>
    <row r="1033451" spans="21:21" x14ac:dyDescent="0.3">
      <c r="U1033451" s="25"/>
    </row>
    <row r="1033473" spans="21:21" x14ac:dyDescent="0.3">
      <c r="U1033473" s="25"/>
    </row>
    <row r="1033495" spans="21:21" x14ac:dyDescent="0.3">
      <c r="U1033495" s="25"/>
    </row>
    <row r="1033517" spans="21:21" x14ac:dyDescent="0.3">
      <c r="U1033517" s="25"/>
    </row>
    <row r="1033539" spans="21:21" x14ac:dyDescent="0.3">
      <c r="U1033539" s="25"/>
    </row>
    <row r="1033561" spans="21:21" x14ac:dyDescent="0.3">
      <c r="U1033561" s="25"/>
    </row>
    <row r="1033583" spans="21:21" x14ac:dyDescent="0.3">
      <c r="U1033583" s="25"/>
    </row>
    <row r="1033605" spans="21:21" x14ac:dyDescent="0.3">
      <c r="U1033605" s="25"/>
    </row>
    <row r="1033627" spans="21:21" x14ac:dyDescent="0.3">
      <c r="U1033627" s="25"/>
    </row>
    <row r="1033649" spans="21:21" x14ac:dyDescent="0.3">
      <c r="U1033649" s="25"/>
    </row>
    <row r="1033671" spans="21:21" x14ac:dyDescent="0.3">
      <c r="U1033671" s="25"/>
    </row>
    <row r="1033693" spans="21:21" x14ac:dyDescent="0.3">
      <c r="U1033693" s="25"/>
    </row>
    <row r="1033715" spans="21:21" x14ac:dyDescent="0.3">
      <c r="U1033715" s="25"/>
    </row>
    <row r="1033737" spans="21:21" x14ac:dyDescent="0.3">
      <c r="U1033737" s="25"/>
    </row>
    <row r="1033759" spans="21:21" x14ac:dyDescent="0.3">
      <c r="U1033759" s="25"/>
    </row>
    <row r="1033781" spans="21:21" x14ac:dyDescent="0.3">
      <c r="U1033781" s="25"/>
    </row>
    <row r="1033803" spans="21:21" x14ac:dyDescent="0.3">
      <c r="U1033803" s="25"/>
    </row>
    <row r="1033825" spans="21:21" x14ac:dyDescent="0.3">
      <c r="U1033825" s="25"/>
    </row>
    <row r="1033847" spans="21:21" x14ac:dyDescent="0.3">
      <c r="U1033847" s="25"/>
    </row>
    <row r="1033869" spans="21:21" x14ac:dyDescent="0.3">
      <c r="U1033869" s="25"/>
    </row>
    <row r="1033891" spans="21:21" x14ac:dyDescent="0.3">
      <c r="U1033891" s="25"/>
    </row>
    <row r="1033913" spans="21:21" x14ac:dyDescent="0.3">
      <c r="U1033913" s="25"/>
    </row>
    <row r="1033935" spans="21:21" x14ac:dyDescent="0.3">
      <c r="U1033935" s="25"/>
    </row>
    <row r="1033957" spans="21:21" x14ac:dyDescent="0.3">
      <c r="U1033957" s="25"/>
    </row>
    <row r="1033979" spans="21:21" x14ac:dyDescent="0.3">
      <c r="U1033979" s="25"/>
    </row>
    <row r="1034001" spans="21:21" x14ac:dyDescent="0.3">
      <c r="U1034001" s="25"/>
    </row>
    <row r="1034023" spans="21:21" x14ac:dyDescent="0.3">
      <c r="U1034023" s="25"/>
    </row>
    <row r="1034045" spans="21:21" x14ac:dyDescent="0.3">
      <c r="U1034045" s="25"/>
    </row>
    <row r="1034067" spans="21:21" x14ac:dyDescent="0.3">
      <c r="U1034067" s="25"/>
    </row>
    <row r="1034089" spans="21:21" x14ac:dyDescent="0.3">
      <c r="U1034089" s="25"/>
    </row>
    <row r="1034111" spans="21:21" x14ac:dyDescent="0.3">
      <c r="U1034111" s="25"/>
    </row>
    <row r="1034133" spans="21:21" x14ac:dyDescent="0.3">
      <c r="U1034133" s="25"/>
    </row>
    <row r="1034155" spans="21:21" x14ac:dyDescent="0.3">
      <c r="U1034155" s="25"/>
    </row>
    <row r="1034177" spans="21:21" x14ac:dyDescent="0.3">
      <c r="U1034177" s="25"/>
    </row>
    <row r="1034199" spans="21:21" x14ac:dyDescent="0.3">
      <c r="U1034199" s="25"/>
    </row>
    <row r="1034221" spans="21:21" x14ac:dyDescent="0.3">
      <c r="U1034221" s="25"/>
    </row>
    <row r="1034243" spans="21:21" x14ac:dyDescent="0.3">
      <c r="U1034243" s="25"/>
    </row>
    <row r="1034265" spans="21:21" x14ac:dyDescent="0.3">
      <c r="U1034265" s="25"/>
    </row>
    <row r="1034287" spans="21:21" x14ac:dyDescent="0.3">
      <c r="U1034287" s="25"/>
    </row>
    <row r="1034309" spans="21:21" x14ac:dyDescent="0.3">
      <c r="U1034309" s="25"/>
    </row>
    <row r="1034331" spans="21:21" x14ac:dyDescent="0.3">
      <c r="U1034331" s="25"/>
    </row>
    <row r="1034353" spans="21:21" x14ac:dyDescent="0.3">
      <c r="U1034353" s="25"/>
    </row>
    <row r="1034375" spans="21:21" x14ac:dyDescent="0.3">
      <c r="U1034375" s="25"/>
    </row>
    <row r="1034397" spans="21:21" x14ac:dyDescent="0.3">
      <c r="U1034397" s="25"/>
    </row>
    <row r="1034419" spans="21:21" x14ac:dyDescent="0.3">
      <c r="U1034419" s="25"/>
    </row>
    <row r="1034441" spans="21:21" x14ac:dyDescent="0.3">
      <c r="U1034441" s="25"/>
    </row>
    <row r="1034463" spans="21:21" x14ac:dyDescent="0.3">
      <c r="U1034463" s="25"/>
    </row>
    <row r="1034485" spans="21:21" x14ac:dyDescent="0.3">
      <c r="U1034485" s="25"/>
    </row>
    <row r="1034507" spans="21:21" x14ac:dyDescent="0.3">
      <c r="U1034507" s="25"/>
    </row>
    <row r="1034529" spans="21:21" x14ac:dyDescent="0.3">
      <c r="U1034529" s="25"/>
    </row>
    <row r="1034551" spans="21:21" x14ac:dyDescent="0.3">
      <c r="U1034551" s="25"/>
    </row>
    <row r="1034573" spans="21:21" x14ac:dyDescent="0.3">
      <c r="U1034573" s="25"/>
    </row>
    <row r="1034595" spans="21:21" x14ac:dyDescent="0.3">
      <c r="U1034595" s="25"/>
    </row>
    <row r="1034617" spans="21:21" x14ac:dyDescent="0.3">
      <c r="U1034617" s="25"/>
    </row>
    <row r="1034639" spans="21:21" x14ac:dyDescent="0.3">
      <c r="U1034639" s="25"/>
    </row>
    <row r="1034661" spans="21:21" x14ac:dyDescent="0.3">
      <c r="U1034661" s="25"/>
    </row>
    <row r="1034683" spans="21:21" x14ac:dyDescent="0.3">
      <c r="U1034683" s="25"/>
    </row>
    <row r="1034705" spans="21:21" x14ac:dyDescent="0.3">
      <c r="U1034705" s="25"/>
    </row>
    <row r="1034727" spans="21:21" x14ac:dyDescent="0.3">
      <c r="U1034727" s="25"/>
    </row>
    <row r="1034749" spans="21:21" x14ac:dyDescent="0.3">
      <c r="U1034749" s="25"/>
    </row>
    <row r="1034771" spans="21:21" x14ac:dyDescent="0.3">
      <c r="U1034771" s="25"/>
    </row>
    <row r="1034793" spans="21:21" x14ac:dyDescent="0.3">
      <c r="U1034793" s="25"/>
    </row>
    <row r="1034815" spans="21:21" x14ac:dyDescent="0.3">
      <c r="U1034815" s="25"/>
    </row>
    <row r="1034837" spans="21:21" x14ac:dyDescent="0.3">
      <c r="U1034837" s="25"/>
    </row>
    <row r="1034859" spans="21:21" x14ac:dyDescent="0.3">
      <c r="U1034859" s="25"/>
    </row>
    <row r="1034881" spans="21:21" x14ac:dyDescent="0.3">
      <c r="U1034881" s="25"/>
    </row>
    <row r="1034903" spans="21:21" x14ac:dyDescent="0.3">
      <c r="U1034903" s="25"/>
    </row>
    <row r="1034925" spans="21:21" x14ac:dyDescent="0.3">
      <c r="U1034925" s="25"/>
    </row>
    <row r="1034947" spans="21:21" x14ac:dyDescent="0.3">
      <c r="U1034947" s="25"/>
    </row>
    <row r="1034969" spans="21:21" x14ac:dyDescent="0.3">
      <c r="U1034969" s="25"/>
    </row>
    <row r="1034991" spans="21:21" x14ac:dyDescent="0.3">
      <c r="U1034991" s="25"/>
    </row>
    <row r="1035013" spans="21:21" x14ac:dyDescent="0.3">
      <c r="U1035013" s="25"/>
    </row>
    <row r="1035035" spans="21:21" x14ac:dyDescent="0.3">
      <c r="U1035035" s="25"/>
    </row>
    <row r="1035057" spans="21:21" x14ac:dyDescent="0.3">
      <c r="U1035057" s="25"/>
    </row>
    <row r="1035079" spans="21:21" x14ac:dyDescent="0.3">
      <c r="U1035079" s="25"/>
    </row>
    <row r="1035101" spans="21:21" x14ac:dyDescent="0.3">
      <c r="U1035101" s="25"/>
    </row>
    <row r="1035123" spans="21:21" x14ac:dyDescent="0.3">
      <c r="U1035123" s="25"/>
    </row>
    <row r="1035145" spans="21:21" x14ac:dyDescent="0.3">
      <c r="U1035145" s="25"/>
    </row>
    <row r="1035167" spans="21:21" x14ac:dyDescent="0.3">
      <c r="U1035167" s="25"/>
    </row>
    <row r="1035189" spans="21:21" x14ac:dyDescent="0.3">
      <c r="U1035189" s="25"/>
    </row>
    <row r="1035211" spans="21:21" x14ac:dyDescent="0.3">
      <c r="U1035211" s="25"/>
    </row>
    <row r="1035233" spans="21:21" x14ac:dyDescent="0.3">
      <c r="U1035233" s="25"/>
    </row>
    <row r="1035255" spans="21:21" x14ac:dyDescent="0.3">
      <c r="U1035255" s="25"/>
    </row>
    <row r="1035277" spans="21:21" x14ac:dyDescent="0.3">
      <c r="U1035277" s="25"/>
    </row>
    <row r="1035299" spans="21:21" x14ac:dyDescent="0.3">
      <c r="U1035299" s="25"/>
    </row>
    <row r="1035321" spans="21:21" x14ac:dyDescent="0.3">
      <c r="U1035321" s="25"/>
    </row>
    <row r="1035343" spans="21:21" x14ac:dyDescent="0.3">
      <c r="U1035343" s="25"/>
    </row>
    <row r="1035365" spans="21:21" x14ac:dyDescent="0.3">
      <c r="U1035365" s="25"/>
    </row>
    <row r="1035387" spans="21:21" x14ac:dyDescent="0.3">
      <c r="U1035387" s="25"/>
    </row>
    <row r="1035409" spans="21:21" x14ac:dyDescent="0.3">
      <c r="U1035409" s="25"/>
    </row>
    <row r="1035431" spans="21:21" x14ac:dyDescent="0.3">
      <c r="U1035431" s="25"/>
    </row>
    <row r="1035453" spans="21:21" x14ac:dyDescent="0.3">
      <c r="U1035453" s="25"/>
    </row>
    <row r="1035475" spans="21:21" x14ac:dyDescent="0.3">
      <c r="U1035475" s="25"/>
    </row>
    <row r="1035497" spans="21:21" x14ac:dyDescent="0.3">
      <c r="U1035497" s="25"/>
    </row>
    <row r="1035519" spans="21:21" x14ac:dyDescent="0.3">
      <c r="U1035519" s="25"/>
    </row>
    <row r="1035541" spans="21:21" x14ac:dyDescent="0.3">
      <c r="U1035541" s="25"/>
    </row>
    <row r="1035563" spans="21:21" x14ac:dyDescent="0.3">
      <c r="U1035563" s="25"/>
    </row>
    <row r="1035585" spans="21:21" x14ac:dyDescent="0.3">
      <c r="U1035585" s="25"/>
    </row>
    <row r="1035607" spans="21:21" x14ac:dyDescent="0.3">
      <c r="U1035607" s="25"/>
    </row>
    <row r="1035629" spans="21:21" x14ac:dyDescent="0.3">
      <c r="U1035629" s="25"/>
    </row>
    <row r="1035651" spans="21:21" x14ac:dyDescent="0.3">
      <c r="U1035651" s="25"/>
    </row>
    <row r="1035673" spans="21:21" x14ac:dyDescent="0.3">
      <c r="U1035673" s="25"/>
    </row>
    <row r="1035695" spans="21:21" x14ac:dyDescent="0.3">
      <c r="U1035695" s="25"/>
    </row>
    <row r="1035717" spans="21:21" x14ac:dyDescent="0.3">
      <c r="U1035717" s="25"/>
    </row>
    <row r="1035739" spans="21:21" x14ac:dyDescent="0.3">
      <c r="U1035739" s="25"/>
    </row>
    <row r="1035761" spans="21:21" x14ac:dyDescent="0.3">
      <c r="U1035761" s="25"/>
    </row>
    <row r="1035783" spans="21:21" x14ac:dyDescent="0.3">
      <c r="U1035783" s="25"/>
    </row>
    <row r="1035805" spans="21:21" x14ac:dyDescent="0.3">
      <c r="U1035805" s="25"/>
    </row>
    <row r="1035827" spans="21:21" x14ac:dyDescent="0.3">
      <c r="U1035827" s="25"/>
    </row>
    <row r="1035849" spans="21:21" x14ac:dyDescent="0.3">
      <c r="U1035849" s="25"/>
    </row>
    <row r="1035871" spans="21:21" x14ac:dyDescent="0.3">
      <c r="U1035871" s="25"/>
    </row>
    <row r="1035893" spans="21:21" x14ac:dyDescent="0.3">
      <c r="U1035893" s="25"/>
    </row>
    <row r="1035915" spans="21:21" x14ac:dyDescent="0.3">
      <c r="U1035915" s="25"/>
    </row>
    <row r="1035937" spans="21:21" x14ac:dyDescent="0.3">
      <c r="U1035937" s="25"/>
    </row>
    <row r="1035959" spans="21:21" x14ac:dyDescent="0.3">
      <c r="U1035959" s="25"/>
    </row>
    <row r="1035981" spans="21:21" x14ac:dyDescent="0.3">
      <c r="U1035981" s="25"/>
    </row>
    <row r="1036003" spans="21:21" x14ac:dyDescent="0.3">
      <c r="U1036003" s="25"/>
    </row>
    <row r="1036025" spans="21:21" x14ac:dyDescent="0.3">
      <c r="U1036025" s="25"/>
    </row>
    <row r="1036047" spans="21:21" x14ac:dyDescent="0.3">
      <c r="U1036047" s="25"/>
    </row>
    <row r="1036069" spans="21:21" x14ac:dyDescent="0.3">
      <c r="U1036069" s="25"/>
    </row>
    <row r="1036091" spans="21:21" x14ac:dyDescent="0.3">
      <c r="U1036091" s="25"/>
    </row>
    <row r="1036113" spans="21:21" x14ac:dyDescent="0.3">
      <c r="U1036113" s="25"/>
    </row>
    <row r="1036135" spans="21:21" x14ac:dyDescent="0.3">
      <c r="U1036135" s="25"/>
    </row>
    <row r="1036157" spans="21:21" x14ac:dyDescent="0.3">
      <c r="U1036157" s="25"/>
    </row>
    <row r="1036179" spans="21:21" x14ac:dyDescent="0.3">
      <c r="U1036179" s="25"/>
    </row>
    <row r="1036201" spans="21:21" x14ac:dyDescent="0.3">
      <c r="U1036201" s="25"/>
    </row>
    <row r="1036223" spans="21:21" x14ac:dyDescent="0.3">
      <c r="U1036223" s="25"/>
    </row>
    <row r="1036245" spans="21:21" x14ac:dyDescent="0.3">
      <c r="U1036245" s="25"/>
    </row>
    <row r="1036267" spans="21:21" x14ac:dyDescent="0.3">
      <c r="U1036267" s="25"/>
    </row>
    <row r="1036289" spans="21:21" x14ac:dyDescent="0.3">
      <c r="U1036289" s="25"/>
    </row>
    <row r="1036311" spans="21:21" x14ac:dyDescent="0.3">
      <c r="U1036311" s="25"/>
    </row>
    <row r="1036333" spans="21:21" x14ac:dyDescent="0.3">
      <c r="U1036333" s="25"/>
    </row>
    <row r="1036355" spans="21:21" x14ac:dyDescent="0.3">
      <c r="U1036355" s="25"/>
    </row>
    <row r="1036377" spans="21:21" x14ac:dyDescent="0.3">
      <c r="U1036377" s="25"/>
    </row>
    <row r="1036399" spans="21:21" x14ac:dyDescent="0.3">
      <c r="U1036399" s="25"/>
    </row>
    <row r="1036421" spans="21:21" x14ac:dyDescent="0.3">
      <c r="U1036421" s="25"/>
    </row>
    <row r="1036443" spans="21:21" x14ac:dyDescent="0.3">
      <c r="U1036443" s="25"/>
    </row>
    <row r="1036465" spans="21:21" x14ac:dyDescent="0.3">
      <c r="U1036465" s="25"/>
    </row>
    <row r="1036487" spans="21:21" x14ac:dyDescent="0.3">
      <c r="U1036487" s="25"/>
    </row>
    <row r="1036509" spans="21:21" x14ac:dyDescent="0.3">
      <c r="U1036509" s="25"/>
    </row>
    <row r="1036531" spans="21:21" x14ac:dyDescent="0.3">
      <c r="U1036531" s="25"/>
    </row>
    <row r="1036553" spans="21:21" x14ac:dyDescent="0.3">
      <c r="U1036553" s="25"/>
    </row>
    <row r="1036575" spans="21:21" x14ac:dyDescent="0.3">
      <c r="U1036575" s="25"/>
    </row>
    <row r="1036597" spans="21:21" x14ac:dyDescent="0.3">
      <c r="U1036597" s="25"/>
    </row>
    <row r="1036619" spans="21:21" x14ac:dyDescent="0.3">
      <c r="U1036619" s="25"/>
    </row>
    <row r="1036641" spans="21:21" x14ac:dyDescent="0.3">
      <c r="U1036641" s="25"/>
    </row>
    <row r="1036663" spans="21:21" x14ac:dyDescent="0.3">
      <c r="U1036663" s="25"/>
    </row>
    <row r="1036685" spans="21:21" x14ac:dyDescent="0.3">
      <c r="U1036685" s="25"/>
    </row>
    <row r="1036707" spans="21:21" x14ac:dyDescent="0.3">
      <c r="U1036707" s="25"/>
    </row>
    <row r="1036729" spans="21:21" x14ac:dyDescent="0.3">
      <c r="U1036729" s="25"/>
    </row>
    <row r="1036751" spans="21:21" x14ac:dyDescent="0.3">
      <c r="U1036751" s="25"/>
    </row>
    <row r="1036773" spans="21:21" x14ac:dyDescent="0.3">
      <c r="U1036773" s="25"/>
    </row>
    <row r="1036795" spans="21:21" x14ac:dyDescent="0.3">
      <c r="U1036795" s="25"/>
    </row>
    <row r="1036817" spans="21:21" x14ac:dyDescent="0.3">
      <c r="U1036817" s="25"/>
    </row>
    <row r="1036839" spans="21:21" x14ac:dyDescent="0.3">
      <c r="U1036839" s="25"/>
    </row>
    <row r="1036861" spans="21:21" x14ac:dyDescent="0.3">
      <c r="U1036861" s="25"/>
    </row>
    <row r="1036883" spans="21:21" x14ac:dyDescent="0.3">
      <c r="U1036883" s="25"/>
    </row>
    <row r="1036905" spans="21:21" x14ac:dyDescent="0.3">
      <c r="U1036905" s="25"/>
    </row>
    <row r="1036927" spans="21:21" x14ac:dyDescent="0.3">
      <c r="U1036927" s="25"/>
    </row>
    <row r="1036949" spans="21:21" x14ac:dyDescent="0.3">
      <c r="U1036949" s="25"/>
    </row>
    <row r="1036971" spans="21:21" x14ac:dyDescent="0.3">
      <c r="U1036971" s="25"/>
    </row>
    <row r="1036993" spans="21:21" x14ac:dyDescent="0.3">
      <c r="U1036993" s="25"/>
    </row>
    <row r="1037015" spans="21:21" x14ac:dyDescent="0.3">
      <c r="U1037015" s="25"/>
    </row>
    <row r="1037037" spans="21:21" x14ac:dyDescent="0.3">
      <c r="U1037037" s="25"/>
    </row>
    <row r="1037059" spans="21:21" x14ac:dyDescent="0.3">
      <c r="U1037059" s="25"/>
    </row>
    <row r="1037081" spans="21:21" x14ac:dyDescent="0.3">
      <c r="U1037081" s="25"/>
    </row>
    <row r="1037103" spans="21:21" x14ac:dyDescent="0.3">
      <c r="U1037103" s="25"/>
    </row>
    <row r="1037125" spans="21:21" x14ac:dyDescent="0.3">
      <c r="U1037125" s="25"/>
    </row>
    <row r="1037147" spans="21:21" x14ac:dyDescent="0.3">
      <c r="U1037147" s="25"/>
    </row>
    <row r="1037169" spans="21:21" x14ac:dyDescent="0.3">
      <c r="U1037169" s="25"/>
    </row>
    <row r="1037191" spans="21:21" x14ac:dyDescent="0.3">
      <c r="U1037191" s="25"/>
    </row>
    <row r="1037213" spans="21:21" x14ac:dyDescent="0.3">
      <c r="U1037213" s="25"/>
    </row>
    <row r="1037235" spans="21:21" x14ac:dyDescent="0.3">
      <c r="U1037235" s="25"/>
    </row>
    <row r="1037257" spans="21:21" x14ac:dyDescent="0.3">
      <c r="U1037257" s="25"/>
    </row>
    <row r="1037279" spans="21:21" x14ac:dyDescent="0.3">
      <c r="U1037279" s="25"/>
    </row>
    <row r="1037301" spans="21:21" x14ac:dyDescent="0.3">
      <c r="U1037301" s="25"/>
    </row>
    <row r="1037323" spans="21:21" x14ac:dyDescent="0.3">
      <c r="U1037323" s="25"/>
    </row>
    <row r="1037345" spans="21:21" x14ac:dyDescent="0.3">
      <c r="U1037345" s="25"/>
    </row>
    <row r="1037367" spans="21:21" x14ac:dyDescent="0.3">
      <c r="U1037367" s="25"/>
    </row>
    <row r="1037389" spans="21:21" x14ac:dyDescent="0.3">
      <c r="U1037389" s="25"/>
    </row>
    <row r="1037411" spans="21:21" x14ac:dyDescent="0.3">
      <c r="U1037411" s="25"/>
    </row>
    <row r="1037433" spans="21:21" x14ac:dyDescent="0.3">
      <c r="U1037433" s="25"/>
    </row>
    <row r="1037455" spans="21:21" x14ac:dyDescent="0.3">
      <c r="U1037455" s="25"/>
    </row>
    <row r="1037477" spans="21:21" x14ac:dyDescent="0.3">
      <c r="U1037477" s="25"/>
    </row>
    <row r="1037499" spans="21:21" x14ac:dyDescent="0.3">
      <c r="U1037499" s="25"/>
    </row>
    <row r="1037521" spans="21:21" x14ac:dyDescent="0.3">
      <c r="U1037521" s="25"/>
    </row>
    <row r="1037543" spans="21:21" x14ac:dyDescent="0.3">
      <c r="U1037543" s="25"/>
    </row>
    <row r="1037565" spans="21:21" x14ac:dyDescent="0.3">
      <c r="U1037565" s="25"/>
    </row>
    <row r="1037587" spans="21:21" x14ac:dyDescent="0.3">
      <c r="U1037587" s="25"/>
    </row>
    <row r="1037609" spans="21:21" x14ac:dyDescent="0.3">
      <c r="U1037609" s="25"/>
    </row>
    <row r="1037631" spans="21:21" x14ac:dyDescent="0.3">
      <c r="U1037631" s="25"/>
    </row>
    <row r="1037653" spans="21:21" x14ac:dyDescent="0.3">
      <c r="U1037653" s="25"/>
    </row>
    <row r="1037675" spans="21:21" x14ac:dyDescent="0.3">
      <c r="U1037675" s="25"/>
    </row>
    <row r="1037697" spans="21:21" x14ac:dyDescent="0.3">
      <c r="U1037697" s="25"/>
    </row>
    <row r="1037719" spans="21:21" x14ac:dyDescent="0.3">
      <c r="U1037719" s="25"/>
    </row>
    <row r="1037741" spans="21:21" x14ac:dyDescent="0.3">
      <c r="U1037741" s="25"/>
    </row>
    <row r="1037763" spans="21:21" x14ac:dyDescent="0.3">
      <c r="U1037763" s="25"/>
    </row>
    <row r="1037785" spans="21:21" x14ac:dyDescent="0.3">
      <c r="U1037785" s="25"/>
    </row>
    <row r="1037807" spans="21:21" x14ac:dyDescent="0.3">
      <c r="U1037807" s="25"/>
    </row>
    <row r="1037829" spans="21:21" x14ac:dyDescent="0.3">
      <c r="U1037829" s="25"/>
    </row>
    <row r="1037851" spans="21:21" x14ac:dyDescent="0.3">
      <c r="U1037851" s="25"/>
    </row>
    <row r="1037873" spans="21:21" x14ac:dyDescent="0.3">
      <c r="U1037873" s="25"/>
    </row>
    <row r="1037895" spans="21:21" x14ac:dyDescent="0.3">
      <c r="U1037895" s="25"/>
    </row>
    <row r="1037917" spans="21:21" x14ac:dyDescent="0.3">
      <c r="U1037917" s="25"/>
    </row>
    <row r="1037939" spans="21:21" x14ac:dyDescent="0.3">
      <c r="U1037939" s="25"/>
    </row>
    <row r="1037961" spans="21:21" x14ac:dyDescent="0.3">
      <c r="U1037961" s="25"/>
    </row>
    <row r="1037983" spans="21:21" x14ac:dyDescent="0.3">
      <c r="U1037983" s="25"/>
    </row>
    <row r="1038005" spans="21:21" x14ac:dyDescent="0.3">
      <c r="U1038005" s="25"/>
    </row>
    <row r="1038027" spans="21:21" x14ac:dyDescent="0.3">
      <c r="U1038027" s="25"/>
    </row>
    <row r="1038049" spans="21:21" x14ac:dyDescent="0.3">
      <c r="U1038049" s="25"/>
    </row>
    <row r="1038071" spans="21:21" x14ac:dyDescent="0.3">
      <c r="U1038071" s="25"/>
    </row>
    <row r="1038093" spans="21:21" x14ac:dyDescent="0.3">
      <c r="U1038093" s="25"/>
    </row>
    <row r="1038115" spans="21:21" x14ac:dyDescent="0.3">
      <c r="U1038115" s="25"/>
    </row>
    <row r="1038137" spans="21:21" x14ac:dyDescent="0.3">
      <c r="U1038137" s="25"/>
    </row>
    <row r="1038159" spans="21:21" x14ac:dyDescent="0.3">
      <c r="U1038159" s="25"/>
    </row>
    <row r="1038181" spans="21:21" x14ac:dyDescent="0.3">
      <c r="U1038181" s="25"/>
    </row>
    <row r="1038203" spans="21:21" x14ac:dyDescent="0.3">
      <c r="U1038203" s="25"/>
    </row>
    <row r="1038225" spans="21:21" x14ac:dyDescent="0.3">
      <c r="U1038225" s="25"/>
    </row>
    <row r="1038247" spans="21:21" x14ac:dyDescent="0.3">
      <c r="U1038247" s="25"/>
    </row>
    <row r="1038269" spans="21:21" x14ac:dyDescent="0.3">
      <c r="U1038269" s="25"/>
    </row>
    <row r="1038291" spans="21:21" x14ac:dyDescent="0.3">
      <c r="U1038291" s="25"/>
    </row>
    <row r="1038313" spans="21:21" x14ac:dyDescent="0.3">
      <c r="U1038313" s="25"/>
    </row>
    <row r="1038335" spans="21:21" x14ac:dyDescent="0.3">
      <c r="U1038335" s="25"/>
    </row>
    <row r="1038357" spans="21:21" x14ac:dyDescent="0.3">
      <c r="U1038357" s="25"/>
    </row>
    <row r="1038379" spans="21:21" x14ac:dyDescent="0.3">
      <c r="U1038379" s="25"/>
    </row>
    <row r="1038401" spans="21:21" x14ac:dyDescent="0.3">
      <c r="U1038401" s="25"/>
    </row>
    <row r="1038423" spans="21:21" x14ac:dyDescent="0.3">
      <c r="U1038423" s="25"/>
    </row>
    <row r="1038445" spans="21:21" x14ac:dyDescent="0.3">
      <c r="U1038445" s="25"/>
    </row>
    <row r="1038467" spans="21:21" x14ac:dyDescent="0.3">
      <c r="U1038467" s="25"/>
    </row>
    <row r="1038489" spans="21:21" x14ac:dyDescent="0.3">
      <c r="U1038489" s="25"/>
    </row>
    <row r="1038511" spans="21:21" x14ac:dyDescent="0.3">
      <c r="U1038511" s="25"/>
    </row>
    <row r="1038533" spans="21:21" x14ac:dyDescent="0.3">
      <c r="U1038533" s="25"/>
    </row>
    <row r="1038555" spans="21:21" x14ac:dyDescent="0.3">
      <c r="U1038555" s="25"/>
    </row>
    <row r="1038577" spans="21:21" x14ac:dyDescent="0.3">
      <c r="U1038577" s="25"/>
    </row>
    <row r="1038599" spans="21:21" x14ac:dyDescent="0.3">
      <c r="U1038599" s="25"/>
    </row>
    <row r="1038621" spans="21:21" x14ac:dyDescent="0.3">
      <c r="U1038621" s="25"/>
    </row>
    <row r="1038643" spans="21:21" x14ac:dyDescent="0.3">
      <c r="U1038643" s="25"/>
    </row>
    <row r="1038665" spans="21:21" x14ac:dyDescent="0.3">
      <c r="U1038665" s="25"/>
    </row>
    <row r="1038687" spans="21:21" x14ac:dyDescent="0.3">
      <c r="U1038687" s="25"/>
    </row>
    <row r="1038709" spans="21:21" x14ac:dyDescent="0.3">
      <c r="U1038709" s="25"/>
    </row>
    <row r="1038731" spans="21:21" x14ac:dyDescent="0.3">
      <c r="U1038731" s="25"/>
    </row>
    <row r="1038753" spans="21:21" x14ac:dyDescent="0.3">
      <c r="U1038753" s="25"/>
    </row>
    <row r="1038775" spans="21:21" x14ac:dyDescent="0.3">
      <c r="U1038775" s="25"/>
    </row>
    <row r="1038797" spans="21:21" x14ac:dyDescent="0.3">
      <c r="U1038797" s="25"/>
    </row>
    <row r="1038819" spans="21:21" x14ac:dyDescent="0.3">
      <c r="U1038819" s="25"/>
    </row>
    <row r="1038841" spans="21:21" x14ac:dyDescent="0.3">
      <c r="U1038841" s="25"/>
    </row>
    <row r="1038863" spans="21:21" x14ac:dyDescent="0.3">
      <c r="U1038863" s="25"/>
    </row>
    <row r="1038885" spans="21:21" x14ac:dyDescent="0.3">
      <c r="U1038885" s="25"/>
    </row>
    <row r="1038907" spans="21:21" x14ac:dyDescent="0.3">
      <c r="U1038907" s="25"/>
    </row>
    <row r="1038929" spans="21:21" x14ac:dyDescent="0.3">
      <c r="U1038929" s="25"/>
    </row>
    <row r="1038951" spans="21:21" x14ac:dyDescent="0.3">
      <c r="U1038951" s="25"/>
    </row>
    <row r="1038973" spans="21:21" x14ac:dyDescent="0.3">
      <c r="U1038973" s="25"/>
    </row>
    <row r="1038995" spans="21:21" x14ac:dyDescent="0.3">
      <c r="U1038995" s="25"/>
    </row>
    <row r="1039017" spans="21:21" x14ac:dyDescent="0.3">
      <c r="U1039017" s="25"/>
    </row>
    <row r="1039039" spans="21:21" x14ac:dyDescent="0.3">
      <c r="U1039039" s="25"/>
    </row>
    <row r="1039061" spans="21:21" x14ac:dyDescent="0.3">
      <c r="U1039061" s="25"/>
    </row>
    <row r="1039083" spans="21:21" x14ac:dyDescent="0.3">
      <c r="U1039083" s="25"/>
    </row>
    <row r="1039105" spans="21:21" x14ac:dyDescent="0.3">
      <c r="U1039105" s="25"/>
    </row>
    <row r="1039127" spans="21:21" x14ac:dyDescent="0.3">
      <c r="U1039127" s="25"/>
    </row>
    <row r="1039149" spans="21:21" x14ac:dyDescent="0.3">
      <c r="U1039149" s="25"/>
    </row>
    <row r="1039171" spans="21:21" x14ac:dyDescent="0.3">
      <c r="U1039171" s="25"/>
    </row>
    <row r="1039193" spans="21:21" x14ac:dyDescent="0.3">
      <c r="U1039193" s="25"/>
    </row>
    <row r="1039215" spans="21:21" x14ac:dyDescent="0.3">
      <c r="U1039215" s="25"/>
    </row>
    <row r="1039237" spans="21:21" x14ac:dyDescent="0.3">
      <c r="U1039237" s="25"/>
    </row>
    <row r="1039259" spans="21:21" x14ac:dyDescent="0.3">
      <c r="U1039259" s="25"/>
    </row>
    <row r="1039281" spans="21:21" x14ac:dyDescent="0.3">
      <c r="U1039281" s="25"/>
    </row>
    <row r="1039303" spans="21:21" x14ac:dyDescent="0.3">
      <c r="U1039303" s="25"/>
    </row>
    <row r="1039325" spans="21:21" x14ac:dyDescent="0.3">
      <c r="U1039325" s="25"/>
    </row>
    <row r="1039347" spans="21:21" x14ac:dyDescent="0.3">
      <c r="U1039347" s="25"/>
    </row>
    <row r="1039369" spans="21:21" x14ac:dyDescent="0.3">
      <c r="U1039369" s="25"/>
    </row>
    <row r="1039391" spans="21:21" x14ac:dyDescent="0.3">
      <c r="U1039391" s="25"/>
    </row>
    <row r="1039413" spans="21:21" x14ac:dyDescent="0.3">
      <c r="U1039413" s="25"/>
    </row>
    <row r="1039435" spans="21:21" x14ac:dyDescent="0.3">
      <c r="U1039435" s="25"/>
    </row>
    <row r="1039457" spans="21:21" x14ac:dyDescent="0.3">
      <c r="U1039457" s="25"/>
    </row>
    <row r="1039479" spans="21:21" x14ac:dyDescent="0.3">
      <c r="U1039479" s="25"/>
    </row>
    <row r="1039501" spans="21:21" x14ac:dyDescent="0.3">
      <c r="U1039501" s="25"/>
    </row>
    <row r="1039523" spans="21:21" x14ac:dyDescent="0.3">
      <c r="U1039523" s="25"/>
    </row>
    <row r="1039545" spans="21:21" x14ac:dyDescent="0.3">
      <c r="U1039545" s="25"/>
    </row>
    <row r="1039567" spans="21:21" x14ac:dyDescent="0.3">
      <c r="U1039567" s="25"/>
    </row>
    <row r="1039589" spans="21:21" x14ac:dyDescent="0.3">
      <c r="U1039589" s="25"/>
    </row>
    <row r="1039611" spans="21:21" x14ac:dyDescent="0.3">
      <c r="U1039611" s="25"/>
    </row>
    <row r="1039633" spans="21:21" x14ac:dyDescent="0.3">
      <c r="U1039633" s="25"/>
    </row>
    <row r="1039655" spans="21:21" x14ac:dyDescent="0.3">
      <c r="U1039655" s="25"/>
    </row>
    <row r="1039677" spans="21:21" x14ac:dyDescent="0.3">
      <c r="U1039677" s="25"/>
    </row>
    <row r="1039699" spans="21:21" x14ac:dyDescent="0.3">
      <c r="U1039699" s="25"/>
    </row>
    <row r="1039721" spans="21:21" x14ac:dyDescent="0.3">
      <c r="U1039721" s="25"/>
    </row>
    <row r="1039743" spans="21:21" x14ac:dyDescent="0.3">
      <c r="U1039743" s="25"/>
    </row>
    <row r="1039765" spans="21:21" x14ac:dyDescent="0.3">
      <c r="U1039765" s="25"/>
    </row>
    <row r="1039787" spans="21:21" x14ac:dyDescent="0.3">
      <c r="U1039787" s="25"/>
    </row>
    <row r="1039809" spans="21:21" x14ac:dyDescent="0.3">
      <c r="U1039809" s="25"/>
    </row>
    <row r="1039831" spans="21:21" x14ac:dyDescent="0.3">
      <c r="U1039831" s="25"/>
    </row>
    <row r="1039853" spans="21:21" x14ac:dyDescent="0.3">
      <c r="U1039853" s="25"/>
    </row>
    <row r="1039875" spans="21:21" x14ac:dyDescent="0.3">
      <c r="U1039875" s="25"/>
    </row>
    <row r="1039897" spans="21:21" x14ac:dyDescent="0.3">
      <c r="U1039897" s="25"/>
    </row>
    <row r="1039919" spans="21:21" x14ac:dyDescent="0.3">
      <c r="U1039919" s="25"/>
    </row>
    <row r="1039941" spans="21:21" x14ac:dyDescent="0.3">
      <c r="U1039941" s="25"/>
    </row>
    <row r="1039963" spans="21:21" x14ac:dyDescent="0.3">
      <c r="U1039963" s="25"/>
    </row>
    <row r="1039985" spans="21:21" x14ac:dyDescent="0.3">
      <c r="U1039985" s="25"/>
    </row>
    <row r="1040007" spans="21:21" x14ac:dyDescent="0.3">
      <c r="U1040007" s="25"/>
    </row>
    <row r="1040029" spans="21:21" x14ac:dyDescent="0.3">
      <c r="U1040029" s="25"/>
    </row>
    <row r="1040051" spans="21:21" x14ac:dyDescent="0.3">
      <c r="U1040051" s="25"/>
    </row>
    <row r="1040073" spans="21:21" x14ac:dyDescent="0.3">
      <c r="U1040073" s="25"/>
    </row>
    <row r="1040095" spans="21:21" x14ac:dyDescent="0.3">
      <c r="U1040095" s="25"/>
    </row>
    <row r="1040117" spans="21:21" x14ac:dyDescent="0.3">
      <c r="U1040117" s="25"/>
    </row>
    <row r="1040139" spans="21:21" x14ac:dyDescent="0.3">
      <c r="U1040139" s="25"/>
    </row>
    <row r="1040161" spans="21:21" x14ac:dyDescent="0.3">
      <c r="U1040161" s="25"/>
    </row>
    <row r="1040183" spans="21:21" x14ac:dyDescent="0.3">
      <c r="U1040183" s="25"/>
    </row>
    <row r="1040205" spans="21:21" x14ac:dyDescent="0.3">
      <c r="U1040205" s="25"/>
    </row>
    <row r="1040227" spans="21:21" x14ac:dyDescent="0.3">
      <c r="U1040227" s="25"/>
    </row>
    <row r="1040249" spans="21:21" x14ac:dyDescent="0.3">
      <c r="U1040249" s="25"/>
    </row>
    <row r="1040271" spans="21:21" x14ac:dyDescent="0.3">
      <c r="U1040271" s="25"/>
    </row>
    <row r="1040293" spans="21:21" x14ac:dyDescent="0.3">
      <c r="U1040293" s="25"/>
    </row>
    <row r="1040315" spans="21:21" x14ac:dyDescent="0.3">
      <c r="U1040315" s="25"/>
    </row>
    <row r="1040337" spans="21:21" x14ac:dyDescent="0.3">
      <c r="U1040337" s="25"/>
    </row>
    <row r="1040359" spans="21:21" x14ac:dyDescent="0.3">
      <c r="U1040359" s="25"/>
    </row>
    <row r="1040381" spans="21:21" x14ac:dyDescent="0.3">
      <c r="U1040381" s="25"/>
    </row>
    <row r="1040403" spans="21:21" x14ac:dyDescent="0.3">
      <c r="U1040403" s="25"/>
    </row>
    <row r="1040425" spans="21:21" x14ac:dyDescent="0.3">
      <c r="U1040425" s="25"/>
    </row>
    <row r="1040447" spans="21:21" x14ac:dyDescent="0.3">
      <c r="U1040447" s="25"/>
    </row>
    <row r="1040469" spans="21:21" x14ac:dyDescent="0.3">
      <c r="U1040469" s="25"/>
    </row>
    <row r="1040491" spans="21:21" x14ac:dyDescent="0.3">
      <c r="U1040491" s="25"/>
    </row>
    <row r="1040513" spans="21:21" x14ac:dyDescent="0.3">
      <c r="U1040513" s="25"/>
    </row>
    <row r="1040535" spans="21:21" x14ac:dyDescent="0.3">
      <c r="U1040535" s="25"/>
    </row>
    <row r="1040557" spans="21:21" x14ac:dyDescent="0.3">
      <c r="U1040557" s="25"/>
    </row>
    <row r="1040579" spans="21:21" x14ac:dyDescent="0.3">
      <c r="U1040579" s="25"/>
    </row>
    <row r="1040601" spans="21:21" x14ac:dyDescent="0.3">
      <c r="U1040601" s="25"/>
    </row>
    <row r="1040623" spans="21:21" x14ac:dyDescent="0.3">
      <c r="U1040623" s="25"/>
    </row>
    <row r="1040645" spans="21:21" x14ac:dyDescent="0.3">
      <c r="U1040645" s="25"/>
    </row>
    <row r="1040667" spans="21:21" x14ac:dyDescent="0.3">
      <c r="U1040667" s="25"/>
    </row>
    <row r="1040689" spans="21:21" x14ac:dyDescent="0.3">
      <c r="U1040689" s="25"/>
    </row>
    <row r="1040711" spans="21:21" x14ac:dyDescent="0.3">
      <c r="U1040711" s="25"/>
    </row>
    <row r="1040733" spans="21:21" x14ac:dyDescent="0.3">
      <c r="U1040733" s="25"/>
    </row>
    <row r="1040755" spans="21:21" x14ac:dyDescent="0.3">
      <c r="U1040755" s="25"/>
    </row>
    <row r="1040777" spans="21:21" x14ac:dyDescent="0.3">
      <c r="U1040777" s="25"/>
    </row>
    <row r="1040799" spans="21:21" x14ac:dyDescent="0.3">
      <c r="U1040799" s="25"/>
    </row>
    <row r="1040821" spans="21:21" x14ac:dyDescent="0.3">
      <c r="U1040821" s="25"/>
    </row>
    <row r="1040843" spans="21:21" x14ac:dyDescent="0.3">
      <c r="U1040843" s="25"/>
    </row>
    <row r="1040865" spans="21:21" x14ac:dyDescent="0.3">
      <c r="U1040865" s="25"/>
    </row>
    <row r="1040887" spans="21:21" x14ac:dyDescent="0.3">
      <c r="U1040887" s="25"/>
    </row>
    <row r="1040909" spans="21:21" x14ac:dyDescent="0.3">
      <c r="U1040909" s="25"/>
    </row>
    <row r="1040931" spans="21:21" x14ac:dyDescent="0.3">
      <c r="U1040931" s="25"/>
    </row>
    <row r="1040953" spans="21:21" x14ac:dyDescent="0.3">
      <c r="U1040953" s="25"/>
    </row>
    <row r="1040975" spans="21:21" x14ac:dyDescent="0.3">
      <c r="U1040975" s="25"/>
    </row>
    <row r="1040997" spans="21:21" x14ac:dyDescent="0.3">
      <c r="U1040997" s="25"/>
    </row>
    <row r="1041019" spans="21:21" x14ac:dyDescent="0.3">
      <c r="U1041019" s="25"/>
    </row>
    <row r="1041041" spans="21:21" x14ac:dyDescent="0.3">
      <c r="U1041041" s="25"/>
    </row>
    <row r="1041063" spans="21:21" x14ac:dyDescent="0.3">
      <c r="U1041063" s="25"/>
    </row>
    <row r="1041085" spans="21:21" x14ac:dyDescent="0.3">
      <c r="U1041085" s="25"/>
    </row>
    <row r="1041107" spans="21:21" x14ac:dyDescent="0.3">
      <c r="U1041107" s="25"/>
    </row>
    <row r="1041129" spans="21:21" x14ac:dyDescent="0.3">
      <c r="U1041129" s="25"/>
    </row>
    <row r="1041151" spans="21:21" x14ac:dyDescent="0.3">
      <c r="U1041151" s="25"/>
    </row>
    <row r="1041173" spans="21:21" x14ac:dyDescent="0.3">
      <c r="U1041173" s="25"/>
    </row>
    <row r="1041195" spans="21:21" x14ac:dyDescent="0.3">
      <c r="U1041195" s="25"/>
    </row>
    <row r="1041217" spans="21:21" x14ac:dyDescent="0.3">
      <c r="U1041217" s="25"/>
    </row>
    <row r="1041239" spans="21:21" x14ac:dyDescent="0.3">
      <c r="U1041239" s="25"/>
    </row>
    <row r="1041261" spans="21:21" x14ac:dyDescent="0.3">
      <c r="U1041261" s="25"/>
    </row>
    <row r="1041283" spans="21:21" x14ac:dyDescent="0.3">
      <c r="U1041283" s="25"/>
    </row>
    <row r="1041305" spans="21:21" x14ac:dyDescent="0.3">
      <c r="U1041305" s="25"/>
    </row>
    <row r="1041327" spans="21:21" x14ac:dyDescent="0.3">
      <c r="U1041327" s="25"/>
    </row>
    <row r="1041349" spans="21:21" x14ac:dyDescent="0.3">
      <c r="U1041349" s="25"/>
    </row>
    <row r="1041371" spans="21:21" x14ac:dyDescent="0.3">
      <c r="U1041371" s="25"/>
    </row>
    <row r="1041393" spans="21:21" x14ac:dyDescent="0.3">
      <c r="U1041393" s="25"/>
    </row>
    <row r="1041415" spans="21:21" x14ac:dyDescent="0.3">
      <c r="U1041415" s="25"/>
    </row>
    <row r="1041437" spans="21:21" x14ac:dyDescent="0.3">
      <c r="U1041437" s="25"/>
    </row>
    <row r="1041459" spans="21:21" x14ac:dyDescent="0.3">
      <c r="U1041459" s="25"/>
    </row>
    <row r="1041481" spans="21:21" x14ac:dyDescent="0.3">
      <c r="U1041481" s="25"/>
    </row>
    <row r="1041503" spans="21:21" x14ac:dyDescent="0.3">
      <c r="U1041503" s="25"/>
    </row>
    <row r="1041525" spans="21:21" x14ac:dyDescent="0.3">
      <c r="U1041525" s="25"/>
    </row>
    <row r="1041547" spans="21:21" x14ac:dyDescent="0.3">
      <c r="U1041547" s="25"/>
    </row>
    <row r="1041569" spans="21:21" x14ac:dyDescent="0.3">
      <c r="U1041569" s="25"/>
    </row>
    <row r="1041591" spans="21:21" x14ac:dyDescent="0.3">
      <c r="U1041591" s="25"/>
    </row>
    <row r="1041613" spans="21:21" x14ac:dyDescent="0.3">
      <c r="U1041613" s="25"/>
    </row>
    <row r="1041635" spans="21:21" x14ac:dyDescent="0.3">
      <c r="U1041635" s="25"/>
    </row>
    <row r="1041657" spans="21:21" x14ac:dyDescent="0.3">
      <c r="U1041657" s="25"/>
    </row>
    <row r="1041679" spans="21:21" x14ac:dyDescent="0.3">
      <c r="U1041679" s="25"/>
    </row>
    <row r="1041701" spans="21:21" x14ac:dyDescent="0.3">
      <c r="U1041701" s="25"/>
    </row>
    <row r="1041723" spans="21:21" x14ac:dyDescent="0.3">
      <c r="U1041723" s="25"/>
    </row>
    <row r="1041745" spans="21:21" x14ac:dyDescent="0.3">
      <c r="U1041745" s="25"/>
    </row>
    <row r="1041767" spans="21:21" x14ac:dyDescent="0.3">
      <c r="U1041767" s="25"/>
    </row>
    <row r="1041789" spans="21:21" x14ac:dyDescent="0.3">
      <c r="U1041789" s="25"/>
    </row>
    <row r="1041811" spans="21:21" x14ac:dyDescent="0.3">
      <c r="U1041811" s="25"/>
    </row>
    <row r="1041833" spans="21:21" x14ac:dyDescent="0.3">
      <c r="U1041833" s="25"/>
    </row>
    <row r="1041855" spans="21:21" x14ac:dyDescent="0.3">
      <c r="U1041855" s="25"/>
    </row>
    <row r="1041877" spans="21:21" x14ac:dyDescent="0.3">
      <c r="U1041877" s="25"/>
    </row>
    <row r="1041899" spans="21:21" x14ac:dyDescent="0.3">
      <c r="U1041899" s="25"/>
    </row>
    <row r="1041921" spans="21:21" x14ac:dyDescent="0.3">
      <c r="U1041921" s="25"/>
    </row>
    <row r="1041943" spans="21:21" x14ac:dyDescent="0.3">
      <c r="U1041943" s="25"/>
    </row>
    <row r="1041965" spans="21:21" x14ac:dyDescent="0.3">
      <c r="U1041965" s="25"/>
    </row>
    <row r="1041987" spans="21:21" x14ac:dyDescent="0.3">
      <c r="U1041987" s="25"/>
    </row>
    <row r="1042009" spans="21:21" x14ac:dyDescent="0.3">
      <c r="U1042009" s="25"/>
    </row>
    <row r="1042031" spans="21:21" x14ac:dyDescent="0.3">
      <c r="U1042031" s="25"/>
    </row>
    <row r="1042053" spans="21:21" x14ac:dyDescent="0.3">
      <c r="U1042053" s="25"/>
    </row>
    <row r="1042075" spans="21:21" x14ac:dyDescent="0.3">
      <c r="U1042075" s="25"/>
    </row>
    <row r="1042097" spans="21:21" x14ac:dyDescent="0.3">
      <c r="U1042097" s="25"/>
    </row>
    <row r="1042119" spans="21:21" x14ac:dyDescent="0.3">
      <c r="U1042119" s="25"/>
    </row>
    <row r="1042141" spans="21:21" x14ac:dyDescent="0.3">
      <c r="U1042141" s="25"/>
    </row>
    <row r="1042163" spans="21:21" x14ac:dyDescent="0.3">
      <c r="U1042163" s="25"/>
    </row>
    <row r="1042185" spans="21:21" x14ac:dyDescent="0.3">
      <c r="U1042185" s="25"/>
    </row>
    <row r="1042207" spans="21:21" x14ac:dyDescent="0.3">
      <c r="U1042207" s="25"/>
    </row>
    <row r="1042229" spans="21:21" x14ac:dyDescent="0.3">
      <c r="U1042229" s="25"/>
    </row>
    <row r="1042251" spans="21:21" x14ac:dyDescent="0.3">
      <c r="U1042251" s="25"/>
    </row>
    <row r="1042273" spans="21:21" x14ac:dyDescent="0.3">
      <c r="U1042273" s="25"/>
    </row>
    <row r="1042295" spans="21:21" x14ac:dyDescent="0.3">
      <c r="U1042295" s="25"/>
    </row>
    <row r="1042317" spans="21:21" x14ac:dyDescent="0.3">
      <c r="U1042317" s="25"/>
    </row>
    <row r="1042339" spans="21:21" x14ac:dyDescent="0.3">
      <c r="U1042339" s="25"/>
    </row>
    <row r="1042361" spans="21:21" x14ac:dyDescent="0.3">
      <c r="U1042361" s="25"/>
    </row>
    <row r="1042383" spans="21:21" x14ac:dyDescent="0.3">
      <c r="U1042383" s="25"/>
    </row>
    <row r="1042405" spans="21:21" x14ac:dyDescent="0.3">
      <c r="U1042405" s="25"/>
    </row>
    <row r="1042427" spans="21:21" x14ac:dyDescent="0.3">
      <c r="U1042427" s="25"/>
    </row>
    <row r="1042449" spans="21:21" x14ac:dyDescent="0.3">
      <c r="U1042449" s="25"/>
    </row>
    <row r="1042471" spans="21:21" x14ac:dyDescent="0.3">
      <c r="U1042471" s="25"/>
    </row>
    <row r="1042493" spans="21:21" x14ac:dyDescent="0.3">
      <c r="U1042493" s="25"/>
    </row>
    <row r="1042515" spans="21:21" x14ac:dyDescent="0.3">
      <c r="U1042515" s="25"/>
    </row>
    <row r="1042537" spans="21:21" x14ac:dyDescent="0.3">
      <c r="U1042537" s="25"/>
    </row>
    <row r="1042559" spans="21:21" x14ac:dyDescent="0.3">
      <c r="U1042559" s="25"/>
    </row>
    <row r="1042581" spans="21:21" x14ac:dyDescent="0.3">
      <c r="U1042581" s="25"/>
    </row>
    <row r="1042603" spans="21:21" x14ac:dyDescent="0.3">
      <c r="U1042603" s="25"/>
    </row>
    <row r="1042625" spans="21:21" x14ac:dyDescent="0.3">
      <c r="U1042625" s="25"/>
    </row>
    <row r="1042647" spans="21:21" x14ac:dyDescent="0.3">
      <c r="U1042647" s="25"/>
    </row>
    <row r="1042669" spans="21:21" x14ac:dyDescent="0.3">
      <c r="U1042669" s="25"/>
    </row>
    <row r="1042691" spans="21:21" x14ac:dyDescent="0.3">
      <c r="U1042691" s="25"/>
    </row>
    <row r="1042713" spans="21:21" x14ac:dyDescent="0.3">
      <c r="U1042713" s="25"/>
    </row>
    <row r="1042735" spans="21:21" x14ac:dyDescent="0.3">
      <c r="U1042735" s="25"/>
    </row>
    <row r="1042757" spans="21:21" x14ac:dyDescent="0.3">
      <c r="U1042757" s="25"/>
    </row>
    <row r="1042779" spans="21:21" x14ac:dyDescent="0.3">
      <c r="U1042779" s="25"/>
    </row>
    <row r="1042801" spans="21:21" x14ac:dyDescent="0.3">
      <c r="U1042801" s="25"/>
    </row>
    <row r="1042823" spans="21:21" x14ac:dyDescent="0.3">
      <c r="U1042823" s="25"/>
    </row>
    <row r="1042845" spans="21:21" x14ac:dyDescent="0.3">
      <c r="U1042845" s="25"/>
    </row>
    <row r="1042867" spans="21:21" x14ac:dyDescent="0.3">
      <c r="U1042867" s="25"/>
    </row>
    <row r="1042889" spans="21:21" x14ac:dyDescent="0.3">
      <c r="U1042889" s="25"/>
    </row>
    <row r="1042911" spans="21:21" x14ac:dyDescent="0.3">
      <c r="U1042911" s="25"/>
    </row>
    <row r="1042933" spans="21:21" x14ac:dyDescent="0.3">
      <c r="U1042933" s="25"/>
    </row>
    <row r="1042955" spans="21:21" x14ac:dyDescent="0.3">
      <c r="U1042955" s="25"/>
    </row>
    <row r="1042977" spans="21:21" x14ac:dyDescent="0.3">
      <c r="U1042977" s="25"/>
    </row>
    <row r="1042999" spans="21:21" x14ac:dyDescent="0.3">
      <c r="U1042999" s="25"/>
    </row>
    <row r="1043021" spans="21:21" x14ac:dyDescent="0.3">
      <c r="U1043021" s="25"/>
    </row>
    <row r="1043043" spans="21:21" x14ac:dyDescent="0.3">
      <c r="U1043043" s="25"/>
    </row>
    <row r="1043065" spans="21:21" x14ac:dyDescent="0.3">
      <c r="U1043065" s="25"/>
    </row>
    <row r="1043087" spans="21:21" x14ac:dyDescent="0.3">
      <c r="U1043087" s="25"/>
    </row>
    <row r="1043109" spans="21:21" x14ac:dyDescent="0.3">
      <c r="U1043109" s="25"/>
    </row>
    <row r="1043131" spans="21:21" x14ac:dyDescent="0.3">
      <c r="U1043131" s="25"/>
    </row>
    <row r="1043153" spans="21:21" x14ac:dyDescent="0.3">
      <c r="U1043153" s="25"/>
    </row>
    <row r="1043175" spans="21:21" x14ac:dyDescent="0.3">
      <c r="U1043175" s="25"/>
    </row>
    <row r="1043197" spans="21:21" x14ac:dyDescent="0.3">
      <c r="U1043197" s="25"/>
    </row>
    <row r="1043219" spans="21:21" x14ac:dyDescent="0.3">
      <c r="U1043219" s="25"/>
    </row>
    <row r="1043241" spans="21:21" x14ac:dyDescent="0.3">
      <c r="U1043241" s="25"/>
    </row>
    <row r="1043263" spans="21:21" x14ac:dyDescent="0.3">
      <c r="U1043263" s="25"/>
    </row>
    <row r="1043285" spans="21:21" x14ac:dyDescent="0.3">
      <c r="U1043285" s="25"/>
    </row>
    <row r="1043307" spans="21:21" x14ac:dyDescent="0.3">
      <c r="U1043307" s="25"/>
    </row>
    <row r="1043329" spans="21:21" x14ac:dyDescent="0.3">
      <c r="U1043329" s="25"/>
    </row>
    <row r="1043351" spans="21:21" x14ac:dyDescent="0.3">
      <c r="U1043351" s="25"/>
    </row>
    <row r="1043373" spans="21:21" x14ac:dyDescent="0.3">
      <c r="U1043373" s="25"/>
    </row>
    <row r="1043395" spans="21:21" x14ac:dyDescent="0.3">
      <c r="U1043395" s="25"/>
    </row>
    <row r="1043417" spans="21:21" x14ac:dyDescent="0.3">
      <c r="U1043417" s="25"/>
    </row>
    <row r="1043439" spans="21:21" x14ac:dyDescent="0.3">
      <c r="U1043439" s="25"/>
    </row>
    <row r="1043461" spans="21:21" x14ac:dyDescent="0.3">
      <c r="U1043461" s="25"/>
    </row>
    <row r="1043483" spans="21:21" x14ac:dyDescent="0.3">
      <c r="U1043483" s="25"/>
    </row>
    <row r="1043505" spans="21:21" x14ac:dyDescent="0.3">
      <c r="U1043505" s="25"/>
    </row>
    <row r="1043527" spans="21:21" x14ac:dyDescent="0.3">
      <c r="U1043527" s="25"/>
    </row>
    <row r="1043549" spans="21:21" x14ac:dyDescent="0.3">
      <c r="U1043549" s="25"/>
    </row>
    <row r="1043571" spans="21:21" x14ac:dyDescent="0.3">
      <c r="U1043571" s="25"/>
    </row>
    <row r="1043593" spans="21:21" x14ac:dyDescent="0.3">
      <c r="U1043593" s="25"/>
    </row>
    <row r="1043615" spans="21:21" x14ac:dyDescent="0.3">
      <c r="U1043615" s="25"/>
    </row>
    <row r="1043637" spans="21:21" x14ac:dyDescent="0.3">
      <c r="U1043637" s="25"/>
    </row>
    <row r="1043659" spans="21:21" x14ac:dyDescent="0.3">
      <c r="U1043659" s="25"/>
    </row>
    <row r="1043681" spans="21:21" x14ac:dyDescent="0.3">
      <c r="U1043681" s="25"/>
    </row>
    <row r="1043703" spans="21:21" x14ac:dyDescent="0.3">
      <c r="U1043703" s="25"/>
    </row>
    <row r="1043725" spans="21:21" x14ac:dyDescent="0.3">
      <c r="U1043725" s="25"/>
    </row>
    <row r="1043747" spans="21:21" x14ac:dyDescent="0.3">
      <c r="U1043747" s="25"/>
    </row>
    <row r="1043769" spans="21:21" x14ac:dyDescent="0.3">
      <c r="U1043769" s="25"/>
    </row>
    <row r="1043791" spans="21:21" x14ac:dyDescent="0.3">
      <c r="U1043791" s="25"/>
    </row>
    <row r="1043813" spans="21:21" x14ac:dyDescent="0.3">
      <c r="U1043813" s="25"/>
    </row>
    <row r="1043835" spans="21:21" x14ac:dyDescent="0.3">
      <c r="U1043835" s="25"/>
    </row>
    <row r="1043857" spans="21:21" x14ac:dyDescent="0.3">
      <c r="U1043857" s="25"/>
    </row>
    <row r="1043879" spans="21:21" x14ac:dyDescent="0.3">
      <c r="U1043879" s="25"/>
    </row>
    <row r="1043901" spans="21:21" x14ac:dyDescent="0.3">
      <c r="U1043901" s="25"/>
    </row>
    <row r="1043923" spans="21:21" x14ac:dyDescent="0.3">
      <c r="U1043923" s="25"/>
    </row>
    <row r="1043945" spans="21:21" x14ac:dyDescent="0.3">
      <c r="U1043945" s="25"/>
    </row>
    <row r="1043967" spans="21:21" x14ac:dyDescent="0.3">
      <c r="U1043967" s="25"/>
    </row>
    <row r="1043989" spans="21:21" x14ac:dyDescent="0.3">
      <c r="U1043989" s="25"/>
    </row>
    <row r="1044011" spans="21:21" x14ac:dyDescent="0.3">
      <c r="U1044011" s="25"/>
    </row>
    <row r="1044033" spans="21:21" x14ac:dyDescent="0.3">
      <c r="U1044033" s="25"/>
    </row>
    <row r="1044055" spans="21:21" x14ac:dyDescent="0.3">
      <c r="U1044055" s="25"/>
    </row>
    <row r="1044077" spans="21:21" x14ac:dyDescent="0.3">
      <c r="U1044077" s="25"/>
    </row>
    <row r="1044099" spans="21:21" x14ac:dyDescent="0.3">
      <c r="U1044099" s="25"/>
    </row>
    <row r="1044121" spans="21:21" x14ac:dyDescent="0.3">
      <c r="U1044121" s="25"/>
    </row>
    <row r="1044143" spans="21:21" x14ac:dyDescent="0.3">
      <c r="U1044143" s="25"/>
    </row>
    <row r="1044165" spans="21:21" x14ac:dyDescent="0.3">
      <c r="U1044165" s="25"/>
    </row>
    <row r="1044187" spans="21:21" x14ac:dyDescent="0.3">
      <c r="U1044187" s="25"/>
    </row>
    <row r="1044209" spans="21:21" x14ac:dyDescent="0.3">
      <c r="U1044209" s="25"/>
    </row>
    <row r="1044231" spans="21:21" x14ac:dyDescent="0.3">
      <c r="U1044231" s="25"/>
    </row>
    <row r="1044253" spans="21:21" x14ac:dyDescent="0.3">
      <c r="U1044253" s="25"/>
    </row>
    <row r="1044275" spans="21:21" x14ac:dyDescent="0.3">
      <c r="U1044275" s="25"/>
    </row>
    <row r="1044297" spans="21:21" x14ac:dyDescent="0.3">
      <c r="U1044297" s="25"/>
    </row>
    <row r="1044319" spans="21:21" x14ac:dyDescent="0.3">
      <c r="U1044319" s="25"/>
    </row>
    <row r="1044341" spans="21:21" x14ac:dyDescent="0.3">
      <c r="U1044341" s="25"/>
    </row>
    <row r="1044363" spans="21:21" x14ac:dyDescent="0.3">
      <c r="U1044363" s="25"/>
    </row>
    <row r="1044385" spans="21:21" x14ac:dyDescent="0.3">
      <c r="U1044385" s="25"/>
    </row>
    <row r="1044407" spans="21:21" x14ac:dyDescent="0.3">
      <c r="U1044407" s="25"/>
    </row>
    <row r="1044429" spans="21:21" x14ac:dyDescent="0.3">
      <c r="U1044429" s="25"/>
    </row>
    <row r="1044451" spans="21:21" x14ac:dyDescent="0.3">
      <c r="U1044451" s="25"/>
    </row>
    <row r="1044473" spans="21:21" x14ac:dyDescent="0.3">
      <c r="U1044473" s="25"/>
    </row>
    <row r="1044495" spans="21:21" x14ac:dyDescent="0.3">
      <c r="U1044495" s="25"/>
    </row>
    <row r="1044517" spans="21:21" x14ac:dyDescent="0.3">
      <c r="U1044517" s="25"/>
    </row>
    <row r="1044539" spans="21:21" x14ac:dyDescent="0.3">
      <c r="U1044539" s="25"/>
    </row>
    <row r="1044561" spans="21:21" x14ac:dyDescent="0.3">
      <c r="U1044561" s="25"/>
    </row>
    <row r="1044583" spans="21:21" x14ac:dyDescent="0.3">
      <c r="U1044583" s="25"/>
    </row>
    <row r="1044605" spans="21:21" x14ac:dyDescent="0.3">
      <c r="U1044605" s="25"/>
    </row>
    <row r="1044627" spans="21:21" x14ac:dyDescent="0.3">
      <c r="U1044627" s="25"/>
    </row>
    <row r="1044649" spans="21:21" x14ac:dyDescent="0.3">
      <c r="U1044649" s="25"/>
    </row>
    <row r="1044671" spans="21:21" x14ac:dyDescent="0.3">
      <c r="U1044671" s="25"/>
    </row>
    <row r="1044693" spans="21:21" x14ac:dyDescent="0.3">
      <c r="U1044693" s="25"/>
    </row>
    <row r="1044715" spans="21:21" x14ac:dyDescent="0.3">
      <c r="U1044715" s="25"/>
    </row>
    <row r="1044737" spans="21:21" x14ac:dyDescent="0.3">
      <c r="U1044737" s="25"/>
    </row>
    <row r="1044759" spans="21:21" x14ac:dyDescent="0.3">
      <c r="U1044759" s="25"/>
    </row>
    <row r="1044781" spans="21:21" x14ac:dyDescent="0.3">
      <c r="U1044781" s="25"/>
    </row>
    <row r="1044803" spans="21:21" x14ac:dyDescent="0.3">
      <c r="U1044803" s="25"/>
    </row>
    <row r="1044825" spans="21:21" x14ac:dyDescent="0.3">
      <c r="U1044825" s="25"/>
    </row>
    <row r="1044847" spans="21:21" x14ac:dyDescent="0.3">
      <c r="U1044847" s="25"/>
    </row>
    <row r="1044869" spans="21:21" x14ac:dyDescent="0.3">
      <c r="U1044869" s="25"/>
    </row>
    <row r="1044891" spans="21:21" x14ac:dyDescent="0.3">
      <c r="U1044891" s="25"/>
    </row>
    <row r="1044913" spans="21:21" x14ac:dyDescent="0.3">
      <c r="U1044913" s="25"/>
    </row>
    <row r="1044935" spans="21:21" x14ac:dyDescent="0.3">
      <c r="U1044935" s="25"/>
    </row>
    <row r="1044957" spans="21:21" x14ac:dyDescent="0.3">
      <c r="U1044957" s="25"/>
    </row>
    <row r="1044979" spans="21:21" x14ac:dyDescent="0.3">
      <c r="U1044979" s="25"/>
    </row>
    <row r="1045001" spans="21:21" x14ac:dyDescent="0.3">
      <c r="U1045001" s="25"/>
    </row>
    <row r="1045023" spans="21:21" x14ac:dyDescent="0.3">
      <c r="U1045023" s="25"/>
    </row>
    <row r="1045045" spans="21:21" x14ac:dyDescent="0.3">
      <c r="U1045045" s="25"/>
    </row>
    <row r="1045067" spans="21:21" x14ac:dyDescent="0.3">
      <c r="U1045067" s="25"/>
    </row>
    <row r="1045089" spans="21:21" x14ac:dyDescent="0.3">
      <c r="U1045089" s="25"/>
    </row>
    <row r="1045111" spans="21:21" x14ac:dyDescent="0.3">
      <c r="U1045111" s="25"/>
    </row>
    <row r="1045133" spans="21:21" x14ac:dyDescent="0.3">
      <c r="U1045133" s="25"/>
    </row>
    <row r="1045155" spans="21:21" x14ac:dyDescent="0.3">
      <c r="U1045155" s="25"/>
    </row>
    <row r="1045177" spans="21:21" x14ac:dyDescent="0.3">
      <c r="U1045177" s="25"/>
    </row>
    <row r="1045199" spans="21:21" x14ac:dyDescent="0.3">
      <c r="U1045199" s="25"/>
    </row>
    <row r="1045221" spans="21:21" x14ac:dyDescent="0.3">
      <c r="U1045221" s="25"/>
    </row>
    <row r="1045243" spans="21:21" x14ac:dyDescent="0.3">
      <c r="U1045243" s="25"/>
    </row>
    <row r="1045265" spans="21:21" x14ac:dyDescent="0.3">
      <c r="U1045265" s="25"/>
    </row>
    <row r="1045287" spans="21:21" x14ac:dyDescent="0.3">
      <c r="U1045287" s="25"/>
    </row>
    <row r="1045309" spans="21:21" x14ac:dyDescent="0.3">
      <c r="U1045309" s="25"/>
    </row>
    <row r="1045331" spans="21:21" x14ac:dyDescent="0.3">
      <c r="U1045331" s="25"/>
    </row>
    <row r="1045353" spans="21:21" x14ac:dyDescent="0.3">
      <c r="U1045353" s="25"/>
    </row>
    <row r="1045375" spans="21:21" x14ac:dyDescent="0.3">
      <c r="U1045375" s="25"/>
    </row>
    <row r="1045397" spans="21:21" x14ac:dyDescent="0.3">
      <c r="U1045397" s="25"/>
    </row>
    <row r="1045419" spans="21:21" x14ac:dyDescent="0.3">
      <c r="U1045419" s="25"/>
    </row>
    <row r="1045441" spans="21:21" x14ac:dyDescent="0.3">
      <c r="U1045441" s="25"/>
    </row>
    <row r="1045463" spans="21:21" x14ac:dyDescent="0.3">
      <c r="U1045463" s="25"/>
    </row>
    <row r="1045485" spans="21:21" x14ac:dyDescent="0.3">
      <c r="U1045485" s="25"/>
    </row>
    <row r="1045507" spans="21:21" x14ac:dyDescent="0.3">
      <c r="U1045507" s="25"/>
    </row>
    <row r="1045529" spans="21:21" x14ac:dyDescent="0.3">
      <c r="U1045529" s="25"/>
    </row>
    <row r="1045551" spans="21:21" x14ac:dyDescent="0.3">
      <c r="U1045551" s="25"/>
    </row>
    <row r="1045573" spans="21:21" x14ac:dyDescent="0.3">
      <c r="U1045573" s="25"/>
    </row>
    <row r="1045595" spans="21:21" x14ac:dyDescent="0.3">
      <c r="U1045595" s="25"/>
    </row>
    <row r="1045617" spans="21:21" x14ac:dyDescent="0.3">
      <c r="U1045617" s="25"/>
    </row>
    <row r="1045639" spans="21:21" x14ac:dyDescent="0.3">
      <c r="U1045639" s="25"/>
    </row>
    <row r="1045661" spans="21:21" x14ac:dyDescent="0.3">
      <c r="U1045661" s="25"/>
    </row>
    <row r="1045683" spans="21:21" x14ac:dyDescent="0.3">
      <c r="U1045683" s="25"/>
    </row>
    <row r="1045705" spans="21:21" x14ac:dyDescent="0.3">
      <c r="U1045705" s="25"/>
    </row>
    <row r="1045727" spans="21:21" x14ac:dyDescent="0.3">
      <c r="U1045727" s="25"/>
    </row>
    <row r="1045749" spans="21:21" x14ac:dyDescent="0.3">
      <c r="U1045749" s="25"/>
    </row>
    <row r="1045771" spans="21:21" x14ac:dyDescent="0.3">
      <c r="U1045771" s="25"/>
    </row>
    <row r="1045793" spans="21:21" x14ac:dyDescent="0.3">
      <c r="U1045793" s="25"/>
    </row>
    <row r="1045815" spans="21:21" x14ac:dyDescent="0.3">
      <c r="U1045815" s="25"/>
    </row>
    <row r="1045837" spans="21:21" x14ac:dyDescent="0.3">
      <c r="U1045837" s="25"/>
    </row>
    <row r="1045859" spans="21:21" x14ac:dyDescent="0.3">
      <c r="U1045859" s="25"/>
    </row>
    <row r="1045881" spans="21:21" x14ac:dyDescent="0.3">
      <c r="U1045881" s="25"/>
    </row>
    <row r="1045903" spans="21:21" x14ac:dyDescent="0.3">
      <c r="U1045903" s="25"/>
    </row>
    <row r="1045925" spans="21:21" x14ac:dyDescent="0.3">
      <c r="U1045925" s="25"/>
    </row>
    <row r="1045947" spans="21:21" x14ac:dyDescent="0.3">
      <c r="U1045947" s="25"/>
    </row>
    <row r="1045969" spans="21:21" x14ac:dyDescent="0.3">
      <c r="U1045969" s="25"/>
    </row>
    <row r="1045991" spans="21:21" x14ac:dyDescent="0.3">
      <c r="U1045991" s="25"/>
    </row>
    <row r="1046013" spans="21:21" x14ac:dyDescent="0.3">
      <c r="U1046013" s="25"/>
    </row>
    <row r="1046035" spans="21:21" x14ac:dyDescent="0.3">
      <c r="U1046035" s="25"/>
    </row>
    <row r="1046057" spans="21:21" x14ac:dyDescent="0.3">
      <c r="U1046057" s="25"/>
    </row>
    <row r="1046079" spans="21:21" x14ac:dyDescent="0.3">
      <c r="U1046079" s="25"/>
    </row>
    <row r="1046101" spans="21:21" x14ac:dyDescent="0.3">
      <c r="U1046101" s="25"/>
    </row>
    <row r="1046123" spans="21:21" x14ac:dyDescent="0.3">
      <c r="U1046123" s="25"/>
    </row>
    <row r="1046145" spans="21:21" x14ac:dyDescent="0.3">
      <c r="U1046145" s="25"/>
    </row>
    <row r="1046167" spans="21:21" x14ac:dyDescent="0.3">
      <c r="U1046167" s="25"/>
    </row>
    <row r="1046189" spans="21:21" x14ac:dyDescent="0.3">
      <c r="U1046189" s="25"/>
    </row>
    <row r="1046211" spans="21:21" x14ac:dyDescent="0.3">
      <c r="U1046211" s="25"/>
    </row>
    <row r="1046233" spans="21:21" x14ac:dyDescent="0.3">
      <c r="U1046233" s="25"/>
    </row>
    <row r="1046255" spans="21:21" x14ac:dyDescent="0.3">
      <c r="U1046255" s="25"/>
    </row>
    <row r="1046277" spans="21:21" x14ac:dyDescent="0.3">
      <c r="U1046277" s="25"/>
    </row>
    <row r="1046299" spans="21:21" x14ac:dyDescent="0.3">
      <c r="U1046299" s="25"/>
    </row>
    <row r="1046321" spans="21:21" x14ac:dyDescent="0.3">
      <c r="U1046321" s="25"/>
    </row>
    <row r="1046343" spans="21:21" x14ac:dyDescent="0.3">
      <c r="U1046343" s="25"/>
    </row>
    <row r="1046365" spans="21:21" x14ac:dyDescent="0.3">
      <c r="U1046365" s="25"/>
    </row>
    <row r="1046387" spans="21:21" x14ac:dyDescent="0.3">
      <c r="U1046387" s="25"/>
    </row>
    <row r="1046409" spans="21:21" x14ac:dyDescent="0.3">
      <c r="U1046409" s="25"/>
    </row>
    <row r="1046431" spans="21:21" x14ac:dyDescent="0.3">
      <c r="U1046431" s="25"/>
    </row>
    <row r="1046453" spans="21:21" x14ac:dyDescent="0.3">
      <c r="U1046453" s="25"/>
    </row>
    <row r="1046475" spans="21:21" x14ac:dyDescent="0.3">
      <c r="U1046475" s="25"/>
    </row>
    <row r="1046497" spans="21:21" x14ac:dyDescent="0.3">
      <c r="U1046497" s="25"/>
    </row>
    <row r="1046519" spans="21:21" x14ac:dyDescent="0.3">
      <c r="U1046519" s="25"/>
    </row>
    <row r="1046541" spans="21:21" x14ac:dyDescent="0.3">
      <c r="U1046541" s="25"/>
    </row>
    <row r="1046563" spans="21:21" x14ac:dyDescent="0.3">
      <c r="U1046563" s="25"/>
    </row>
    <row r="1046585" spans="21:21" x14ac:dyDescent="0.3">
      <c r="U1046585" s="25"/>
    </row>
    <row r="1046607" spans="21:21" x14ac:dyDescent="0.3">
      <c r="U1046607" s="25"/>
    </row>
    <row r="1046629" spans="21:21" x14ac:dyDescent="0.3">
      <c r="U1046629" s="25"/>
    </row>
    <row r="1046651" spans="21:21" x14ac:dyDescent="0.3">
      <c r="U1046651" s="25"/>
    </row>
    <row r="1046673" spans="21:21" x14ac:dyDescent="0.3">
      <c r="U1046673" s="25"/>
    </row>
    <row r="1046695" spans="21:21" x14ac:dyDescent="0.3">
      <c r="U1046695" s="25"/>
    </row>
    <row r="1046717" spans="21:21" x14ac:dyDescent="0.3">
      <c r="U1046717" s="25"/>
    </row>
    <row r="1046739" spans="21:21" x14ac:dyDescent="0.3">
      <c r="U1046739" s="25"/>
    </row>
    <row r="1046761" spans="21:21" x14ac:dyDescent="0.3">
      <c r="U1046761" s="25"/>
    </row>
    <row r="1046783" spans="21:21" x14ac:dyDescent="0.3">
      <c r="U1046783" s="25"/>
    </row>
    <row r="1046805" spans="21:21" x14ac:dyDescent="0.3">
      <c r="U1046805" s="25"/>
    </row>
    <row r="1046827" spans="21:21" x14ac:dyDescent="0.3">
      <c r="U1046827" s="25"/>
    </row>
    <row r="1046849" spans="21:21" x14ac:dyDescent="0.3">
      <c r="U1046849" s="25"/>
    </row>
    <row r="1046871" spans="21:21" x14ac:dyDescent="0.3">
      <c r="U1046871" s="25"/>
    </row>
    <row r="1046893" spans="21:21" x14ac:dyDescent="0.3">
      <c r="U1046893" s="25"/>
    </row>
    <row r="1046915" spans="21:21" x14ac:dyDescent="0.3">
      <c r="U1046915" s="25"/>
    </row>
    <row r="1046937" spans="21:21" x14ac:dyDescent="0.3">
      <c r="U1046937" s="25"/>
    </row>
    <row r="1046959" spans="21:21" x14ac:dyDescent="0.3">
      <c r="U1046959" s="25"/>
    </row>
    <row r="1046981" spans="21:21" x14ac:dyDescent="0.3">
      <c r="U1046981" s="25"/>
    </row>
    <row r="1047003" spans="21:21" x14ac:dyDescent="0.3">
      <c r="U1047003" s="25"/>
    </row>
    <row r="1047025" spans="21:21" x14ac:dyDescent="0.3">
      <c r="U1047025" s="25"/>
    </row>
    <row r="1047047" spans="21:21" x14ac:dyDescent="0.3">
      <c r="U1047047" s="25"/>
    </row>
    <row r="1047069" spans="21:21" x14ac:dyDescent="0.3">
      <c r="U1047069" s="25"/>
    </row>
    <row r="1047091" spans="21:21" x14ac:dyDescent="0.3">
      <c r="U1047091" s="25"/>
    </row>
    <row r="1047113" spans="21:21" x14ac:dyDescent="0.3">
      <c r="U1047113" s="25"/>
    </row>
    <row r="1047135" spans="21:21" x14ac:dyDescent="0.3">
      <c r="U1047135" s="25"/>
    </row>
    <row r="1047157" spans="21:21" x14ac:dyDescent="0.3">
      <c r="U1047157" s="25"/>
    </row>
    <row r="1047179" spans="21:21" x14ac:dyDescent="0.3">
      <c r="U1047179" s="25"/>
    </row>
    <row r="1047201" spans="21:21" x14ac:dyDescent="0.3">
      <c r="U1047201" s="25"/>
    </row>
    <row r="1047223" spans="21:21" x14ac:dyDescent="0.3">
      <c r="U1047223" s="25"/>
    </row>
    <row r="1047245" spans="21:21" x14ac:dyDescent="0.3">
      <c r="U1047245" s="25"/>
    </row>
    <row r="1047267" spans="21:21" x14ac:dyDescent="0.3">
      <c r="U1047267" s="25"/>
    </row>
    <row r="1047289" spans="21:21" x14ac:dyDescent="0.3">
      <c r="U1047289" s="25"/>
    </row>
    <row r="1047311" spans="21:21" x14ac:dyDescent="0.3">
      <c r="U1047311" s="25"/>
    </row>
    <row r="1047333" spans="21:21" x14ac:dyDescent="0.3">
      <c r="U1047333" s="25"/>
    </row>
    <row r="1047355" spans="21:21" x14ac:dyDescent="0.3">
      <c r="U1047355" s="25"/>
    </row>
    <row r="1047377" spans="21:21" x14ac:dyDescent="0.3">
      <c r="U1047377" s="25"/>
    </row>
    <row r="1047399" spans="21:21" x14ac:dyDescent="0.3">
      <c r="U1047399" s="25"/>
    </row>
    <row r="1047421" spans="21:21" x14ac:dyDescent="0.3">
      <c r="U1047421" s="25"/>
    </row>
    <row r="1047443" spans="21:21" x14ac:dyDescent="0.3">
      <c r="U1047443" s="25"/>
    </row>
    <row r="1047465" spans="21:21" x14ac:dyDescent="0.3">
      <c r="U1047465" s="25"/>
    </row>
    <row r="1047487" spans="21:21" x14ac:dyDescent="0.3">
      <c r="U1047487" s="25"/>
    </row>
    <row r="1047509" spans="21:21" x14ac:dyDescent="0.3">
      <c r="U1047509" s="25"/>
    </row>
    <row r="1047531" spans="21:21" x14ac:dyDescent="0.3">
      <c r="U1047531" s="25"/>
    </row>
    <row r="1047553" spans="21:21" x14ac:dyDescent="0.3">
      <c r="U1047553" s="25"/>
    </row>
    <row r="1047575" spans="21:21" x14ac:dyDescent="0.3">
      <c r="U1047575" s="25"/>
    </row>
    <row r="1047597" spans="21:21" x14ac:dyDescent="0.3">
      <c r="U1047597" s="25"/>
    </row>
    <row r="1047619" spans="21:21" x14ac:dyDescent="0.3">
      <c r="U1047619" s="25"/>
    </row>
    <row r="1047641" spans="21:21" x14ac:dyDescent="0.3">
      <c r="U1047641" s="25"/>
    </row>
    <row r="1047663" spans="21:21" x14ac:dyDescent="0.3">
      <c r="U1047663" s="25"/>
    </row>
    <row r="1047685" spans="21:21" x14ac:dyDescent="0.3">
      <c r="U1047685" s="25"/>
    </row>
    <row r="1047707" spans="21:21" x14ac:dyDescent="0.3">
      <c r="U1047707" s="25"/>
    </row>
    <row r="1047729" spans="21:21" x14ac:dyDescent="0.3">
      <c r="U1047729" s="25"/>
    </row>
    <row r="1047751" spans="21:21" x14ac:dyDescent="0.3">
      <c r="U1047751" s="25"/>
    </row>
    <row r="1047773" spans="21:21" x14ac:dyDescent="0.3">
      <c r="U1047773" s="25"/>
    </row>
    <row r="1047795" spans="21:21" x14ac:dyDescent="0.3">
      <c r="U1047795" s="25"/>
    </row>
    <row r="1047817" spans="21:21" x14ac:dyDescent="0.3">
      <c r="U1047817" s="25"/>
    </row>
    <row r="1047839" spans="21:21" x14ac:dyDescent="0.3">
      <c r="U1047839" s="25"/>
    </row>
    <row r="1047861" spans="21:21" x14ac:dyDescent="0.3">
      <c r="U1047861" s="25"/>
    </row>
    <row r="1047883" spans="21:21" x14ac:dyDescent="0.3">
      <c r="U1047883" s="25"/>
    </row>
    <row r="1047905" spans="21:21" x14ac:dyDescent="0.3">
      <c r="U1047905" s="25"/>
    </row>
    <row r="1047927" spans="21:21" x14ac:dyDescent="0.3">
      <c r="U1047927" s="25"/>
    </row>
    <row r="1047949" spans="21:21" x14ac:dyDescent="0.3">
      <c r="U1047949" s="25"/>
    </row>
    <row r="1047971" spans="21:21" x14ac:dyDescent="0.3">
      <c r="U1047971" s="25"/>
    </row>
    <row r="1047993" spans="21:21" x14ac:dyDescent="0.3">
      <c r="U1047993" s="25"/>
    </row>
    <row r="1048015" spans="21:21" x14ac:dyDescent="0.3">
      <c r="U1048015" s="25"/>
    </row>
    <row r="1048037" spans="21:21" x14ac:dyDescent="0.3">
      <c r="U1048037" s="25"/>
    </row>
    <row r="1048059" spans="21:21" x14ac:dyDescent="0.3">
      <c r="U1048059" s="25"/>
    </row>
    <row r="1048081" spans="21:21" x14ac:dyDescent="0.3">
      <c r="U1048081" s="25"/>
    </row>
    <row r="1048103" spans="21:21" x14ac:dyDescent="0.3">
      <c r="U1048103" s="25"/>
    </row>
    <row r="1048125" spans="21:21" x14ac:dyDescent="0.3">
      <c r="U1048125" s="25"/>
    </row>
    <row r="1048147" spans="21:21" x14ac:dyDescent="0.3">
      <c r="U1048147" s="25"/>
    </row>
    <row r="1048169" spans="21:21" x14ac:dyDescent="0.3">
      <c r="U1048169" s="25"/>
    </row>
    <row r="1048191" spans="21:21" x14ac:dyDescent="0.3">
      <c r="U1048191" s="25"/>
    </row>
    <row r="1048213" spans="21:21" x14ac:dyDescent="0.3">
      <c r="U1048213" s="25"/>
    </row>
    <row r="1048235" spans="21:21" x14ac:dyDescent="0.3">
      <c r="U1048235" s="25"/>
    </row>
    <row r="1048257" spans="21:21" x14ac:dyDescent="0.3">
      <c r="U1048257" s="25"/>
    </row>
    <row r="1048279" spans="21:21" x14ac:dyDescent="0.3">
      <c r="U1048279" s="25"/>
    </row>
    <row r="1048301" spans="21:21" x14ac:dyDescent="0.3">
      <c r="U1048301" s="25"/>
    </row>
    <row r="1048323" spans="21:21" x14ac:dyDescent="0.3">
      <c r="U1048323" s="25"/>
    </row>
    <row r="1048345" spans="21:21" x14ac:dyDescent="0.3">
      <c r="U1048345" s="25"/>
    </row>
    <row r="1048367" spans="21:21" x14ac:dyDescent="0.3">
      <c r="U1048367" s="25"/>
    </row>
    <row r="1048389" spans="21:21" x14ac:dyDescent="0.3">
      <c r="U1048389" s="25"/>
    </row>
    <row r="1048411" spans="21:21" x14ac:dyDescent="0.3">
      <c r="U1048411" s="25"/>
    </row>
    <row r="1048433" spans="21:21" x14ac:dyDescent="0.3">
      <c r="U1048433" s="25"/>
    </row>
    <row r="1048455" spans="21:21" x14ac:dyDescent="0.3">
      <c r="U1048455" s="25"/>
    </row>
    <row r="1048477" spans="21:21" x14ac:dyDescent="0.3">
      <c r="U1048477" s="25"/>
    </row>
    <row r="1048499" spans="21:21" x14ac:dyDescent="0.3">
      <c r="U1048499" s="25"/>
    </row>
    <row r="1048521" spans="21:21" x14ac:dyDescent="0.3">
      <c r="U1048521" s="25"/>
    </row>
    <row r="1048543" spans="21:21" x14ac:dyDescent="0.3">
      <c r="U1048543" s="25"/>
    </row>
    <row r="1048565" spans="21:21" x14ac:dyDescent="0.3">
      <c r="U1048565" s="25"/>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I72"/>
  <sheetViews>
    <sheetView workbookViewId="0">
      <selection activeCell="F8" sqref="F8"/>
    </sheetView>
  </sheetViews>
  <sheetFormatPr defaultRowHeight="14.4" x14ac:dyDescent="0.3"/>
  <cols>
    <col min="1" max="1" width="8.6640625" bestFit="1" customWidth="1"/>
    <col min="2" max="2" width="7.109375" bestFit="1" customWidth="1"/>
    <col min="3" max="3" width="7.6640625" bestFit="1" customWidth="1"/>
    <col min="4" max="4" width="11" bestFit="1" customWidth="1"/>
    <col min="5" max="5" width="37.21875" bestFit="1" customWidth="1"/>
    <col min="6" max="6" width="21" bestFit="1" customWidth="1"/>
    <col min="7" max="7" width="18.109375" bestFit="1" customWidth="1"/>
    <col min="8" max="8" width="20.44140625" bestFit="1" customWidth="1"/>
    <col min="9" max="9" width="21" bestFit="1" customWidth="1"/>
  </cols>
  <sheetData>
    <row r="1" spans="1:9" x14ac:dyDescent="0.3">
      <c r="A1" s="1" t="s">
        <v>0</v>
      </c>
      <c r="B1" s="1" t="s">
        <v>1</v>
      </c>
      <c r="C1" s="1" t="s">
        <v>4</v>
      </c>
      <c r="D1" s="1" t="s">
        <v>73</v>
      </c>
      <c r="E1" s="1" t="s">
        <v>74</v>
      </c>
      <c r="F1" s="1" t="s">
        <v>131</v>
      </c>
      <c r="G1" s="1" t="s">
        <v>132</v>
      </c>
      <c r="H1" s="1" t="s">
        <v>133</v>
      </c>
      <c r="I1" s="1" t="s">
        <v>134</v>
      </c>
    </row>
    <row r="2" spans="1:9" x14ac:dyDescent="0.3">
      <c r="A2" t="s">
        <v>18</v>
      </c>
      <c r="B2">
        <v>1</v>
      </c>
      <c r="C2" t="s">
        <v>21</v>
      </c>
      <c r="D2" t="s">
        <v>77</v>
      </c>
      <c r="E2" t="s">
        <v>78</v>
      </c>
      <c r="F2">
        <v>20</v>
      </c>
      <c r="G2">
        <v>19</v>
      </c>
      <c r="H2">
        <v>1</v>
      </c>
      <c r="I2">
        <v>0.95</v>
      </c>
    </row>
    <row r="3" spans="1:9" x14ac:dyDescent="0.3">
      <c r="A3" t="s">
        <v>18</v>
      </c>
      <c r="B3">
        <v>1</v>
      </c>
      <c r="C3" t="s">
        <v>21</v>
      </c>
      <c r="D3" t="s">
        <v>79</v>
      </c>
      <c r="E3" t="s">
        <v>80</v>
      </c>
      <c r="F3">
        <v>20</v>
      </c>
      <c r="G3">
        <v>20</v>
      </c>
      <c r="H3">
        <v>0</v>
      </c>
      <c r="I3">
        <v>1</v>
      </c>
    </row>
    <row r="4" spans="1:9" x14ac:dyDescent="0.3">
      <c r="A4" t="s">
        <v>18</v>
      </c>
      <c r="B4">
        <v>1</v>
      </c>
      <c r="C4" t="s">
        <v>21</v>
      </c>
      <c r="D4" t="s">
        <v>81</v>
      </c>
      <c r="E4" t="s">
        <v>82</v>
      </c>
      <c r="F4">
        <v>20</v>
      </c>
      <c r="G4">
        <v>20</v>
      </c>
      <c r="H4">
        <v>0</v>
      </c>
      <c r="I4">
        <v>1</v>
      </c>
    </row>
    <row r="5" spans="1:9" x14ac:dyDescent="0.3">
      <c r="A5" t="s">
        <v>18</v>
      </c>
      <c r="B5">
        <v>1</v>
      </c>
      <c r="C5" t="s">
        <v>21</v>
      </c>
      <c r="D5" t="s">
        <v>83</v>
      </c>
      <c r="E5" t="s">
        <v>84</v>
      </c>
      <c r="F5">
        <v>20</v>
      </c>
      <c r="G5">
        <v>20</v>
      </c>
      <c r="H5">
        <v>0</v>
      </c>
      <c r="I5">
        <v>1</v>
      </c>
    </row>
    <row r="6" spans="1:9" x14ac:dyDescent="0.3">
      <c r="A6" t="s">
        <v>18</v>
      </c>
      <c r="B6">
        <v>1</v>
      </c>
      <c r="C6" t="s">
        <v>21</v>
      </c>
      <c r="D6" t="s">
        <v>85</v>
      </c>
      <c r="E6" t="s">
        <v>86</v>
      </c>
      <c r="F6">
        <v>20</v>
      </c>
      <c r="G6">
        <v>20</v>
      </c>
      <c r="H6">
        <v>0</v>
      </c>
      <c r="I6">
        <v>1</v>
      </c>
    </row>
    <row r="7" spans="1:9" x14ac:dyDescent="0.3">
      <c r="A7" t="s">
        <v>18</v>
      </c>
      <c r="B7">
        <v>1</v>
      </c>
      <c r="C7" t="s">
        <v>21</v>
      </c>
      <c r="D7" t="s">
        <v>87</v>
      </c>
      <c r="E7" t="s">
        <v>88</v>
      </c>
      <c r="F7">
        <v>20</v>
      </c>
      <c r="G7">
        <v>20</v>
      </c>
      <c r="H7">
        <v>0</v>
      </c>
      <c r="I7">
        <v>1</v>
      </c>
    </row>
    <row r="8" spans="1:9" x14ac:dyDescent="0.3">
      <c r="A8" t="s">
        <v>18</v>
      </c>
      <c r="B8">
        <v>1</v>
      </c>
      <c r="C8" t="s">
        <v>21</v>
      </c>
      <c r="D8" t="s">
        <v>89</v>
      </c>
      <c r="E8" t="s">
        <v>90</v>
      </c>
      <c r="F8">
        <v>20</v>
      </c>
      <c r="G8">
        <v>20</v>
      </c>
      <c r="H8">
        <v>0</v>
      </c>
      <c r="I8">
        <v>1</v>
      </c>
    </row>
    <row r="9" spans="1:9" x14ac:dyDescent="0.3">
      <c r="A9" t="s">
        <v>18</v>
      </c>
      <c r="B9">
        <v>1</v>
      </c>
      <c r="C9" t="s">
        <v>21</v>
      </c>
      <c r="D9" t="s">
        <v>91</v>
      </c>
      <c r="E9" t="s">
        <v>92</v>
      </c>
      <c r="F9">
        <v>20</v>
      </c>
      <c r="G9">
        <v>20</v>
      </c>
      <c r="H9">
        <v>0</v>
      </c>
      <c r="I9">
        <v>1</v>
      </c>
    </row>
    <row r="10" spans="1:9" x14ac:dyDescent="0.3">
      <c r="A10" t="s">
        <v>18</v>
      </c>
      <c r="B10">
        <v>1</v>
      </c>
      <c r="C10" t="s">
        <v>21</v>
      </c>
      <c r="D10" t="s">
        <v>93</v>
      </c>
      <c r="E10" t="s">
        <v>94</v>
      </c>
      <c r="F10">
        <v>20</v>
      </c>
      <c r="G10">
        <v>20</v>
      </c>
      <c r="H10">
        <v>0</v>
      </c>
      <c r="I10">
        <v>1</v>
      </c>
    </row>
    <row r="11" spans="1:9" x14ac:dyDescent="0.3">
      <c r="A11" t="s">
        <v>18</v>
      </c>
      <c r="B11">
        <v>1</v>
      </c>
      <c r="C11" t="s">
        <v>21</v>
      </c>
      <c r="D11" t="s">
        <v>95</v>
      </c>
      <c r="E11" t="s">
        <v>96</v>
      </c>
      <c r="F11">
        <v>20</v>
      </c>
      <c r="G11">
        <v>20</v>
      </c>
      <c r="H11">
        <v>0</v>
      </c>
      <c r="I11">
        <v>1</v>
      </c>
    </row>
    <row r="12" spans="1:9" x14ac:dyDescent="0.3">
      <c r="A12" t="s">
        <v>18</v>
      </c>
      <c r="B12">
        <v>1</v>
      </c>
      <c r="C12" t="s">
        <v>21</v>
      </c>
      <c r="D12" t="s">
        <v>97</v>
      </c>
      <c r="E12" t="s">
        <v>98</v>
      </c>
      <c r="F12">
        <v>20</v>
      </c>
      <c r="G12">
        <v>20</v>
      </c>
      <c r="H12">
        <v>0</v>
      </c>
      <c r="I12">
        <v>1</v>
      </c>
    </row>
    <row r="13" spans="1:9" x14ac:dyDescent="0.3">
      <c r="A13" t="s">
        <v>18</v>
      </c>
      <c r="B13">
        <v>1</v>
      </c>
      <c r="C13" t="s">
        <v>21</v>
      </c>
      <c r="D13" t="s">
        <v>99</v>
      </c>
      <c r="E13" t="s">
        <v>100</v>
      </c>
      <c r="F13">
        <v>20</v>
      </c>
      <c r="G13">
        <v>20</v>
      </c>
      <c r="H13">
        <v>0</v>
      </c>
      <c r="I13">
        <v>1</v>
      </c>
    </row>
    <row r="14" spans="1:9" x14ac:dyDescent="0.3">
      <c r="A14" t="s">
        <v>18</v>
      </c>
      <c r="B14">
        <v>1</v>
      </c>
      <c r="C14" t="s">
        <v>21</v>
      </c>
      <c r="D14" t="s">
        <v>101</v>
      </c>
      <c r="E14" t="s">
        <v>102</v>
      </c>
      <c r="F14">
        <v>20</v>
      </c>
      <c r="G14">
        <v>18</v>
      </c>
      <c r="H14">
        <v>2</v>
      </c>
      <c r="I14">
        <v>0.9</v>
      </c>
    </row>
    <row r="15" spans="1:9" x14ac:dyDescent="0.3">
      <c r="A15" t="s">
        <v>18</v>
      </c>
      <c r="B15">
        <v>1</v>
      </c>
      <c r="C15" t="s">
        <v>21</v>
      </c>
      <c r="D15" t="s">
        <v>103</v>
      </c>
      <c r="E15" t="s">
        <v>104</v>
      </c>
      <c r="F15">
        <v>20</v>
      </c>
      <c r="G15">
        <v>20</v>
      </c>
      <c r="H15">
        <v>0</v>
      </c>
      <c r="I15">
        <v>1</v>
      </c>
    </row>
    <row r="16" spans="1:9" x14ac:dyDescent="0.3">
      <c r="A16" t="s">
        <v>18</v>
      </c>
      <c r="B16">
        <v>1</v>
      </c>
      <c r="C16" t="s">
        <v>21</v>
      </c>
      <c r="D16" t="s">
        <v>105</v>
      </c>
      <c r="E16" t="s">
        <v>106</v>
      </c>
      <c r="F16">
        <v>20</v>
      </c>
      <c r="G16">
        <v>20</v>
      </c>
      <c r="H16">
        <v>0</v>
      </c>
      <c r="I16">
        <v>1</v>
      </c>
    </row>
    <row r="17" spans="1:9" x14ac:dyDescent="0.3">
      <c r="A17" t="s">
        <v>18</v>
      </c>
      <c r="B17">
        <v>1</v>
      </c>
      <c r="C17" t="s">
        <v>21</v>
      </c>
      <c r="D17" t="s">
        <v>107</v>
      </c>
      <c r="E17" t="s">
        <v>108</v>
      </c>
      <c r="F17">
        <v>20</v>
      </c>
      <c r="G17">
        <v>19</v>
      </c>
      <c r="H17">
        <v>1</v>
      </c>
      <c r="I17">
        <v>0.95</v>
      </c>
    </row>
    <row r="18" spans="1:9" x14ac:dyDescent="0.3">
      <c r="A18" t="s">
        <v>18</v>
      </c>
      <c r="B18">
        <v>1</v>
      </c>
      <c r="C18" t="s">
        <v>21</v>
      </c>
      <c r="D18" t="s">
        <v>109</v>
      </c>
      <c r="E18" t="s">
        <v>110</v>
      </c>
      <c r="F18">
        <v>20</v>
      </c>
      <c r="G18">
        <v>18</v>
      </c>
      <c r="H18">
        <v>2</v>
      </c>
      <c r="I18">
        <v>0.9</v>
      </c>
    </row>
    <row r="19" spans="1:9" x14ac:dyDescent="0.3">
      <c r="A19" t="s">
        <v>18</v>
      </c>
      <c r="B19">
        <v>1</v>
      </c>
      <c r="C19" t="s">
        <v>21</v>
      </c>
      <c r="D19" t="s">
        <v>111</v>
      </c>
      <c r="E19" t="s">
        <v>112</v>
      </c>
      <c r="F19">
        <v>20</v>
      </c>
      <c r="G19">
        <v>20</v>
      </c>
      <c r="H19">
        <v>0</v>
      </c>
      <c r="I19">
        <v>1</v>
      </c>
    </row>
    <row r="20" spans="1:9" x14ac:dyDescent="0.3">
      <c r="A20" t="s">
        <v>18</v>
      </c>
      <c r="B20">
        <v>1</v>
      </c>
      <c r="C20" t="s">
        <v>23</v>
      </c>
      <c r="D20" t="s">
        <v>77</v>
      </c>
      <c r="E20" t="s">
        <v>78</v>
      </c>
      <c r="F20">
        <v>20</v>
      </c>
      <c r="G20">
        <v>20</v>
      </c>
      <c r="H20">
        <v>0</v>
      </c>
      <c r="I20">
        <v>1</v>
      </c>
    </row>
    <row r="21" spans="1:9" x14ac:dyDescent="0.3">
      <c r="A21" t="s">
        <v>18</v>
      </c>
      <c r="B21">
        <v>1</v>
      </c>
      <c r="C21" t="s">
        <v>23</v>
      </c>
      <c r="D21" t="s">
        <v>79</v>
      </c>
      <c r="E21" t="s">
        <v>80</v>
      </c>
      <c r="F21">
        <v>20</v>
      </c>
      <c r="G21">
        <v>18</v>
      </c>
      <c r="H21">
        <v>2</v>
      </c>
      <c r="I21">
        <v>0.9</v>
      </c>
    </row>
    <row r="22" spans="1:9" x14ac:dyDescent="0.3">
      <c r="A22" t="s">
        <v>18</v>
      </c>
      <c r="B22">
        <v>1</v>
      </c>
      <c r="C22" t="s">
        <v>23</v>
      </c>
      <c r="D22" t="s">
        <v>81</v>
      </c>
      <c r="E22" t="s">
        <v>82</v>
      </c>
      <c r="F22">
        <v>20</v>
      </c>
      <c r="G22">
        <v>12</v>
      </c>
      <c r="H22">
        <v>8</v>
      </c>
      <c r="I22">
        <v>0.6</v>
      </c>
    </row>
    <row r="23" spans="1:9" x14ac:dyDescent="0.3">
      <c r="A23" t="s">
        <v>18</v>
      </c>
      <c r="B23">
        <v>1</v>
      </c>
      <c r="C23" t="s">
        <v>23</v>
      </c>
      <c r="D23" t="s">
        <v>83</v>
      </c>
      <c r="E23" t="s">
        <v>84</v>
      </c>
      <c r="F23">
        <v>20</v>
      </c>
      <c r="G23">
        <v>18</v>
      </c>
      <c r="H23">
        <v>2</v>
      </c>
      <c r="I23">
        <v>0.9</v>
      </c>
    </row>
    <row r="24" spans="1:9" x14ac:dyDescent="0.3">
      <c r="A24" t="s">
        <v>18</v>
      </c>
      <c r="B24">
        <v>1</v>
      </c>
      <c r="C24" t="s">
        <v>23</v>
      </c>
      <c r="D24" t="s">
        <v>85</v>
      </c>
      <c r="E24" t="s">
        <v>86</v>
      </c>
      <c r="F24">
        <v>20</v>
      </c>
      <c r="G24">
        <v>20</v>
      </c>
      <c r="H24">
        <v>0</v>
      </c>
      <c r="I24">
        <v>1</v>
      </c>
    </row>
    <row r="25" spans="1:9" x14ac:dyDescent="0.3">
      <c r="A25" t="s">
        <v>18</v>
      </c>
      <c r="B25">
        <v>1</v>
      </c>
      <c r="C25" t="s">
        <v>23</v>
      </c>
      <c r="D25" t="s">
        <v>87</v>
      </c>
      <c r="E25" t="s">
        <v>88</v>
      </c>
      <c r="F25">
        <v>20</v>
      </c>
      <c r="G25">
        <v>20</v>
      </c>
      <c r="H25">
        <v>0</v>
      </c>
      <c r="I25">
        <v>1</v>
      </c>
    </row>
    <row r="26" spans="1:9" x14ac:dyDescent="0.3">
      <c r="A26" t="s">
        <v>18</v>
      </c>
      <c r="B26">
        <v>1</v>
      </c>
      <c r="C26" t="s">
        <v>23</v>
      </c>
      <c r="D26" t="s">
        <v>89</v>
      </c>
      <c r="E26" t="s">
        <v>90</v>
      </c>
      <c r="F26">
        <v>20</v>
      </c>
      <c r="G26">
        <v>20</v>
      </c>
      <c r="H26">
        <v>0</v>
      </c>
      <c r="I26">
        <v>1</v>
      </c>
    </row>
    <row r="27" spans="1:9" x14ac:dyDescent="0.3">
      <c r="A27" t="s">
        <v>18</v>
      </c>
      <c r="B27">
        <v>1</v>
      </c>
      <c r="C27" t="s">
        <v>23</v>
      </c>
      <c r="D27" t="s">
        <v>91</v>
      </c>
      <c r="E27" t="s">
        <v>92</v>
      </c>
      <c r="F27">
        <v>20</v>
      </c>
      <c r="G27">
        <v>20</v>
      </c>
      <c r="H27">
        <v>0</v>
      </c>
      <c r="I27">
        <v>1</v>
      </c>
    </row>
    <row r="28" spans="1:9" x14ac:dyDescent="0.3">
      <c r="A28" t="s">
        <v>18</v>
      </c>
      <c r="B28">
        <v>1</v>
      </c>
      <c r="C28" t="s">
        <v>23</v>
      </c>
      <c r="D28" t="s">
        <v>93</v>
      </c>
      <c r="E28" t="s">
        <v>94</v>
      </c>
      <c r="F28">
        <v>20</v>
      </c>
      <c r="G28">
        <v>20</v>
      </c>
      <c r="H28">
        <v>0</v>
      </c>
      <c r="I28">
        <v>1</v>
      </c>
    </row>
    <row r="29" spans="1:9" x14ac:dyDescent="0.3">
      <c r="A29" t="s">
        <v>18</v>
      </c>
      <c r="B29">
        <v>1</v>
      </c>
      <c r="C29" t="s">
        <v>23</v>
      </c>
      <c r="D29" t="s">
        <v>95</v>
      </c>
      <c r="E29" t="s">
        <v>96</v>
      </c>
      <c r="F29">
        <v>20</v>
      </c>
      <c r="G29">
        <v>19</v>
      </c>
      <c r="H29">
        <v>1</v>
      </c>
      <c r="I29">
        <v>0.95</v>
      </c>
    </row>
    <row r="30" spans="1:9" x14ac:dyDescent="0.3">
      <c r="A30" t="s">
        <v>18</v>
      </c>
      <c r="B30">
        <v>1</v>
      </c>
      <c r="C30" t="s">
        <v>23</v>
      </c>
      <c r="D30" t="s">
        <v>97</v>
      </c>
      <c r="E30" t="s">
        <v>98</v>
      </c>
      <c r="F30">
        <v>20</v>
      </c>
      <c r="G30">
        <v>20</v>
      </c>
      <c r="H30">
        <v>0</v>
      </c>
      <c r="I30">
        <v>1</v>
      </c>
    </row>
    <row r="31" spans="1:9" x14ac:dyDescent="0.3">
      <c r="A31" t="s">
        <v>18</v>
      </c>
      <c r="B31">
        <v>1</v>
      </c>
      <c r="C31" t="s">
        <v>23</v>
      </c>
      <c r="D31" t="s">
        <v>99</v>
      </c>
      <c r="E31" t="s">
        <v>100</v>
      </c>
      <c r="F31">
        <v>20</v>
      </c>
      <c r="G31">
        <v>18</v>
      </c>
      <c r="H31">
        <v>2</v>
      </c>
      <c r="I31">
        <v>0.9</v>
      </c>
    </row>
    <row r="32" spans="1:9" x14ac:dyDescent="0.3">
      <c r="A32" t="s">
        <v>18</v>
      </c>
      <c r="B32">
        <v>1</v>
      </c>
      <c r="C32" t="s">
        <v>23</v>
      </c>
      <c r="D32" t="s">
        <v>101</v>
      </c>
      <c r="E32" t="s">
        <v>102</v>
      </c>
      <c r="F32">
        <v>20</v>
      </c>
      <c r="G32">
        <v>17</v>
      </c>
      <c r="H32">
        <v>3</v>
      </c>
      <c r="I32">
        <v>0.85</v>
      </c>
    </row>
    <row r="33" spans="1:9" x14ac:dyDescent="0.3">
      <c r="A33" t="s">
        <v>18</v>
      </c>
      <c r="B33">
        <v>1</v>
      </c>
      <c r="C33" t="s">
        <v>23</v>
      </c>
      <c r="D33" t="s">
        <v>103</v>
      </c>
      <c r="E33" t="s">
        <v>104</v>
      </c>
      <c r="F33">
        <v>20</v>
      </c>
      <c r="G33">
        <v>20</v>
      </c>
      <c r="H33">
        <v>0</v>
      </c>
      <c r="I33">
        <v>1</v>
      </c>
    </row>
    <row r="34" spans="1:9" x14ac:dyDescent="0.3">
      <c r="A34" t="s">
        <v>18</v>
      </c>
      <c r="B34">
        <v>1</v>
      </c>
      <c r="C34" t="s">
        <v>23</v>
      </c>
      <c r="D34" t="s">
        <v>105</v>
      </c>
      <c r="E34" t="s">
        <v>106</v>
      </c>
      <c r="F34">
        <v>20</v>
      </c>
      <c r="G34">
        <v>19</v>
      </c>
      <c r="H34">
        <v>1</v>
      </c>
      <c r="I34">
        <v>0.95</v>
      </c>
    </row>
    <row r="35" spans="1:9" x14ac:dyDescent="0.3">
      <c r="A35" t="s">
        <v>18</v>
      </c>
      <c r="B35">
        <v>1</v>
      </c>
      <c r="C35" t="s">
        <v>23</v>
      </c>
      <c r="D35" t="s">
        <v>107</v>
      </c>
      <c r="E35" t="s">
        <v>108</v>
      </c>
      <c r="F35">
        <v>20</v>
      </c>
      <c r="G35">
        <v>18</v>
      </c>
      <c r="H35">
        <v>2</v>
      </c>
      <c r="I35">
        <v>0.9</v>
      </c>
    </row>
    <row r="36" spans="1:9" x14ac:dyDescent="0.3">
      <c r="A36" t="s">
        <v>18</v>
      </c>
      <c r="B36">
        <v>1</v>
      </c>
      <c r="C36" t="s">
        <v>23</v>
      </c>
      <c r="D36" t="s">
        <v>109</v>
      </c>
      <c r="E36" t="s">
        <v>110</v>
      </c>
      <c r="F36">
        <v>20</v>
      </c>
      <c r="G36">
        <v>20</v>
      </c>
      <c r="H36">
        <v>0</v>
      </c>
      <c r="I36">
        <v>1</v>
      </c>
    </row>
    <row r="37" spans="1:9" x14ac:dyDescent="0.3">
      <c r="A37" t="s">
        <v>18</v>
      </c>
      <c r="B37">
        <v>1</v>
      </c>
      <c r="C37" t="s">
        <v>23</v>
      </c>
      <c r="D37" t="s">
        <v>111</v>
      </c>
      <c r="E37" t="s">
        <v>112</v>
      </c>
      <c r="F37">
        <v>20</v>
      </c>
      <c r="G37">
        <v>19</v>
      </c>
      <c r="H37">
        <v>1</v>
      </c>
      <c r="I37">
        <v>0.95</v>
      </c>
    </row>
    <row r="38" spans="1:9" x14ac:dyDescent="0.3">
      <c r="A38" t="s">
        <v>18</v>
      </c>
      <c r="B38">
        <v>1</v>
      </c>
      <c r="C38" t="s">
        <v>24</v>
      </c>
      <c r="D38" t="s">
        <v>77</v>
      </c>
      <c r="E38" t="s">
        <v>78</v>
      </c>
      <c r="F38">
        <v>20</v>
      </c>
      <c r="G38">
        <v>20</v>
      </c>
      <c r="H38">
        <v>0</v>
      </c>
      <c r="I38">
        <v>1</v>
      </c>
    </row>
    <row r="39" spans="1:9" x14ac:dyDescent="0.3">
      <c r="A39" t="s">
        <v>18</v>
      </c>
      <c r="B39">
        <v>1</v>
      </c>
      <c r="C39" t="s">
        <v>24</v>
      </c>
      <c r="D39" t="s">
        <v>79</v>
      </c>
      <c r="E39" t="s">
        <v>80</v>
      </c>
      <c r="F39">
        <v>20</v>
      </c>
      <c r="G39">
        <v>20</v>
      </c>
      <c r="H39">
        <v>0</v>
      </c>
      <c r="I39">
        <v>1</v>
      </c>
    </row>
    <row r="40" spans="1:9" x14ac:dyDescent="0.3">
      <c r="A40" t="s">
        <v>18</v>
      </c>
      <c r="B40">
        <v>1</v>
      </c>
      <c r="C40" t="s">
        <v>24</v>
      </c>
      <c r="D40" t="s">
        <v>81</v>
      </c>
      <c r="E40" t="s">
        <v>82</v>
      </c>
      <c r="F40">
        <v>20</v>
      </c>
      <c r="G40">
        <v>16</v>
      </c>
      <c r="H40">
        <v>4</v>
      </c>
      <c r="I40">
        <v>0.8</v>
      </c>
    </row>
    <row r="41" spans="1:9" x14ac:dyDescent="0.3">
      <c r="A41" t="s">
        <v>18</v>
      </c>
      <c r="B41">
        <v>1</v>
      </c>
      <c r="C41" t="s">
        <v>24</v>
      </c>
      <c r="D41" t="s">
        <v>83</v>
      </c>
      <c r="E41" t="s">
        <v>84</v>
      </c>
      <c r="F41">
        <v>20</v>
      </c>
      <c r="G41">
        <v>13</v>
      </c>
      <c r="H41">
        <v>7</v>
      </c>
      <c r="I41">
        <v>0.65</v>
      </c>
    </row>
    <row r="42" spans="1:9" x14ac:dyDescent="0.3">
      <c r="A42" t="s">
        <v>18</v>
      </c>
      <c r="B42">
        <v>1</v>
      </c>
      <c r="C42" t="s">
        <v>24</v>
      </c>
      <c r="D42" t="s">
        <v>85</v>
      </c>
      <c r="E42" t="s">
        <v>86</v>
      </c>
      <c r="F42">
        <v>20</v>
      </c>
      <c r="G42">
        <v>20</v>
      </c>
      <c r="H42">
        <v>0</v>
      </c>
      <c r="I42">
        <v>1</v>
      </c>
    </row>
    <row r="43" spans="1:9" x14ac:dyDescent="0.3">
      <c r="A43" t="s">
        <v>18</v>
      </c>
      <c r="B43">
        <v>1</v>
      </c>
      <c r="C43" t="s">
        <v>24</v>
      </c>
      <c r="D43" t="s">
        <v>87</v>
      </c>
      <c r="E43" t="s">
        <v>88</v>
      </c>
      <c r="F43">
        <v>20</v>
      </c>
      <c r="G43">
        <v>20</v>
      </c>
      <c r="H43">
        <v>0</v>
      </c>
      <c r="I43">
        <v>1</v>
      </c>
    </row>
    <row r="44" spans="1:9" x14ac:dyDescent="0.3">
      <c r="A44" t="s">
        <v>18</v>
      </c>
      <c r="B44">
        <v>1</v>
      </c>
      <c r="C44" t="s">
        <v>24</v>
      </c>
      <c r="D44" t="s">
        <v>89</v>
      </c>
      <c r="E44" t="s">
        <v>90</v>
      </c>
      <c r="F44">
        <v>20</v>
      </c>
      <c r="G44">
        <v>20</v>
      </c>
      <c r="H44">
        <v>0</v>
      </c>
      <c r="I44">
        <v>1</v>
      </c>
    </row>
    <row r="45" spans="1:9" x14ac:dyDescent="0.3">
      <c r="A45" t="s">
        <v>18</v>
      </c>
      <c r="B45">
        <v>1</v>
      </c>
      <c r="C45" t="s">
        <v>24</v>
      </c>
      <c r="D45" t="s">
        <v>91</v>
      </c>
      <c r="E45" t="s">
        <v>92</v>
      </c>
      <c r="F45">
        <v>20</v>
      </c>
      <c r="G45">
        <v>20</v>
      </c>
      <c r="H45">
        <v>0</v>
      </c>
      <c r="I45">
        <v>1</v>
      </c>
    </row>
    <row r="46" spans="1:9" x14ac:dyDescent="0.3">
      <c r="A46" t="s">
        <v>18</v>
      </c>
      <c r="B46">
        <v>1</v>
      </c>
      <c r="C46" t="s">
        <v>24</v>
      </c>
      <c r="D46" t="s">
        <v>93</v>
      </c>
      <c r="E46" t="s">
        <v>94</v>
      </c>
      <c r="F46">
        <v>20</v>
      </c>
      <c r="G46">
        <v>19</v>
      </c>
      <c r="H46">
        <v>1</v>
      </c>
      <c r="I46">
        <v>0.95</v>
      </c>
    </row>
    <row r="47" spans="1:9" x14ac:dyDescent="0.3">
      <c r="A47" t="s">
        <v>18</v>
      </c>
      <c r="B47">
        <v>1</v>
      </c>
      <c r="C47" t="s">
        <v>24</v>
      </c>
      <c r="D47" t="s">
        <v>95</v>
      </c>
      <c r="E47" t="s">
        <v>96</v>
      </c>
      <c r="F47">
        <v>20</v>
      </c>
      <c r="G47">
        <v>17</v>
      </c>
      <c r="H47">
        <v>3</v>
      </c>
      <c r="I47">
        <v>0.85</v>
      </c>
    </row>
    <row r="48" spans="1:9" x14ac:dyDescent="0.3">
      <c r="A48" t="s">
        <v>18</v>
      </c>
      <c r="B48">
        <v>1</v>
      </c>
      <c r="C48" t="s">
        <v>24</v>
      </c>
      <c r="D48" t="s">
        <v>97</v>
      </c>
      <c r="E48" t="s">
        <v>98</v>
      </c>
      <c r="F48">
        <v>20</v>
      </c>
      <c r="G48">
        <v>17</v>
      </c>
      <c r="H48">
        <v>3</v>
      </c>
      <c r="I48">
        <v>0.85</v>
      </c>
    </row>
    <row r="49" spans="1:9" x14ac:dyDescent="0.3">
      <c r="A49" t="s">
        <v>18</v>
      </c>
      <c r="B49">
        <v>1</v>
      </c>
      <c r="C49" t="s">
        <v>24</v>
      </c>
      <c r="D49" t="s">
        <v>99</v>
      </c>
      <c r="E49" t="s">
        <v>100</v>
      </c>
      <c r="F49">
        <v>20</v>
      </c>
      <c r="G49">
        <v>16</v>
      </c>
      <c r="H49">
        <v>4</v>
      </c>
      <c r="I49">
        <v>0.8</v>
      </c>
    </row>
    <row r="50" spans="1:9" x14ac:dyDescent="0.3">
      <c r="A50" t="s">
        <v>18</v>
      </c>
      <c r="B50">
        <v>1</v>
      </c>
      <c r="C50" t="s">
        <v>24</v>
      </c>
      <c r="D50" t="s">
        <v>101</v>
      </c>
      <c r="E50" t="s">
        <v>102</v>
      </c>
      <c r="F50">
        <v>20</v>
      </c>
      <c r="G50">
        <v>17</v>
      </c>
      <c r="H50">
        <v>3</v>
      </c>
      <c r="I50">
        <v>0.85</v>
      </c>
    </row>
    <row r="51" spans="1:9" x14ac:dyDescent="0.3">
      <c r="A51" t="s">
        <v>18</v>
      </c>
      <c r="B51">
        <v>1</v>
      </c>
      <c r="C51" t="s">
        <v>24</v>
      </c>
      <c r="D51" t="s">
        <v>103</v>
      </c>
      <c r="E51" t="s">
        <v>104</v>
      </c>
      <c r="F51">
        <v>20</v>
      </c>
      <c r="G51">
        <v>20</v>
      </c>
      <c r="H51">
        <v>0</v>
      </c>
      <c r="I51">
        <v>1</v>
      </c>
    </row>
    <row r="52" spans="1:9" x14ac:dyDescent="0.3">
      <c r="A52" t="s">
        <v>18</v>
      </c>
      <c r="B52">
        <v>1</v>
      </c>
      <c r="C52" t="s">
        <v>24</v>
      </c>
      <c r="D52" t="s">
        <v>105</v>
      </c>
      <c r="E52" t="s">
        <v>106</v>
      </c>
      <c r="F52">
        <v>20</v>
      </c>
      <c r="G52">
        <v>20</v>
      </c>
      <c r="H52">
        <v>0</v>
      </c>
      <c r="I52">
        <v>1</v>
      </c>
    </row>
    <row r="53" spans="1:9" x14ac:dyDescent="0.3">
      <c r="A53" t="s">
        <v>18</v>
      </c>
      <c r="B53">
        <v>1</v>
      </c>
      <c r="C53" t="s">
        <v>24</v>
      </c>
      <c r="D53" t="s">
        <v>107</v>
      </c>
      <c r="E53" t="s">
        <v>108</v>
      </c>
      <c r="F53">
        <v>20</v>
      </c>
      <c r="G53">
        <v>19</v>
      </c>
      <c r="H53">
        <v>1</v>
      </c>
      <c r="I53">
        <v>0.95</v>
      </c>
    </row>
    <row r="54" spans="1:9" x14ac:dyDescent="0.3">
      <c r="A54" t="s">
        <v>18</v>
      </c>
      <c r="B54">
        <v>1</v>
      </c>
      <c r="C54" t="s">
        <v>24</v>
      </c>
      <c r="D54" t="s">
        <v>109</v>
      </c>
      <c r="E54" t="s">
        <v>110</v>
      </c>
      <c r="F54">
        <v>20</v>
      </c>
      <c r="G54">
        <v>17</v>
      </c>
      <c r="H54">
        <v>3</v>
      </c>
      <c r="I54">
        <v>0.85</v>
      </c>
    </row>
    <row r="55" spans="1:9" x14ac:dyDescent="0.3">
      <c r="A55" t="s">
        <v>18</v>
      </c>
      <c r="B55">
        <v>1</v>
      </c>
      <c r="C55" t="s">
        <v>24</v>
      </c>
      <c r="D55" t="s">
        <v>111</v>
      </c>
      <c r="E55" t="s">
        <v>112</v>
      </c>
      <c r="F55">
        <v>20</v>
      </c>
      <c r="G55">
        <v>19</v>
      </c>
      <c r="H55">
        <v>1</v>
      </c>
      <c r="I55">
        <v>0.95</v>
      </c>
    </row>
    <row r="56" spans="1:9" x14ac:dyDescent="0.3">
      <c r="A56" t="s">
        <v>18</v>
      </c>
      <c r="B56">
        <v>1</v>
      </c>
      <c r="C56" t="s">
        <v>25</v>
      </c>
      <c r="D56" t="s">
        <v>77</v>
      </c>
      <c r="E56" t="s">
        <v>78</v>
      </c>
      <c r="F56">
        <v>20</v>
      </c>
      <c r="G56">
        <v>19</v>
      </c>
      <c r="H56">
        <v>1</v>
      </c>
      <c r="I56">
        <v>0.95</v>
      </c>
    </row>
    <row r="57" spans="1:9" x14ac:dyDescent="0.3">
      <c r="A57" t="s">
        <v>18</v>
      </c>
      <c r="B57">
        <v>1</v>
      </c>
      <c r="C57" t="s">
        <v>25</v>
      </c>
      <c r="D57" t="s">
        <v>79</v>
      </c>
      <c r="E57" t="s">
        <v>80</v>
      </c>
      <c r="F57">
        <v>20</v>
      </c>
      <c r="G57">
        <v>20</v>
      </c>
      <c r="H57">
        <v>0</v>
      </c>
      <c r="I57">
        <v>1</v>
      </c>
    </row>
    <row r="58" spans="1:9" x14ac:dyDescent="0.3">
      <c r="A58" t="s">
        <v>18</v>
      </c>
      <c r="B58">
        <v>1</v>
      </c>
      <c r="C58" t="s">
        <v>25</v>
      </c>
      <c r="D58" t="s">
        <v>81</v>
      </c>
      <c r="E58" t="s">
        <v>82</v>
      </c>
      <c r="F58">
        <v>20</v>
      </c>
      <c r="G58">
        <v>14</v>
      </c>
      <c r="H58">
        <v>6</v>
      </c>
      <c r="I58">
        <v>0.7</v>
      </c>
    </row>
    <row r="59" spans="1:9" x14ac:dyDescent="0.3">
      <c r="A59" t="s">
        <v>18</v>
      </c>
      <c r="B59">
        <v>1</v>
      </c>
      <c r="C59" t="s">
        <v>25</v>
      </c>
      <c r="D59" t="s">
        <v>83</v>
      </c>
      <c r="E59" t="s">
        <v>84</v>
      </c>
      <c r="F59">
        <v>20</v>
      </c>
      <c r="G59">
        <v>20</v>
      </c>
      <c r="H59">
        <v>0</v>
      </c>
      <c r="I59">
        <v>1</v>
      </c>
    </row>
    <row r="60" spans="1:9" x14ac:dyDescent="0.3">
      <c r="A60" t="s">
        <v>18</v>
      </c>
      <c r="B60">
        <v>1</v>
      </c>
      <c r="C60" t="s">
        <v>25</v>
      </c>
      <c r="D60" t="s">
        <v>85</v>
      </c>
      <c r="E60" t="s">
        <v>86</v>
      </c>
      <c r="F60">
        <v>20</v>
      </c>
      <c r="G60">
        <v>20</v>
      </c>
      <c r="H60">
        <v>0</v>
      </c>
      <c r="I60">
        <v>1</v>
      </c>
    </row>
    <row r="61" spans="1:9" x14ac:dyDescent="0.3">
      <c r="A61" t="s">
        <v>18</v>
      </c>
      <c r="B61">
        <v>1</v>
      </c>
      <c r="C61" t="s">
        <v>25</v>
      </c>
      <c r="D61" t="s">
        <v>87</v>
      </c>
      <c r="E61" t="s">
        <v>88</v>
      </c>
      <c r="F61">
        <v>20</v>
      </c>
      <c r="G61">
        <v>20</v>
      </c>
      <c r="H61">
        <v>0</v>
      </c>
      <c r="I61">
        <v>1</v>
      </c>
    </row>
    <row r="62" spans="1:9" x14ac:dyDescent="0.3">
      <c r="A62" t="s">
        <v>18</v>
      </c>
      <c r="B62">
        <v>1</v>
      </c>
      <c r="C62" t="s">
        <v>25</v>
      </c>
      <c r="D62" t="s">
        <v>89</v>
      </c>
      <c r="E62" t="s">
        <v>90</v>
      </c>
      <c r="F62">
        <v>20</v>
      </c>
      <c r="G62">
        <v>20</v>
      </c>
      <c r="H62">
        <v>0</v>
      </c>
      <c r="I62">
        <v>1</v>
      </c>
    </row>
    <row r="63" spans="1:9" x14ac:dyDescent="0.3">
      <c r="A63" t="s">
        <v>18</v>
      </c>
      <c r="B63">
        <v>1</v>
      </c>
      <c r="C63" t="s">
        <v>25</v>
      </c>
      <c r="D63" t="s">
        <v>91</v>
      </c>
      <c r="E63" t="s">
        <v>92</v>
      </c>
      <c r="F63">
        <v>20</v>
      </c>
      <c r="G63">
        <v>20</v>
      </c>
      <c r="H63">
        <v>0</v>
      </c>
      <c r="I63">
        <v>1</v>
      </c>
    </row>
    <row r="64" spans="1:9" x14ac:dyDescent="0.3">
      <c r="A64" t="s">
        <v>18</v>
      </c>
      <c r="B64">
        <v>1</v>
      </c>
      <c r="C64" t="s">
        <v>25</v>
      </c>
      <c r="D64" t="s">
        <v>93</v>
      </c>
      <c r="E64" t="s">
        <v>94</v>
      </c>
      <c r="F64">
        <v>20</v>
      </c>
      <c r="G64">
        <v>20</v>
      </c>
      <c r="H64">
        <v>0</v>
      </c>
      <c r="I64">
        <v>1</v>
      </c>
    </row>
    <row r="65" spans="1:9" x14ac:dyDescent="0.3">
      <c r="A65" t="s">
        <v>18</v>
      </c>
      <c r="B65">
        <v>1</v>
      </c>
      <c r="C65" t="s">
        <v>25</v>
      </c>
      <c r="D65" t="s">
        <v>95</v>
      </c>
      <c r="E65" t="s">
        <v>96</v>
      </c>
      <c r="F65">
        <v>20</v>
      </c>
      <c r="G65">
        <v>20</v>
      </c>
      <c r="H65">
        <v>0</v>
      </c>
      <c r="I65">
        <v>1</v>
      </c>
    </row>
    <row r="66" spans="1:9" x14ac:dyDescent="0.3">
      <c r="A66" t="s">
        <v>18</v>
      </c>
      <c r="B66">
        <v>1</v>
      </c>
      <c r="C66" t="s">
        <v>25</v>
      </c>
      <c r="D66" t="s">
        <v>97</v>
      </c>
      <c r="E66" t="s">
        <v>98</v>
      </c>
      <c r="F66">
        <v>20</v>
      </c>
      <c r="G66">
        <v>20</v>
      </c>
      <c r="H66">
        <v>0</v>
      </c>
      <c r="I66">
        <v>1</v>
      </c>
    </row>
    <row r="67" spans="1:9" x14ac:dyDescent="0.3">
      <c r="A67" t="s">
        <v>18</v>
      </c>
      <c r="B67">
        <v>1</v>
      </c>
      <c r="C67" t="s">
        <v>25</v>
      </c>
      <c r="D67" t="s">
        <v>99</v>
      </c>
      <c r="E67" t="s">
        <v>100</v>
      </c>
      <c r="F67">
        <v>20</v>
      </c>
      <c r="G67">
        <v>20</v>
      </c>
      <c r="H67">
        <v>0</v>
      </c>
      <c r="I67">
        <v>1</v>
      </c>
    </row>
    <row r="68" spans="1:9" x14ac:dyDescent="0.3">
      <c r="A68" t="s">
        <v>18</v>
      </c>
      <c r="B68">
        <v>1</v>
      </c>
      <c r="C68" t="s">
        <v>25</v>
      </c>
      <c r="D68" t="s">
        <v>101</v>
      </c>
      <c r="E68" t="s">
        <v>102</v>
      </c>
      <c r="F68">
        <v>20</v>
      </c>
      <c r="G68">
        <v>18</v>
      </c>
      <c r="H68">
        <v>2</v>
      </c>
      <c r="I68">
        <v>0.9</v>
      </c>
    </row>
    <row r="69" spans="1:9" x14ac:dyDescent="0.3">
      <c r="A69" t="s">
        <v>18</v>
      </c>
      <c r="B69">
        <v>1</v>
      </c>
      <c r="C69" t="s">
        <v>25</v>
      </c>
      <c r="D69" t="s">
        <v>103</v>
      </c>
      <c r="E69" t="s">
        <v>104</v>
      </c>
      <c r="F69">
        <v>20</v>
      </c>
      <c r="G69">
        <v>20</v>
      </c>
      <c r="H69">
        <v>0</v>
      </c>
      <c r="I69">
        <v>1</v>
      </c>
    </row>
    <row r="70" spans="1:9" x14ac:dyDescent="0.3">
      <c r="A70" t="s">
        <v>18</v>
      </c>
      <c r="B70">
        <v>1</v>
      </c>
      <c r="C70" t="s">
        <v>25</v>
      </c>
      <c r="D70" t="s">
        <v>105</v>
      </c>
      <c r="E70" t="s">
        <v>106</v>
      </c>
      <c r="F70">
        <v>20</v>
      </c>
      <c r="G70">
        <v>20</v>
      </c>
      <c r="H70">
        <v>0</v>
      </c>
      <c r="I70">
        <v>1</v>
      </c>
    </row>
    <row r="71" spans="1:9" x14ac:dyDescent="0.3">
      <c r="A71" t="s">
        <v>18</v>
      </c>
      <c r="B71">
        <v>1</v>
      </c>
      <c r="C71" t="s">
        <v>25</v>
      </c>
      <c r="D71" t="s">
        <v>107</v>
      </c>
      <c r="E71" t="s">
        <v>108</v>
      </c>
      <c r="F71">
        <v>20</v>
      </c>
      <c r="G71">
        <v>19</v>
      </c>
      <c r="H71">
        <v>1</v>
      </c>
      <c r="I71">
        <v>0.95</v>
      </c>
    </row>
    <row r="72" spans="1:9" x14ac:dyDescent="0.3">
      <c r="A72" t="s">
        <v>18</v>
      </c>
      <c r="B72">
        <v>1</v>
      </c>
      <c r="C72" t="s">
        <v>25</v>
      </c>
      <c r="D72" t="s">
        <v>111</v>
      </c>
      <c r="E72" t="s">
        <v>112</v>
      </c>
      <c r="F72">
        <v>20</v>
      </c>
      <c r="G72">
        <v>20</v>
      </c>
      <c r="H72">
        <v>0</v>
      </c>
      <c r="I72">
        <v>1</v>
      </c>
    </row>
  </sheetData>
  <pageMargins left="0.75" right="0.75" top="1" bottom="1" header="0.5" footer="0.5"/>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I5"/>
  <sheetViews>
    <sheetView workbookViewId="0">
      <selection activeCell="I25" sqref="I25"/>
    </sheetView>
  </sheetViews>
  <sheetFormatPr defaultRowHeight="14.4" x14ac:dyDescent="0.3"/>
  <cols>
    <col min="1" max="1" width="12.6640625" customWidth="1"/>
    <col min="2" max="2" width="7.109375" bestFit="1" customWidth="1"/>
    <col min="3" max="3" width="7.6640625" bestFit="1" customWidth="1"/>
    <col min="4" max="4" width="16.33203125" bestFit="1" customWidth="1"/>
    <col min="5" max="5" width="17.44140625" bestFit="1" customWidth="1"/>
    <col min="6" max="7" width="21" bestFit="1" customWidth="1"/>
    <col min="8" max="8" width="26.33203125" bestFit="1" customWidth="1"/>
    <col min="9" max="9" width="29.109375" bestFit="1" customWidth="1"/>
  </cols>
  <sheetData>
    <row r="1" spans="1:9" x14ac:dyDescent="0.3">
      <c r="A1" s="1" t="s">
        <v>0</v>
      </c>
      <c r="B1" s="1" t="s">
        <v>1</v>
      </c>
      <c r="C1" s="1" t="s">
        <v>4</v>
      </c>
      <c r="D1" s="1" t="s">
        <v>17</v>
      </c>
      <c r="E1" s="1" t="s">
        <v>130</v>
      </c>
      <c r="F1" s="1" t="s">
        <v>134</v>
      </c>
      <c r="G1" s="1" t="s">
        <v>131</v>
      </c>
      <c r="H1" s="1" t="s">
        <v>135</v>
      </c>
      <c r="I1" s="1" t="s">
        <v>136</v>
      </c>
    </row>
    <row r="2" spans="1:9" x14ac:dyDescent="0.3">
      <c r="A2" t="s">
        <v>18</v>
      </c>
      <c r="B2">
        <v>1</v>
      </c>
      <c r="C2" t="s">
        <v>21</v>
      </c>
      <c r="D2">
        <v>0</v>
      </c>
      <c r="E2">
        <v>1</v>
      </c>
      <c r="F2">
        <v>0.98333333333333328</v>
      </c>
      <c r="G2">
        <v>360</v>
      </c>
      <c r="H2" t="b">
        <v>1</v>
      </c>
    </row>
    <row r="3" spans="1:9" x14ac:dyDescent="0.3">
      <c r="A3" t="s">
        <v>18</v>
      </c>
      <c r="B3">
        <v>1</v>
      </c>
      <c r="C3" t="s">
        <v>23</v>
      </c>
      <c r="D3">
        <v>5.8651026392961877E-3</v>
      </c>
      <c r="E3">
        <v>0.99413489736070382</v>
      </c>
      <c r="F3">
        <v>0.93888888888888888</v>
      </c>
      <c r="G3">
        <v>360</v>
      </c>
      <c r="H3" t="b">
        <v>1</v>
      </c>
    </row>
    <row r="4" spans="1:9" x14ac:dyDescent="0.3">
      <c r="A4" t="s">
        <v>18</v>
      </c>
      <c r="B4">
        <v>1</v>
      </c>
      <c r="C4" t="s">
        <v>24</v>
      </c>
      <c r="D4">
        <v>3.1055900621118009E-2</v>
      </c>
      <c r="E4">
        <v>0.96894409937888204</v>
      </c>
      <c r="F4">
        <v>0.91666666666666663</v>
      </c>
      <c r="G4">
        <v>360</v>
      </c>
      <c r="H4" t="b">
        <v>1</v>
      </c>
    </row>
    <row r="5" spans="1:9" x14ac:dyDescent="0.3">
      <c r="A5" t="s">
        <v>18</v>
      </c>
      <c r="B5">
        <v>1</v>
      </c>
      <c r="C5" t="s">
        <v>25</v>
      </c>
      <c r="D5">
        <v>3.4013605442176869E-3</v>
      </c>
      <c r="E5">
        <v>0.99659863945578231</v>
      </c>
      <c r="F5">
        <v>0.97058823529411764</v>
      </c>
      <c r="G5">
        <v>340</v>
      </c>
      <c r="H5" t="b">
        <v>1</v>
      </c>
    </row>
  </sheetData>
  <pageMargins left="0.75" right="0.75" top="1" bottom="1" header="0.5" footer="0.5"/>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L261"/>
  <sheetViews>
    <sheetView workbookViewId="0">
      <selection activeCell="K14" sqref="K14"/>
    </sheetView>
  </sheetViews>
  <sheetFormatPr defaultRowHeight="14.4" x14ac:dyDescent="0.3"/>
  <cols>
    <col min="1" max="1" width="8.6640625" bestFit="1" customWidth="1"/>
    <col min="2" max="2" width="7.109375" bestFit="1" customWidth="1"/>
    <col min="3" max="3" width="12.5546875" bestFit="1" customWidth="1"/>
    <col min="4" max="4" width="14.33203125" bestFit="1" customWidth="1"/>
    <col min="5" max="5" width="7.6640625" bestFit="1" customWidth="1"/>
    <col min="6" max="6" width="11" bestFit="1" customWidth="1"/>
    <col min="7" max="7" width="9" bestFit="1" customWidth="1"/>
    <col min="8" max="8" width="12.44140625" bestFit="1" customWidth="1"/>
    <col min="9" max="9" width="17.88671875" bestFit="1" customWidth="1"/>
    <col min="10" max="10" width="23.5546875" bestFit="1" customWidth="1"/>
    <col min="11" max="11" width="75.6640625" bestFit="1" customWidth="1"/>
    <col min="12" max="12" width="255.77734375" bestFit="1" customWidth="1"/>
  </cols>
  <sheetData>
    <row r="1" spans="1:12" x14ac:dyDescent="0.3">
      <c r="A1" s="1" t="s">
        <v>0</v>
      </c>
      <c r="B1" s="1" t="s">
        <v>1</v>
      </c>
      <c r="C1" s="1" t="s">
        <v>2</v>
      </c>
      <c r="D1" s="1" t="s">
        <v>3</v>
      </c>
      <c r="E1" s="1" t="s">
        <v>4</v>
      </c>
      <c r="F1" s="1" t="s">
        <v>73</v>
      </c>
      <c r="G1" s="1" t="s">
        <v>137</v>
      </c>
      <c r="H1" s="1" t="s">
        <v>138</v>
      </c>
      <c r="I1" s="1" t="s">
        <v>139</v>
      </c>
      <c r="J1" s="1" t="s">
        <v>140</v>
      </c>
      <c r="K1" s="1" t="s">
        <v>141</v>
      </c>
      <c r="L1" s="1" t="s">
        <v>142</v>
      </c>
    </row>
    <row r="2" spans="1:12" x14ac:dyDescent="0.3">
      <c r="A2" t="s">
        <v>18</v>
      </c>
      <c r="B2">
        <v>1</v>
      </c>
      <c r="C2" t="s">
        <v>19</v>
      </c>
      <c r="D2" t="s">
        <v>20</v>
      </c>
      <c r="E2" t="s">
        <v>24</v>
      </c>
      <c r="F2" t="s">
        <v>77</v>
      </c>
      <c r="G2">
        <v>1</v>
      </c>
      <c r="H2">
        <v>1</v>
      </c>
      <c r="I2" t="s">
        <v>129</v>
      </c>
      <c r="J2" t="s">
        <v>129</v>
      </c>
      <c r="K2" t="s">
        <v>143</v>
      </c>
      <c r="L2" t="s">
        <v>144</v>
      </c>
    </row>
    <row r="3" spans="1:12" x14ac:dyDescent="0.3">
      <c r="A3" t="s">
        <v>18</v>
      </c>
      <c r="B3">
        <v>1</v>
      </c>
      <c r="C3" t="s">
        <v>19</v>
      </c>
      <c r="D3" t="s">
        <v>20</v>
      </c>
      <c r="E3" t="s">
        <v>24</v>
      </c>
      <c r="F3" t="s">
        <v>79</v>
      </c>
      <c r="G3">
        <v>0</v>
      </c>
      <c r="H3">
        <v>0</v>
      </c>
      <c r="I3" t="s">
        <v>129</v>
      </c>
      <c r="J3" t="s">
        <v>129</v>
      </c>
      <c r="K3" t="s">
        <v>143</v>
      </c>
      <c r="L3" t="s">
        <v>145</v>
      </c>
    </row>
    <row r="4" spans="1:12" x14ac:dyDescent="0.3">
      <c r="A4" t="s">
        <v>18</v>
      </c>
      <c r="B4">
        <v>1</v>
      </c>
      <c r="C4" t="s">
        <v>19</v>
      </c>
      <c r="D4" t="s">
        <v>20</v>
      </c>
      <c r="E4" t="s">
        <v>24</v>
      </c>
      <c r="F4" t="s">
        <v>83</v>
      </c>
      <c r="G4">
        <v>1</v>
      </c>
      <c r="H4">
        <v>0</v>
      </c>
      <c r="I4" t="s">
        <v>128</v>
      </c>
      <c r="J4" t="s">
        <v>128</v>
      </c>
      <c r="K4" t="s">
        <v>143</v>
      </c>
      <c r="L4" t="s">
        <v>146</v>
      </c>
    </row>
    <row r="5" spans="1:12" x14ac:dyDescent="0.3">
      <c r="A5" t="s">
        <v>18</v>
      </c>
      <c r="B5">
        <v>1</v>
      </c>
      <c r="C5" t="s">
        <v>19</v>
      </c>
      <c r="D5" t="s">
        <v>20</v>
      </c>
      <c r="E5" t="s">
        <v>24</v>
      </c>
      <c r="F5" t="s">
        <v>87</v>
      </c>
      <c r="G5">
        <v>0</v>
      </c>
      <c r="H5">
        <v>0</v>
      </c>
      <c r="I5" t="s">
        <v>127</v>
      </c>
      <c r="J5" t="s">
        <v>127</v>
      </c>
      <c r="K5" t="s">
        <v>147</v>
      </c>
      <c r="L5" t="s">
        <v>148</v>
      </c>
    </row>
    <row r="6" spans="1:12" x14ac:dyDescent="0.3">
      <c r="A6" t="s">
        <v>18</v>
      </c>
      <c r="B6">
        <v>1</v>
      </c>
      <c r="C6" t="s">
        <v>19</v>
      </c>
      <c r="D6" t="s">
        <v>20</v>
      </c>
      <c r="E6" t="s">
        <v>24</v>
      </c>
      <c r="F6" t="s">
        <v>95</v>
      </c>
      <c r="G6">
        <v>0</v>
      </c>
      <c r="H6">
        <v>0</v>
      </c>
      <c r="I6" t="s">
        <v>129</v>
      </c>
      <c r="J6" t="s">
        <v>129</v>
      </c>
      <c r="K6" t="s">
        <v>149</v>
      </c>
      <c r="L6" t="s">
        <v>150</v>
      </c>
    </row>
    <row r="7" spans="1:12" x14ac:dyDescent="0.3">
      <c r="A7" t="s">
        <v>18</v>
      </c>
      <c r="B7">
        <v>1</v>
      </c>
      <c r="C7" t="s">
        <v>19</v>
      </c>
      <c r="D7" t="s">
        <v>20</v>
      </c>
      <c r="E7" t="s">
        <v>24</v>
      </c>
      <c r="F7" t="s">
        <v>99</v>
      </c>
      <c r="G7">
        <v>1</v>
      </c>
      <c r="H7">
        <v>0</v>
      </c>
      <c r="I7" t="s">
        <v>128</v>
      </c>
      <c r="J7" t="s">
        <v>128</v>
      </c>
      <c r="K7" t="s">
        <v>151</v>
      </c>
      <c r="L7" t="s">
        <v>152</v>
      </c>
    </row>
    <row r="8" spans="1:12" x14ac:dyDescent="0.3">
      <c r="A8" t="s">
        <v>18</v>
      </c>
      <c r="B8">
        <v>1</v>
      </c>
      <c r="C8" t="s">
        <v>19</v>
      </c>
      <c r="D8" t="s">
        <v>20</v>
      </c>
      <c r="E8" t="s">
        <v>24</v>
      </c>
      <c r="F8" t="s">
        <v>101</v>
      </c>
      <c r="G8">
        <v>0</v>
      </c>
      <c r="H8">
        <v>0</v>
      </c>
      <c r="I8" t="s">
        <v>129</v>
      </c>
      <c r="J8" t="s">
        <v>129</v>
      </c>
      <c r="K8" t="s">
        <v>153</v>
      </c>
      <c r="L8" t="s">
        <v>154</v>
      </c>
    </row>
    <row r="9" spans="1:12" x14ac:dyDescent="0.3">
      <c r="A9" t="s">
        <v>18</v>
      </c>
      <c r="B9">
        <v>1</v>
      </c>
      <c r="C9" t="s">
        <v>19</v>
      </c>
      <c r="D9" t="s">
        <v>20</v>
      </c>
      <c r="E9" t="s">
        <v>24</v>
      </c>
      <c r="F9" t="s">
        <v>103</v>
      </c>
      <c r="G9">
        <v>0</v>
      </c>
      <c r="H9">
        <v>0</v>
      </c>
      <c r="I9" t="s">
        <v>129</v>
      </c>
      <c r="J9" t="s">
        <v>129</v>
      </c>
      <c r="K9" t="s">
        <v>155</v>
      </c>
      <c r="L9" t="s">
        <v>156</v>
      </c>
    </row>
    <row r="10" spans="1:12" x14ac:dyDescent="0.3">
      <c r="A10" t="s">
        <v>18</v>
      </c>
      <c r="B10">
        <v>1</v>
      </c>
      <c r="C10" t="s">
        <v>19</v>
      </c>
      <c r="D10" t="s">
        <v>20</v>
      </c>
      <c r="E10" t="s">
        <v>24</v>
      </c>
      <c r="F10" t="s">
        <v>109</v>
      </c>
      <c r="G10">
        <v>0</v>
      </c>
      <c r="H10">
        <v>0</v>
      </c>
      <c r="I10" t="s">
        <v>129</v>
      </c>
      <c r="J10" t="s">
        <v>129</v>
      </c>
      <c r="K10" t="s">
        <v>157</v>
      </c>
      <c r="L10" t="s">
        <v>158</v>
      </c>
    </row>
    <row r="11" spans="1:12" x14ac:dyDescent="0.3">
      <c r="A11" t="s">
        <v>18</v>
      </c>
      <c r="B11">
        <v>1</v>
      </c>
      <c r="C11" t="s">
        <v>19</v>
      </c>
      <c r="D11" t="s">
        <v>20</v>
      </c>
      <c r="E11" t="s">
        <v>24</v>
      </c>
      <c r="F11" t="s">
        <v>111</v>
      </c>
      <c r="G11">
        <v>0</v>
      </c>
      <c r="H11">
        <v>0</v>
      </c>
      <c r="I11" t="s">
        <v>129</v>
      </c>
      <c r="J11" t="s">
        <v>129</v>
      </c>
      <c r="K11" t="s">
        <v>159</v>
      </c>
      <c r="L11" t="s">
        <v>160</v>
      </c>
    </row>
    <row r="12" spans="1:12" x14ac:dyDescent="0.3">
      <c r="A12" t="s">
        <v>18</v>
      </c>
      <c r="B12">
        <v>1</v>
      </c>
      <c r="C12" t="s">
        <v>26</v>
      </c>
      <c r="D12" t="s">
        <v>27</v>
      </c>
      <c r="E12" t="s">
        <v>24</v>
      </c>
      <c r="F12" t="s">
        <v>83</v>
      </c>
      <c r="G12">
        <v>1</v>
      </c>
      <c r="H12">
        <v>0</v>
      </c>
      <c r="I12" t="s">
        <v>128</v>
      </c>
      <c r="J12" t="s">
        <v>128</v>
      </c>
      <c r="K12" t="s">
        <v>161</v>
      </c>
      <c r="L12" t="s">
        <v>162</v>
      </c>
    </row>
    <row r="13" spans="1:12" x14ac:dyDescent="0.3">
      <c r="A13" t="s">
        <v>18</v>
      </c>
      <c r="B13">
        <v>1</v>
      </c>
      <c r="C13" t="s">
        <v>26</v>
      </c>
      <c r="D13" t="s">
        <v>27</v>
      </c>
      <c r="E13" t="s">
        <v>24</v>
      </c>
      <c r="F13" t="s">
        <v>87</v>
      </c>
      <c r="G13">
        <v>0</v>
      </c>
      <c r="H13">
        <v>0</v>
      </c>
      <c r="I13" t="s">
        <v>127</v>
      </c>
      <c r="J13" t="s">
        <v>127</v>
      </c>
      <c r="K13" t="s">
        <v>147</v>
      </c>
      <c r="L13" t="s">
        <v>163</v>
      </c>
    </row>
    <row r="14" spans="1:12" x14ac:dyDescent="0.3">
      <c r="A14" t="s">
        <v>18</v>
      </c>
      <c r="B14">
        <v>1</v>
      </c>
      <c r="C14" t="s">
        <v>26</v>
      </c>
      <c r="D14" t="s">
        <v>27</v>
      </c>
      <c r="E14" t="s">
        <v>24</v>
      </c>
      <c r="F14" t="s">
        <v>107</v>
      </c>
      <c r="G14">
        <v>0</v>
      </c>
      <c r="H14">
        <v>0</v>
      </c>
      <c r="I14" t="s">
        <v>129</v>
      </c>
      <c r="J14" t="s">
        <v>129</v>
      </c>
      <c r="K14" t="s">
        <v>164</v>
      </c>
      <c r="L14" t="s">
        <v>165</v>
      </c>
    </row>
    <row r="15" spans="1:12" x14ac:dyDescent="0.3">
      <c r="A15" t="s">
        <v>18</v>
      </c>
      <c r="B15">
        <v>1</v>
      </c>
      <c r="C15" t="s">
        <v>28</v>
      </c>
      <c r="D15" t="s">
        <v>29</v>
      </c>
      <c r="E15" t="s">
        <v>24</v>
      </c>
      <c r="F15" t="s">
        <v>93</v>
      </c>
      <c r="G15">
        <v>0</v>
      </c>
      <c r="H15">
        <v>0</v>
      </c>
      <c r="I15" t="s">
        <v>129</v>
      </c>
      <c r="J15" t="s">
        <v>129</v>
      </c>
      <c r="K15" t="s">
        <v>166</v>
      </c>
      <c r="L15" t="s">
        <v>167</v>
      </c>
    </row>
    <row r="16" spans="1:12" x14ac:dyDescent="0.3">
      <c r="A16" t="s">
        <v>18</v>
      </c>
      <c r="B16">
        <v>1</v>
      </c>
      <c r="C16" t="s">
        <v>28</v>
      </c>
      <c r="D16" t="s">
        <v>29</v>
      </c>
      <c r="E16" t="s">
        <v>24</v>
      </c>
      <c r="F16" t="s">
        <v>103</v>
      </c>
      <c r="G16">
        <v>0</v>
      </c>
      <c r="H16">
        <v>0</v>
      </c>
      <c r="I16" t="s">
        <v>129</v>
      </c>
      <c r="J16" t="s">
        <v>129</v>
      </c>
      <c r="K16" t="s">
        <v>166</v>
      </c>
      <c r="L16" t="s">
        <v>168</v>
      </c>
    </row>
    <row r="17" spans="1:12" x14ac:dyDescent="0.3">
      <c r="A17" t="s">
        <v>18</v>
      </c>
      <c r="B17">
        <v>1</v>
      </c>
      <c r="C17" t="s">
        <v>30</v>
      </c>
      <c r="D17" t="s">
        <v>31</v>
      </c>
      <c r="E17" t="s">
        <v>24</v>
      </c>
      <c r="F17" t="s">
        <v>109</v>
      </c>
      <c r="G17">
        <v>0</v>
      </c>
      <c r="H17">
        <v>1</v>
      </c>
      <c r="I17" t="s">
        <v>128</v>
      </c>
      <c r="J17" t="s">
        <v>128</v>
      </c>
      <c r="K17" t="s">
        <v>169</v>
      </c>
      <c r="L17" t="s">
        <v>170</v>
      </c>
    </row>
    <row r="18" spans="1:12" x14ac:dyDescent="0.3">
      <c r="A18" t="s">
        <v>18</v>
      </c>
      <c r="B18">
        <v>1</v>
      </c>
      <c r="C18" t="s">
        <v>32</v>
      </c>
      <c r="D18" t="s">
        <v>33</v>
      </c>
      <c r="E18" t="s">
        <v>24</v>
      </c>
      <c r="F18" t="s">
        <v>79</v>
      </c>
      <c r="G18">
        <v>0</v>
      </c>
      <c r="H18">
        <v>0</v>
      </c>
      <c r="I18" t="s">
        <v>129</v>
      </c>
      <c r="J18" t="s">
        <v>129</v>
      </c>
      <c r="K18" t="s">
        <v>171</v>
      </c>
      <c r="L18" t="s">
        <v>172</v>
      </c>
    </row>
    <row r="19" spans="1:12" x14ac:dyDescent="0.3">
      <c r="A19" t="s">
        <v>18</v>
      </c>
      <c r="B19">
        <v>1</v>
      </c>
      <c r="C19" t="s">
        <v>32</v>
      </c>
      <c r="D19" t="s">
        <v>33</v>
      </c>
      <c r="E19" t="s">
        <v>24</v>
      </c>
      <c r="F19" t="s">
        <v>81</v>
      </c>
      <c r="G19">
        <v>1</v>
      </c>
      <c r="H19">
        <v>1</v>
      </c>
      <c r="I19" t="s">
        <v>129</v>
      </c>
      <c r="J19" t="s">
        <v>129</v>
      </c>
      <c r="K19" t="s">
        <v>173</v>
      </c>
      <c r="L19" t="s">
        <v>152</v>
      </c>
    </row>
    <row r="20" spans="1:12" x14ac:dyDescent="0.3">
      <c r="A20" t="s">
        <v>18</v>
      </c>
      <c r="B20">
        <v>1</v>
      </c>
      <c r="C20" t="s">
        <v>32</v>
      </c>
      <c r="D20" t="s">
        <v>33</v>
      </c>
      <c r="E20" t="s">
        <v>24</v>
      </c>
      <c r="F20" t="s">
        <v>83</v>
      </c>
      <c r="G20">
        <v>0</v>
      </c>
      <c r="H20">
        <v>0</v>
      </c>
      <c r="I20" t="s">
        <v>129</v>
      </c>
      <c r="J20" t="s">
        <v>129</v>
      </c>
      <c r="K20" t="s">
        <v>171</v>
      </c>
      <c r="L20" t="s">
        <v>174</v>
      </c>
    </row>
    <row r="21" spans="1:12" x14ac:dyDescent="0.3">
      <c r="A21" t="s">
        <v>18</v>
      </c>
      <c r="B21">
        <v>1</v>
      </c>
      <c r="C21" t="s">
        <v>32</v>
      </c>
      <c r="D21" t="s">
        <v>33</v>
      </c>
      <c r="E21" t="s">
        <v>24</v>
      </c>
      <c r="F21" t="s">
        <v>85</v>
      </c>
      <c r="G21">
        <v>0</v>
      </c>
      <c r="H21">
        <v>0</v>
      </c>
      <c r="I21" t="s">
        <v>129</v>
      </c>
      <c r="J21" t="s">
        <v>129</v>
      </c>
      <c r="K21" t="s">
        <v>171</v>
      </c>
      <c r="L21" t="s">
        <v>175</v>
      </c>
    </row>
    <row r="22" spans="1:12" x14ac:dyDescent="0.3">
      <c r="A22" t="s">
        <v>18</v>
      </c>
      <c r="B22">
        <v>1</v>
      </c>
      <c r="C22" t="s">
        <v>32</v>
      </c>
      <c r="D22" t="s">
        <v>33</v>
      </c>
      <c r="E22" t="s">
        <v>24</v>
      </c>
      <c r="F22" t="s">
        <v>95</v>
      </c>
      <c r="G22">
        <v>0</v>
      </c>
      <c r="H22">
        <v>0</v>
      </c>
      <c r="I22" t="s">
        <v>129</v>
      </c>
      <c r="J22" t="s">
        <v>129</v>
      </c>
      <c r="K22" t="s">
        <v>171</v>
      </c>
      <c r="L22" t="s">
        <v>176</v>
      </c>
    </row>
    <row r="23" spans="1:12" x14ac:dyDescent="0.3">
      <c r="A23" t="s">
        <v>18</v>
      </c>
      <c r="B23">
        <v>1</v>
      </c>
      <c r="C23" t="s">
        <v>32</v>
      </c>
      <c r="D23" t="s">
        <v>33</v>
      </c>
      <c r="E23" t="s">
        <v>24</v>
      </c>
      <c r="F23" t="s">
        <v>105</v>
      </c>
      <c r="G23">
        <v>0</v>
      </c>
      <c r="H23">
        <v>0</v>
      </c>
      <c r="I23" t="s">
        <v>129</v>
      </c>
      <c r="J23" t="s">
        <v>129</v>
      </c>
      <c r="K23" t="s">
        <v>171</v>
      </c>
      <c r="L23" t="s">
        <v>177</v>
      </c>
    </row>
    <row r="24" spans="1:12" x14ac:dyDescent="0.3">
      <c r="A24" t="s">
        <v>18</v>
      </c>
      <c r="B24">
        <v>1</v>
      </c>
      <c r="C24" t="s">
        <v>34</v>
      </c>
      <c r="D24" t="s">
        <v>35</v>
      </c>
      <c r="E24" t="s">
        <v>24</v>
      </c>
      <c r="F24" t="s">
        <v>81</v>
      </c>
      <c r="G24">
        <v>1</v>
      </c>
      <c r="H24">
        <v>0</v>
      </c>
      <c r="I24" t="s">
        <v>128</v>
      </c>
      <c r="J24" t="s">
        <v>128</v>
      </c>
      <c r="K24" t="s">
        <v>178</v>
      </c>
      <c r="L24" t="s">
        <v>152</v>
      </c>
    </row>
    <row r="25" spans="1:12" x14ac:dyDescent="0.3">
      <c r="A25" t="s">
        <v>18</v>
      </c>
      <c r="B25">
        <v>1</v>
      </c>
      <c r="C25" t="s">
        <v>34</v>
      </c>
      <c r="D25" t="s">
        <v>35</v>
      </c>
      <c r="E25" t="s">
        <v>24</v>
      </c>
      <c r="F25" t="s">
        <v>87</v>
      </c>
      <c r="G25">
        <v>0</v>
      </c>
      <c r="H25">
        <v>0</v>
      </c>
      <c r="I25" t="s">
        <v>127</v>
      </c>
      <c r="J25" t="s">
        <v>127</v>
      </c>
      <c r="K25" t="s">
        <v>147</v>
      </c>
      <c r="L25" t="s">
        <v>179</v>
      </c>
    </row>
    <row r="26" spans="1:12" x14ac:dyDescent="0.3">
      <c r="A26" t="s">
        <v>18</v>
      </c>
      <c r="B26">
        <v>1</v>
      </c>
      <c r="C26" t="s">
        <v>34</v>
      </c>
      <c r="D26" t="s">
        <v>35</v>
      </c>
      <c r="E26" t="s">
        <v>24</v>
      </c>
      <c r="F26" t="s">
        <v>107</v>
      </c>
      <c r="G26">
        <v>0</v>
      </c>
      <c r="H26">
        <v>0</v>
      </c>
      <c r="I26" t="s">
        <v>127</v>
      </c>
      <c r="J26" t="s">
        <v>127</v>
      </c>
      <c r="K26" t="s">
        <v>147</v>
      </c>
      <c r="L26" t="s">
        <v>180</v>
      </c>
    </row>
    <row r="27" spans="1:12" x14ac:dyDescent="0.3">
      <c r="A27" t="s">
        <v>18</v>
      </c>
      <c r="B27">
        <v>1</v>
      </c>
      <c r="C27" t="s">
        <v>36</v>
      </c>
      <c r="D27" t="s">
        <v>37</v>
      </c>
      <c r="E27" t="s">
        <v>24</v>
      </c>
      <c r="F27" t="s">
        <v>83</v>
      </c>
      <c r="G27">
        <v>0</v>
      </c>
      <c r="H27">
        <v>0</v>
      </c>
      <c r="I27" t="s">
        <v>129</v>
      </c>
      <c r="J27" t="s">
        <v>129</v>
      </c>
      <c r="K27" t="s">
        <v>171</v>
      </c>
      <c r="L27" t="s">
        <v>181</v>
      </c>
    </row>
    <row r="28" spans="1:12" x14ac:dyDescent="0.3">
      <c r="A28" t="s">
        <v>18</v>
      </c>
      <c r="B28">
        <v>1</v>
      </c>
      <c r="C28" t="s">
        <v>36</v>
      </c>
      <c r="D28" t="s">
        <v>37</v>
      </c>
      <c r="E28" t="s">
        <v>24</v>
      </c>
      <c r="F28" t="s">
        <v>85</v>
      </c>
      <c r="G28">
        <v>0</v>
      </c>
      <c r="H28">
        <v>0</v>
      </c>
      <c r="I28" t="s">
        <v>129</v>
      </c>
      <c r="J28" t="s">
        <v>129</v>
      </c>
      <c r="K28" t="s">
        <v>171</v>
      </c>
      <c r="L28" t="s">
        <v>182</v>
      </c>
    </row>
    <row r="29" spans="1:12" x14ac:dyDescent="0.3">
      <c r="A29" t="s">
        <v>18</v>
      </c>
      <c r="B29">
        <v>1</v>
      </c>
      <c r="C29" t="s">
        <v>38</v>
      </c>
      <c r="D29" t="s">
        <v>39</v>
      </c>
      <c r="E29" t="s">
        <v>24</v>
      </c>
      <c r="F29" t="s">
        <v>79</v>
      </c>
      <c r="G29">
        <v>0</v>
      </c>
      <c r="H29">
        <v>0</v>
      </c>
      <c r="I29" t="s">
        <v>129</v>
      </c>
      <c r="J29" t="s">
        <v>129</v>
      </c>
      <c r="K29" t="s">
        <v>171</v>
      </c>
      <c r="L29" t="s">
        <v>183</v>
      </c>
    </row>
    <row r="30" spans="1:12" x14ac:dyDescent="0.3">
      <c r="A30" t="s">
        <v>18</v>
      </c>
      <c r="B30">
        <v>1</v>
      </c>
      <c r="C30" t="s">
        <v>38</v>
      </c>
      <c r="D30" t="s">
        <v>39</v>
      </c>
      <c r="E30" t="s">
        <v>24</v>
      </c>
      <c r="F30" t="s">
        <v>85</v>
      </c>
      <c r="G30">
        <v>0</v>
      </c>
      <c r="H30">
        <v>0</v>
      </c>
      <c r="I30" t="s">
        <v>129</v>
      </c>
      <c r="J30" t="s">
        <v>129</v>
      </c>
      <c r="K30" t="s">
        <v>171</v>
      </c>
      <c r="L30" t="s">
        <v>184</v>
      </c>
    </row>
    <row r="31" spans="1:12" x14ac:dyDescent="0.3">
      <c r="A31" t="s">
        <v>18</v>
      </c>
      <c r="B31">
        <v>1</v>
      </c>
      <c r="C31" t="s">
        <v>40</v>
      </c>
      <c r="D31" t="s">
        <v>41</v>
      </c>
      <c r="E31" t="s">
        <v>24</v>
      </c>
      <c r="F31" t="s">
        <v>81</v>
      </c>
      <c r="G31">
        <v>1</v>
      </c>
      <c r="H31">
        <v>1</v>
      </c>
      <c r="I31" t="s">
        <v>129</v>
      </c>
      <c r="J31" t="s">
        <v>129</v>
      </c>
      <c r="K31" t="s">
        <v>171</v>
      </c>
      <c r="L31" t="s">
        <v>152</v>
      </c>
    </row>
    <row r="32" spans="1:12" x14ac:dyDescent="0.3">
      <c r="A32" t="s">
        <v>18</v>
      </c>
      <c r="B32">
        <v>1</v>
      </c>
      <c r="C32" t="s">
        <v>40</v>
      </c>
      <c r="D32" t="s">
        <v>41</v>
      </c>
      <c r="E32" t="s">
        <v>24</v>
      </c>
      <c r="F32" t="s">
        <v>83</v>
      </c>
      <c r="G32">
        <v>1</v>
      </c>
      <c r="H32">
        <v>0</v>
      </c>
      <c r="I32" t="s">
        <v>128</v>
      </c>
      <c r="J32" t="s">
        <v>128</v>
      </c>
      <c r="K32" t="s">
        <v>185</v>
      </c>
      <c r="L32" t="s">
        <v>186</v>
      </c>
    </row>
    <row r="33" spans="1:12" x14ac:dyDescent="0.3">
      <c r="A33" t="s">
        <v>18</v>
      </c>
      <c r="B33">
        <v>1</v>
      </c>
      <c r="C33" t="s">
        <v>40</v>
      </c>
      <c r="D33" t="s">
        <v>41</v>
      </c>
      <c r="E33" t="s">
        <v>24</v>
      </c>
      <c r="F33" t="s">
        <v>85</v>
      </c>
      <c r="G33">
        <v>0</v>
      </c>
      <c r="H33">
        <v>0</v>
      </c>
      <c r="I33" t="s">
        <v>129</v>
      </c>
      <c r="J33" t="s">
        <v>129</v>
      </c>
      <c r="K33" t="s">
        <v>171</v>
      </c>
      <c r="L33" t="s">
        <v>187</v>
      </c>
    </row>
    <row r="34" spans="1:12" x14ac:dyDescent="0.3">
      <c r="A34" t="s">
        <v>18</v>
      </c>
      <c r="B34">
        <v>1</v>
      </c>
      <c r="C34" t="s">
        <v>40</v>
      </c>
      <c r="D34" t="s">
        <v>41</v>
      </c>
      <c r="E34" t="s">
        <v>24</v>
      </c>
      <c r="F34" t="s">
        <v>87</v>
      </c>
      <c r="G34">
        <v>0</v>
      </c>
      <c r="H34">
        <v>0</v>
      </c>
      <c r="I34" t="s">
        <v>127</v>
      </c>
      <c r="J34" t="s">
        <v>127</v>
      </c>
      <c r="K34" t="s">
        <v>147</v>
      </c>
      <c r="L34" t="s">
        <v>188</v>
      </c>
    </row>
    <row r="35" spans="1:12" x14ac:dyDescent="0.3">
      <c r="A35" t="s">
        <v>18</v>
      </c>
      <c r="B35">
        <v>1</v>
      </c>
      <c r="C35" t="s">
        <v>40</v>
      </c>
      <c r="D35" t="s">
        <v>41</v>
      </c>
      <c r="E35" t="s">
        <v>24</v>
      </c>
      <c r="F35" t="s">
        <v>105</v>
      </c>
      <c r="G35">
        <v>0</v>
      </c>
      <c r="H35">
        <v>0</v>
      </c>
      <c r="I35" t="s">
        <v>129</v>
      </c>
      <c r="J35" t="s">
        <v>129</v>
      </c>
      <c r="K35" t="s">
        <v>171</v>
      </c>
      <c r="L35" t="s">
        <v>189</v>
      </c>
    </row>
    <row r="36" spans="1:12" x14ac:dyDescent="0.3">
      <c r="A36" t="s">
        <v>18</v>
      </c>
      <c r="B36">
        <v>1</v>
      </c>
      <c r="C36" t="s">
        <v>43</v>
      </c>
      <c r="D36" t="s">
        <v>44</v>
      </c>
      <c r="E36" t="s">
        <v>24</v>
      </c>
      <c r="F36" t="s">
        <v>83</v>
      </c>
      <c r="G36">
        <v>1</v>
      </c>
      <c r="H36">
        <v>0</v>
      </c>
      <c r="I36" t="s">
        <v>128</v>
      </c>
      <c r="J36" t="s">
        <v>128</v>
      </c>
      <c r="K36" t="s">
        <v>161</v>
      </c>
      <c r="L36" t="s">
        <v>190</v>
      </c>
    </row>
    <row r="37" spans="1:12" x14ac:dyDescent="0.3">
      <c r="A37" t="s">
        <v>18</v>
      </c>
      <c r="B37">
        <v>1</v>
      </c>
      <c r="C37" t="s">
        <v>43</v>
      </c>
      <c r="D37" t="s">
        <v>44</v>
      </c>
      <c r="E37" t="s">
        <v>24</v>
      </c>
      <c r="F37" t="s">
        <v>97</v>
      </c>
      <c r="G37">
        <v>0</v>
      </c>
      <c r="H37">
        <v>0</v>
      </c>
      <c r="I37" t="s">
        <v>127</v>
      </c>
      <c r="J37" t="s">
        <v>127</v>
      </c>
      <c r="K37" t="s">
        <v>147</v>
      </c>
      <c r="L37" t="s">
        <v>191</v>
      </c>
    </row>
    <row r="38" spans="1:12" x14ac:dyDescent="0.3">
      <c r="A38" t="s">
        <v>18</v>
      </c>
      <c r="B38">
        <v>1</v>
      </c>
      <c r="C38" t="s">
        <v>43</v>
      </c>
      <c r="D38" t="s">
        <v>44</v>
      </c>
      <c r="E38" t="s">
        <v>24</v>
      </c>
      <c r="F38" t="s">
        <v>99</v>
      </c>
      <c r="G38">
        <v>1</v>
      </c>
      <c r="H38">
        <v>0</v>
      </c>
      <c r="I38" t="s">
        <v>128</v>
      </c>
      <c r="J38" t="s">
        <v>128</v>
      </c>
      <c r="K38" t="s">
        <v>192</v>
      </c>
      <c r="L38" t="s">
        <v>193</v>
      </c>
    </row>
    <row r="39" spans="1:12" x14ac:dyDescent="0.3">
      <c r="A39" t="s">
        <v>18</v>
      </c>
      <c r="B39">
        <v>1</v>
      </c>
      <c r="C39" t="s">
        <v>43</v>
      </c>
      <c r="D39" t="s">
        <v>44</v>
      </c>
      <c r="E39" t="s">
        <v>24</v>
      </c>
      <c r="F39" t="s">
        <v>101</v>
      </c>
      <c r="G39">
        <v>1</v>
      </c>
      <c r="H39">
        <v>0</v>
      </c>
      <c r="I39" t="s">
        <v>128</v>
      </c>
      <c r="J39" t="s">
        <v>128</v>
      </c>
      <c r="K39" t="s">
        <v>194</v>
      </c>
      <c r="L39" t="s">
        <v>195</v>
      </c>
    </row>
    <row r="40" spans="1:12" x14ac:dyDescent="0.3">
      <c r="A40" t="s">
        <v>18</v>
      </c>
      <c r="B40">
        <v>1</v>
      </c>
      <c r="C40" t="s">
        <v>43</v>
      </c>
      <c r="D40" t="s">
        <v>44</v>
      </c>
      <c r="E40" t="s">
        <v>24</v>
      </c>
      <c r="F40" t="s">
        <v>111</v>
      </c>
      <c r="G40">
        <v>1</v>
      </c>
      <c r="H40">
        <v>0</v>
      </c>
      <c r="I40" t="s">
        <v>127</v>
      </c>
      <c r="J40" t="s">
        <v>127</v>
      </c>
      <c r="K40" t="s">
        <v>147</v>
      </c>
      <c r="L40" t="s">
        <v>196</v>
      </c>
    </row>
    <row r="41" spans="1:12" x14ac:dyDescent="0.3">
      <c r="A41" t="s">
        <v>18</v>
      </c>
      <c r="B41">
        <v>1</v>
      </c>
      <c r="C41" t="s">
        <v>45</v>
      </c>
      <c r="D41" t="s">
        <v>46</v>
      </c>
      <c r="E41" t="s">
        <v>24</v>
      </c>
      <c r="F41" t="s">
        <v>101</v>
      </c>
      <c r="G41">
        <v>0</v>
      </c>
      <c r="H41">
        <v>0</v>
      </c>
      <c r="I41" t="s">
        <v>129</v>
      </c>
      <c r="J41" t="s">
        <v>129</v>
      </c>
      <c r="K41" t="s">
        <v>164</v>
      </c>
      <c r="L41" t="s">
        <v>197</v>
      </c>
    </row>
    <row r="42" spans="1:12" x14ac:dyDescent="0.3">
      <c r="A42" t="s">
        <v>18</v>
      </c>
      <c r="B42">
        <v>1</v>
      </c>
      <c r="C42" t="s">
        <v>45</v>
      </c>
      <c r="D42" t="s">
        <v>46</v>
      </c>
      <c r="E42" t="s">
        <v>24</v>
      </c>
      <c r="F42" t="s">
        <v>105</v>
      </c>
      <c r="G42">
        <v>0</v>
      </c>
      <c r="H42">
        <v>0</v>
      </c>
      <c r="I42" t="s">
        <v>129</v>
      </c>
      <c r="J42" t="s">
        <v>129</v>
      </c>
      <c r="K42" t="s">
        <v>164</v>
      </c>
      <c r="L42" t="s">
        <v>198</v>
      </c>
    </row>
    <row r="43" spans="1:12" x14ac:dyDescent="0.3">
      <c r="A43" t="s">
        <v>18</v>
      </c>
      <c r="B43">
        <v>1</v>
      </c>
      <c r="C43" t="s">
        <v>63</v>
      </c>
      <c r="D43" t="s">
        <v>64</v>
      </c>
      <c r="E43" t="s">
        <v>24</v>
      </c>
      <c r="F43" t="s">
        <v>81</v>
      </c>
      <c r="G43">
        <v>1</v>
      </c>
      <c r="H43">
        <v>1</v>
      </c>
      <c r="I43" t="s">
        <v>129</v>
      </c>
      <c r="J43" t="s">
        <v>129</v>
      </c>
      <c r="K43" t="s">
        <v>199</v>
      </c>
      <c r="L43" t="s">
        <v>152</v>
      </c>
    </row>
    <row r="44" spans="1:12" x14ac:dyDescent="0.3">
      <c r="A44" t="s">
        <v>18</v>
      </c>
      <c r="B44">
        <v>1</v>
      </c>
      <c r="C44" t="s">
        <v>63</v>
      </c>
      <c r="D44" t="s">
        <v>64</v>
      </c>
      <c r="E44" t="s">
        <v>24</v>
      </c>
      <c r="F44" t="s">
        <v>83</v>
      </c>
      <c r="G44">
        <v>1</v>
      </c>
      <c r="H44">
        <v>0</v>
      </c>
      <c r="I44" t="s">
        <v>128</v>
      </c>
      <c r="J44" t="s">
        <v>128</v>
      </c>
      <c r="K44" t="s">
        <v>200</v>
      </c>
      <c r="L44" t="s">
        <v>201</v>
      </c>
    </row>
    <row r="45" spans="1:12" x14ac:dyDescent="0.3">
      <c r="A45" t="s">
        <v>18</v>
      </c>
      <c r="B45">
        <v>1</v>
      </c>
      <c r="C45" t="s">
        <v>63</v>
      </c>
      <c r="D45" t="s">
        <v>64</v>
      </c>
      <c r="E45" t="s">
        <v>24</v>
      </c>
      <c r="F45" t="s">
        <v>85</v>
      </c>
      <c r="G45">
        <v>0</v>
      </c>
      <c r="H45">
        <v>0</v>
      </c>
      <c r="I45" t="s">
        <v>129</v>
      </c>
      <c r="J45" t="s">
        <v>129</v>
      </c>
      <c r="K45" t="s">
        <v>202</v>
      </c>
      <c r="L45" t="s">
        <v>203</v>
      </c>
    </row>
    <row r="46" spans="1:12" x14ac:dyDescent="0.3">
      <c r="A46" t="s">
        <v>18</v>
      </c>
      <c r="B46">
        <v>1</v>
      </c>
      <c r="C46" t="s">
        <v>63</v>
      </c>
      <c r="D46" t="s">
        <v>64</v>
      </c>
      <c r="E46" t="s">
        <v>24</v>
      </c>
      <c r="F46" t="s">
        <v>89</v>
      </c>
      <c r="G46">
        <v>0</v>
      </c>
      <c r="H46">
        <v>0</v>
      </c>
      <c r="I46" t="s">
        <v>129</v>
      </c>
      <c r="J46" t="s">
        <v>129</v>
      </c>
      <c r="K46" t="s">
        <v>204</v>
      </c>
      <c r="L46" t="s">
        <v>205</v>
      </c>
    </row>
    <row r="47" spans="1:12" x14ac:dyDescent="0.3">
      <c r="A47" t="s">
        <v>18</v>
      </c>
      <c r="B47">
        <v>1</v>
      </c>
      <c r="C47" t="s">
        <v>63</v>
      </c>
      <c r="D47" t="s">
        <v>64</v>
      </c>
      <c r="E47" t="s">
        <v>24</v>
      </c>
      <c r="F47" t="s">
        <v>93</v>
      </c>
      <c r="G47">
        <v>1</v>
      </c>
      <c r="H47">
        <v>0</v>
      </c>
      <c r="I47" t="s">
        <v>128</v>
      </c>
      <c r="J47" t="s">
        <v>128</v>
      </c>
      <c r="K47" t="s">
        <v>206</v>
      </c>
      <c r="L47" t="s">
        <v>207</v>
      </c>
    </row>
    <row r="48" spans="1:12" x14ac:dyDescent="0.3">
      <c r="A48" t="s">
        <v>18</v>
      </c>
      <c r="B48">
        <v>1</v>
      </c>
      <c r="C48" t="s">
        <v>63</v>
      </c>
      <c r="D48" t="s">
        <v>64</v>
      </c>
      <c r="E48" t="s">
        <v>24</v>
      </c>
      <c r="F48" t="s">
        <v>95</v>
      </c>
      <c r="G48">
        <v>1</v>
      </c>
      <c r="H48">
        <v>0</v>
      </c>
      <c r="I48" t="s">
        <v>128</v>
      </c>
      <c r="J48" t="s">
        <v>128</v>
      </c>
      <c r="K48" t="s">
        <v>208</v>
      </c>
      <c r="L48" t="s">
        <v>152</v>
      </c>
    </row>
    <row r="49" spans="1:12" x14ac:dyDescent="0.3">
      <c r="A49" t="s">
        <v>18</v>
      </c>
      <c r="B49">
        <v>1</v>
      </c>
      <c r="C49" t="s">
        <v>63</v>
      </c>
      <c r="D49" t="s">
        <v>64</v>
      </c>
      <c r="E49" t="s">
        <v>24</v>
      </c>
      <c r="F49" t="s">
        <v>97</v>
      </c>
      <c r="G49">
        <v>1</v>
      </c>
      <c r="H49">
        <v>0</v>
      </c>
      <c r="I49" t="s">
        <v>128</v>
      </c>
      <c r="J49" t="s">
        <v>128</v>
      </c>
      <c r="K49" t="s">
        <v>209</v>
      </c>
      <c r="L49" t="s">
        <v>152</v>
      </c>
    </row>
    <row r="50" spans="1:12" x14ac:dyDescent="0.3">
      <c r="A50" t="s">
        <v>18</v>
      </c>
      <c r="B50">
        <v>1</v>
      </c>
      <c r="C50" t="s">
        <v>63</v>
      </c>
      <c r="D50" t="s">
        <v>64</v>
      </c>
      <c r="E50" t="s">
        <v>24</v>
      </c>
      <c r="F50" t="s">
        <v>99</v>
      </c>
      <c r="G50">
        <v>1</v>
      </c>
      <c r="H50">
        <v>0</v>
      </c>
      <c r="I50" t="s">
        <v>128</v>
      </c>
      <c r="J50" t="s">
        <v>128</v>
      </c>
      <c r="K50" t="s">
        <v>210</v>
      </c>
      <c r="L50" t="s">
        <v>152</v>
      </c>
    </row>
    <row r="51" spans="1:12" x14ac:dyDescent="0.3">
      <c r="A51" t="s">
        <v>18</v>
      </c>
      <c r="B51">
        <v>1</v>
      </c>
      <c r="C51" t="s">
        <v>63</v>
      </c>
      <c r="D51" t="s">
        <v>64</v>
      </c>
      <c r="E51" t="s">
        <v>24</v>
      </c>
      <c r="F51" t="s">
        <v>101</v>
      </c>
      <c r="G51">
        <v>1</v>
      </c>
      <c r="H51">
        <v>0</v>
      </c>
      <c r="I51" t="s">
        <v>128</v>
      </c>
      <c r="J51" t="s">
        <v>128</v>
      </c>
      <c r="K51" t="s">
        <v>211</v>
      </c>
      <c r="L51" t="s">
        <v>152</v>
      </c>
    </row>
    <row r="52" spans="1:12" x14ac:dyDescent="0.3">
      <c r="A52" t="s">
        <v>18</v>
      </c>
      <c r="B52">
        <v>1</v>
      </c>
      <c r="C52" t="s">
        <v>63</v>
      </c>
      <c r="D52" t="s">
        <v>64</v>
      </c>
      <c r="E52" t="s">
        <v>24</v>
      </c>
      <c r="F52" t="s">
        <v>105</v>
      </c>
      <c r="G52">
        <v>0</v>
      </c>
      <c r="H52">
        <v>0</v>
      </c>
      <c r="I52" t="s">
        <v>129</v>
      </c>
      <c r="J52" t="s">
        <v>129</v>
      </c>
      <c r="K52" t="s">
        <v>202</v>
      </c>
      <c r="L52" t="s">
        <v>212</v>
      </c>
    </row>
    <row r="53" spans="1:12" x14ac:dyDescent="0.3">
      <c r="A53" t="s">
        <v>18</v>
      </c>
      <c r="B53">
        <v>1</v>
      </c>
      <c r="C53" t="s">
        <v>47</v>
      </c>
      <c r="D53" t="s">
        <v>48</v>
      </c>
      <c r="E53" t="s">
        <v>24</v>
      </c>
      <c r="F53" t="s">
        <v>89</v>
      </c>
      <c r="G53">
        <v>0</v>
      </c>
      <c r="H53">
        <v>0</v>
      </c>
      <c r="I53" t="s">
        <v>129</v>
      </c>
      <c r="J53" t="s">
        <v>129</v>
      </c>
      <c r="K53" t="s">
        <v>166</v>
      </c>
      <c r="L53" t="s">
        <v>213</v>
      </c>
    </row>
    <row r="54" spans="1:12" x14ac:dyDescent="0.3">
      <c r="A54" t="s">
        <v>18</v>
      </c>
      <c r="B54">
        <v>1</v>
      </c>
      <c r="C54" t="s">
        <v>47</v>
      </c>
      <c r="D54" t="s">
        <v>48</v>
      </c>
      <c r="E54" t="s">
        <v>24</v>
      </c>
      <c r="F54" t="s">
        <v>93</v>
      </c>
      <c r="G54">
        <v>0</v>
      </c>
      <c r="H54">
        <v>0</v>
      </c>
      <c r="I54" t="s">
        <v>129</v>
      </c>
      <c r="J54" t="s">
        <v>129</v>
      </c>
      <c r="K54" t="s">
        <v>166</v>
      </c>
      <c r="L54" t="s">
        <v>214</v>
      </c>
    </row>
    <row r="55" spans="1:12" x14ac:dyDescent="0.3">
      <c r="A55" t="s">
        <v>18</v>
      </c>
      <c r="B55">
        <v>1</v>
      </c>
      <c r="C55" t="s">
        <v>49</v>
      </c>
      <c r="D55" t="s">
        <v>50</v>
      </c>
      <c r="E55" t="s">
        <v>24</v>
      </c>
      <c r="F55" t="s">
        <v>83</v>
      </c>
      <c r="G55">
        <v>1</v>
      </c>
      <c r="H55">
        <v>0</v>
      </c>
      <c r="I55" t="s">
        <v>128</v>
      </c>
      <c r="J55" t="s">
        <v>128</v>
      </c>
      <c r="K55" t="s">
        <v>215</v>
      </c>
      <c r="L55" t="s">
        <v>216</v>
      </c>
    </row>
    <row r="56" spans="1:12" x14ac:dyDescent="0.3">
      <c r="A56" t="s">
        <v>18</v>
      </c>
      <c r="B56">
        <v>1</v>
      </c>
      <c r="C56" t="s">
        <v>49</v>
      </c>
      <c r="D56" t="s">
        <v>50</v>
      </c>
      <c r="E56" t="s">
        <v>24</v>
      </c>
      <c r="F56" t="s">
        <v>109</v>
      </c>
      <c r="G56">
        <v>0</v>
      </c>
      <c r="H56">
        <v>1</v>
      </c>
      <c r="I56" t="s">
        <v>128</v>
      </c>
      <c r="J56" t="s">
        <v>128</v>
      </c>
      <c r="K56" t="s">
        <v>217</v>
      </c>
      <c r="L56" t="s">
        <v>218</v>
      </c>
    </row>
    <row r="57" spans="1:12" x14ac:dyDescent="0.3">
      <c r="A57" t="s">
        <v>18</v>
      </c>
      <c r="B57">
        <v>1</v>
      </c>
      <c r="C57" t="s">
        <v>51</v>
      </c>
      <c r="D57" t="s">
        <v>52</v>
      </c>
      <c r="E57" t="s">
        <v>24</v>
      </c>
      <c r="F57" t="s">
        <v>93</v>
      </c>
      <c r="G57">
        <v>0</v>
      </c>
      <c r="H57">
        <v>0</v>
      </c>
      <c r="I57" t="s">
        <v>129</v>
      </c>
      <c r="J57" t="s">
        <v>129</v>
      </c>
      <c r="K57" t="s">
        <v>164</v>
      </c>
      <c r="L57" t="s">
        <v>219</v>
      </c>
    </row>
    <row r="58" spans="1:12" x14ac:dyDescent="0.3">
      <c r="A58" t="s">
        <v>18</v>
      </c>
      <c r="B58">
        <v>1</v>
      </c>
      <c r="C58" t="s">
        <v>53</v>
      </c>
      <c r="D58" t="s">
        <v>54</v>
      </c>
      <c r="E58" t="s">
        <v>24</v>
      </c>
      <c r="F58" t="s">
        <v>81</v>
      </c>
      <c r="G58">
        <v>1</v>
      </c>
      <c r="H58">
        <v>0</v>
      </c>
      <c r="I58" t="s">
        <v>128</v>
      </c>
      <c r="J58" t="s">
        <v>128</v>
      </c>
      <c r="K58" t="s">
        <v>178</v>
      </c>
      <c r="L58" t="s">
        <v>152</v>
      </c>
    </row>
    <row r="59" spans="1:12" x14ac:dyDescent="0.3">
      <c r="A59" t="s">
        <v>18</v>
      </c>
      <c r="B59">
        <v>1</v>
      </c>
      <c r="C59" t="s">
        <v>53</v>
      </c>
      <c r="D59" t="s">
        <v>54</v>
      </c>
      <c r="E59" t="s">
        <v>24</v>
      </c>
      <c r="F59" t="s">
        <v>83</v>
      </c>
      <c r="G59">
        <v>1</v>
      </c>
      <c r="H59">
        <v>0</v>
      </c>
      <c r="I59" t="s">
        <v>127</v>
      </c>
      <c r="J59" t="s">
        <v>127</v>
      </c>
      <c r="K59" t="s">
        <v>147</v>
      </c>
      <c r="L59" t="s">
        <v>220</v>
      </c>
    </row>
    <row r="60" spans="1:12" x14ac:dyDescent="0.3">
      <c r="A60" t="s">
        <v>18</v>
      </c>
      <c r="B60">
        <v>1</v>
      </c>
      <c r="C60" t="s">
        <v>53</v>
      </c>
      <c r="D60" t="s">
        <v>54</v>
      </c>
      <c r="E60" t="s">
        <v>24</v>
      </c>
      <c r="F60" t="s">
        <v>105</v>
      </c>
      <c r="G60">
        <v>0</v>
      </c>
      <c r="H60">
        <v>0</v>
      </c>
      <c r="I60" t="s">
        <v>129</v>
      </c>
      <c r="J60" t="s">
        <v>129</v>
      </c>
      <c r="K60" t="s">
        <v>164</v>
      </c>
      <c r="L60" t="s">
        <v>221</v>
      </c>
    </row>
    <row r="61" spans="1:12" x14ac:dyDescent="0.3">
      <c r="A61" t="s">
        <v>18</v>
      </c>
      <c r="B61">
        <v>1</v>
      </c>
      <c r="C61" t="s">
        <v>55</v>
      </c>
      <c r="D61" t="s">
        <v>56</v>
      </c>
      <c r="E61" t="s">
        <v>24</v>
      </c>
      <c r="F61" t="s">
        <v>81</v>
      </c>
      <c r="G61">
        <v>1</v>
      </c>
      <c r="H61">
        <v>1</v>
      </c>
      <c r="I61" t="s">
        <v>129</v>
      </c>
      <c r="J61" t="s">
        <v>129</v>
      </c>
      <c r="K61" t="s">
        <v>173</v>
      </c>
      <c r="L61" t="s">
        <v>152</v>
      </c>
    </row>
    <row r="62" spans="1:12" x14ac:dyDescent="0.3">
      <c r="A62" t="s">
        <v>18</v>
      </c>
      <c r="B62">
        <v>1</v>
      </c>
      <c r="C62" t="s">
        <v>55</v>
      </c>
      <c r="D62" t="s">
        <v>56</v>
      </c>
      <c r="E62" t="s">
        <v>24</v>
      </c>
      <c r="F62" t="s">
        <v>85</v>
      </c>
      <c r="G62">
        <v>0</v>
      </c>
      <c r="H62">
        <v>0</v>
      </c>
      <c r="I62" t="s">
        <v>129</v>
      </c>
      <c r="J62" t="s">
        <v>129</v>
      </c>
      <c r="K62" t="s">
        <v>171</v>
      </c>
      <c r="L62" t="s">
        <v>222</v>
      </c>
    </row>
    <row r="63" spans="1:12" x14ac:dyDescent="0.3">
      <c r="A63" t="s">
        <v>18</v>
      </c>
      <c r="B63">
        <v>1</v>
      </c>
      <c r="C63" t="s">
        <v>55</v>
      </c>
      <c r="D63" t="s">
        <v>56</v>
      </c>
      <c r="E63" t="s">
        <v>24</v>
      </c>
      <c r="F63" t="s">
        <v>93</v>
      </c>
      <c r="G63">
        <v>0</v>
      </c>
      <c r="H63">
        <v>0</v>
      </c>
      <c r="I63" t="s">
        <v>127</v>
      </c>
      <c r="J63" t="s">
        <v>127</v>
      </c>
      <c r="K63" t="s">
        <v>147</v>
      </c>
      <c r="L63" t="s">
        <v>223</v>
      </c>
    </row>
    <row r="64" spans="1:12" x14ac:dyDescent="0.3">
      <c r="A64" t="s">
        <v>18</v>
      </c>
      <c r="B64">
        <v>1</v>
      </c>
      <c r="C64" t="s">
        <v>55</v>
      </c>
      <c r="D64" t="s">
        <v>56</v>
      </c>
      <c r="E64" t="s">
        <v>24</v>
      </c>
      <c r="F64" t="s">
        <v>95</v>
      </c>
      <c r="G64">
        <v>1</v>
      </c>
      <c r="H64">
        <v>0</v>
      </c>
      <c r="I64" t="s">
        <v>128</v>
      </c>
      <c r="J64" t="s">
        <v>128</v>
      </c>
      <c r="K64" t="s">
        <v>224</v>
      </c>
      <c r="L64" t="s">
        <v>152</v>
      </c>
    </row>
    <row r="65" spans="1:12" x14ac:dyDescent="0.3">
      <c r="A65" t="s">
        <v>18</v>
      </c>
      <c r="B65">
        <v>1</v>
      </c>
      <c r="C65" t="s">
        <v>55</v>
      </c>
      <c r="D65" t="s">
        <v>56</v>
      </c>
      <c r="E65" t="s">
        <v>24</v>
      </c>
      <c r="F65" t="s">
        <v>97</v>
      </c>
      <c r="G65">
        <v>1</v>
      </c>
      <c r="H65">
        <v>0</v>
      </c>
      <c r="I65" t="s">
        <v>128</v>
      </c>
      <c r="J65" t="s">
        <v>128</v>
      </c>
      <c r="K65" t="s">
        <v>225</v>
      </c>
      <c r="L65" t="s">
        <v>152</v>
      </c>
    </row>
    <row r="66" spans="1:12" x14ac:dyDescent="0.3">
      <c r="A66" t="s">
        <v>18</v>
      </c>
      <c r="B66">
        <v>1</v>
      </c>
      <c r="C66" t="s">
        <v>55</v>
      </c>
      <c r="D66" t="s">
        <v>56</v>
      </c>
      <c r="E66" t="s">
        <v>24</v>
      </c>
      <c r="F66" t="s">
        <v>99</v>
      </c>
      <c r="G66">
        <v>1</v>
      </c>
      <c r="H66">
        <v>0</v>
      </c>
      <c r="I66" t="s">
        <v>128</v>
      </c>
      <c r="J66" t="s">
        <v>128</v>
      </c>
      <c r="K66" t="s">
        <v>226</v>
      </c>
      <c r="L66" t="s">
        <v>152</v>
      </c>
    </row>
    <row r="67" spans="1:12" x14ac:dyDescent="0.3">
      <c r="A67" t="s">
        <v>18</v>
      </c>
      <c r="B67">
        <v>1</v>
      </c>
      <c r="C67" t="s">
        <v>57</v>
      </c>
      <c r="D67" t="s">
        <v>58</v>
      </c>
      <c r="E67" t="s">
        <v>24</v>
      </c>
      <c r="F67" t="s">
        <v>81</v>
      </c>
      <c r="G67">
        <v>1</v>
      </c>
      <c r="H67">
        <v>0</v>
      </c>
      <c r="I67" t="s">
        <v>128</v>
      </c>
      <c r="J67" t="s">
        <v>128</v>
      </c>
      <c r="K67" t="s">
        <v>178</v>
      </c>
      <c r="L67" t="s">
        <v>152</v>
      </c>
    </row>
    <row r="68" spans="1:12" x14ac:dyDescent="0.3">
      <c r="A68" t="s">
        <v>18</v>
      </c>
      <c r="B68">
        <v>1</v>
      </c>
      <c r="C68" t="s">
        <v>57</v>
      </c>
      <c r="D68" t="s">
        <v>58</v>
      </c>
      <c r="E68" t="s">
        <v>24</v>
      </c>
      <c r="F68" t="s">
        <v>87</v>
      </c>
      <c r="G68">
        <v>0</v>
      </c>
      <c r="H68">
        <v>0</v>
      </c>
      <c r="I68" t="s">
        <v>129</v>
      </c>
      <c r="J68" t="s">
        <v>129</v>
      </c>
      <c r="K68" t="s">
        <v>164</v>
      </c>
      <c r="L68" t="s">
        <v>227</v>
      </c>
    </row>
    <row r="69" spans="1:12" x14ac:dyDescent="0.3">
      <c r="A69" t="s">
        <v>18</v>
      </c>
      <c r="B69">
        <v>1</v>
      </c>
      <c r="C69" t="s">
        <v>57</v>
      </c>
      <c r="D69" t="s">
        <v>58</v>
      </c>
      <c r="E69" t="s">
        <v>24</v>
      </c>
      <c r="F69" t="s">
        <v>91</v>
      </c>
      <c r="G69">
        <v>0</v>
      </c>
      <c r="H69">
        <v>0</v>
      </c>
      <c r="I69" t="s">
        <v>129</v>
      </c>
      <c r="J69" t="s">
        <v>129</v>
      </c>
      <c r="K69" t="s">
        <v>164</v>
      </c>
      <c r="L69" t="s">
        <v>228</v>
      </c>
    </row>
    <row r="70" spans="1:12" x14ac:dyDescent="0.3">
      <c r="A70" t="s">
        <v>18</v>
      </c>
      <c r="B70">
        <v>1</v>
      </c>
      <c r="C70" t="s">
        <v>57</v>
      </c>
      <c r="D70" t="s">
        <v>58</v>
      </c>
      <c r="E70" t="s">
        <v>24</v>
      </c>
      <c r="F70" t="s">
        <v>95</v>
      </c>
      <c r="G70">
        <v>1</v>
      </c>
      <c r="H70">
        <v>0</v>
      </c>
      <c r="I70" t="s">
        <v>128</v>
      </c>
      <c r="J70" t="s">
        <v>128</v>
      </c>
      <c r="K70" t="s">
        <v>229</v>
      </c>
      <c r="L70" t="s">
        <v>152</v>
      </c>
    </row>
    <row r="71" spans="1:12" x14ac:dyDescent="0.3">
      <c r="A71" t="s">
        <v>18</v>
      </c>
      <c r="B71">
        <v>1</v>
      </c>
      <c r="C71" t="s">
        <v>59</v>
      </c>
      <c r="D71" t="s">
        <v>60</v>
      </c>
      <c r="E71" t="s">
        <v>24</v>
      </c>
      <c r="F71" t="s">
        <v>105</v>
      </c>
      <c r="G71">
        <v>0</v>
      </c>
      <c r="H71">
        <v>0</v>
      </c>
      <c r="I71" t="s">
        <v>127</v>
      </c>
      <c r="J71" t="s">
        <v>127</v>
      </c>
      <c r="K71" t="s">
        <v>147</v>
      </c>
      <c r="L71" t="s">
        <v>230</v>
      </c>
    </row>
    <row r="72" spans="1:12" x14ac:dyDescent="0.3">
      <c r="A72" t="s">
        <v>18</v>
      </c>
      <c r="B72">
        <v>1</v>
      </c>
      <c r="C72" t="s">
        <v>59</v>
      </c>
      <c r="D72" t="s">
        <v>60</v>
      </c>
      <c r="E72" t="s">
        <v>24</v>
      </c>
      <c r="F72" t="s">
        <v>109</v>
      </c>
      <c r="G72">
        <v>0</v>
      </c>
      <c r="H72">
        <v>1</v>
      </c>
      <c r="I72" t="s">
        <v>128</v>
      </c>
      <c r="J72" t="s">
        <v>128</v>
      </c>
      <c r="K72" t="s">
        <v>231</v>
      </c>
      <c r="L72" t="s">
        <v>232</v>
      </c>
    </row>
    <row r="73" spans="1:12" x14ac:dyDescent="0.3">
      <c r="A73" t="s">
        <v>18</v>
      </c>
      <c r="B73">
        <v>1</v>
      </c>
      <c r="C73" t="s">
        <v>61</v>
      </c>
      <c r="D73" t="s">
        <v>62</v>
      </c>
      <c r="E73" t="s">
        <v>24</v>
      </c>
      <c r="F73" t="s">
        <v>81</v>
      </c>
      <c r="G73">
        <v>1</v>
      </c>
      <c r="H73">
        <v>0</v>
      </c>
      <c r="I73" t="s">
        <v>128</v>
      </c>
      <c r="J73" t="s">
        <v>128</v>
      </c>
      <c r="K73" t="s">
        <v>178</v>
      </c>
      <c r="L73" t="s">
        <v>152</v>
      </c>
    </row>
    <row r="74" spans="1:12" x14ac:dyDescent="0.3">
      <c r="A74" t="s">
        <v>18</v>
      </c>
      <c r="B74">
        <v>1</v>
      </c>
      <c r="C74" t="s">
        <v>61</v>
      </c>
      <c r="D74" t="s">
        <v>62</v>
      </c>
      <c r="E74" t="s">
        <v>24</v>
      </c>
      <c r="F74" t="s">
        <v>97</v>
      </c>
      <c r="G74">
        <v>1</v>
      </c>
      <c r="H74">
        <v>0</v>
      </c>
      <c r="I74" t="s">
        <v>128</v>
      </c>
      <c r="J74" t="s">
        <v>128</v>
      </c>
      <c r="K74" t="s">
        <v>233</v>
      </c>
      <c r="L74" t="s">
        <v>152</v>
      </c>
    </row>
    <row r="75" spans="1:12" x14ac:dyDescent="0.3">
      <c r="A75" t="s">
        <v>18</v>
      </c>
      <c r="B75">
        <v>1</v>
      </c>
      <c r="C75" t="s">
        <v>61</v>
      </c>
      <c r="D75" t="s">
        <v>62</v>
      </c>
      <c r="E75" t="s">
        <v>24</v>
      </c>
      <c r="F75" t="s">
        <v>101</v>
      </c>
      <c r="G75">
        <v>1</v>
      </c>
      <c r="H75">
        <v>0</v>
      </c>
      <c r="I75" t="s">
        <v>128</v>
      </c>
      <c r="J75" t="s">
        <v>128</v>
      </c>
      <c r="K75" t="s">
        <v>234</v>
      </c>
      <c r="L75" t="s">
        <v>152</v>
      </c>
    </row>
    <row r="76" spans="1:12" x14ac:dyDescent="0.3">
      <c r="A76" t="s">
        <v>18</v>
      </c>
      <c r="B76">
        <v>1</v>
      </c>
      <c r="C76" t="s">
        <v>19</v>
      </c>
      <c r="D76" t="s">
        <v>20</v>
      </c>
      <c r="E76" t="s">
        <v>21</v>
      </c>
      <c r="F76" t="s">
        <v>89</v>
      </c>
      <c r="G76">
        <v>0</v>
      </c>
      <c r="H76">
        <v>0</v>
      </c>
      <c r="I76" t="s">
        <v>129</v>
      </c>
      <c r="J76" t="s">
        <v>129</v>
      </c>
      <c r="K76" t="s">
        <v>235</v>
      </c>
      <c r="L76" t="s">
        <v>236</v>
      </c>
    </row>
    <row r="77" spans="1:12" x14ac:dyDescent="0.3">
      <c r="A77" t="s">
        <v>18</v>
      </c>
      <c r="B77">
        <v>1</v>
      </c>
      <c r="C77" t="s">
        <v>19</v>
      </c>
      <c r="D77" t="s">
        <v>20</v>
      </c>
      <c r="E77" t="s">
        <v>21</v>
      </c>
      <c r="F77" t="s">
        <v>95</v>
      </c>
      <c r="G77">
        <v>0</v>
      </c>
      <c r="H77">
        <v>0</v>
      </c>
      <c r="I77" t="s">
        <v>129</v>
      </c>
      <c r="J77" t="s">
        <v>129</v>
      </c>
      <c r="K77" t="s">
        <v>149</v>
      </c>
      <c r="L77" t="s">
        <v>237</v>
      </c>
    </row>
    <row r="78" spans="1:12" x14ac:dyDescent="0.3">
      <c r="A78" t="s">
        <v>18</v>
      </c>
      <c r="B78">
        <v>1</v>
      </c>
      <c r="C78" t="s">
        <v>19</v>
      </c>
      <c r="D78" t="s">
        <v>20</v>
      </c>
      <c r="E78" t="s">
        <v>21</v>
      </c>
      <c r="F78" t="s">
        <v>97</v>
      </c>
      <c r="G78">
        <v>0</v>
      </c>
      <c r="H78">
        <v>0</v>
      </c>
      <c r="I78" t="s">
        <v>129</v>
      </c>
      <c r="J78" t="s">
        <v>129</v>
      </c>
      <c r="K78" t="s">
        <v>238</v>
      </c>
      <c r="L78" t="s">
        <v>239</v>
      </c>
    </row>
    <row r="79" spans="1:12" x14ac:dyDescent="0.3">
      <c r="A79" t="s">
        <v>18</v>
      </c>
      <c r="B79">
        <v>1</v>
      </c>
      <c r="C79" t="s">
        <v>19</v>
      </c>
      <c r="D79" t="s">
        <v>20</v>
      </c>
      <c r="E79" t="s">
        <v>21</v>
      </c>
      <c r="F79" t="s">
        <v>99</v>
      </c>
      <c r="G79">
        <v>0</v>
      </c>
      <c r="H79">
        <v>0</v>
      </c>
      <c r="I79" t="s">
        <v>129</v>
      </c>
      <c r="J79" t="s">
        <v>129</v>
      </c>
      <c r="K79" t="s">
        <v>240</v>
      </c>
      <c r="L79" t="s">
        <v>241</v>
      </c>
    </row>
    <row r="80" spans="1:12" x14ac:dyDescent="0.3">
      <c r="A80" t="s">
        <v>18</v>
      </c>
      <c r="B80">
        <v>1</v>
      </c>
      <c r="C80" t="s">
        <v>19</v>
      </c>
      <c r="D80" t="s">
        <v>20</v>
      </c>
      <c r="E80" t="s">
        <v>21</v>
      </c>
      <c r="F80" t="s">
        <v>101</v>
      </c>
      <c r="G80">
        <v>0</v>
      </c>
      <c r="H80">
        <v>0</v>
      </c>
      <c r="I80" t="s">
        <v>129</v>
      </c>
      <c r="J80" t="s">
        <v>129</v>
      </c>
      <c r="K80" t="s">
        <v>242</v>
      </c>
      <c r="L80" t="s">
        <v>243</v>
      </c>
    </row>
    <row r="81" spans="1:12" x14ac:dyDescent="0.3">
      <c r="A81" t="s">
        <v>18</v>
      </c>
      <c r="B81">
        <v>1</v>
      </c>
      <c r="C81" t="s">
        <v>19</v>
      </c>
      <c r="D81" t="s">
        <v>20</v>
      </c>
      <c r="E81" t="s">
        <v>21</v>
      </c>
      <c r="F81" t="s">
        <v>103</v>
      </c>
      <c r="G81">
        <v>0</v>
      </c>
      <c r="H81">
        <v>0</v>
      </c>
      <c r="I81" t="s">
        <v>129</v>
      </c>
      <c r="J81" t="s">
        <v>129</v>
      </c>
      <c r="K81" t="s">
        <v>244</v>
      </c>
      <c r="L81" t="s">
        <v>245</v>
      </c>
    </row>
    <row r="82" spans="1:12" x14ac:dyDescent="0.3">
      <c r="A82" t="s">
        <v>18</v>
      </c>
      <c r="B82">
        <v>1</v>
      </c>
      <c r="C82" t="s">
        <v>19</v>
      </c>
      <c r="D82" t="s">
        <v>20</v>
      </c>
      <c r="E82" t="s">
        <v>21</v>
      </c>
      <c r="F82" t="s">
        <v>105</v>
      </c>
      <c r="G82">
        <v>0</v>
      </c>
      <c r="H82">
        <v>0</v>
      </c>
      <c r="I82" t="s">
        <v>129</v>
      </c>
      <c r="J82" t="s">
        <v>129</v>
      </c>
      <c r="K82" t="s">
        <v>157</v>
      </c>
      <c r="L82" t="s">
        <v>246</v>
      </c>
    </row>
    <row r="83" spans="1:12" x14ac:dyDescent="0.3">
      <c r="A83" t="s">
        <v>18</v>
      </c>
      <c r="B83">
        <v>1</v>
      </c>
      <c r="C83" t="s">
        <v>19</v>
      </c>
      <c r="D83" t="s">
        <v>20</v>
      </c>
      <c r="E83" t="s">
        <v>21</v>
      </c>
      <c r="F83" t="s">
        <v>107</v>
      </c>
      <c r="G83">
        <v>0</v>
      </c>
      <c r="H83">
        <v>0</v>
      </c>
      <c r="I83" t="s">
        <v>129</v>
      </c>
      <c r="J83" t="s">
        <v>129</v>
      </c>
      <c r="K83" t="s">
        <v>143</v>
      </c>
      <c r="L83" t="s">
        <v>247</v>
      </c>
    </row>
    <row r="84" spans="1:12" x14ac:dyDescent="0.3">
      <c r="A84" t="s">
        <v>18</v>
      </c>
      <c r="B84">
        <v>1</v>
      </c>
      <c r="C84" t="s">
        <v>19</v>
      </c>
      <c r="D84" t="s">
        <v>20</v>
      </c>
      <c r="E84" t="s">
        <v>21</v>
      </c>
      <c r="F84" t="s">
        <v>111</v>
      </c>
      <c r="G84">
        <v>0</v>
      </c>
      <c r="H84">
        <v>0</v>
      </c>
      <c r="I84" t="s">
        <v>129</v>
      </c>
      <c r="J84" t="s">
        <v>129</v>
      </c>
      <c r="K84" t="s">
        <v>159</v>
      </c>
      <c r="L84" t="s">
        <v>248</v>
      </c>
    </row>
    <row r="85" spans="1:12" x14ac:dyDescent="0.3">
      <c r="A85" t="s">
        <v>18</v>
      </c>
      <c r="B85">
        <v>1</v>
      </c>
      <c r="C85" t="s">
        <v>28</v>
      </c>
      <c r="D85" t="s">
        <v>29</v>
      </c>
      <c r="E85" t="s">
        <v>21</v>
      </c>
      <c r="F85" t="s">
        <v>99</v>
      </c>
      <c r="G85">
        <v>0</v>
      </c>
      <c r="H85">
        <v>0</v>
      </c>
      <c r="I85" t="s">
        <v>129</v>
      </c>
      <c r="J85" t="s">
        <v>129</v>
      </c>
      <c r="K85" t="s">
        <v>249</v>
      </c>
      <c r="L85" t="s">
        <v>250</v>
      </c>
    </row>
    <row r="86" spans="1:12" x14ac:dyDescent="0.3">
      <c r="A86" t="s">
        <v>18</v>
      </c>
      <c r="B86">
        <v>1</v>
      </c>
      <c r="C86" t="s">
        <v>28</v>
      </c>
      <c r="D86" t="s">
        <v>29</v>
      </c>
      <c r="E86" t="s">
        <v>21</v>
      </c>
      <c r="F86" t="s">
        <v>103</v>
      </c>
      <c r="G86">
        <v>0</v>
      </c>
      <c r="H86">
        <v>0</v>
      </c>
      <c r="I86" t="s">
        <v>129</v>
      </c>
      <c r="J86" t="s">
        <v>129</v>
      </c>
      <c r="K86" t="s">
        <v>166</v>
      </c>
      <c r="L86" t="s">
        <v>251</v>
      </c>
    </row>
    <row r="87" spans="1:12" x14ac:dyDescent="0.3">
      <c r="A87" t="s">
        <v>18</v>
      </c>
      <c r="B87">
        <v>1</v>
      </c>
      <c r="C87" t="s">
        <v>30</v>
      </c>
      <c r="D87" t="s">
        <v>31</v>
      </c>
      <c r="E87" t="s">
        <v>21</v>
      </c>
      <c r="F87" t="s">
        <v>81</v>
      </c>
      <c r="G87">
        <v>0</v>
      </c>
      <c r="H87">
        <v>0</v>
      </c>
      <c r="I87" t="s">
        <v>129</v>
      </c>
      <c r="J87" t="s">
        <v>129</v>
      </c>
      <c r="K87" t="s">
        <v>252</v>
      </c>
      <c r="L87" t="s">
        <v>253</v>
      </c>
    </row>
    <row r="88" spans="1:12" x14ac:dyDescent="0.3">
      <c r="A88" t="s">
        <v>18</v>
      </c>
      <c r="B88">
        <v>1</v>
      </c>
      <c r="C88" t="s">
        <v>30</v>
      </c>
      <c r="D88" t="s">
        <v>31</v>
      </c>
      <c r="E88" t="s">
        <v>21</v>
      </c>
      <c r="F88" t="s">
        <v>101</v>
      </c>
      <c r="G88">
        <v>1</v>
      </c>
      <c r="H88">
        <v>0</v>
      </c>
      <c r="I88" t="s">
        <v>128</v>
      </c>
      <c r="J88" t="s">
        <v>128</v>
      </c>
      <c r="K88" t="s">
        <v>254</v>
      </c>
      <c r="L88" t="s">
        <v>255</v>
      </c>
    </row>
    <row r="89" spans="1:12" x14ac:dyDescent="0.3">
      <c r="A89" t="s">
        <v>18</v>
      </c>
      <c r="B89">
        <v>1</v>
      </c>
      <c r="C89" t="s">
        <v>32</v>
      </c>
      <c r="D89" t="s">
        <v>33</v>
      </c>
      <c r="E89" t="s">
        <v>21</v>
      </c>
      <c r="F89" t="s">
        <v>79</v>
      </c>
      <c r="G89">
        <v>0</v>
      </c>
      <c r="H89">
        <v>0</v>
      </c>
      <c r="I89" t="s">
        <v>129</v>
      </c>
      <c r="J89" t="s">
        <v>129</v>
      </c>
      <c r="K89" t="s">
        <v>171</v>
      </c>
      <c r="L89" t="s">
        <v>172</v>
      </c>
    </row>
    <row r="90" spans="1:12" x14ac:dyDescent="0.3">
      <c r="A90" t="s">
        <v>18</v>
      </c>
      <c r="B90">
        <v>1</v>
      </c>
      <c r="C90" t="s">
        <v>32</v>
      </c>
      <c r="D90" t="s">
        <v>33</v>
      </c>
      <c r="E90" t="s">
        <v>21</v>
      </c>
      <c r="F90" t="s">
        <v>81</v>
      </c>
      <c r="G90">
        <v>1</v>
      </c>
      <c r="H90">
        <v>1</v>
      </c>
      <c r="I90" t="s">
        <v>129</v>
      </c>
      <c r="J90" t="s">
        <v>129</v>
      </c>
      <c r="K90" t="s">
        <v>173</v>
      </c>
      <c r="L90" t="s">
        <v>152</v>
      </c>
    </row>
    <row r="91" spans="1:12" x14ac:dyDescent="0.3">
      <c r="A91" t="s">
        <v>18</v>
      </c>
      <c r="B91">
        <v>1</v>
      </c>
      <c r="C91" t="s">
        <v>32</v>
      </c>
      <c r="D91" t="s">
        <v>33</v>
      </c>
      <c r="E91" t="s">
        <v>21</v>
      </c>
      <c r="F91" t="s">
        <v>83</v>
      </c>
      <c r="G91">
        <v>0</v>
      </c>
      <c r="H91">
        <v>0</v>
      </c>
      <c r="I91" t="s">
        <v>129</v>
      </c>
      <c r="J91" t="s">
        <v>129</v>
      </c>
      <c r="K91" t="s">
        <v>171</v>
      </c>
      <c r="L91" t="s">
        <v>174</v>
      </c>
    </row>
    <row r="92" spans="1:12" x14ac:dyDescent="0.3">
      <c r="A92" t="s">
        <v>18</v>
      </c>
      <c r="B92">
        <v>1</v>
      </c>
      <c r="C92" t="s">
        <v>32</v>
      </c>
      <c r="D92" t="s">
        <v>33</v>
      </c>
      <c r="E92" t="s">
        <v>21</v>
      </c>
      <c r="F92" t="s">
        <v>85</v>
      </c>
      <c r="G92">
        <v>0</v>
      </c>
      <c r="H92">
        <v>0</v>
      </c>
      <c r="I92" t="s">
        <v>129</v>
      </c>
      <c r="J92" t="s">
        <v>129</v>
      </c>
      <c r="K92" t="s">
        <v>171</v>
      </c>
      <c r="L92" t="s">
        <v>175</v>
      </c>
    </row>
    <row r="93" spans="1:12" x14ac:dyDescent="0.3">
      <c r="A93" t="s">
        <v>18</v>
      </c>
      <c r="B93">
        <v>1</v>
      </c>
      <c r="C93" t="s">
        <v>32</v>
      </c>
      <c r="D93" t="s">
        <v>33</v>
      </c>
      <c r="E93" t="s">
        <v>21</v>
      </c>
      <c r="F93" t="s">
        <v>95</v>
      </c>
      <c r="G93">
        <v>0</v>
      </c>
      <c r="H93">
        <v>0</v>
      </c>
      <c r="I93" t="s">
        <v>129</v>
      </c>
      <c r="J93" t="s">
        <v>129</v>
      </c>
      <c r="K93" t="s">
        <v>171</v>
      </c>
      <c r="L93" t="s">
        <v>176</v>
      </c>
    </row>
    <row r="94" spans="1:12" x14ac:dyDescent="0.3">
      <c r="A94" t="s">
        <v>18</v>
      </c>
      <c r="B94">
        <v>1</v>
      </c>
      <c r="C94" t="s">
        <v>32</v>
      </c>
      <c r="D94" t="s">
        <v>33</v>
      </c>
      <c r="E94" t="s">
        <v>21</v>
      </c>
      <c r="F94" t="s">
        <v>105</v>
      </c>
      <c r="G94">
        <v>0</v>
      </c>
      <c r="H94">
        <v>0</v>
      </c>
      <c r="I94" t="s">
        <v>129</v>
      </c>
      <c r="J94" t="s">
        <v>129</v>
      </c>
      <c r="K94" t="s">
        <v>171</v>
      </c>
      <c r="L94" t="s">
        <v>177</v>
      </c>
    </row>
    <row r="95" spans="1:12" x14ac:dyDescent="0.3">
      <c r="A95" t="s">
        <v>18</v>
      </c>
      <c r="B95">
        <v>1</v>
      </c>
      <c r="C95" t="s">
        <v>32</v>
      </c>
      <c r="D95" t="s">
        <v>33</v>
      </c>
      <c r="E95" t="s">
        <v>21</v>
      </c>
      <c r="F95" t="s">
        <v>109</v>
      </c>
      <c r="G95">
        <v>1</v>
      </c>
      <c r="H95">
        <v>1</v>
      </c>
      <c r="I95" t="s">
        <v>129</v>
      </c>
      <c r="J95" t="s">
        <v>129</v>
      </c>
      <c r="K95" t="s">
        <v>256</v>
      </c>
      <c r="L95" t="s">
        <v>257</v>
      </c>
    </row>
    <row r="96" spans="1:12" x14ac:dyDescent="0.3">
      <c r="A96" t="s">
        <v>18</v>
      </c>
      <c r="B96">
        <v>1</v>
      </c>
      <c r="C96" t="s">
        <v>34</v>
      </c>
      <c r="D96" t="s">
        <v>35</v>
      </c>
      <c r="E96" t="s">
        <v>21</v>
      </c>
      <c r="F96" t="s">
        <v>81</v>
      </c>
      <c r="G96">
        <v>0</v>
      </c>
      <c r="H96">
        <v>0</v>
      </c>
      <c r="I96" t="s">
        <v>129</v>
      </c>
      <c r="J96" t="s">
        <v>129</v>
      </c>
      <c r="K96" t="s">
        <v>258</v>
      </c>
      <c r="L96" t="s">
        <v>259</v>
      </c>
    </row>
    <row r="97" spans="1:12" x14ac:dyDescent="0.3">
      <c r="A97" t="s">
        <v>18</v>
      </c>
      <c r="B97">
        <v>1</v>
      </c>
      <c r="C97" t="s">
        <v>34</v>
      </c>
      <c r="D97" t="s">
        <v>35</v>
      </c>
      <c r="E97" t="s">
        <v>21</v>
      </c>
      <c r="F97" t="s">
        <v>109</v>
      </c>
      <c r="G97">
        <v>1</v>
      </c>
      <c r="H97">
        <v>0</v>
      </c>
      <c r="I97" t="s">
        <v>128</v>
      </c>
      <c r="J97" t="s">
        <v>128</v>
      </c>
      <c r="K97" t="s">
        <v>260</v>
      </c>
      <c r="L97" t="s">
        <v>261</v>
      </c>
    </row>
    <row r="98" spans="1:12" x14ac:dyDescent="0.3">
      <c r="A98" t="s">
        <v>18</v>
      </c>
      <c r="B98">
        <v>1</v>
      </c>
      <c r="C98" t="s">
        <v>36</v>
      </c>
      <c r="D98" t="s">
        <v>37</v>
      </c>
      <c r="E98" t="s">
        <v>21</v>
      </c>
      <c r="F98" t="s">
        <v>83</v>
      </c>
      <c r="G98">
        <v>0</v>
      </c>
      <c r="H98">
        <v>0</v>
      </c>
      <c r="I98" t="s">
        <v>129</v>
      </c>
      <c r="J98" t="s">
        <v>129</v>
      </c>
      <c r="K98" t="s">
        <v>171</v>
      </c>
      <c r="L98" t="s">
        <v>181</v>
      </c>
    </row>
    <row r="99" spans="1:12" x14ac:dyDescent="0.3">
      <c r="A99" t="s">
        <v>18</v>
      </c>
      <c r="B99">
        <v>1</v>
      </c>
      <c r="C99" t="s">
        <v>36</v>
      </c>
      <c r="D99" t="s">
        <v>37</v>
      </c>
      <c r="E99" t="s">
        <v>21</v>
      </c>
      <c r="F99" t="s">
        <v>85</v>
      </c>
      <c r="G99">
        <v>0</v>
      </c>
      <c r="H99">
        <v>0</v>
      </c>
      <c r="I99" t="s">
        <v>129</v>
      </c>
      <c r="J99" t="s">
        <v>129</v>
      </c>
      <c r="K99" t="s">
        <v>171</v>
      </c>
      <c r="L99" t="s">
        <v>182</v>
      </c>
    </row>
    <row r="100" spans="1:12" x14ac:dyDescent="0.3">
      <c r="A100" t="s">
        <v>18</v>
      </c>
      <c r="B100">
        <v>1</v>
      </c>
      <c r="C100" t="s">
        <v>36</v>
      </c>
      <c r="D100" t="s">
        <v>37</v>
      </c>
      <c r="E100" t="s">
        <v>21</v>
      </c>
      <c r="F100" t="s">
        <v>99</v>
      </c>
      <c r="G100">
        <v>0</v>
      </c>
      <c r="H100">
        <v>0</v>
      </c>
      <c r="I100" t="s">
        <v>129</v>
      </c>
      <c r="J100" t="s">
        <v>129</v>
      </c>
      <c r="K100" t="s">
        <v>262</v>
      </c>
      <c r="L100" t="s">
        <v>263</v>
      </c>
    </row>
    <row r="101" spans="1:12" x14ac:dyDescent="0.3">
      <c r="A101" t="s">
        <v>18</v>
      </c>
      <c r="B101">
        <v>1</v>
      </c>
      <c r="C101" t="s">
        <v>38</v>
      </c>
      <c r="D101" t="s">
        <v>39</v>
      </c>
      <c r="E101" t="s">
        <v>21</v>
      </c>
      <c r="F101" t="s">
        <v>79</v>
      </c>
      <c r="G101">
        <v>0</v>
      </c>
      <c r="H101">
        <v>0</v>
      </c>
      <c r="I101" t="s">
        <v>129</v>
      </c>
      <c r="J101" t="s">
        <v>129</v>
      </c>
      <c r="K101" t="s">
        <v>171</v>
      </c>
      <c r="L101" t="s">
        <v>183</v>
      </c>
    </row>
    <row r="102" spans="1:12" x14ac:dyDescent="0.3">
      <c r="A102" t="s">
        <v>18</v>
      </c>
      <c r="B102">
        <v>1</v>
      </c>
      <c r="C102" t="s">
        <v>38</v>
      </c>
      <c r="D102" t="s">
        <v>39</v>
      </c>
      <c r="E102" t="s">
        <v>21</v>
      </c>
      <c r="F102" t="s">
        <v>85</v>
      </c>
      <c r="G102">
        <v>0</v>
      </c>
      <c r="H102">
        <v>0</v>
      </c>
      <c r="I102" t="s">
        <v>129</v>
      </c>
      <c r="J102" t="s">
        <v>129</v>
      </c>
      <c r="K102" t="s">
        <v>171</v>
      </c>
      <c r="L102" t="s">
        <v>184</v>
      </c>
    </row>
    <row r="103" spans="1:12" x14ac:dyDescent="0.3">
      <c r="A103" t="s">
        <v>18</v>
      </c>
      <c r="B103">
        <v>1</v>
      </c>
      <c r="C103" t="s">
        <v>38</v>
      </c>
      <c r="D103" t="s">
        <v>39</v>
      </c>
      <c r="E103" t="s">
        <v>21</v>
      </c>
      <c r="F103" t="s">
        <v>97</v>
      </c>
      <c r="G103">
        <v>0</v>
      </c>
      <c r="H103">
        <v>0</v>
      </c>
      <c r="I103" t="s">
        <v>129</v>
      </c>
      <c r="J103" t="s">
        <v>129</v>
      </c>
      <c r="K103" t="s">
        <v>264</v>
      </c>
      <c r="L103" t="s">
        <v>265</v>
      </c>
    </row>
    <row r="104" spans="1:12" x14ac:dyDescent="0.3">
      <c r="A104" t="s">
        <v>18</v>
      </c>
      <c r="B104">
        <v>1</v>
      </c>
      <c r="C104" t="s">
        <v>40</v>
      </c>
      <c r="D104" t="s">
        <v>41</v>
      </c>
      <c r="E104" t="s">
        <v>21</v>
      </c>
      <c r="F104" t="s">
        <v>77</v>
      </c>
      <c r="G104">
        <v>0</v>
      </c>
      <c r="H104">
        <v>1</v>
      </c>
      <c r="I104" t="s">
        <v>128</v>
      </c>
      <c r="J104" t="s">
        <v>128</v>
      </c>
      <c r="K104" t="s">
        <v>266</v>
      </c>
      <c r="L104" t="s">
        <v>267</v>
      </c>
    </row>
    <row r="105" spans="1:12" x14ac:dyDescent="0.3">
      <c r="A105" t="s">
        <v>18</v>
      </c>
      <c r="B105">
        <v>1</v>
      </c>
      <c r="C105" t="s">
        <v>40</v>
      </c>
      <c r="D105" t="s">
        <v>41</v>
      </c>
      <c r="E105" t="s">
        <v>21</v>
      </c>
      <c r="F105" t="s">
        <v>81</v>
      </c>
      <c r="G105">
        <v>1</v>
      </c>
      <c r="H105">
        <v>1</v>
      </c>
      <c r="I105" t="s">
        <v>129</v>
      </c>
      <c r="J105" t="s">
        <v>129</v>
      </c>
      <c r="K105" t="s">
        <v>171</v>
      </c>
      <c r="L105" t="s">
        <v>152</v>
      </c>
    </row>
    <row r="106" spans="1:12" x14ac:dyDescent="0.3">
      <c r="A106" t="s">
        <v>18</v>
      </c>
      <c r="B106">
        <v>1</v>
      </c>
      <c r="C106" t="s">
        <v>40</v>
      </c>
      <c r="D106" t="s">
        <v>41</v>
      </c>
      <c r="E106" t="s">
        <v>21</v>
      </c>
      <c r="F106" t="s">
        <v>85</v>
      </c>
      <c r="G106">
        <v>0</v>
      </c>
      <c r="H106">
        <v>0</v>
      </c>
      <c r="I106" t="s">
        <v>129</v>
      </c>
      <c r="J106" t="s">
        <v>129</v>
      </c>
      <c r="K106" t="s">
        <v>171</v>
      </c>
      <c r="L106" t="s">
        <v>187</v>
      </c>
    </row>
    <row r="107" spans="1:12" x14ac:dyDescent="0.3">
      <c r="A107" t="s">
        <v>18</v>
      </c>
      <c r="B107">
        <v>1</v>
      </c>
      <c r="C107" t="s">
        <v>40</v>
      </c>
      <c r="D107" t="s">
        <v>41</v>
      </c>
      <c r="E107" t="s">
        <v>21</v>
      </c>
      <c r="F107" t="s">
        <v>105</v>
      </c>
      <c r="G107">
        <v>0</v>
      </c>
      <c r="H107">
        <v>0</v>
      </c>
      <c r="I107" t="s">
        <v>129</v>
      </c>
      <c r="J107" t="s">
        <v>129</v>
      </c>
      <c r="K107" t="s">
        <v>171</v>
      </c>
      <c r="L107" t="s">
        <v>268</v>
      </c>
    </row>
    <row r="108" spans="1:12" x14ac:dyDescent="0.3">
      <c r="A108" t="s">
        <v>18</v>
      </c>
      <c r="B108">
        <v>1</v>
      </c>
      <c r="C108" t="s">
        <v>40</v>
      </c>
      <c r="D108" t="s">
        <v>41</v>
      </c>
      <c r="E108" t="s">
        <v>21</v>
      </c>
      <c r="F108" t="s">
        <v>109</v>
      </c>
      <c r="G108">
        <v>1</v>
      </c>
      <c r="H108">
        <v>1</v>
      </c>
      <c r="I108" t="s">
        <v>129</v>
      </c>
      <c r="J108" t="s">
        <v>129</v>
      </c>
      <c r="K108" t="s">
        <v>269</v>
      </c>
      <c r="L108" t="s">
        <v>270</v>
      </c>
    </row>
    <row r="109" spans="1:12" x14ac:dyDescent="0.3">
      <c r="A109" t="s">
        <v>18</v>
      </c>
      <c r="B109">
        <v>1</v>
      </c>
      <c r="C109" t="s">
        <v>43</v>
      </c>
      <c r="D109" t="s">
        <v>44</v>
      </c>
      <c r="E109" t="s">
        <v>21</v>
      </c>
      <c r="F109" t="s">
        <v>107</v>
      </c>
      <c r="G109">
        <v>1</v>
      </c>
      <c r="H109">
        <v>1</v>
      </c>
      <c r="I109" t="s">
        <v>129</v>
      </c>
      <c r="J109" t="s">
        <v>129</v>
      </c>
      <c r="K109" t="s">
        <v>271</v>
      </c>
      <c r="L109" t="s">
        <v>272</v>
      </c>
    </row>
    <row r="110" spans="1:12" x14ac:dyDescent="0.3">
      <c r="A110" t="s">
        <v>18</v>
      </c>
      <c r="B110">
        <v>1</v>
      </c>
      <c r="C110" t="s">
        <v>43</v>
      </c>
      <c r="D110" t="s">
        <v>44</v>
      </c>
      <c r="E110" t="s">
        <v>21</v>
      </c>
      <c r="F110" t="s">
        <v>109</v>
      </c>
      <c r="G110">
        <v>1</v>
      </c>
      <c r="H110">
        <v>1</v>
      </c>
      <c r="I110" t="s">
        <v>129</v>
      </c>
      <c r="J110" t="s">
        <v>129</v>
      </c>
      <c r="K110" t="s">
        <v>273</v>
      </c>
      <c r="L110" t="s">
        <v>274</v>
      </c>
    </row>
    <row r="111" spans="1:12" x14ac:dyDescent="0.3">
      <c r="A111" t="s">
        <v>18</v>
      </c>
      <c r="B111">
        <v>1</v>
      </c>
      <c r="C111" t="s">
        <v>63</v>
      </c>
      <c r="D111" t="s">
        <v>64</v>
      </c>
      <c r="E111" t="s">
        <v>21</v>
      </c>
      <c r="F111" t="s">
        <v>77</v>
      </c>
      <c r="G111">
        <v>0</v>
      </c>
      <c r="H111">
        <v>0</v>
      </c>
      <c r="I111" t="s">
        <v>129</v>
      </c>
      <c r="J111" t="s">
        <v>129</v>
      </c>
      <c r="K111" t="s">
        <v>275</v>
      </c>
      <c r="L111" t="s">
        <v>276</v>
      </c>
    </row>
    <row r="112" spans="1:12" x14ac:dyDescent="0.3">
      <c r="A112" t="s">
        <v>18</v>
      </c>
      <c r="B112">
        <v>1</v>
      </c>
      <c r="C112" t="s">
        <v>63</v>
      </c>
      <c r="D112" t="s">
        <v>64</v>
      </c>
      <c r="E112" t="s">
        <v>21</v>
      </c>
      <c r="F112" t="s">
        <v>79</v>
      </c>
      <c r="G112">
        <v>0</v>
      </c>
      <c r="H112">
        <v>0</v>
      </c>
      <c r="I112" t="s">
        <v>129</v>
      </c>
      <c r="J112" t="s">
        <v>129</v>
      </c>
      <c r="K112" t="s">
        <v>277</v>
      </c>
      <c r="L112" t="s">
        <v>278</v>
      </c>
    </row>
    <row r="113" spans="1:12" x14ac:dyDescent="0.3">
      <c r="A113" t="s">
        <v>18</v>
      </c>
      <c r="B113">
        <v>1</v>
      </c>
      <c r="C113" t="s">
        <v>63</v>
      </c>
      <c r="D113" t="s">
        <v>64</v>
      </c>
      <c r="E113" t="s">
        <v>21</v>
      </c>
      <c r="F113" t="s">
        <v>81</v>
      </c>
      <c r="G113">
        <v>1</v>
      </c>
      <c r="H113">
        <v>1</v>
      </c>
      <c r="I113" t="s">
        <v>129</v>
      </c>
      <c r="J113" t="s">
        <v>129</v>
      </c>
      <c r="K113" t="s">
        <v>199</v>
      </c>
      <c r="L113" t="s">
        <v>152</v>
      </c>
    </row>
    <row r="114" spans="1:12" x14ac:dyDescent="0.3">
      <c r="A114" t="s">
        <v>18</v>
      </c>
      <c r="B114">
        <v>1</v>
      </c>
      <c r="C114" t="s">
        <v>63</v>
      </c>
      <c r="D114" t="s">
        <v>64</v>
      </c>
      <c r="E114" t="s">
        <v>21</v>
      </c>
      <c r="F114" t="s">
        <v>83</v>
      </c>
      <c r="G114">
        <v>0</v>
      </c>
      <c r="H114">
        <v>0</v>
      </c>
      <c r="I114" t="s">
        <v>129</v>
      </c>
      <c r="J114" t="s">
        <v>129</v>
      </c>
      <c r="K114" t="s">
        <v>279</v>
      </c>
      <c r="L114" t="s">
        <v>280</v>
      </c>
    </row>
    <row r="115" spans="1:12" x14ac:dyDescent="0.3">
      <c r="A115" t="s">
        <v>18</v>
      </c>
      <c r="B115">
        <v>1</v>
      </c>
      <c r="C115" t="s">
        <v>63</v>
      </c>
      <c r="D115" t="s">
        <v>64</v>
      </c>
      <c r="E115" t="s">
        <v>21</v>
      </c>
      <c r="F115" t="s">
        <v>85</v>
      </c>
      <c r="G115">
        <v>0</v>
      </c>
      <c r="H115">
        <v>0</v>
      </c>
      <c r="I115" t="s">
        <v>129</v>
      </c>
      <c r="J115" t="s">
        <v>129</v>
      </c>
      <c r="K115" t="s">
        <v>202</v>
      </c>
      <c r="L115" t="s">
        <v>203</v>
      </c>
    </row>
    <row r="116" spans="1:12" x14ac:dyDescent="0.3">
      <c r="A116" t="s">
        <v>18</v>
      </c>
      <c r="B116">
        <v>1</v>
      </c>
      <c r="C116" t="s">
        <v>63</v>
      </c>
      <c r="D116" t="s">
        <v>64</v>
      </c>
      <c r="E116" t="s">
        <v>21</v>
      </c>
      <c r="F116" t="s">
        <v>87</v>
      </c>
      <c r="G116">
        <v>0</v>
      </c>
      <c r="H116">
        <v>0</v>
      </c>
      <c r="I116" t="s">
        <v>129</v>
      </c>
      <c r="J116" t="s">
        <v>129</v>
      </c>
      <c r="K116" t="s">
        <v>281</v>
      </c>
      <c r="L116" t="s">
        <v>201</v>
      </c>
    </row>
    <row r="117" spans="1:12" x14ac:dyDescent="0.3">
      <c r="A117" t="s">
        <v>18</v>
      </c>
      <c r="B117">
        <v>1</v>
      </c>
      <c r="C117" t="s">
        <v>63</v>
      </c>
      <c r="D117" t="s">
        <v>64</v>
      </c>
      <c r="E117" t="s">
        <v>21</v>
      </c>
      <c r="F117" t="s">
        <v>89</v>
      </c>
      <c r="G117">
        <v>0</v>
      </c>
      <c r="H117">
        <v>0</v>
      </c>
      <c r="I117" t="s">
        <v>129</v>
      </c>
      <c r="J117" t="s">
        <v>129</v>
      </c>
      <c r="K117" t="s">
        <v>282</v>
      </c>
      <c r="L117" t="s">
        <v>283</v>
      </c>
    </row>
    <row r="118" spans="1:12" x14ac:dyDescent="0.3">
      <c r="A118" t="s">
        <v>18</v>
      </c>
      <c r="B118">
        <v>1</v>
      </c>
      <c r="C118" t="s">
        <v>63</v>
      </c>
      <c r="D118" t="s">
        <v>64</v>
      </c>
      <c r="E118" t="s">
        <v>21</v>
      </c>
      <c r="F118" t="s">
        <v>91</v>
      </c>
      <c r="G118">
        <v>0</v>
      </c>
      <c r="H118">
        <v>0</v>
      </c>
      <c r="I118" t="s">
        <v>129</v>
      </c>
      <c r="J118" t="s">
        <v>129</v>
      </c>
      <c r="K118" t="s">
        <v>284</v>
      </c>
      <c r="L118" t="s">
        <v>285</v>
      </c>
    </row>
    <row r="119" spans="1:12" x14ac:dyDescent="0.3">
      <c r="A119" t="s">
        <v>18</v>
      </c>
      <c r="B119">
        <v>1</v>
      </c>
      <c r="C119" t="s">
        <v>63</v>
      </c>
      <c r="D119" t="s">
        <v>64</v>
      </c>
      <c r="E119" t="s">
        <v>21</v>
      </c>
      <c r="F119" t="s">
        <v>93</v>
      </c>
      <c r="G119">
        <v>0</v>
      </c>
      <c r="H119">
        <v>0</v>
      </c>
      <c r="I119" t="s">
        <v>129</v>
      </c>
      <c r="J119" t="s">
        <v>129</v>
      </c>
      <c r="K119" t="s">
        <v>286</v>
      </c>
      <c r="L119" t="s">
        <v>287</v>
      </c>
    </row>
    <row r="120" spans="1:12" x14ac:dyDescent="0.3">
      <c r="A120" t="s">
        <v>18</v>
      </c>
      <c r="B120">
        <v>1</v>
      </c>
      <c r="C120" t="s">
        <v>63</v>
      </c>
      <c r="D120" t="s">
        <v>64</v>
      </c>
      <c r="E120" t="s">
        <v>21</v>
      </c>
      <c r="F120" t="s">
        <v>95</v>
      </c>
      <c r="G120">
        <v>0</v>
      </c>
      <c r="H120">
        <v>0</v>
      </c>
      <c r="I120" t="s">
        <v>129</v>
      </c>
      <c r="J120" t="s">
        <v>129</v>
      </c>
      <c r="K120" t="s">
        <v>288</v>
      </c>
      <c r="L120" t="s">
        <v>289</v>
      </c>
    </row>
    <row r="121" spans="1:12" x14ac:dyDescent="0.3">
      <c r="A121" t="s">
        <v>18</v>
      </c>
      <c r="B121">
        <v>1</v>
      </c>
      <c r="C121" t="s">
        <v>63</v>
      </c>
      <c r="D121" t="s">
        <v>64</v>
      </c>
      <c r="E121" t="s">
        <v>21</v>
      </c>
      <c r="F121" t="s">
        <v>97</v>
      </c>
      <c r="G121">
        <v>0</v>
      </c>
      <c r="H121">
        <v>0</v>
      </c>
      <c r="I121" t="s">
        <v>129</v>
      </c>
      <c r="J121" t="s">
        <v>129</v>
      </c>
      <c r="K121" t="s">
        <v>290</v>
      </c>
      <c r="L121" t="s">
        <v>291</v>
      </c>
    </row>
    <row r="122" spans="1:12" x14ac:dyDescent="0.3">
      <c r="A122" t="s">
        <v>18</v>
      </c>
      <c r="B122">
        <v>1</v>
      </c>
      <c r="C122" t="s">
        <v>63</v>
      </c>
      <c r="D122" t="s">
        <v>64</v>
      </c>
      <c r="E122" t="s">
        <v>21</v>
      </c>
      <c r="F122" t="s">
        <v>99</v>
      </c>
      <c r="G122">
        <v>0</v>
      </c>
      <c r="H122">
        <v>0</v>
      </c>
      <c r="I122" t="s">
        <v>129</v>
      </c>
      <c r="J122" t="s">
        <v>129</v>
      </c>
      <c r="K122" t="s">
        <v>292</v>
      </c>
      <c r="L122" t="s">
        <v>293</v>
      </c>
    </row>
    <row r="123" spans="1:12" x14ac:dyDescent="0.3">
      <c r="A123" t="s">
        <v>18</v>
      </c>
      <c r="B123">
        <v>1</v>
      </c>
      <c r="C123" t="s">
        <v>63</v>
      </c>
      <c r="D123" t="s">
        <v>64</v>
      </c>
      <c r="E123" t="s">
        <v>21</v>
      </c>
      <c r="F123" t="s">
        <v>101</v>
      </c>
      <c r="G123">
        <v>1</v>
      </c>
      <c r="H123">
        <v>0</v>
      </c>
      <c r="I123" t="s">
        <v>128</v>
      </c>
      <c r="J123" t="s">
        <v>128</v>
      </c>
      <c r="K123" t="s">
        <v>211</v>
      </c>
      <c r="L123" t="s">
        <v>294</v>
      </c>
    </row>
    <row r="124" spans="1:12" x14ac:dyDescent="0.3">
      <c r="A124" t="s">
        <v>18</v>
      </c>
      <c r="B124">
        <v>1</v>
      </c>
      <c r="C124" t="s">
        <v>63</v>
      </c>
      <c r="D124" t="s">
        <v>64</v>
      </c>
      <c r="E124" t="s">
        <v>21</v>
      </c>
      <c r="F124" t="s">
        <v>103</v>
      </c>
      <c r="G124">
        <v>0</v>
      </c>
      <c r="H124">
        <v>0</v>
      </c>
      <c r="I124" t="s">
        <v>129</v>
      </c>
      <c r="J124" t="s">
        <v>129</v>
      </c>
      <c r="K124" t="s">
        <v>295</v>
      </c>
      <c r="L124" t="s">
        <v>296</v>
      </c>
    </row>
    <row r="125" spans="1:12" x14ac:dyDescent="0.3">
      <c r="A125" t="s">
        <v>18</v>
      </c>
      <c r="B125">
        <v>1</v>
      </c>
      <c r="C125" t="s">
        <v>63</v>
      </c>
      <c r="D125" t="s">
        <v>64</v>
      </c>
      <c r="E125" t="s">
        <v>21</v>
      </c>
      <c r="F125" t="s">
        <v>105</v>
      </c>
      <c r="G125">
        <v>0</v>
      </c>
      <c r="H125">
        <v>0</v>
      </c>
      <c r="I125" t="s">
        <v>129</v>
      </c>
      <c r="J125" t="s">
        <v>129</v>
      </c>
      <c r="K125" t="s">
        <v>202</v>
      </c>
      <c r="L125" t="s">
        <v>212</v>
      </c>
    </row>
    <row r="126" spans="1:12" x14ac:dyDescent="0.3">
      <c r="A126" t="s">
        <v>18</v>
      </c>
      <c r="B126">
        <v>1</v>
      </c>
      <c r="C126" t="s">
        <v>63</v>
      </c>
      <c r="D126" t="s">
        <v>64</v>
      </c>
      <c r="E126" t="s">
        <v>21</v>
      </c>
      <c r="F126" t="s">
        <v>111</v>
      </c>
      <c r="G126">
        <v>0</v>
      </c>
      <c r="H126">
        <v>0</v>
      </c>
      <c r="I126" t="s">
        <v>129</v>
      </c>
      <c r="J126" t="s">
        <v>129</v>
      </c>
      <c r="K126" t="s">
        <v>297</v>
      </c>
      <c r="L126" t="s">
        <v>298</v>
      </c>
    </row>
    <row r="127" spans="1:12" x14ac:dyDescent="0.3">
      <c r="A127" t="s">
        <v>18</v>
      </c>
      <c r="B127">
        <v>1</v>
      </c>
      <c r="C127" t="s">
        <v>47</v>
      </c>
      <c r="D127" t="s">
        <v>48</v>
      </c>
      <c r="E127" t="s">
        <v>21</v>
      </c>
      <c r="F127" t="s">
        <v>107</v>
      </c>
      <c r="G127">
        <v>1</v>
      </c>
      <c r="H127">
        <v>0</v>
      </c>
      <c r="I127" t="s">
        <v>128</v>
      </c>
      <c r="J127" t="s">
        <v>128</v>
      </c>
      <c r="K127" t="s">
        <v>299</v>
      </c>
      <c r="L127" t="s">
        <v>300</v>
      </c>
    </row>
    <row r="128" spans="1:12" x14ac:dyDescent="0.3">
      <c r="A128" t="s">
        <v>18</v>
      </c>
      <c r="B128">
        <v>1</v>
      </c>
      <c r="C128" t="s">
        <v>47</v>
      </c>
      <c r="D128" t="s">
        <v>48</v>
      </c>
      <c r="E128" t="s">
        <v>21</v>
      </c>
      <c r="F128" t="s">
        <v>109</v>
      </c>
      <c r="G128">
        <v>1</v>
      </c>
      <c r="H128">
        <v>1</v>
      </c>
      <c r="I128" t="s">
        <v>129</v>
      </c>
      <c r="J128" t="s">
        <v>129</v>
      </c>
      <c r="K128" t="s">
        <v>301</v>
      </c>
      <c r="L128" t="s">
        <v>302</v>
      </c>
    </row>
    <row r="129" spans="1:12" x14ac:dyDescent="0.3">
      <c r="A129" t="s">
        <v>18</v>
      </c>
      <c r="B129">
        <v>1</v>
      </c>
      <c r="C129" t="s">
        <v>49</v>
      </c>
      <c r="D129" t="s">
        <v>50</v>
      </c>
      <c r="E129" t="s">
        <v>21</v>
      </c>
      <c r="F129" t="s">
        <v>109</v>
      </c>
      <c r="G129">
        <v>1</v>
      </c>
      <c r="H129">
        <v>1</v>
      </c>
      <c r="I129" t="s">
        <v>129</v>
      </c>
      <c r="J129" t="s">
        <v>129</v>
      </c>
      <c r="K129" t="s">
        <v>303</v>
      </c>
      <c r="L129" t="s">
        <v>304</v>
      </c>
    </row>
    <row r="130" spans="1:12" x14ac:dyDescent="0.3">
      <c r="A130" t="s">
        <v>18</v>
      </c>
      <c r="B130">
        <v>1</v>
      </c>
      <c r="C130" t="s">
        <v>51</v>
      </c>
      <c r="D130" t="s">
        <v>52</v>
      </c>
      <c r="E130" t="s">
        <v>21</v>
      </c>
      <c r="F130" t="s">
        <v>83</v>
      </c>
      <c r="G130">
        <v>0</v>
      </c>
      <c r="H130">
        <v>0</v>
      </c>
      <c r="I130" t="s">
        <v>129</v>
      </c>
      <c r="J130" t="s">
        <v>129</v>
      </c>
      <c r="K130" t="s">
        <v>166</v>
      </c>
      <c r="L130" t="s">
        <v>305</v>
      </c>
    </row>
    <row r="131" spans="1:12" x14ac:dyDescent="0.3">
      <c r="A131" t="s">
        <v>18</v>
      </c>
      <c r="B131">
        <v>1</v>
      </c>
      <c r="C131" t="s">
        <v>51</v>
      </c>
      <c r="D131" t="s">
        <v>52</v>
      </c>
      <c r="E131" t="s">
        <v>21</v>
      </c>
      <c r="F131" t="s">
        <v>89</v>
      </c>
      <c r="G131">
        <v>0</v>
      </c>
      <c r="H131">
        <v>0</v>
      </c>
      <c r="I131" t="s">
        <v>129</v>
      </c>
      <c r="J131" t="s">
        <v>129</v>
      </c>
      <c r="K131" t="s">
        <v>306</v>
      </c>
      <c r="L131" t="s">
        <v>307</v>
      </c>
    </row>
    <row r="132" spans="1:12" x14ac:dyDescent="0.3">
      <c r="A132" t="s">
        <v>18</v>
      </c>
      <c r="B132">
        <v>1</v>
      </c>
      <c r="C132" t="s">
        <v>51</v>
      </c>
      <c r="D132" t="s">
        <v>52</v>
      </c>
      <c r="E132" t="s">
        <v>21</v>
      </c>
      <c r="F132" t="s">
        <v>99</v>
      </c>
      <c r="G132">
        <v>0</v>
      </c>
      <c r="H132">
        <v>0</v>
      </c>
      <c r="I132" t="s">
        <v>129</v>
      </c>
      <c r="J132" t="s">
        <v>129</v>
      </c>
      <c r="K132" t="s">
        <v>308</v>
      </c>
      <c r="L132" t="s">
        <v>309</v>
      </c>
    </row>
    <row r="133" spans="1:12" x14ac:dyDescent="0.3">
      <c r="A133" t="s">
        <v>18</v>
      </c>
      <c r="B133">
        <v>1</v>
      </c>
      <c r="C133" t="s">
        <v>51</v>
      </c>
      <c r="D133" t="s">
        <v>52</v>
      </c>
      <c r="E133" t="s">
        <v>21</v>
      </c>
      <c r="F133" t="s">
        <v>101</v>
      </c>
      <c r="G133">
        <v>0</v>
      </c>
      <c r="H133">
        <v>0</v>
      </c>
      <c r="I133" t="s">
        <v>129</v>
      </c>
      <c r="J133" t="s">
        <v>129</v>
      </c>
      <c r="K133" t="s">
        <v>310</v>
      </c>
      <c r="L133" t="s">
        <v>311</v>
      </c>
    </row>
    <row r="134" spans="1:12" x14ac:dyDescent="0.3">
      <c r="A134" t="s">
        <v>18</v>
      </c>
      <c r="B134">
        <v>1</v>
      </c>
      <c r="C134" t="s">
        <v>51</v>
      </c>
      <c r="D134" t="s">
        <v>52</v>
      </c>
      <c r="E134" t="s">
        <v>21</v>
      </c>
      <c r="F134" t="s">
        <v>109</v>
      </c>
      <c r="G134">
        <v>1</v>
      </c>
      <c r="H134">
        <v>1</v>
      </c>
      <c r="I134" t="s">
        <v>129</v>
      </c>
      <c r="J134" t="s">
        <v>129</v>
      </c>
      <c r="K134" t="s">
        <v>312</v>
      </c>
      <c r="L134" t="s">
        <v>313</v>
      </c>
    </row>
    <row r="135" spans="1:12" x14ac:dyDescent="0.3">
      <c r="A135" t="s">
        <v>18</v>
      </c>
      <c r="B135">
        <v>1</v>
      </c>
      <c r="C135" t="s">
        <v>53</v>
      </c>
      <c r="D135" t="s">
        <v>54</v>
      </c>
      <c r="E135" t="s">
        <v>21</v>
      </c>
      <c r="F135" t="s">
        <v>109</v>
      </c>
      <c r="G135">
        <v>1</v>
      </c>
      <c r="H135">
        <v>1</v>
      </c>
      <c r="I135" t="s">
        <v>129</v>
      </c>
      <c r="J135" t="s">
        <v>129</v>
      </c>
      <c r="K135" t="s">
        <v>314</v>
      </c>
      <c r="L135" t="s">
        <v>315</v>
      </c>
    </row>
    <row r="136" spans="1:12" x14ac:dyDescent="0.3">
      <c r="A136" t="s">
        <v>18</v>
      </c>
      <c r="B136">
        <v>1</v>
      </c>
      <c r="C136" t="s">
        <v>55</v>
      </c>
      <c r="D136" t="s">
        <v>56</v>
      </c>
      <c r="E136" t="s">
        <v>21</v>
      </c>
      <c r="F136" t="s">
        <v>81</v>
      </c>
      <c r="G136">
        <v>1</v>
      </c>
      <c r="H136">
        <v>1</v>
      </c>
      <c r="I136" t="s">
        <v>129</v>
      </c>
      <c r="J136" t="s">
        <v>129</v>
      </c>
      <c r="K136" t="s">
        <v>173</v>
      </c>
      <c r="L136" t="s">
        <v>152</v>
      </c>
    </row>
    <row r="137" spans="1:12" x14ac:dyDescent="0.3">
      <c r="A137" t="s">
        <v>18</v>
      </c>
      <c r="B137">
        <v>1</v>
      </c>
      <c r="C137" t="s">
        <v>55</v>
      </c>
      <c r="D137" t="s">
        <v>56</v>
      </c>
      <c r="E137" t="s">
        <v>21</v>
      </c>
      <c r="F137" t="s">
        <v>85</v>
      </c>
      <c r="G137">
        <v>0</v>
      </c>
      <c r="H137">
        <v>0</v>
      </c>
      <c r="I137" t="s">
        <v>129</v>
      </c>
      <c r="J137" t="s">
        <v>129</v>
      </c>
      <c r="K137" t="s">
        <v>171</v>
      </c>
      <c r="L137" t="s">
        <v>316</v>
      </c>
    </row>
    <row r="138" spans="1:12" x14ac:dyDescent="0.3">
      <c r="A138" t="s">
        <v>18</v>
      </c>
      <c r="B138">
        <v>1</v>
      </c>
      <c r="C138" t="s">
        <v>55</v>
      </c>
      <c r="D138" t="s">
        <v>56</v>
      </c>
      <c r="E138" t="s">
        <v>21</v>
      </c>
      <c r="F138" t="s">
        <v>101</v>
      </c>
      <c r="G138">
        <v>1</v>
      </c>
      <c r="H138">
        <v>1</v>
      </c>
      <c r="I138" t="s">
        <v>129</v>
      </c>
      <c r="J138" t="s">
        <v>129</v>
      </c>
      <c r="K138" t="s">
        <v>317</v>
      </c>
      <c r="L138" t="s">
        <v>318</v>
      </c>
    </row>
    <row r="139" spans="1:12" x14ac:dyDescent="0.3">
      <c r="A139" t="s">
        <v>18</v>
      </c>
      <c r="B139">
        <v>1</v>
      </c>
      <c r="C139" t="s">
        <v>55</v>
      </c>
      <c r="D139" t="s">
        <v>56</v>
      </c>
      <c r="E139" t="s">
        <v>21</v>
      </c>
      <c r="F139" t="s">
        <v>109</v>
      </c>
      <c r="G139">
        <v>1</v>
      </c>
      <c r="H139">
        <v>0</v>
      </c>
      <c r="I139" t="s">
        <v>128</v>
      </c>
      <c r="J139" t="s">
        <v>128</v>
      </c>
      <c r="K139" t="s">
        <v>260</v>
      </c>
      <c r="L139" t="s">
        <v>319</v>
      </c>
    </row>
    <row r="140" spans="1:12" x14ac:dyDescent="0.3">
      <c r="A140" t="s">
        <v>18</v>
      </c>
      <c r="B140">
        <v>1</v>
      </c>
      <c r="C140" t="s">
        <v>57</v>
      </c>
      <c r="D140" t="s">
        <v>58</v>
      </c>
      <c r="E140" t="s">
        <v>21</v>
      </c>
      <c r="F140" t="s">
        <v>81</v>
      </c>
      <c r="G140">
        <v>0</v>
      </c>
      <c r="H140">
        <v>0</v>
      </c>
      <c r="I140" t="s">
        <v>129</v>
      </c>
      <c r="J140" t="s">
        <v>129</v>
      </c>
      <c r="K140" t="s">
        <v>320</v>
      </c>
      <c r="L140" t="s">
        <v>321</v>
      </c>
    </row>
    <row r="141" spans="1:12" x14ac:dyDescent="0.3">
      <c r="A141" t="s">
        <v>18</v>
      </c>
      <c r="B141">
        <v>1</v>
      </c>
      <c r="C141" t="s">
        <v>57</v>
      </c>
      <c r="D141" t="s">
        <v>58</v>
      </c>
      <c r="E141" t="s">
        <v>21</v>
      </c>
      <c r="F141" t="s">
        <v>109</v>
      </c>
      <c r="G141">
        <v>1</v>
      </c>
      <c r="H141">
        <v>1</v>
      </c>
      <c r="I141" t="s">
        <v>129</v>
      </c>
      <c r="J141" t="s">
        <v>129</v>
      </c>
      <c r="K141" t="s">
        <v>322</v>
      </c>
      <c r="L141" t="s">
        <v>323</v>
      </c>
    </row>
    <row r="142" spans="1:12" x14ac:dyDescent="0.3">
      <c r="A142" t="s">
        <v>18</v>
      </c>
      <c r="B142">
        <v>1</v>
      </c>
      <c r="C142" t="s">
        <v>61</v>
      </c>
      <c r="D142" t="s">
        <v>62</v>
      </c>
      <c r="E142" t="s">
        <v>21</v>
      </c>
      <c r="F142" t="s">
        <v>109</v>
      </c>
      <c r="G142">
        <v>1</v>
      </c>
      <c r="H142">
        <v>1</v>
      </c>
      <c r="I142" t="s">
        <v>129</v>
      </c>
      <c r="J142" t="s">
        <v>129</v>
      </c>
      <c r="K142" t="s">
        <v>324</v>
      </c>
      <c r="L142" t="s">
        <v>325</v>
      </c>
    </row>
    <row r="143" spans="1:12" x14ac:dyDescent="0.3">
      <c r="A143" t="s">
        <v>18</v>
      </c>
      <c r="B143">
        <v>1</v>
      </c>
      <c r="C143" t="s">
        <v>19</v>
      </c>
      <c r="D143" t="s">
        <v>20</v>
      </c>
      <c r="E143" t="s">
        <v>23</v>
      </c>
      <c r="F143" t="s">
        <v>95</v>
      </c>
      <c r="G143">
        <v>0</v>
      </c>
      <c r="H143">
        <v>0</v>
      </c>
      <c r="I143" t="s">
        <v>129</v>
      </c>
      <c r="J143" t="s">
        <v>129</v>
      </c>
      <c r="K143" t="s">
        <v>149</v>
      </c>
      <c r="L143" t="s">
        <v>326</v>
      </c>
    </row>
    <row r="144" spans="1:12" x14ac:dyDescent="0.3">
      <c r="A144" t="s">
        <v>18</v>
      </c>
      <c r="B144">
        <v>1</v>
      </c>
      <c r="C144" t="s">
        <v>19</v>
      </c>
      <c r="D144" t="s">
        <v>20</v>
      </c>
      <c r="E144" t="s">
        <v>23</v>
      </c>
      <c r="F144" t="s">
        <v>103</v>
      </c>
      <c r="G144">
        <v>0</v>
      </c>
      <c r="H144">
        <v>0</v>
      </c>
      <c r="I144" t="s">
        <v>129</v>
      </c>
      <c r="J144" t="s">
        <v>129</v>
      </c>
      <c r="K144" t="s">
        <v>327</v>
      </c>
      <c r="L144" t="s">
        <v>328</v>
      </c>
    </row>
    <row r="145" spans="1:12" x14ac:dyDescent="0.3">
      <c r="A145" t="s">
        <v>18</v>
      </c>
      <c r="B145">
        <v>1</v>
      </c>
      <c r="C145" t="s">
        <v>19</v>
      </c>
      <c r="D145" t="s">
        <v>20</v>
      </c>
      <c r="E145" t="s">
        <v>23</v>
      </c>
      <c r="F145" t="s">
        <v>107</v>
      </c>
      <c r="G145">
        <v>0</v>
      </c>
      <c r="H145">
        <v>0</v>
      </c>
      <c r="I145" t="s">
        <v>129</v>
      </c>
      <c r="J145" t="s">
        <v>129</v>
      </c>
      <c r="K145" t="s">
        <v>329</v>
      </c>
      <c r="L145" t="s">
        <v>330</v>
      </c>
    </row>
    <row r="146" spans="1:12" x14ac:dyDescent="0.3">
      <c r="A146" t="s">
        <v>18</v>
      </c>
      <c r="B146">
        <v>1</v>
      </c>
      <c r="C146" t="s">
        <v>19</v>
      </c>
      <c r="D146" t="s">
        <v>20</v>
      </c>
      <c r="E146" t="s">
        <v>23</v>
      </c>
      <c r="F146" t="s">
        <v>111</v>
      </c>
      <c r="G146">
        <v>0</v>
      </c>
      <c r="H146">
        <v>0</v>
      </c>
      <c r="I146" t="s">
        <v>129</v>
      </c>
      <c r="J146" t="s">
        <v>129</v>
      </c>
      <c r="K146" t="s">
        <v>159</v>
      </c>
      <c r="L146" t="s">
        <v>331</v>
      </c>
    </row>
    <row r="147" spans="1:12" x14ac:dyDescent="0.3">
      <c r="A147" t="s">
        <v>18</v>
      </c>
      <c r="B147">
        <v>1</v>
      </c>
      <c r="C147" t="s">
        <v>26</v>
      </c>
      <c r="D147" t="s">
        <v>27</v>
      </c>
      <c r="E147" t="s">
        <v>23</v>
      </c>
      <c r="F147" t="s">
        <v>79</v>
      </c>
      <c r="G147">
        <v>1</v>
      </c>
      <c r="H147">
        <v>0</v>
      </c>
      <c r="I147" t="s">
        <v>128</v>
      </c>
      <c r="J147" t="s">
        <v>128</v>
      </c>
      <c r="K147" t="s">
        <v>332</v>
      </c>
      <c r="L147" t="s">
        <v>333</v>
      </c>
    </row>
    <row r="148" spans="1:12" x14ac:dyDescent="0.3">
      <c r="A148" t="s">
        <v>18</v>
      </c>
      <c r="B148">
        <v>1</v>
      </c>
      <c r="C148" t="s">
        <v>26</v>
      </c>
      <c r="D148" t="s">
        <v>27</v>
      </c>
      <c r="E148" t="s">
        <v>23</v>
      </c>
      <c r="F148" t="s">
        <v>81</v>
      </c>
      <c r="G148">
        <v>0</v>
      </c>
      <c r="H148">
        <v>1</v>
      </c>
      <c r="I148" t="s">
        <v>128</v>
      </c>
      <c r="J148" t="s">
        <v>128</v>
      </c>
      <c r="K148" t="s">
        <v>334</v>
      </c>
      <c r="L148" t="s">
        <v>335</v>
      </c>
    </row>
    <row r="149" spans="1:12" x14ac:dyDescent="0.3">
      <c r="A149" t="s">
        <v>18</v>
      </c>
      <c r="B149">
        <v>1</v>
      </c>
      <c r="C149" t="s">
        <v>28</v>
      </c>
      <c r="D149" t="s">
        <v>29</v>
      </c>
      <c r="E149" t="s">
        <v>23</v>
      </c>
      <c r="F149" t="s">
        <v>79</v>
      </c>
      <c r="G149">
        <v>0</v>
      </c>
      <c r="H149">
        <v>0</v>
      </c>
      <c r="I149" t="s">
        <v>129</v>
      </c>
      <c r="J149" t="s">
        <v>129</v>
      </c>
      <c r="K149" t="s">
        <v>166</v>
      </c>
      <c r="L149" t="s">
        <v>336</v>
      </c>
    </row>
    <row r="150" spans="1:12" x14ac:dyDescent="0.3">
      <c r="A150" t="s">
        <v>18</v>
      </c>
      <c r="B150">
        <v>1</v>
      </c>
      <c r="C150" t="s">
        <v>28</v>
      </c>
      <c r="D150" t="s">
        <v>29</v>
      </c>
      <c r="E150" t="s">
        <v>23</v>
      </c>
      <c r="F150" t="s">
        <v>83</v>
      </c>
      <c r="G150">
        <v>0</v>
      </c>
      <c r="H150">
        <v>0</v>
      </c>
      <c r="I150" t="s">
        <v>129</v>
      </c>
      <c r="J150" t="s">
        <v>129</v>
      </c>
      <c r="K150" t="s">
        <v>166</v>
      </c>
      <c r="L150" t="s">
        <v>337</v>
      </c>
    </row>
    <row r="151" spans="1:12" x14ac:dyDescent="0.3">
      <c r="A151" t="s">
        <v>18</v>
      </c>
      <c r="B151">
        <v>1</v>
      </c>
      <c r="C151" t="s">
        <v>28</v>
      </c>
      <c r="D151" t="s">
        <v>29</v>
      </c>
      <c r="E151" t="s">
        <v>23</v>
      </c>
      <c r="F151" t="s">
        <v>91</v>
      </c>
      <c r="G151">
        <v>0</v>
      </c>
      <c r="H151">
        <v>0</v>
      </c>
      <c r="I151" t="s">
        <v>129</v>
      </c>
      <c r="J151" t="s">
        <v>129</v>
      </c>
      <c r="K151" t="s">
        <v>166</v>
      </c>
      <c r="L151" t="s">
        <v>338</v>
      </c>
    </row>
    <row r="152" spans="1:12" x14ac:dyDescent="0.3">
      <c r="A152" t="s">
        <v>18</v>
      </c>
      <c r="B152">
        <v>1</v>
      </c>
      <c r="C152" t="s">
        <v>28</v>
      </c>
      <c r="D152" t="s">
        <v>29</v>
      </c>
      <c r="E152" t="s">
        <v>23</v>
      </c>
      <c r="F152" t="s">
        <v>95</v>
      </c>
      <c r="G152">
        <v>0</v>
      </c>
      <c r="H152">
        <v>0</v>
      </c>
      <c r="I152" t="s">
        <v>129</v>
      </c>
      <c r="J152" t="s">
        <v>129</v>
      </c>
      <c r="K152" t="s">
        <v>166</v>
      </c>
      <c r="L152" t="s">
        <v>339</v>
      </c>
    </row>
    <row r="153" spans="1:12" x14ac:dyDescent="0.3">
      <c r="A153" t="s">
        <v>18</v>
      </c>
      <c r="B153">
        <v>1</v>
      </c>
      <c r="C153" t="s">
        <v>28</v>
      </c>
      <c r="D153" t="s">
        <v>29</v>
      </c>
      <c r="E153" t="s">
        <v>23</v>
      </c>
      <c r="F153" t="s">
        <v>101</v>
      </c>
      <c r="G153">
        <v>0</v>
      </c>
      <c r="H153">
        <v>0</v>
      </c>
      <c r="I153" t="s">
        <v>129</v>
      </c>
      <c r="J153" t="s">
        <v>129</v>
      </c>
      <c r="K153" t="s">
        <v>166</v>
      </c>
      <c r="L153" t="s">
        <v>340</v>
      </c>
    </row>
    <row r="154" spans="1:12" x14ac:dyDescent="0.3">
      <c r="A154" t="s">
        <v>18</v>
      </c>
      <c r="B154">
        <v>1</v>
      </c>
      <c r="C154" t="s">
        <v>28</v>
      </c>
      <c r="D154" t="s">
        <v>29</v>
      </c>
      <c r="E154" t="s">
        <v>23</v>
      </c>
      <c r="F154" t="s">
        <v>103</v>
      </c>
      <c r="G154">
        <v>0</v>
      </c>
      <c r="H154">
        <v>0</v>
      </c>
      <c r="I154" t="s">
        <v>129</v>
      </c>
      <c r="J154" t="s">
        <v>129</v>
      </c>
      <c r="K154" t="s">
        <v>166</v>
      </c>
      <c r="L154" t="s">
        <v>341</v>
      </c>
    </row>
    <row r="155" spans="1:12" x14ac:dyDescent="0.3">
      <c r="A155" t="s">
        <v>18</v>
      </c>
      <c r="B155">
        <v>1</v>
      </c>
      <c r="C155" t="s">
        <v>28</v>
      </c>
      <c r="D155" t="s">
        <v>29</v>
      </c>
      <c r="E155" t="s">
        <v>23</v>
      </c>
      <c r="F155" t="s">
        <v>107</v>
      </c>
      <c r="G155">
        <v>1</v>
      </c>
      <c r="H155">
        <v>0</v>
      </c>
      <c r="I155" t="s">
        <v>128</v>
      </c>
      <c r="J155" t="s">
        <v>128</v>
      </c>
      <c r="K155" t="s">
        <v>342</v>
      </c>
      <c r="L155" t="s">
        <v>343</v>
      </c>
    </row>
    <row r="156" spans="1:12" x14ac:dyDescent="0.3">
      <c r="A156" t="s">
        <v>18</v>
      </c>
      <c r="B156">
        <v>1</v>
      </c>
      <c r="C156" t="s">
        <v>30</v>
      </c>
      <c r="D156" t="s">
        <v>31</v>
      </c>
      <c r="E156" t="s">
        <v>23</v>
      </c>
      <c r="F156" t="s">
        <v>81</v>
      </c>
      <c r="G156">
        <v>1</v>
      </c>
      <c r="H156">
        <v>0</v>
      </c>
      <c r="I156" t="s">
        <v>128</v>
      </c>
      <c r="J156" t="s">
        <v>128</v>
      </c>
      <c r="K156" t="s">
        <v>178</v>
      </c>
      <c r="L156" t="s">
        <v>152</v>
      </c>
    </row>
    <row r="157" spans="1:12" x14ac:dyDescent="0.3">
      <c r="A157" t="s">
        <v>18</v>
      </c>
      <c r="B157">
        <v>1</v>
      </c>
      <c r="C157" t="s">
        <v>32</v>
      </c>
      <c r="D157" t="s">
        <v>33</v>
      </c>
      <c r="E157" t="s">
        <v>23</v>
      </c>
      <c r="F157" t="s">
        <v>79</v>
      </c>
      <c r="G157">
        <v>0</v>
      </c>
      <c r="H157">
        <v>0</v>
      </c>
      <c r="I157" t="s">
        <v>129</v>
      </c>
      <c r="J157" t="s">
        <v>129</v>
      </c>
      <c r="K157" t="s">
        <v>171</v>
      </c>
      <c r="L157" t="s">
        <v>172</v>
      </c>
    </row>
    <row r="158" spans="1:12" x14ac:dyDescent="0.3">
      <c r="A158" t="s">
        <v>18</v>
      </c>
      <c r="B158">
        <v>1</v>
      </c>
      <c r="C158" t="s">
        <v>32</v>
      </c>
      <c r="D158" t="s">
        <v>33</v>
      </c>
      <c r="E158" t="s">
        <v>23</v>
      </c>
      <c r="F158" t="s">
        <v>81</v>
      </c>
      <c r="G158">
        <v>1</v>
      </c>
      <c r="H158">
        <v>1</v>
      </c>
      <c r="I158" t="s">
        <v>129</v>
      </c>
      <c r="J158" t="s">
        <v>129</v>
      </c>
      <c r="K158" t="s">
        <v>173</v>
      </c>
      <c r="L158" t="s">
        <v>152</v>
      </c>
    </row>
    <row r="159" spans="1:12" x14ac:dyDescent="0.3">
      <c r="A159" t="s">
        <v>18</v>
      </c>
      <c r="B159">
        <v>1</v>
      </c>
      <c r="C159" t="s">
        <v>32</v>
      </c>
      <c r="D159" t="s">
        <v>33</v>
      </c>
      <c r="E159" t="s">
        <v>23</v>
      </c>
      <c r="F159" t="s">
        <v>83</v>
      </c>
      <c r="G159">
        <v>0</v>
      </c>
      <c r="H159">
        <v>0</v>
      </c>
      <c r="I159" t="s">
        <v>129</v>
      </c>
      <c r="J159" t="s">
        <v>129</v>
      </c>
      <c r="K159" t="s">
        <v>171</v>
      </c>
      <c r="L159" t="s">
        <v>174</v>
      </c>
    </row>
    <row r="160" spans="1:12" x14ac:dyDescent="0.3">
      <c r="A160" t="s">
        <v>18</v>
      </c>
      <c r="B160">
        <v>1</v>
      </c>
      <c r="C160" t="s">
        <v>32</v>
      </c>
      <c r="D160" t="s">
        <v>33</v>
      </c>
      <c r="E160" t="s">
        <v>23</v>
      </c>
      <c r="F160" t="s">
        <v>85</v>
      </c>
      <c r="G160">
        <v>0</v>
      </c>
      <c r="H160">
        <v>0</v>
      </c>
      <c r="I160" t="s">
        <v>129</v>
      </c>
      <c r="J160" t="s">
        <v>129</v>
      </c>
      <c r="K160" t="s">
        <v>171</v>
      </c>
      <c r="L160" t="s">
        <v>175</v>
      </c>
    </row>
    <row r="161" spans="1:12" x14ac:dyDescent="0.3">
      <c r="A161" t="s">
        <v>18</v>
      </c>
      <c r="B161">
        <v>1</v>
      </c>
      <c r="C161" t="s">
        <v>32</v>
      </c>
      <c r="D161" t="s">
        <v>33</v>
      </c>
      <c r="E161" t="s">
        <v>23</v>
      </c>
      <c r="F161" t="s">
        <v>95</v>
      </c>
      <c r="G161">
        <v>0</v>
      </c>
      <c r="H161">
        <v>0</v>
      </c>
      <c r="I161" t="s">
        <v>129</v>
      </c>
      <c r="J161" t="s">
        <v>129</v>
      </c>
      <c r="K161" t="s">
        <v>171</v>
      </c>
      <c r="L161" t="s">
        <v>176</v>
      </c>
    </row>
    <row r="162" spans="1:12" x14ac:dyDescent="0.3">
      <c r="A162" t="s">
        <v>18</v>
      </c>
      <c r="B162">
        <v>1</v>
      </c>
      <c r="C162" t="s">
        <v>32</v>
      </c>
      <c r="D162" t="s">
        <v>33</v>
      </c>
      <c r="E162" t="s">
        <v>23</v>
      </c>
      <c r="F162" t="s">
        <v>105</v>
      </c>
      <c r="G162">
        <v>0</v>
      </c>
      <c r="H162">
        <v>0</v>
      </c>
      <c r="I162" t="s">
        <v>129</v>
      </c>
      <c r="J162" t="s">
        <v>129</v>
      </c>
      <c r="K162" t="s">
        <v>171</v>
      </c>
      <c r="L162" t="s">
        <v>177</v>
      </c>
    </row>
    <row r="163" spans="1:12" x14ac:dyDescent="0.3">
      <c r="A163" t="s">
        <v>18</v>
      </c>
      <c r="B163">
        <v>1</v>
      </c>
      <c r="C163" t="s">
        <v>34</v>
      </c>
      <c r="D163" t="s">
        <v>35</v>
      </c>
      <c r="E163" t="s">
        <v>23</v>
      </c>
      <c r="F163" t="s">
        <v>103</v>
      </c>
      <c r="G163">
        <v>0</v>
      </c>
      <c r="H163">
        <v>0</v>
      </c>
      <c r="I163" t="s">
        <v>129</v>
      </c>
      <c r="J163" t="s">
        <v>129</v>
      </c>
      <c r="K163" t="s">
        <v>166</v>
      </c>
      <c r="L163" t="s">
        <v>344</v>
      </c>
    </row>
    <row r="164" spans="1:12" x14ac:dyDescent="0.3">
      <c r="A164" t="s">
        <v>18</v>
      </c>
      <c r="B164">
        <v>1</v>
      </c>
      <c r="C164" t="s">
        <v>36</v>
      </c>
      <c r="D164" t="s">
        <v>37</v>
      </c>
      <c r="E164" t="s">
        <v>23</v>
      </c>
      <c r="F164" t="s">
        <v>79</v>
      </c>
      <c r="G164">
        <v>0</v>
      </c>
      <c r="H164">
        <v>0</v>
      </c>
      <c r="I164" t="s">
        <v>129</v>
      </c>
      <c r="J164" t="s">
        <v>129</v>
      </c>
      <c r="K164" t="s">
        <v>166</v>
      </c>
      <c r="L164" t="s">
        <v>345</v>
      </c>
    </row>
    <row r="165" spans="1:12" x14ac:dyDescent="0.3">
      <c r="A165" t="s">
        <v>18</v>
      </c>
      <c r="B165">
        <v>1</v>
      </c>
      <c r="C165" t="s">
        <v>36</v>
      </c>
      <c r="D165" t="s">
        <v>37</v>
      </c>
      <c r="E165" t="s">
        <v>23</v>
      </c>
      <c r="F165" t="s">
        <v>81</v>
      </c>
      <c r="G165">
        <v>0</v>
      </c>
      <c r="H165">
        <v>1</v>
      </c>
      <c r="I165" t="s">
        <v>128</v>
      </c>
      <c r="J165" t="s">
        <v>128</v>
      </c>
      <c r="K165" t="s">
        <v>346</v>
      </c>
      <c r="L165" t="s">
        <v>347</v>
      </c>
    </row>
    <row r="166" spans="1:12" x14ac:dyDescent="0.3">
      <c r="A166" t="s">
        <v>18</v>
      </c>
      <c r="B166">
        <v>1</v>
      </c>
      <c r="C166" t="s">
        <v>36</v>
      </c>
      <c r="D166" t="s">
        <v>37</v>
      </c>
      <c r="E166" t="s">
        <v>23</v>
      </c>
      <c r="F166" t="s">
        <v>83</v>
      </c>
      <c r="G166">
        <v>0</v>
      </c>
      <c r="H166">
        <v>0</v>
      </c>
      <c r="I166" t="s">
        <v>129</v>
      </c>
      <c r="J166" t="s">
        <v>129</v>
      </c>
      <c r="K166" t="s">
        <v>166</v>
      </c>
      <c r="L166" t="s">
        <v>348</v>
      </c>
    </row>
    <row r="167" spans="1:12" x14ac:dyDescent="0.3">
      <c r="A167" t="s">
        <v>18</v>
      </c>
      <c r="B167">
        <v>1</v>
      </c>
      <c r="C167" t="s">
        <v>36</v>
      </c>
      <c r="D167" t="s">
        <v>37</v>
      </c>
      <c r="E167" t="s">
        <v>23</v>
      </c>
      <c r="F167" t="s">
        <v>85</v>
      </c>
      <c r="G167">
        <v>0</v>
      </c>
      <c r="H167">
        <v>0</v>
      </c>
      <c r="I167" t="s">
        <v>129</v>
      </c>
      <c r="J167" t="s">
        <v>129</v>
      </c>
      <c r="K167" t="s">
        <v>171</v>
      </c>
      <c r="L167" t="s">
        <v>182</v>
      </c>
    </row>
    <row r="168" spans="1:12" x14ac:dyDescent="0.3">
      <c r="A168" t="s">
        <v>18</v>
      </c>
      <c r="B168">
        <v>1</v>
      </c>
      <c r="C168" t="s">
        <v>36</v>
      </c>
      <c r="D168" t="s">
        <v>37</v>
      </c>
      <c r="E168" t="s">
        <v>23</v>
      </c>
      <c r="F168" t="s">
        <v>87</v>
      </c>
      <c r="G168">
        <v>0</v>
      </c>
      <c r="H168">
        <v>0</v>
      </c>
      <c r="I168" t="s">
        <v>129</v>
      </c>
      <c r="J168" t="s">
        <v>129</v>
      </c>
      <c r="K168" t="s">
        <v>166</v>
      </c>
      <c r="L168" t="s">
        <v>349</v>
      </c>
    </row>
    <row r="169" spans="1:12" x14ac:dyDescent="0.3">
      <c r="A169" t="s">
        <v>18</v>
      </c>
      <c r="B169">
        <v>1</v>
      </c>
      <c r="C169" t="s">
        <v>36</v>
      </c>
      <c r="D169" t="s">
        <v>37</v>
      </c>
      <c r="E169" t="s">
        <v>23</v>
      </c>
      <c r="F169" t="s">
        <v>95</v>
      </c>
      <c r="G169">
        <v>0</v>
      </c>
      <c r="H169">
        <v>0</v>
      </c>
      <c r="I169" t="s">
        <v>127</v>
      </c>
      <c r="J169" t="s">
        <v>127</v>
      </c>
      <c r="K169" t="s">
        <v>147</v>
      </c>
      <c r="L169" t="s">
        <v>350</v>
      </c>
    </row>
    <row r="170" spans="1:12" x14ac:dyDescent="0.3">
      <c r="A170" t="s">
        <v>18</v>
      </c>
      <c r="B170">
        <v>1</v>
      </c>
      <c r="C170" t="s">
        <v>38</v>
      </c>
      <c r="D170" t="s">
        <v>39</v>
      </c>
      <c r="E170" t="s">
        <v>23</v>
      </c>
      <c r="F170" t="s">
        <v>79</v>
      </c>
      <c r="G170">
        <v>0</v>
      </c>
      <c r="H170">
        <v>0</v>
      </c>
      <c r="I170" t="s">
        <v>129</v>
      </c>
      <c r="J170" t="s">
        <v>129</v>
      </c>
      <c r="K170" t="s">
        <v>171</v>
      </c>
      <c r="L170" t="s">
        <v>183</v>
      </c>
    </row>
    <row r="171" spans="1:12" x14ac:dyDescent="0.3">
      <c r="A171" t="s">
        <v>18</v>
      </c>
      <c r="B171">
        <v>1</v>
      </c>
      <c r="C171" t="s">
        <v>38</v>
      </c>
      <c r="D171" t="s">
        <v>39</v>
      </c>
      <c r="E171" t="s">
        <v>23</v>
      </c>
      <c r="F171" t="s">
        <v>85</v>
      </c>
      <c r="G171">
        <v>0</v>
      </c>
      <c r="H171">
        <v>0</v>
      </c>
      <c r="I171" t="s">
        <v>129</v>
      </c>
      <c r="J171" t="s">
        <v>129</v>
      </c>
      <c r="K171" t="s">
        <v>171</v>
      </c>
      <c r="L171" t="s">
        <v>184</v>
      </c>
    </row>
    <row r="172" spans="1:12" x14ac:dyDescent="0.3">
      <c r="A172" t="s">
        <v>18</v>
      </c>
      <c r="B172">
        <v>1</v>
      </c>
      <c r="C172" t="s">
        <v>38</v>
      </c>
      <c r="D172" t="s">
        <v>39</v>
      </c>
      <c r="E172" t="s">
        <v>23</v>
      </c>
      <c r="F172" t="s">
        <v>105</v>
      </c>
      <c r="G172">
        <v>1</v>
      </c>
      <c r="H172">
        <v>0</v>
      </c>
      <c r="I172" t="s">
        <v>128</v>
      </c>
      <c r="J172" t="s">
        <v>128</v>
      </c>
      <c r="K172" t="s">
        <v>351</v>
      </c>
      <c r="L172" t="s">
        <v>152</v>
      </c>
    </row>
    <row r="173" spans="1:12" x14ac:dyDescent="0.3">
      <c r="A173" t="s">
        <v>18</v>
      </c>
      <c r="B173">
        <v>1</v>
      </c>
      <c r="C173" t="s">
        <v>40</v>
      </c>
      <c r="D173" t="s">
        <v>41</v>
      </c>
      <c r="E173" t="s">
        <v>23</v>
      </c>
      <c r="F173" t="s">
        <v>81</v>
      </c>
      <c r="G173">
        <v>1</v>
      </c>
      <c r="H173">
        <v>1</v>
      </c>
      <c r="I173" t="s">
        <v>129</v>
      </c>
      <c r="J173" t="s">
        <v>129</v>
      </c>
      <c r="K173" t="s">
        <v>171</v>
      </c>
      <c r="L173" t="s">
        <v>152</v>
      </c>
    </row>
    <row r="174" spans="1:12" x14ac:dyDescent="0.3">
      <c r="A174" t="s">
        <v>18</v>
      </c>
      <c r="B174">
        <v>1</v>
      </c>
      <c r="C174" t="s">
        <v>40</v>
      </c>
      <c r="D174" t="s">
        <v>41</v>
      </c>
      <c r="E174" t="s">
        <v>23</v>
      </c>
      <c r="F174" t="s">
        <v>83</v>
      </c>
      <c r="G174">
        <v>1</v>
      </c>
      <c r="H174">
        <v>0</v>
      </c>
      <c r="I174" t="s">
        <v>128</v>
      </c>
      <c r="J174" t="s">
        <v>128</v>
      </c>
      <c r="K174" t="s">
        <v>166</v>
      </c>
      <c r="L174" t="s">
        <v>352</v>
      </c>
    </row>
    <row r="175" spans="1:12" x14ac:dyDescent="0.3">
      <c r="A175" t="s">
        <v>18</v>
      </c>
      <c r="B175">
        <v>1</v>
      </c>
      <c r="C175" t="s">
        <v>40</v>
      </c>
      <c r="D175" t="s">
        <v>41</v>
      </c>
      <c r="E175" t="s">
        <v>23</v>
      </c>
      <c r="F175" t="s">
        <v>85</v>
      </c>
      <c r="G175">
        <v>0</v>
      </c>
      <c r="H175">
        <v>0</v>
      </c>
      <c r="I175" t="s">
        <v>129</v>
      </c>
      <c r="J175" t="s">
        <v>129</v>
      </c>
      <c r="K175" t="s">
        <v>171</v>
      </c>
      <c r="L175" t="s">
        <v>187</v>
      </c>
    </row>
    <row r="176" spans="1:12" x14ac:dyDescent="0.3">
      <c r="A176" t="s">
        <v>18</v>
      </c>
      <c r="B176">
        <v>1</v>
      </c>
      <c r="C176" t="s">
        <v>40</v>
      </c>
      <c r="D176" t="s">
        <v>41</v>
      </c>
      <c r="E176" t="s">
        <v>23</v>
      </c>
      <c r="F176" t="s">
        <v>95</v>
      </c>
      <c r="G176">
        <v>0</v>
      </c>
      <c r="H176">
        <v>0</v>
      </c>
      <c r="I176" t="s">
        <v>129</v>
      </c>
      <c r="J176" t="s">
        <v>129</v>
      </c>
      <c r="K176" t="s">
        <v>166</v>
      </c>
      <c r="L176" t="s">
        <v>353</v>
      </c>
    </row>
    <row r="177" spans="1:12" x14ac:dyDescent="0.3">
      <c r="A177" t="s">
        <v>18</v>
      </c>
      <c r="B177">
        <v>1</v>
      </c>
      <c r="C177" t="s">
        <v>40</v>
      </c>
      <c r="D177" t="s">
        <v>41</v>
      </c>
      <c r="E177" t="s">
        <v>23</v>
      </c>
      <c r="F177" t="s">
        <v>99</v>
      </c>
      <c r="G177">
        <v>1</v>
      </c>
      <c r="H177">
        <v>0</v>
      </c>
      <c r="I177" t="s">
        <v>128</v>
      </c>
      <c r="J177" t="s">
        <v>128</v>
      </c>
      <c r="K177" t="s">
        <v>354</v>
      </c>
      <c r="L177" t="s">
        <v>355</v>
      </c>
    </row>
    <row r="178" spans="1:12" x14ac:dyDescent="0.3">
      <c r="A178" t="s">
        <v>18</v>
      </c>
      <c r="B178">
        <v>1</v>
      </c>
      <c r="C178" t="s">
        <v>40</v>
      </c>
      <c r="D178" t="s">
        <v>41</v>
      </c>
      <c r="E178" t="s">
        <v>23</v>
      </c>
      <c r="F178" t="s">
        <v>105</v>
      </c>
      <c r="G178">
        <v>0</v>
      </c>
      <c r="H178">
        <v>0</v>
      </c>
      <c r="I178" t="s">
        <v>129</v>
      </c>
      <c r="J178" t="s">
        <v>129</v>
      </c>
      <c r="K178" t="s">
        <v>171</v>
      </c>
      <c r="L178" t="s">
        <v>189</v>
      </c>
    </row>
    <row r="179" spans="1:12" x14ac:dyDescent="0.3">
      <c r="A179" t="s">
        <v>18</v>
      </c>
      <c r="B179">
        <v>1</v>
      </c>
      <c r="C179" t="s">
        <v>43</v>
      </c>
      <c r="D179" t="s">
        <v>44</v>
      </c>
      <c r="E179" t="s">
        <v>23</v>
      </c>
      <c r="F179" t="s">
        <v>111</v>
      </c>
      <c r="G179">
        <v>1</v>
      </c>
      <c r="H179">
        <v>0</v>
      </c>
      <c r="I179" t="s">
        <v>128</v>
      </c>
      <c r="J179" t="s">
        <v>128</v>
      </c>
      <c r="K179" t="s">
        <v>356</v>
      </c>
      <c r="L179" t="s">
        <v>357</v>
      </c>
    </row>
    <row r="180" spans="1:12" x14ac:dyDescent="0.3">
      <c r="A180" t="s">
        <v>18</v>
      </c>
      <c r="B180">
        <v>1</v>
      </c>
      <c r="C180" t="s">
        <v>45</v>
      </c>
      <c r="D180" t="s">
        <v>46</v>
      </c>
      <c r="E180" t="s">
        <v>23</v>
      </c>
      <c r="F180" t="s">
        <v>79</v>
      </c>
      <c r="G180">
        <v>0</v>
      </c>
      <c r="H180">
        <v>0</v>
      </c>
      <c r="I180" t="s">
        <v>129</v>
      </c>
      <c r="J180" t="s">
        <v>129</v>
      </c>
      <c r="K180" t="s">
        <v>166</v>
      </c>
      <c r="L180" t="s">
        <v>358</v>
      </c>
    </row>
    <row r="181" spans="1:12" x14ac:dyDescent="0.3">
      <c r="A181" t="s">
        <v>18</v>
      </c>
      <c r="B181">
        <v>1</v>
      </c>
      <c r="C181" t="s">
        <v>45</v>
      </c>
      <c r="D181" t="s">
        <v>46</v>
      </c>
      <c r="E181" t="s">
        <v>23</v>
      </c>
      <c r="F181" t="s">
        <v>83</v>
      </c>
      <c r="G181">
        <v>0</v>
      </c>
      <c r="H181">
        <v>0</v>
      </c>
      <c r="I181" t="s">
        <v>129</v>
      </c>
      <c r="J181" t="s">
        <v>129</v>
      </c>
      <c r="K181" t="s">
        <v>166</v>
      </c>
      <c r="L181" t="s">
        <v>359</v>
      </c>
    </row>
    <row r="182" spans="1:12" x14ac:dyDescent="0.3">
      <c r="A182" t="s">
        <v>18</v>
      </c>
      <c r="B182">
        <v>1</v>
      </c>
      <c r="C182" t="s">
        <v>63</v>
      </c>
      <c r="D182" t="s">
        <v>64</v>
      </c>
      <c r="E182" t="s">
        <v>23</v>
      </c>
      <c r="F182" t="s">
        <v>79</v>
      </c>
      <c r="G182">
        <v>0</v>
      </c>
      <c r="H182">
        <v>0</v>
      </c>
      <c r="I182" t="s">
        <v>129</v>
      </c>
      <c r="J182" t="s">
        <v>129</v>
      </c>
      <c r="K182" t="s">
        <v>277</v>
      </c>
      <c r="L182" t="s">
        <v>278</v>
      </c>
    </row>
    <row r="183" spans="1:12" x14ac:dyDescent="0.3">
      <c r="A183" t="s">
        <v>18</v>
      </c>
      <c r="B183">
        <v>1</v>
      </c>
      <c r="C183" t="s">
        <v>63</v>
      </c>
      <c r="D183" t="s">
        <v>64</v>
      </c>
      <c r="E183" t="s">
        <v>23</v>
      </c>
      <c r="F183" t="s">
        <v>81</v>
      </c>
      <c r="G183">
        <v>1</v>
      </c>
      <c r="H183">
        <v>1</v>
      </c>
      <c r="I183" t="s">
        <v>129</v>
      </c>
      <c r="J183" t="s">
        <v>129</v>
      </c>
      <c r="K183" t="s">
        <v>199</v>
      </c>
      <c r="L183" t="s">
        <v>152</v>
      </c>
    </row>
    <row r="184" spans="1:12" x14ac:dyDescent="0.3">
      <c r="A184" t="s">
        <v>18</v>
      </c>
      <c r="B184">
        <v>1</v>
      </c>
      <c r="C184" t="s">
        <v>63</v>
      </c>
      <c r="D184" t="s">
        <v>64</v>
      </c>
      <c r="E184" t="s">
        <v>23</v>
      </c>
      <c r="F184" t="s">
        <v>85</v>
      </c>
      <c r="G184">
        <v>0</v>
      </c>
      <c r="H184">
        <v>0</v>
      </c>
      <c r="I184" t="s">
        <v>129</v>
      </c>
      <c r="J184" t="s">
        <v>129</v>
      </c>
      <c r="K184" t="s">
        <v>202</v>
      </c>
      <c r="L184" t="s">
        <v>203</v>
      </c>
    </row>
    <row r="185" spans="1:12" x14ac:dyDescent="0.3">
      <c r="A185" t="s">
        <v>18</v>
      </c>
      <c r="B185">
        <v>1</v>
      </c>
      <c r="C185" t="s">
        <v>63</v>
      </c>
      <c r="D185" t="s">
        <v>64</v>
      </c>
      <c r="E185" t="s">
        <v>23</v>
      </c>
      <c r="F185" t="s">
        <v>101</v>
      </c>
      <c r="G185">
        <v>0</v>
      </c>
      <c r="H185">
        <v>0</v>
      </c>
      <c r="I185" t="s">
        <v>129</v>
      </c>
      <c r="J185" t="s">
        <v>129</v>
      </c>
      <c r="K185" t="s">
        <v>360</v>
      </c>
      <c r="L185" t="s">
        <v>361</v>
      </c>
    </row>
    <row r="186" spans="1:12" x14ac:dyDescent="0.3">
      <c r="A186" t="s">
        <v>18</v>
      </c>
      <c r="B186">
        <v>1</v>
      </c>
      <c r="C186" t="s">
        <v>63</v>
      </c>
      <c r="D186" t="s">
        <v>64</v>
      </c>
      <c r="E186" t="s">
        <v>23</v>
      </c>
      <c r="F186" t="s">
        <v>105</v>
      </c>
      <c r="G186">
        <v>0</v>
      </c>
      <c r="H186">
        <v>0</v>
      </c>
      <c r="I186" t="s">
        <v>129</v>
      </c>
      <c r="J186" t="s">
        <v>129</v>
      </c>
      <c r="K186" t="s">
        <v>202</v>
      </c>
      <c r="L186" t="s">
        <v>212</v>
      </c>
    </row>
    <row r="187" spans="1:12" x14ac:dyDescent="0.3">
      <c r="A187" t="s">
        <v>18</v>
      </c>
      <c r="B187">
        <v>1</v>
      </c>
      <c r="C187" t="s">
        <v>63</v>
      </c>
      <c r="D187" t="s">
        <v>64</v>
      </c>
      <c r="E187" t="s">
        <v>23</v>
      </c>
      <c r="F187" t="s">
        <v>107</v>
      </c>
      <c r="G187">
        <v>0</v>
      </c>
      <c r="H187">
        <v>0</v>
      </c>
      <c r="I187" t="s">
        <v>129</v>
      </c>
      <c r="J187" t="s">
        <v>129</v>
      </c>
      <c r="K187" t="s">
        <v>362</v>
      </c>
      <c r="L187" t="s">
        <v>276</v>
      </c>
    </row>
    <row r="188" spans="1:12" x14ac:dyDescent="0.3">
      <c r="A188" t="s">
        <v>18</v>
      </c>
      <c r="B188">
        <v>1</v>
      </c>
      <c r="C188" t="s">
        <v>63</v>
      </c>
      <c r="D188" t="s">
        <v>64</v>
      </c>
      <c r="E188" t="s">
        <v>23</v>
      </c>
      <c r="F188" t="s">
        <v>111</v>
      </c>
      <c r="G188">
        <v>0</v>
      </c>
      <c r="H188">
        <v>0</v>
      </c>
      <c r="I188" t="s">
        <v>129</v>
      </c>
      <c r="J188" t="s">
        <v>129</v>
      </c>
      <c r="K188" t="s">
        <v>166</v>
      </c>
      <c r="L188" t="s">
        <v>363</v>
      </c>
    </row>
    <row r="189" spans="1:12" x14ac:dyDescent="0.3">
      <c r="A189" t="s">
        <v>18</v>
      </c>
      <c r="B189">
        <v>1</v>
      </c>
      <c r="C189" t="s">
        <v>47</v>
      </c>
      <c r="D189" t="s">
        <v>48</v>
      </c>
      <c r="E189" t="s">
        <v>23</v>
      </c>
      <c r="F189" t="s">
        <v>97</v>
      </c>
      <c r="G189">
        <v>0</v>
      </c>
      <c r="H189">
        <v>0</v>
      </c>
      <c r="I189" t="s">
        <v>129</v>
      </c>
      <c r="J189" t="s">
        <v>129</v>
      </c>
      <c r="K189" t="s">
        <v>166</v>
      </c>
      <c r="L189" t="s">
        <v>364</v>
      </c>
    </row>
    <row r="190" spans="1:12" x14ac:dyDescent="0.3">
      <c r="A190" t="s">
        <v>18</v>
      </c>
      <c r="B190">
        <v>1</v>
      </c>
      <c r="C190" t="s">
        <v>49</v>
      </c>
      <c r="D190" t="s">
        <v>50</v>
      </c>
      <c r="E190" t="s">
        <v>23</v>
      </c>
      <c r="F190" t="s">
        <v>81</v>
      </c>
      <c r="G190">
        <v>0</v>
      </c>
      <c r="H190">
        <v>1</v>
      </c>
      <c r="I190" t="s">
        <v>128</v>
      </c>
      <c r="J190" t="s">
        <v>128</v>
      </c>
      <c r="K190" t="s">
        <v>365</v>
      </c>
      <c r="L190" t="s">
        <v>366</v>
      </c>
    </row>
    <row r="191" spans="1:12" x14ac:dyDescent="0.3">
      <c r="A191" t="s">
        <v>18</v>
      </c>
      <c r="B191">
        <v>1</v>
      </c>
      <c r="C191" t="s">
        <v>49</v>
      </c>
      <c r="D191" t="s">
        <v>50</v>
      </c>
      <c r="E191" t="s">
        <v>23</v>
      </c>
      <c r="F191" t="s">
        <v>101</v>
      </c>
      <c r="G191">
        <v>0</v>
      </c>
      <c r="H191">
        <v>1</v>
      </c>
      <c r="I191" t="s">
        <v>128</v>
      </c>
      <c r="J191" t="s">
        <v>128</v>
      </c>
      <c r="K191" t="s">
        <v>367</v>
      </c>
      <c r="L191" t="s">
        <v>368</v>
      </c>
    </row>
    <row r="192" spans="1:12" x14ac:dyDescent="0.3">
      <c r="A192" t="s">
        <v>18</v>
      </c>
      <c r="B192">
        <v>1</v>
      </c>
      <c r="C192" t="s">
        <v>51</v>
      </c>
      <c r="D192" t="s">
        <v>52</v>
      </c>
      <c r="E192" t="s">
        <v>23</v>
      </c>
      <c r="F192" t="s">
        <v>79</v>
      </c>
      <c r="G192">
        <v>1</v>
      </c>
      <c r="H192">
        <v>0</v>
      </c>
      <c r="I192" t="s">
        <v>128</v>
      </c>
      <c r="J192" t="s">
        <v>128</v>
      </c>
      <c r="K192" t="s">
        <v>369</v>
      </c>
      <c r="L192" t="s">
        <v>370</v>
      </c>
    </row>
    <row r="193" spans="1:12" x14ac:dyDescent="0.3">
      <c r="A193" t="s">
        <v>18</v>
      </c>
      <c r="B193">
        <v>1</v>
      </c>
      <c r="C193" t="s">
        <v>51</v>
      </c>
      <c r="D193" t="s">
        <v>52</v>
      </c>
      <c r="E193" t="s">
        <v>23</v>
      </c>
      <c r="F193" t="s">
        <v>95</v>
      </c>
      <c r="G193">
        <v>1</v>
      </c>
      <c r="H193">
        <v>0</v>
      </c>
      <c r="I193" t="s">
        <v>128</v>
      </c>
      <c r="J193" t="s">
        <v>128</v>
      </c>
      <c r="K193" t="s">
        <v>371</v>
      </c>
      <c r="L193" t="s">
        <v>152</v>
      </c>
    </row>
    <row r="194" spans="1:12" x14ac:dyDescent="0.3">
      <c r="A194" t="s">
        <v>18</v>
      </c>
      <c r="B194">
        <v>1</v>
      </c>
      <c r="C194" t="s">
        <v>51</v>
      </c>
      <c r="D194" t="s">
        <v>52</v>
      </c>
      <c r="E194" t="s">
        <v>23</v>
      </c>
      <c r="F194" t="s">
        <v>99</v>
      </c>
      <c r="G194">
        <v>1</v>
      </c>
      <c r="H194">
        <v>0</v>
      </c>
      <c r="I194" t="s">
        <v>128</v>
      </c>
      <c r="J194" t="s">
        <v>128</v>
      </c>
      <c r="K194" t="s">
        <v>372</v>
      </c>
      <c r="L194" t="s">
        <v>152</v>
      </c>
    </row>
    <row r="195" spans="1:12" x14ac:dyDescent="0.3">
      <c r="A195" t="s">
        <v>18</v>
      </c>
      <c r="B195">
        <v>1</v>
      </c>
      <c r="C195" t="s">
        <v>51</v>
      </c>
      <c r="D195" t="s">
        <v>52</v>
      </c>
      <c r="E195" t="s">
        <v>23</v>
      </c>
      <c r="F195" t="s">
        <v>101</v>
      </c>
      <c r="G195">
        <v>1</v>
      </c>
      <c r="H195">
        <v>0</v>
      </c>
      <c r="I195" t="s">
        <v>128</v>
      </c>
      <c r="J195" t="s">
        <v>128</v>
      </c>
      <c r="K195" t="s">
        <v>373</v>
      </c>
      <c r="L195" t="s">
        <v>374</v>
      </c>
    </row>
    <row r="196" spans="1:12" x14ac:dyDescent="0.3">
      <c r="A196" t="s">
        <v>18</v>
      </c>
      <c r="B196">
        <v>1</v>
      </c>
      <c r="C196" t="s">
        <v>51</v>
      </c>
      <c r="D196" t="s">
        <v>52</v>
      </c>
      <c r="E196" t="s">
        <v>23</v>
      </c>
      <c r="F196" t="s">
        <v>111</v>
      </c>
      <c r="G196">
        <v>0</v>
      </c>
      <c r="H196">
        <v>0</v>
      </c>
      <c r="I196" t="s">
        <v>129</v>
      </c>
      <c r="J196" t="s">
        <v>129</v>
      </c>
      <c r="K196" t="s">
        <v>166</v>
      </c>
      <c r="L196" t="s">
        <v>375</v>
      </c>
    </row>
    <row r="197" spans="1:12" x14ac:dyDescent="0.3">
      <c r="A197" t="s">
        <v>18</v>
      </c>
      <c r="B197">
        <v>1</v>
      </c>
      <c r="C197" t="s">
        <v>53</v>
      </c>
      <c r="D197" t="s">
        <v>54</v>
      </c>
      <c r="E197" t="s">
        <v>23</v>
      </c>
      <c r="F197" t="s">
        <v>81</v>
      </c>
      <c r="G197">
        <v>1</v>
      </c>
      <c r="H197">
        <v>0</v>
      </c>
      <c r="I197" t="s">
        <v>128</v>
      </c>
      <c r="J197" t="s">
        <v>128</v>
      </c>
      <c r="K197" t="s">
        <v>178</v>
      </c>
      <c r="L197" t="s">
        <v>152</v>
      </c>
    </row>
    <row r="198" spans="1:12" x14ac:dyDescent="0.3">
      <c r="A198" t="s">
        <v>18</v>
      </c>
      <c r="B198">
        <v>1</v>
      </c>
      <c r="C198" t="s">
        <v>53</v>
      </c>
      <c r="D198" t="s">
        <v>54</v>
      </c>
      <c r="E198" t="s">
        <v>23</v>
      </c>
      <c r="F198" t="s">
        <v>111</v>
      </c>
      <c r="G198">
        <v>0</v>
      </c>
      <c r="H198">
        <v>0</v>
      </c>
      <c r="I198" t="s">
        <v>129</v>
      </c>
      <c r="J198" t="s">
        <v>129</v>
      </c>
      <c r="K198" t="s">
        <v>166</v>
      </c>
      <c r="L198" t="s">
        <v>376</v>
      </c>
    </row>
    <row r="199" spans="1:12" x14ac:dyDescent="0.3">
      <c r="A199" t="s">
        <v>18</v>
      </c>
      <c r="B199">
        <v>1</v>
      </c>
      <c r="C199" t="s">
        <v>55</v>
      </c>
      <c r="D199" t="s">
        <v>56</v>
      </c>
      <c r="E199" t="s">
        <v>23</v>
      </c>
      <c r="F199" t="s">
        <v>81</v>
      </c>
      <c r="G199">
        <v>1</v>
      </c>
      <c r="H199">
        <v>1</v>
      </c>
      <c r="I199" t="s">
        <v>129</v>
      </c>
      <c r="J199" t="s">
        <v>129</v>
      </c>
      <c r="K199" t="s">
        <v>173</v>
      </c>
      <c r="L199" t="s">
        <v>152</v>
      </c>
    </row>
    <row r="200" spans="1:12" x14ac:dyDescent="0.3">
      <c r="A200" t="s">
        <v>18</v>
      </c>
      <c r="B200">
        <v>1</v>
      </c>
      <c r="C200" t="s">
        <v>55</v>
      </c>
      <c r="D200" t="s">
        <v>56</v>
      </c>
      <c r="E200" t="s">
        <v>23</v>
      </c>
      <c r="F200" t="s">
        <v>85</v>
      </c>
      <c r="G200">
        <v>0</v>
      </c>
      <c r="H200">
        <v>0</v>
      </c>
      <c r="I200" t="s">
        <v>129</v>
      </c>
      <c r="J200" t="s">
        <v>129</v>
      </c>
      <c r="K200" t="s">
        <v>171</v>
      </c>
      <c r="L200" t="s">
        <v>316</v>
      </c>
    </row>
    <row r="201" spans="1:12" x14ac:dyDescent="0.3">
      <c r="A201" t="s">
        <v>18</v>
      </c>
      <c r="B201">
        <v>1</v>
      </c>
      <c r="C201" t="s">
        <v>55</v>
      </c>
      <c r="D201" t="s">
        <v>56</v>
      </c>
      <c r="E201" t="s">
        <v>23</v>
      </c>
      <c r="F201" t="s">
        <v>111</v>
      </c>
      <c r="G201">
        <v>0</v>
      </c>
      <c r="H201">
        <v>0</v>
      </c>
      <c r="I201" t="s">
        <v>127</v>
      </c>
      <c r="J201" t="s">
        <v>127</v>
      </c>
      <c r="K201" t="s">
        <v>147</v>
      </c>
      <c r="L201" t="s">
        <v>377</v>
      </c>
    </row>
    <row r="202" spans="1:12" x14ac:dyDescent="0.3">
      <c r="A202" t="s">
        <v>18</v>
      </c>
      <c r="B202">
        <v>1</v>
      </c>
      <c r="C202" t="s">
        <v>57</v>
      </c>
      <c r="D202" t="s">
        <v>58</v>
      </c>
      <c r="E202" t="s">
        <v>23</v>
      </c>
      <c r="F202" t="s">
        <v>85</v>
      </c>
      <c r="G202">
        <v>0</v>
      </c>
      <c r="H202">
        <v>0</v>
      </c>
      <c r="I202" t="s">
        <v>129</v>
      </c>
      <c r="J202" t="s">
        <v>129</v>
      </c>
      <c r="K202" t="s">
        <v>166</v>
      </c>
      <c r="L202" t="s">
        <v>378</v>
      </c>
    </row>
    <row r="203" spans="1:12" x14ac:dyDescent="0.3">
      <c r="A203" t="s">
        <v>18</v>
      </c>
      <c r="B203">
        <v>1</v>
      </c>
      <c r="C203" t="s">
        <v>57</v>
      </c>
      <c r="D203" t="s">
        <v>58</v>
      </c>
      <c r="E203" t="s">
        <v>23</v>
      </c>
      <c r="F203" t="s">
        <v>91</v>
      </c>
      <c r="G203">
        <v>0</v>
      </c>
      <c r="H203">
        <v>0</v>
      </c>
      <c r="I203" t="s">
        <v>129</v>
      </c>
      <c r="J203" t="s">
        <v>129</v>
      </c>
      <c r="K203" t="s">
        <v>166</v>
      </c>
      <c r="L203" t="s">
        <v>379</v>
      </c>
    </row>
    <row r="204" spans="1:12" x14ac:dyDescent="0.3">
      <c r="A204" t="s">
        <v>18</v>
      </c>
      <c r="B204">
        <v>1</v>
      </c>
      <c r="C204" t="s">
        <v>59</v>
      </c>
      <c r="D204" t="s">
        <v>60</v>
      </c>
      <c r="E204" t="s">
        <v>23</v>
      </c>
      <c r="F204" t="s">
        <v>79</v>
      </c>
      <c r="G204">
        <v>0</v>
      </c>
      <c r="H204">
        <v>0</v>
      </c>
      <c r="I204" t="s">
        <v>129</v>
      </c>
      <c r="J204" t="s">
        <v>129</v>
      </c>
      <c r="K204" t="s">
        <v>166</v>
      </c>
      <c r="L204" t="s">
        <v>380</v>
      </c>
    </row>
    <row r="205" spans="1:12" x14ac:dyDescent="0.3">
      <c r="A205" t="s">
        <v>18</v>
      </c>
      <c r="B205">
        <v>1</v>
      </c>
      <c r="C205" t="s">
        <v>59</v>
      </c>
      <c r="D205" t="s">
        <v>60</v>
      </c>
      <c r="E205" t="s">
        <v>23</v>
      </c>
      <c r="F205" t="s">
        <v>81</v>
      </c>
      <c r="G205">
        <v>0</v>
      </c>
      <c r="H205">
        <v>1</v>
      </c>
      <c r="I205" t="s">
        <v>128</v>
      </c>
      <c r="J205" t="s">
        <v>128</v>
      </c>
      <c r="K205" t="s">
        <v>381</v>
      </c>
      <c r="L205" t="s">
        <v>382</v>
      </c>
    </row>
    <row r="206" spans="1:12" x14ac:dyDescent="0.3">
      <c r="A206" t="s">
        <v>18</v>
      </c>
      <c r="B206">
        <v>1</v>
      </c>
      <c r="C206" t="s">
        <v>59</v>
      </c>
      <c r="D206" t="s">
        <v>60</v>
      </c>
      <c r="E206" t="s">
        <v>23</v>
      </c>
      <c r="F206" t="s">
        <v>99</v>
      </c>
      <c r="G206">
        <v>0</v>
      </c>
      <c r="H206">
        <v>0</v>
      </c>
      <c r="I206" t="s">
        <v>129</v>
      </c>
      <c r="J206" t="s">
        <v>129</v>
      </c>
      <c r="K206" t="s">
        <v>166</v>
      </c>
      <c r="L206" t="s">
        <v>383</v>
      </c>
    </row>
    <row r="207" spans="1:12" x14ac:dyDescent="0.3">
      <c r="A207" t="s">
        <v>18</v>
      </c>
      <c r="B207">
        <v>1</v>
      </c>
      <c r="C207" t="s">
        <v>61</v>
      </c>
      <c r="D207" t="s">
        <v>62</v>
      </c>
      <c r="E207" t="s">
        <v>23</v>
      </c>
      <c r="F207" t="s">
        <v>81</v>
      </c>
      <c r="G207">
        <v>1</v>
      </c>
      <c r="H207">
        <v>0</v>
      </c>
      <c r="I207" t="s">
        <v>128</v>
      </c>
      <c r="J207" t="s">
        <v>128</v>
      </c>
      <c r="K207" t="s">
        <v>178</v>
      </c>
      <c r="L207" t="s">
        <v>152</v>
      </c>
    </row>
    <row r="208" spans="1:12" x14ac:dyDescent="0.3">
      <c r="A208" t="s">
        <v>18</v>
      </c>
      <c r="B208">
        <v>1</v>
      </c>
      <c r="C208" t="s">
        <v>61</v>
      </c>
      <c r="D208" t="s">
        <v>62</v>
      </c>
      <c r="E208" t="s">
        <v>23</v>
      </c>
      <c r="F208" t="s">
        <v>83</v>
      </c>
      <c r="G208">
        <v>0</v>
      </c>
      <c r="H208">
        <v>0</v>
      </c>
      <c r="I208" t="s">
        <v>129</v>
      </c>
      <c r="J208" t="s">
        <v>129</v>
      </c>
      <c r="K208" t="s">
        <v>166</v>
      </c>
      <c r="L208" t="s">
        <v>384</v>
      </c>
    </row>
    <row r="209" spans="1:12" x14ac:dyDescent="0.3">
      <c r="A209" t="s">
        <v>18</v>
      </c>
      <c r="B209">
        <v>1</v>
      </c>
      <c r="C209" t="s">
        <v>61</v>
      </c>
      <c r="D209" t="s">
        <v>62</v>
      </c>
      <c r="E209" t="s">
        <v>23</v>
      </c>
      <c r="F209" t="s">
        <v>95</v>
      </c>
      <c r="G209">
        <v>0</v>
      </c>
      <c r="H209">
        <v>0</v>
      </c>
      <c r="I209" t="s">
        <v>129</v>
      </c>
      <c r="J209" t="s">
        <v>129</v>
      </c>
      <c r="K209" t="s">
        <v>166</v>
      </c>
      <c r="L209" t="s">
        <v>385</v>
      </c>
    </row>
    <row r="210" spans="1:12" x14ac:dyDescent="0.3">
      <c r="A210" t="s">
        <v>18</v>
      </c>
      <c r="B210">
        <v>1</v>
      </c>
      <c r="C210" t="s">
        <v>61</v>
      </c>
      <c r="D210" t="s">
        <v>62</v>
      </c>
      <c r="E210" t="s">
        <v>23</v>
      </c>
      <c r="F210" t="s">
        <v>107</v>
      </c>
      <c r="G210">
        <v>0</v>
      </c>
      <c r="H210">
        <v>0</v>
      </c>
      <c r="I210" t="s">
        <v>129</v>
      </c>
      <c r="J210" t="s">
        <v>129</v>
      </c>
      <c r="K210" t="s">
        <v>166</v>
      </c>
      <c r="L210" t="s">
        <v>386</v>
      </c>
    </row>
    <row r="211" spans="1:12" x14ac:dyDescent="0.3">
      <c r="A211" t="s">
        <v>18</v>
      </c>
      <c r="B211">
        <v>1</v>
      </c>
      <c r="C211" t="s">
        <v>61</v>
      </c>
      <c r="D211" t="s">
        <v>62</v>
      </c>
      <c r="E211" t="s">
        <v>23</v>
      </c>
      <c r="F211" t="s">
        <v>111</v>
      </c>
      <c r="G211">
        <v>0</v>
      </c>
      <c r="H211">
        <v>0</v>
      </c>
      <c r="I211" t="s">
        <v>129</v>
      </c>
      <c r="J211" t="s">
        <v>129</v>
      </c>
      <c r="K211" t="s">
        <v>166</v>
      </c>
      <c r="L211" t="s">
        <v>387</v>
      </c>
    </row>
    <row r="212" spans="1:12" x14ac:dyDescent="0.3">
      <c r="A212" t="s">
        <v>18</v>
      </c>
      <c r="B212">
        <v>1</v>
      </c>
      <c r="C212" t="s">
        <v>19</v>
      </c>
      <c r="D212" t="s">
        <v>20</v>
      </c>
      <c r="E212" t="s">
        <v>25</v>
      </c>
      <c r="F212" t="s">
        <v>81</v>
      </c>
      <c r="G212">
        <v>0</v>
      </c>
      <c r="H212">
        <v>0</v>
      </c>
      <c r="I212" t="s">
        <v>129</v>
      </c>
      <c r="J212" t="s">
        <v>129</v>
      </c>
      <c r="K212" t="s">
        <v>388</v>
      </c>
      <c r="L212" t="s">
        <v>389</v>
      </c>
    </row>
    <row r="213" spans="1:12" x14ac:dyDescent="0.3">
      <c r="A213" t="s">
        <v>18</v>
      </c>
      <c r="B213">
        <v>1</v>
      </c>
      <c r="C213" t="s">
        <v>19</v>
      </c>
      <c r="D213" t="s">
        <v>20</v>
      </c>
      <c r="E213" t="s">
        <v>25</v>
      </c>
      <c r="F213" t="s">
        <v>85</v>
      </c>
      <c r="G213">
        <v>0</v>
      </c>
      <c r="H213">
        <v>0</v>
      </c>
      <c r="I213" t="s">
        <v>129</v>
      </c>
      <c r="J213" t="s">
        <v>129</v>
      </c>
      <c r="K213" t="s">
        <v>388</v>
      </c>
      <c r="L213" t="s">
        <v>390</v>
      </c>
    </row>
    <row r="214" spans="1:12" x14ac:dyDescent="0.3">
      <c r="A214" t="s">
        <v>18</v>
      </c>
      <c r="B214">
        <v>1</v>
      </c>
      <c r="C214" t="s">
        <v>19</v>
      </c>
      <c r="D214" t="s">
        <v>20</v>
      </c>
      <c r="E214" t="s">
        <v>25</v>
      </c>
      <c r="F214" t="s">
        <v>87</v>
      </c>
      <c r="G214">
        <v>0</v>
      </c>
      <c r="H214">
        <v>0</v>
      </c>
      <c r="I214" t="s">
        <v>126</v>
      </c>
      <c r="J214" t="s">
        <v>126</v>
      </c>
      <c r="K214" t="s">
        <v>391</v>
      </c>
      <c r="L214" t="s">
        <v>152</v>
      </c>
    </row>
    <row r="215" spans="1:12" x14ac:dyDescent="0.3">
      <c r="A215" t="s">
        <v>18</v>
      </c>
      <c r="B215">
        <v>1</v>
      </c>
      <c r="C215" t="s">
        <v>19</v>
      </c>
      <c r="D215" t="s">
        <v>20</v>
      </c>
      <c r="E215" t="s">
        <v>25</v>
      </c>
      <c r="F215" t="s">
        <v>93</v>
      </c>
      <c r="G215">
        <v>0</v>
      </c>
      <c r="H215">
        <v>0</v>
      </c>
      <c r="I215" t="s">
        <v>129</v>
      </c>
      <c r="J215" t="s">
        <v>129</v>
      </c>
      <c r="K215" t="s">
        <v>392</v>
      </c>
      <c r="L215" t="s">
        <v>393</v>
      </c>
    </row>
    <row r="216" spans="1:12" x14ac:dyDescent="0.3">
      <c r="A216" t="s">
        <v>18</v>
      </c>
      <c r="B216">
        <v>1</v>
      </c>
      <c r="C216" t="s">
        <v>19</v>
      </c>
      <c r="D216" t="s">
        <v>20</v>
      </c>
      <c r="E216" t="s">
        <v>25</v>
      </c>
      <c r="F216" t="s">
        <v>95</v>
      </c>
      <c r="G216">
        <v>0</v>
      </c>
      <c r="H216">
        <v>0</v>
      </c>
      <c r="I216" t="s">
        <v>129</v>
      </c>
      <c r="J216" t="s">
        <v>129</v>
      </c>
      <c r="K216" t="s">
        <v>149</v>
      </c>
      <c r="L216" t="s">
        <v>394</v>
      </c>
    </row>
    <row r="217" spans="1:12" x14ac:dyDescent="0.3">
      <c r="A217" t="s">
        <v>18</v>
      </c>
      <c r="B217">
        <v>1</v>
      </c>
      <c r="C217" t="s">
        <v>19</v>
      </c>
      <c r="D217" t="s">
        <v>20</v>
      </c>
      <c r="E217" t="s">
        <v>25</v>
      </c>
      <c r="F217" t="s">
        <v>97</v>
      </c>
      <c r="G217">
        <v>0</v>
      </c>
      <c r="H217">
        <v>0</v>
      </c>
      <c r="I217" t="s">
        <v>129</v>
      </c>
      <c r="J217" t="s">
        <v>129</v>
      </c>
      <c r="K217" t="s">
        <v>395</v>
      </c>
      <c r="L217" t="s">
        <v>396</v>
      </c>
    </row>
    <row r="218" spans="1:12" x14ac:dyDescent="0.3">
      <c r="A218" t="s">
        <v>18</v>
      </c>
      <c r="B218">
        <v>1</v>
      </c>
      <c r="C218" t="s">
        <v>19</v>
      </c>
      <c r="D218" t="s">
        <v>20</v>
      </c>
      <c r="E218" t="s">
        <v>25</v>
      </c>
      <c r="F218" t="s">
        <v>99</v>
      </c>
      <c r="G218">
        <v>0</v>
      </c>
      <c r="H218">
        <v>0</v>
      </c>
      <c r="I218" t="s">
        <v>129</v>
      </c>
      <c r="J218" t="s">
        <v>129</v>
      </c>
      <c r="K218" t="s">
        <v>397</v>
      </c>
      <c r="L218" t="s">
        <v>398</v>
      </c>
    </row>
    <row r="219" spans="1:12" x14ac:dyDescent="0.3">
      <c r="A219" t="s">
        <v>18</v>
      </c>
      <c r="B219">
        <v>1</v>
      </c>
      <c r="C219" t="s">
        <v>19</v>
      </c>
      <c r="D219" t="s">
        <v>20</v>
      </c>
      <c r="E219" t="s">
        <v>25</v>
      </c>
      <c r="F219" t="s">
        <v>101</v>
      </c>
      <c r="G219">
        <v>0</v>
      </c>
      <c r="H219">
        <v>0</v>
      </c>
      <c r="I219" t="s">
        <v>129</v>
      </c>
      <c r="J219" t="s">
        <v>129</v>
      </c>
      <c r="K219" t="s">
        <v>399</v>
      </c>
      <c r="L219" t="s">
        <v>400</v>
      </c>
    </row>
    <row r="220" spans="1:12" x14ac:dyDescent="0.3">
      <c r="A220" t="s">
        <v>18</v>
      </c>
      <c r="B220">
        <v>1</v>
      </c>
      <c r="C220" t="s">
        <v>19</v>
      </c>
      <c r="D220" t="s">
        <v>20</v>
      </c>
      <c r="E220" t="s">
        <v>25</v>
      </c>
      <c r="F220" t="s">
        <v>103</v>
      </c>
      <c r="G220">
        <v>0</v>
      </c>
      <c r="H220">
        <v>0</v>
      </c>
      <c r="I220" t="s">
        <v>129</v>
      </c>
      <c r="J220" t="s">
        <v>129</v>
      </c>
      <c r="K220" t="s">
        <v>327</v>
      </c>
      <c r="L220" t="s">
        <v>328</v>
      </c>
    </row>
    <row r="221" spans="1:12" x14ac:dyDescent="0.3">
      <c r="A221" t="s">
        <v>18</v>
      </c>
      <c r="B221">
        <v>1</v>
      </c>
      <c r="C221" t="s">
        <v>19</v>
      </c>
      <c r="D221" t="s">
        <v>20</v>
      </c>
      <c r="E221" t="s">
        <v>25</v>
      </c>
      <c r="F221" t="s">
        <v>105</v>
      </c>
      <c r="G221">
        <v>0</v>
      </c>
      <c r="H221">
        <v>0</v>
      </c>
      <c r="I221" t="s">
        <v>129</v>
      </c>
      <c r="J221" t="s">
        <v>129</v>
      </c>
      <c r="K221" t="s">
        <v>401</v>
      </c>
      <c r="L221" t="s">
        <v>402</v>
      </c>
    </row>
    <row r="222" spans="1:12" x14ac:dyDescent="0.3">
      <c r="A222" t="s">
        <v>18</v>
      </c>
      <c r="B222">
        <v>1</v>
      </c>
      <c r="C222" t="s">
        <v>19</v>
      </c>
      <c r="D222" t="s">
        <v>20</v>
      </c>
      <c r="E222" t="s">
        <v>25</v>
      </c>
      <c r="F222" t="s">
        <v>111</v>
      </c>
      <c r="G222">
        <v>0</v>
      </c>
      <c r="H222">
        <v>0</v>
      </c>
      <c r="I222" t="s">
        <v>129</v>
      </c>
      <c r="J222" t="s">
        <v>129</v>
      </c>
      <c r="K222" t="s">
        <v>159</v>
      </c>
      <c r="L222" t="s">
        <v>331</v>
      </c>
    </row>
    <row r="223" spans="1:12" x14ac:dyDescent="0.3">
      <c r="A223" t="s">
        <v>18</v>
      </c>
      <c r="B223">
        <v>1</v>
      </c>
      <c r="C223" t="s">
        <v>28</v>
      </c>
      <c r="D223" t="s">
        <v>29</v>
      </c>
      <c r="E223" t="s">
        <v>25</v>
      </c>
      <c r="F223" t="s">
        <v>81</v>
      </c>
      <c r="G223">
        <v>0</v>
      </c>
      <c r="H223">
        <v>1</v>
      </c>
      <c r="I223" t="s">
        <v>128</v>
      </c>
      <c r="J223" t="s">
        <v>128</v>
      </c>
      <c r="K223" t="s">
        <v>403</v>
      </c>
      <c r="L223" t="s">
        <v>404</v>
      </c>
    </row>
    <row r="224" spans="1:12" x14ac:dyDescent="0.3">
      <c r="A224" t="s">
        <v>18</v>
      </c>
      <c r="B224">
        <v>1</v>
      </c>
      <c r="C224" t="s">
        <v>28</v>
      </c>
      <c r="D224" t="s">
        <v>29</v>
      </c>
      <c r="E224" t="s">
        <v>25</v>
      </c>
      <c r="F224" t="s">
        <v>97</v>
      </c>
      <c r="G224">
        <v>0</v>
      </c>
      <c r="H224">
        <v>0</v>
      </c>
      <c r="I224" t="s">
        <v>129</v>
      </c>
      <c r="J224" t="s">
        <v>129</v>
      </c>
      <c r="K224" t="s">
        <v>164</v>
      </c>
      <c r="L224" t="s">
        <v>405</v>
      </c>
    </row>
    <row r="225" spans="1:12" x14ac:dyDescent="0.3">
      <c r="A225" t="s">
        <v>18</v>
      </c>
      <c r="B225">
        <v>1</v>
      </c>
      <c r="C225" t="s">
        <v>30</v>
      </c>
      <c r="D225" t="s">
        <v>31</v>
      </c>
      <c r="E225" t="s">
        <v>25</v>
      </c>
      <c r="F225" t="s">
        <v>81</v>
      </c>
      <c r="G225">
        <v>1</v>
      </c>
      <c r="H225">
        <v>0</v>
      </c>
      <c r="I225" t="s">
        <v>128</v>
      </c>
      <c r="J225" t="s">
        <v>128</v>
      </c>
      <c r="K225" t="s">
        <v>178</v>
      </c>
      <c r="L225" t="s">
        <v>152</v>
      </c>
    </row>
    <row r="226" spans="1:12" x14ac:dyDescent="0.3">
      <c r="A226" t="s">
        <v>18</v>
      </c>
      <c r="B226">
        <v>1</v>
      </c>
      <c r="C226" t="s">
        <v>32</v>
      </c>
      <c r="D226" t="s">
        <v>33</v>
      </c>
      <c r="E226" t="s">
        <v>25</v>
      </c>
      <c r="F226" t="s">
        <v>79</v>
      </c>
      <c r="G226">
        <v>0</v>
      </c>
      <c r="H226">
        <v>0</v>
      </c>
      <c r="I226" t="s">
        <v>129</v>
      </c>
      <c r="J226" t="s">
        <v>129</v>
      </c>
      <c r="K226" t="s">
        <v>171</v>
      </c>
      <c r="L226" t="s">
        <v>406</v>
      </c>
    </row>
    <row r="227" spans="1:12" x14ac:dyDescent="0.3">
      <c r="A227" t="s">
        <v>18</v>
      </c>
      <c r="B227">
        <v>1</v>
      </c>
      <c r="C227" t="s">
        <v>32</v>
      </c>
      <c r="D227" t="s">
        <v>33</v>
      </c>
      <c r="E227" t="s">
        <v>25</v>
      </c>
      <c r="F227" t="s">
        <v>81</v>
      </c>
      <c r="G227">
        <v>1</v>
      </c>
      <c r="H227">
        <v>1</v>
      </c>
      <c r="I227" t="s">
        <v>129</v>
      </c>
      <c r="J227" t="s">
        <v>129</v>
      </c>
      <c r="K227" t="s">
        <v>173</v>
      </c>
      <c r="L227" t="s">
        <v>152</v>
      </c>
    </row>
    <row r="228" spans="1:12" x14ac:dyDescent="0.3">
      <c r="A228" t="s">
        <v>18</v>
      </c>
      <c r="B228">
        <v>1</v>
      </c>
      <c r="C228" t="s">
        <v>32</v>
      </c>
      <c r="D228" t="s">
        <v>33</v>
      </c>
      <c r="E228" t="s">
        <v>25</v>
      </c>
      <c r="F228" t="s">
        <v>83</v>
      </c>
      <c r="G228">
        <v>0</v>
      </c>
      <c r="H228">
        <v>0</v>
      </c>
      <c r="I228" t="s">
        <v>129</v>
      </c>
      <c r="J228" t="s">
        <v>129</v>
      </c>
      <c r="K228" t="s">
        <v>171</v>
      </c>
      <c r="L228" t="s">
        <v>407</v>
      </c>
    </row>
    <row r="229" spans="1:12" x14ac:dyDescent="0.3">
      <c r="A229" t="s">
        <v>18</v>
      </c>
      <c r="B229">
        <v>1</v>
      </c>
      <c r="C229" t="s">
        <v>32</v>
      </c>
      <c r="D229" t="s">
        <v>33</v>
      </c>
      <c r="E229" t="s">
        <v>25</v>
      </c>
      <c r="F229" t="s">
        <v>85</v>
      </c>
      <c r="G229">
        <v>0</v>
      </c>
      <c r="H229">
        <v>0</v>
      </c>
      <c r="I229" t="s">
        <v>129</v>
      </c>
      <c r="J229" t="s">
        <v>129</v>
      </c>
      <c r="K229" t="s">
        <v>171</v>
      </c>
      <c r="L229" t="s">
        <v>408</v>
      </c>
    </row>
    <row r="230" spans="1:12" x14ac:dyDescent="0.3">
      <c r="A230" t="s">
        <v>18</v>
      </c>
      <c r="B230">
        <v>1</v>
      </c>
      <c r="C230" t="s">
        <v>32</v>
      </c>
      <c r="D230" t="s">
        <v>33</v>
      </c>
      <c r="E230" t="s">
        <v>25</v>
      </c>
      <c r="F230" t="s">
        <v>95</v>
      </c>
      <c r="G230">
        <v>0</v>
      </c>
      <c r="H230">
        <v>0</v>
      </c>
      <c r="I230" t="s">
        <v>129</v>
      </c>
      <c r="J230" t="s">
        <v>129</v>
      </c>
      <c r="K230" t="s">
        <v>171</v>
      </c>
      <c r="L230" t="s">
        <v>176</v>
      </c>
    </row>
    <row r="231" spans="1:12" x14ac:dyDescent="0.3">
      <c r="A231" t="s">
        <v>18</v>
      </c>
      <c r="B231">
        <v>1</v>
      </c>
      <c r="C231" t="s">
        <v>32</v>
      </c>
      <c r="D231" t="s">
        <v>33</v>
      </c>
      <c r="E231" t="s">
        <v>25</v>
      </c>
      <c r="F231" t="s">
        <v>105</v>
      </c>
      <c r="G231">
        <v>0</v>
      </c>
      <c r="H231">
        <v>0</v>
      </c>
      <c r="I231" t="s">
        <v>129</v>
      </c>
      <c r="J231" t="s">
        <v>129</v>
      </c>
      <c r="K231" t="s">
        <v>171</v>
      </c>
      <c r="L231" t="s">
        <v>177</v>
      </c>
    </row>
    <row r="232" spans="1:12" x14ac:dyDescent="0.3">
      <c r="A232" t="s">
        <v>18</v>
      </c>
      <c r="B232">
        <v>1</v>
      </c>
      <c r="C232" t="s">
        <v>34</v>
      </c>
      <c r="D232" t="s">
        <v>35</v>
      </c>
      <c r="E232" t="s">
        <v>25</v>
      </c>
      <c r="F232" t="s">
        <v>81</v>
      </c>
      <c r="G232">
        <v>1</v>
      </c>
      <c r="H232">
        <v>0</v>
      </c>
      <c r="I232" t="s">
        <v>128</v>
      </c>
      <c r="J232" t="s">
        <v>128</v>
      </c>
      <c r="K232" t="s">
        <v>178</v>
      </c>
      <c r="L232" t="s">
        <v>152</v>
      </c>
    </row>
    <row r="233" spans="1:12" x14ac:dyDescent="0.3">
      <c r="A233" t="s">
        <v>18</v>
      </c>
      <c r="B233">
        <v>1</v>
      </c>
      <c r="C233" t="s">
        <v>36</v>
      </c>
      <c r="D233" t="s">
        <v>37</v>
      </c>
      <c r="E233" t="s">
        <v>25</v>
      </c>
      <c r="F233" t="s">
        <v>83</v>
      </c>
      <c r="G233">
        <v>0</v>
      </c>
      <c r="H233">
        <v>0</v>
      </c>
      <c r="I233" t="s">
        <v>129</v>
      </c>
      <c r="J233" t="s">
        <v>129</v>
      </c>
      <c r="K233" t="s">
        <v>171</v>
      </c>
      <c r="L233" t="s">
        <v>181</v>
      </c>
    </row>
    <row r="234" spans="1:12" x14ac:dyDescent="0.3">
      <c r="A234" t="s">
        <v>18</v>
      </c>
      <c r="B234">
        <v>1</v>
      </c>
      <c r="C234" t="s">
        <v>36</v>
      </c>
      <c r="D234" t="s">
        <v>37</v>
      </c>
      <c r="E234" t="s">
        <v>25</v>
      </c>
      <c r="F234" t="s">
        <v>85</v>
      </c>
      <c r="G234">
        <v>0</v>
      </c>
      <c r="H234">
        <v>0</v>
      </c>
      <c r="I234" t="s">
        <v>129</v>
      </c>
      <c r="J234" t="s">
        <v>129</v>
      </c>
      <c r="K234" t="s">
        <v>171</v>
      </c>
      <c r="L234" t="s">
        <v>182</v>
      </c>
    </row>
    <row r="235" spans="1:12" x14ac:dyDescent="0.3">
      <c r="A235" t="s">
        <v>18</v>
      </c>
      <c r="B235">
        <v>1</v>
      </c>
      <c r="C235" t="s">
        <v>38</v>
      </c>
      <c r="D235" t="s">
        <v>39</v>
      </c>
      <c r="E235" t="s">
        <v>25</v>
      </c>
      <c r="F235" t="s">
        <v>79</v>
      </c>
      <c r="G235">
        <v>0</v>
      </c>
      <c r="H235">
        <v>0</v>
      </c>
      <c r="I235" t="s">
        <v>129</v>
      </c>
      <c r="J235" t="s">
        <v>129</v>
      </c>
      <c r="K235" t="s">
        <v>171</v>
      </c>
      <c r="L235" t="s">
        <v>183</v>
      </c>
    </row>
    <row r="236" spans="1:12" x14ac:dyDescent="0.3">
      <c r="A236" t="s">
        <v>18</v>
      </c>
      <c r="B236">
        <v>1</v>
      </c>
      <c r="C236" t="s">
        <v>38</v>
      </c>
      <c r="D236" t="s">
        <v>39</v>
      </c>
      <c r="E236" t="s">
        <v>25</v>
      </c>
      <c r="F236" t="s">
        <v>85</v>
      </c>
      <c r="G236">
        <v>0</v>
      </c>
      <c r="H236">
        <v>0</v>
      </c>
      <c r="I236" t="s">
        <v>129</v>
      </c>
      <c r="J236" t="s">
        <v>129</v>
      </c>
      <c r="K236" t="s">
        <v>171</v>
      </c>
      <c r="L236" t="s">
        <v>184</v>
      </c>
    </row>
    <row r="237" spans="1:12" x14ac:dyDescent="0.3">
      <c r="A237" t="s">
        <v>18</v>
      </c>
      <c r="B237">
        <v>1</v>
      </c>
      <c r="C237" t="s">
        <v>38</v>
      </c>
      <c r="D237" t="s">
        <v>39</v>
      </c>
      <c r="E237" t="s">
        <v>25</v>
      </c>
      <c r="F237" t="s">
        <v>111</v>
      </c>
      <c r="G237">
        <v>0</v>
      </c>
      <c r="H237">
        <v>0</v>
      </c>
      <c r="I237" t="s">
        <v>127</v>
      </c>
      <c r="J237" t="s">
        <v>127</v>
      </c>
      <c r="K237" t="s">
        <v>147</v>
      </c>
      <c r="L237" t="s">
        <v>409</v>
      </c>
    </row>
    <row r="238" spans="1:12" x14ac:dyDescent="0.3">
      <c r="A238" t="s">
        <v>18</v>
      </c>
      <c r="B238">
        <v>1</v>
      </c>
      <c r="C238" t="s">
        <v>40</v>
      </c>
      <c r="D238" t="s">
        <v>41</v>
      </c>
      <c r="E238" t="s">
        <v>25</v>
      </c>
      <c r="F238" t="s">
        <v>77</v>
      </c>
      <c r="G238">
        <v>0</v>
      </c>
      <c r="H238">
        <v>1</v>
      </c>
      <c r="I238" t="s">
        <v>128</v>
      </c>
      <c r="J238" t="s">
        <v>128</v>
      </c>
      <c r="K238" t="s">
        <v>178</v>
      </c>
      <c r="L238" t="s">
        <v>152</v>
      </c>
    </row>
    <row r="239" spans="1:12" x14ac:dyDescent="0.3">
      <c r="A239" t="s">
        <v>18</v>
      </c>
      <c r="B239">
        <v>1</v>
      </c>
      <c r="C239" t="s">
        <v>40</v>
      </c>
      <c r="D239" t="s">
        <v>41</v>
      </c>
      <c r="E239" t="s">
        <v>25</v>
      </c>
      <c r="F239" t="s">
        <v>81</v>
      </c>
      <c r="G239">
        <v>1</v>
      </c>
      <c r="H239">
        <v>1</v>
      </c>
      <c r="I239" t="s">
        <v>129</v>
      </c>
      <c r="J239" t="s">
        <v>129</v>
      </c>
      <c r="K239" t="s">
        <v>171</v>
      </c>
      <c r="L239" t="s">
        <v>152</v>
      </c>
    </row>
    <row r="240" spans="1:12" x14ac:dyDescent="0.3">
      <c r="A240" t="s">
        <v>18</v>
      </c>
      <c r="B240">
        <v>1</v>
      </c>
      <c r="C240" t="s">
        <v>40</v>
      </c>
      <c r="D240" t="s">
        <v>41</v>
      </c>
      <c r="E240" t="s">
        <v>25</v>
      </c>
      <c r="F240" t="s">
        <v>85</v>
      </c>
      <c r="G240">
        <v>0</v>
      </c>
      <c r="H240">
        <v>0</v>
      </c>
      <c r="I240" t="s">
        <v>129</v>
      </c>
      <c r="J240" t="s">
        <v>129</v>
      </c>
      <c r="K240" t="s">
        <v>171</v>
      </c>
      <c r="L240" t="s">
        <v>187</v>
      </c>
    </row>
    <row r="241" spans="1:12" x14ac:dyDescent="0.3">
      <c r="A241" t="s">
        <v>18</v>
      </c>
      <c r="B241">
        <v>1</v>
      </c>
      <c r="C241" t="s">
        <v>40</v>
      </c>
      <c r="D241" t="s">
        <v>41</v>
      </c>
      <c r="E241" t="s">
        <v>25</v>
      </c>
      <c r="F241" t="s">
        <v>105</v>
      </c>
      <c r="G241">
        <v>0</v>
      </c>
      <c r="H241">
        <v>0</v>
      </c>
      <c r="I241" t="s">
        <v>129</v>
      </c>
      <c r="J241" t="s">
        <v>129</v>
      </c>
      <c r="K241" t="s">
        <v>171</v>
      </c>
      <c r="L241" t="s">
        <v>189</v>
      </c>
    </row>
    <row r="242" spans="1:12" x14ac:dyDescent="0.3">
      <c r="A242" t="s">
        <v>18</v>
      </c>
      <c r="B242">
        <v>1</v>
      </c>
      <c r="C242" t="s">
        <v>43</v>
      </c>
      <c r="D242" t="s">
        <v>44</v>
      </c>
      <c r="E242" t="s">
        <v>25</v>
      </c>
      <c r="F242" t="s">
        <v>107</v>
      </c>
      <c r="G242">
        <v>0</v>
      </c>
      <c r="H242">
        <v>1</v>
      </c>
      <c r="I242" t="s">
        <v>128</v>
      </c>
      <c r="J242" t="s">
        <v>128</v>
      </c>
      <c r="K242" t="s">
        <v>410</v>
      </c>
      <c r="L242" t="s">
        <v>272</v>
      </c>
    </row>
    <row r="243" spans="1:12" x14ac:dyDescent="0.3">
      <c r="A243" t="s">
        <v>18</v>
      </c>
      <c r="B243">
        <v>1</v>
      </c>
      <c r="C243" t="s">
        <v>45</v>
      </c>
      <c r="D243" t="s">
        <v>46</v>
      </c>
      <c r="E243" t="s">
        <v>25</v>
      </c>
      <c r="F243" t="s">
        <v>85</v>
      </c>
      <c r="G243">
        <v>0</v>
      </c>
      <c r="H243">
        <v>0</v>
      </c>
      <c r="I243" t="s">
        <v>129</v>
      </c>
      <c r="J243" t="s">
        <v>129</v>
      </c>
      <c r="K243" t="s">
        <v>166</v>
      </c>
      <c r="L243" t="s">
        <v>411</v>
      </c>
    </row>
    <row r="244" spans="1:12" x14ac:dyDescent="0.3">
      <c r="A244" t="s">
        <v>18</v>
      </c>
      <c r="B244">
        <v>1</v>
      </c>
      <c r="C244" t="s">
        <v>63</v>
      </c>
      <c r="D244" t="s">
        <v>64</v>
      </c>
      <c r="E244" t="s">
        <v>25</v>
      </c>
      <c r="F244" t="s">
        <v>79</v>
      </c>
      <c r="G244">
        <v>0</v>
      </c>
      <c r="H244">
        <v>0</v>
      </c>
      <c r="I244" t="s">
        <v>129</v>
      </c>
      <c r="J244" t="s">
        <v>129</v>
      </c>
      <c r="K244" t="s">
        <v>277</v>
      </c>
      <c r="L244" t="s">
        <v>278</v>
      </c>
    </row>
    <row r="245" spans="1:12" x14ac:dyDescent="0.3">
      <c r="A245" t="s">
        <v>18</v>
      </c>
      <c r="B245">
        <v>1</v>
      </c>
      <c r="C245" t="s">
        <v>63</v>
      </c>
      <c r="D245" t="s">
        <v>64</v>
      </c>
      <c r="E245" t="s">
        <v>25</v>
      </c>
      <c r="F245" t="s">
        <v>81</v>
      </c>
      <c r="G245">
        <v>1</v>
      </c>
      <c r="H245">
        <v>1</v>
      </c>
      <c r="I245" t="s">
        <v>129</v>
      </c>
      <c r="J245" t="s">
        <v>129</v>
      </c>
      <c r="K245" t="s">
        <v>199</v>
      </c>
      <c r="L245" t="s">
        <v>152</v>
      </c>
    </row>
    <row r="246" spans="1:12" x14ac:dyDescent="0.3">
      <c r="A246" t="s">
        <v>18</v>
      </c>
      <c r="B246">
        <v>1</v>
      </c>
      <c r="C246" t="s">
        <v>63</v>
      </c>
      <c r="D246" t="s">
        <v>64</v>
      </c>
      <c r="E246" t="s">
        <v>25</v>
      </c>
      <c r="F246" t="s">
        <v>85</v>
      </c>
      <c r="G246">
        <v>0</v>
      </c>
      <c r="H246">
        <v>0</v>
      </c>
      <c r="I246" t="s">
        <v>129</v>
      </c>
      <c r="J246" t="s">
        <v>129</v>
      </c>
      <c r="K246" t="s">
        <v>202</v>
      </c>
      <c r="L246" t="s">
        <v>203</v>
      </c>
    </row>
    <row r="247" spans="1:12" x14ac:dyDescent="0.3">
      <c r="A247" t="s">
        <v>18</v>
      </c>
      <c r="B247">
        <v>1</v>
      </c>
      <c r="C247" t="s">
        <v>63</v>
      </c>
      <c r="D247" t="s">
        <v>64</v>
      </c>
      <c r="E247" t="s">
        <v>25</v>
      </c>
      <c r="F247" t="s">
        <v>89</v>
      </c>
      <c r="G247">
        <v>0</v>
      </c>
      <c r="H247">
        <v>0</v>
      </c>
      <c r="I247" t="s">
        <v>129</v>
      </c>
      <c r="J247" t="s">
        <v>129</v>
      </c>
      <c r="K247" t="s">
        <v>412</v>
      </c>
      <c r="L247" t="s">
        <v>413</v>
      </c>
    </row>
    <row r="248" spans="1:12" x14ac:dyDescent="0.3">
      <c r="A248" t="s">
        <v>18</v>
      </c>
      <c r="B248">
        <v>1</v>
      </c>
      <c r="C248" t="s">
        <v>63</v>
      </c>
      <c r="D248" t="s">
        <v>64</v>
      </c>
      <c r="E248" t="s">
        <v>25</v>
      </c>
      <c r="F248" t="s">
        <v>91</v>
      </c>
      <c r="G248">
        <v>0</v>
      </c>
      <c r="H248">
        <v>0</v>
      </c>
      <c r="I248" t="s">
        <v>129</v>
      </c>
      <c r="J248" t="s">
        <v>129</v>
      </c>
      <c r="K248" t="s">
        <v>414</v>
      </c>
      <c r="L248" t="s">
        <v>415</v>
      </c>
    </row>
    <row r="249" spans="1:12" x14ac:dyDescent="0.3">
      <c r="A249" t="s">
        <v>18</v>
      </c>
      <c r="B249">
        <v>1</v>
      </c>
      <c r="C249" t="s">
        <v>63</v>
      </c>
      <c r="D249" t="s">
        <v>64</v>
      </c>
      <c r="E249" t="s">
        <v>25</v>
      </c>
      <c r="F249" t="s">
        <v>95</v>
      </c>
      <c r="G249">
        <v>0</v>
      </c>
      <c r="H249">
        <v>0</v>
      </c>
      <c r="I249" t="s">
        <v>129</v>
      </c>
      <c r="J249" t="s">
        <v>129</v>
      </c>
      <c r="K249" t="s">
        <v>416</v>
      </c>
      <c r="L249" t="s">
        <v>417</v>
      </c>
    </row>
    <row r="250" spans="1:12" x14ac:dyDescent="0.3">
      <c r="A250" t="s">
        <v>18</v>
      </c>
      <c r="B250">
        <v>1</v>
      </c>
      <c r="C250" t="s">
        <v>63</v>
      </c>
      <c r="D250" t="s">
        <v>64</v>
      </c>
      <c r="E250" t="s">
        <v>25</v>
      </c>
      <c r="F250" t="s">
        <v>97</v>
      </c>
      <c r="G250">
        <v>0</v>
      </c>
      <c r="H250">
        <v>0</v>
      </c>
      <c r="I250" t="s">
        <v>129</v>
      </c>
      <c r="J250" t="s">
        <v>129</v>
      </c>
      <c r="K250" t="s">
        <v>418</v>
      </c>
      <c r="L250" t="s">
        <v>419</v>
      </c>
    </row>
    <row r="251" spans="1:12" x14ac:dyDescent="0.3">
      <c r="A251" t="s">
        <v>18</v>
      </c>
      <c r="B251">
        <v>1</v>
      </c>
      <c r="C251" t="s">
        <v>63</v>
      </c>
      <c r="D251" t="s">
        <v>64</v>
      </c>
      <c r="E251" t="s">
        <v>25</v>
      </c>
      <c r="F251" t="s">
        <v>99</v>
      </c>
      <c r="G251">
        <v>0</v>
      </c>
      <c r="H251">
        <v>0</v>
      </c>
      <c r="I251" t="s">
        <v>129</v>
      </c>
      <c r="J251" t="s">
        <v>129</v>
      </c>
      <c r="K251" t="s">
        <v>420</v>
      </c>
      <c r="L251" t="s">
        <v>421</v>
      </c>
    </row>
    <row r="252" spans="1:12" x14ac:dyDescent="0.3">
      <c r="A252" t="s">
        <v>18</v>
      </c>
      <c r="B252">
        <v>1</v>
      </c>
      <c r="C252" t="s">
        <v>63</v>
      </c>
      <c r="D252" t="s">
        <v>64</v>
      </c>
      <c r="E252" t="s">
        <v>25</v>
      </c>
      <c r="F252" t="s">
        <v>101</v>
      </c>
      <c r="G252">
        <v>0</v>
      </c>
      <c r="H252">
        <v>0</v>
      </c>
      <c r="I252" t="s">
        <v>129</v>
      </c>
      <c r="J252" t="s">
        <v>129</v>
      </c>
      <c r="K252" t="s">
        <v>422</v>
      </c>
      <c r="L252" t="s">
        <v>423</v>
      </c>
    </row>
    <row r="253" spans="1:12" x14ac:dyDescent="0.3">
      <c r="A253" t="s">
        <v>18</v>
      </c>
      <c r="B253">
        <v>1</v>
      </c>
      <c r="C253" t="s">
        <v>63</v>
      </c>
      <c r="D253" t="s">
        <v>64</v>
      </c>
      <c r="E253" t="s">
        <v>25</v>
      </c>
      <c r="F253" t="s">
        <v>105</v>
      </c>
      <c r="G253">
        <v>0</v>
      </c>
      <c r="H253">
        <v>0</v>
      </c>
      <c r="I253" t="s">
        <v>129</v>
      </c>
      <c r="J253" t="s">
        <v>129</v>
      </c>
      <c r="K253" t="s">
        <v>202</v>
      </c>
      <c r="L253" t="s">
        <v>424</v>
      </c>
    </row>
    <row r="254" spans="1:12" x14ac:dyDescent="0.3">
      <c r="A254" t="s">
        <v>18</v>
      </c>
      <c r="B254">
        <v>1</v>
      </c>
      <c r="C254" t="s">
        <v>49</v>
      </c>
      <c r="D254" t="s">
        <v>50</v>
      </c>
      <c r="E254" t="s">
        <v>25</v>
      </c>
      <c r="F254" t="s">
        <v>101</v>
      </c>
      <c r="G254">
        <v>0</v>
      </c>
      <c r="H254">
        <v>1</v>
      </c>
      <c r="I254" t="s">
        <v>128</v>
      </c>
      <c r="J254" t="s">
        <v>128</v>
      </c>
      <c r="K254" t="s">
        <v>367</v>
      </c>
      <c r="L254" t="s">
        <v>425</v>
      </c>
    </row>
    <row r="255" spans="1:12" x14ac:dyDescent="0.3">
      <c r="A255" t="s">
        <v>18</v>
      </c>
      <c r="B255">
        <v>1</v>
      </c>
      <c r="C255" t="s">
        <v>53</v>
      </c>
      <c r="D255" t="s">
        <v>54</v>
      </c>
      <c r="E255" t="s">
        <v>25</v>
      </c>
      <c r="F255" t="s">
        <v>81</v>
      </c>
      <c r="G255">
        <v>1</v>
      </c>
      <c r="H255">
        <v>0</v>
      </c>
      <c r="I255" t="s">
        <v>128</v>
      </c>
      <c r="J255" t="s">
        <v>128</v>
      </c>
      <c r="K255" t="s">
        <v>178</v>
      </c>
      <c r="L255" t="s">
        <v>152</v>
      </c>
    </row>
    <row r="256" spans="1:12" x14ac:dyDescent="0.3">
      <c r="A256" t="s">
        <v>18</v>
      </c>
      <c r="B256">
        <v>1</v>
      </c>
      <c r="C256" t="s">
        <v>55</v>
      </c>
      <c r="D256" t="s">
        <v>56</v>
      </c>
      <c r="E256" t="s">
        <v>25</v>
      </c>
      <c r="F256" t="s">
        <v>81</v>
      </c>
      <c r="G256">
        <v>1</v>
      </c>
      <c r="H256">
        <v>1</v>
      </c>
      <c r="I256" t="s">
        <v>129</v>
      </c>
      <c r="J256" t="s">
        <v>129</v>
      </c>
      <c r="K256" t="s">
        <v>173</v>
      </c>
      <c r="L256" t="s">
        <v>152</v>
      </c>
    </row>
    <row r="257" spans="1:12" x14ac:dyDescent="0.3">
      <c r="A257" t="s">
        <v>18</v>
      </c>
      <c r="B257">
        <v>1</v>
      </c>
      <c r="C257" t="s">
        <v>55</v>
      </c>
      <c r="D257" t="s">
        <v>56</v>
      </c>
      <c r="E257" t="s">
        <v>25</v>
      </c>
      <c r="F257" t="s">
        <v>85</v>
      </c>
      <c r="G257">
        <v>0</v>
      </c>
      <c r="H257">
        <v>0</v>
      </c>
      <c r="I257" t="s">
        <v>129</v>
      </c>
      <c r="J257" t="s">
        <v>129</v>
      </c>
      <c r="K257" t="s">
        <v>171</v>
      </c>
      <c r="L257" t="s">
        <v>316</v>
      </c>
    </row>
    <row r="258" spans="1:12" x14ac:dyDescent="0.3">
      <c r="A258" t="s">
        <v>18</v>
      </c>
      <c r="B258">
        <v>1</v>
      </c>
      <c r="C258" t="s">
        <v>55</v>
      </c>
      <c r="D258" t="s">
        <v>56</v>
      </c>
      <c r="E258" t="s">
        <v>25</v>
      </c>
      <c r="F258" t="s">
        <v>101</v>
      </c>
      <c r="G258">
        <v>0</v>
      </c>
      <c r="H258">
        <v>1</v>
      </c>
      <c r="I258" t="s">
        <v>128</v>
      </c>
      <c r="J258" t="s">
        <v>128</v>
      </c>
      <c r="K258" t="s">
        <v>367</v>
      </c>
      <c r="L258" t="s">
        <v>426</v>
      </c>
    </row>
    <row r="259" spans="1:12" x14ac:dyDescent="0.3">
      <c r="A259" t="s">
        <v>18</v>
      </c>
      <c r="B259">
        <v>1</v>
      </c>
      <c r="C259" t="s">
        <v>57</v>
      </c>
      <c r="D259" t="s">
        <v>58</v>
      </c>
      <c r="E259" t="s">
        <v>25</v>
      </c>
      <c r="F259" t="s">
        <v>81</v>
      </c>
      <c r="G259">
        <v>1</v>
      </c>
      <c r="H259">
        <v>0</v>
      </c>
      <c r="I259" t="s">
        <v>128</v>
      </c>
      <c r="J259" t="s">
        <v>128</v>
      </c>
      <c r="K259" t="s">
        <v>178</v>
      </c>
      <c r="L259" t="s">
        <v>152</v>
      </c>
    </row>
    <row r="260" spans="1:12" x14ac:dyDescent="0.3">
      <c r="A260" t="s">
        <v>18</v>
      </c>
      <c r="B260">
        <v>1</v>
      </c>
      <c r="C260" t="s">
        <v>57</v>
      </c>
      <c r="D260" t="s">
        <v>58</v>
      </c>
      <c r="E260" t="s">
        <v>25</v>
      </c>
      <c r="F260" t="s">
        <v>101</v>
      </c>
      <c r="G260">
        <v>0</v>
      </c>
      <c r="H260">
        <v>0</v>
      </c>
      <c r="I260" t="s">
        <v>129</v>
      </c>
      <c r="J260" t="s">
        <v>129</v>
      </c>
      <c r="K260" t="s">
        <v>166</v>
      </c>
      <c r="L260" t="s">
        <v>427</v>
      </c>
    </row>
    <row r="261" spans="1:12" x14ac:dyDescent="0.3">
      <c r="A261" t="s">
        <v>18</v>
      </c>
      <c r="B261">
        <v>1</v>
      </c>
      <c r="C261" t="s">
        <v>61</v>
      </c>
      <c r="D261" t="s">
        <v>62</v>
      </c>
      <c r="E261" t="s">
        <v>25</v>
      </c>
      <c r="F261" t="s">
        <v>81</v>
      </c>
      <c r="G261">
        <v>1</v>
      </c>
      <c r="H261">
        <v>0</v>
      </c>
      <c r="I261" t="s">
        <v>128</v>
      </c>
      <c r="J261" t="s">
        <v>128</v>
      </c>
      <c r="K261" t="s">
        <v>178</v>
      </c>
      <c r="L261" t="s">
        <v>152</v>
      </c>
    </row>
  </sheetData>
  <pageMargins left="0.75" right="0.75" top="1" bottom="1" header="0.5" footer="0.5"/>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E899B4-F56B-4EEB-9D40-AB0C161249D5}">
  <dimension ref="A1:H711"/>
  <sheetViews>
    <sheetView topLeftCell="A55" workbookViewId="0">
      <selection activeCell="P31" sqref="P31"/>
    </sheetView>
  </sheetViews>
  <sheetFormatPr defaultRowHeight="14.4" x14ac:dyDescent="0.3"/>
  <cols>
    <col min="1" max="1" width="11" bestFit="1" customWidth="1"/>
    <col min="2" max="2" width="13.44140625" bestFit="1" customWidth="1"/>
    <col min="3" max="3" width="7.6640625" bestFit="1" customWidth="1"/>
    <col min="4" max="4" width="11" bestFit="1" customWidth="1"/>
    <col min="5" max="7" width="6.44140625" customWidth="1"/>
    <col min="8" max="8" width="6" bestFit="1" customWidth="1"/>
  </cols>
  <sheetData>
    <row r="1" spans="1:8" x14ac:dyDescent="0.3">
      <c r="A1" s="4" t="s">
        <v>2</v>
      </c>
      <c r="B1" s="4" t="s">
        <v>3</v>
      </c>
      <c r="C1" s="4" t="s">
        <v>4</v>
      </c>
      <c r="D1" s="4" t="s">
        <v>73</v>
      </c>
      <c r="E1" s="4">
        <v>1</v>
      </c>
      <c r="F1" s="4">
        <v>2</v>
      </c>
      <c r="G1" s="4">
        <v>3</v>
      </c>
      <c r="H1" s="4" t="s">
        <v>473</v>
      </c>
    </row>
    <row r="2" spans="1:8" x14ac:dyDescent="0.3">
      <c r="A2" t="s">
        <v>19</v>
      </c>
      <c r="B2" t="s">
        <v>20</v>
      </c>
      <c r="C2" t="s">
        <v>21</v>
      </c>
      <c r="D2" t="s">
        <v>77</v>
      </c>
      <c r="E2">
        <v>1</v>
      </c>
      <c r="F2">
        <v>1</v>
      </c>
      <c r="G2">
        <v>1</v>
      </c>
      <c r="H2">
        <v>1</v>
      </c>
    </row>
    <row r="3" spans="1:8" x14ac:dyDescent="0.3">
      <c r="A3" t="s">
        <v>19</v>
      </c>
      <c r="B3" t="s">
        <v>20</v>
      </c>
      <c r="C3" t="s">
        <v>21</v>
      </c>
      <c r="D3" t="s">
        <v>79</v>
      </c>
      <c r="E3">
        <v>0</v>
      </c>
      <c r="F3">
        <v>0</v>
      </c>
      <c r="G3">
        <v>0</v>
      </c>
      <c r="H3">
        <v>1</v>
      </c>
    </row>
    <row r="4" spans="1:8" x14ac:dyDescent="0.3">
      <c r="A4" t="s">
        <v>19</v>
      </c>
      <c r="B4" t="s">
        <v>20</v>
      </c>
      <c r="C4" t="s">
        <v>21</v>
      </c>
      <c r="D4" t="s">
        <v>81</v>
      </c>
      <c r="E4">
        <v>0</v>
      </c>
      <c r="F4">
        <v>0</v>
      </c>
      <c r="G4">
        <v>0</v>
      </c>
      <c r="H4">
        <v>1</v>
      </c>
    </row>
    <row r="5" spans="1:8" x14ac:dyDescent="0.3">
      <c r="A5" t="s">
        <v>19</v>
      </c>
      <c r="B5" t="s">
        <v>20</v>
      </c>
      <c r="C5" t="s">
        <v>21</v>
      </c>
      <c r="D5" t="s">
        <v>83</v>
      </c>
      <c r="E5">
        <v>0</v>
      </c>
      <c r="F5">
        <v>0</v>
      </c>
      <c r="G5">
        <v>0</v>
      </c>
      <c r="H5">
        <v>1</v>
      </c>
    </row>
    <row r="6" spans="1:8" x14ac:dyDescent="0.3">
      <c r="A6" t="s">
        <v>19</v>
      </c>
      <c r="B6" t="s">
        <v>20</v>
      </c>
      <c r="C6" t="s">
        <v>21</v>
      </c>
      <c r="D6" t="s">
        <v>85</v>
      </c>
      <c r="E6">
        <v>0</v>
      </c>
      <c r="F6">
        <v>0</v>
      </c>
      <c r="G6">
        <v>0</v>
      </c>
      <c r="H6">
        <v>1</v>
      </c>
    </row>
    <row r="7" spans="1:8" x14ac:dyDescent="0.3">
      <c r="A7" t="s">
        <v>19</v>
      </c>
      <c r="B7" t="s">
        <v>20</v>
      </c>
      <c r="C7" t="s">
        <v>21</v>
      </c>
      <c r="D7" t="s">
        <v>87</v>
      </c>
      <c r="E7">
        <v>0</v>
      </c>
      <c r="F7">
        <v>0</v>
      </c>
      <c r="G7">
        <v>0</v>
      </c>
      <c r="H7">
        <v>1</v>
      </c>
    </row>
    <row r="8" spans="1:8" x14ac:dyDescent="0.3">
      <c r="A8" t="s">
        <v>19</v>
      </c>
      <c r="B8" t="s">
        <v>20</v>
      </c>
      <c r="C8" t="s">
        <v>21</v>
      </c>
      <c r="D8" t="s">
        <v>89</v>
      </c>
      <c r="E8">
        <v>0</v>
      </c>
      <c r="F8">
        <v>0</v>
      </c>
      <c r="G8">
        <v>0</v>
      </c>
      <c r="H8">
        <v>1</v>
      </c>
    </row>
    <row r="9" spans="1:8" x14ac:dyDescent="0.3">
      <c r="A9" t="s">
        <v>19</v>
      </c>
      <c r="B9" t="s">
        <v>20</v>
      </c>
      <c r="C9" t="s">
        <v>21</v>
      </c>
      <c r="D9" t="s">
        <v>91</v>
      </c>
      <c r="E9">
        <v>0</v>
      </c>
      <c r="F9">
        <v>0</v>
      </c>
      <c r="G9">
        <v>0</v>
      </c>
      <c r="H9">
        <v>1</v>
      </c>
    </row>
    <row r="10" spans="1:8" x14ac:dyDescent="0.3">
      <c r="A10" t="s">
        <v>19</v>
      </c>
      <c r="B10" t="s">
        <v>20</v>
      </c>
      <c r="C10" t="s">
        <v>21</v>
      </c>
      <c r="D10" t="s">
        <v>93</v>
      </c>
      <c r="E10">
        <v>0</v>
      </c>
      <c r="F10">
        <v>0</v>
      </c>
      <c r="G10">
        <v>0</v>
      </c>
      <c r="H10">
        <v>1</v>
      </c>
    </row>
    <row r="11" spans="1:8" x14ac:dyDescent="0.3">
      <c r="A11" t="s">
        <v>19</v>
      </c>
      <c r="B11" t="s">
        <v>20</v>
      </c>
      <c r="C11" t="s">
        <v>21</v>
      </c>
      <c r="D11" t="s">
        <v>95</v>
      </c>
      <c r="E11">
        <v>0</v>
      </c>
      <c r="F11">
        <v>0</v>
      </c>
      <c r="G11">
        <v>0</v>
      </c>
      <c r="H11">
        <v>1</v>
      </c>
    </row>
    <row r="12" spans="1:8" x14ac:dyDescent="0.3">
      <c r="A12" t="s">
        <v>19</v>
      </c>
      <c r="B12" t="s">
        <v>20</v>
      </c>
      <c r="C12" t="s">
        <v>21</v>
      </c>
      <c r="D12" t="s">
        <v>97</v>
      </c>
      <c r="E12">
        <v>0</v>
      </c>
      <c r="F12">
        <v>0</v>
      </c>
      <c r="G12">
        <v>0</v>
      </c>
      <c r="H12">
        <v>1</v>
      </c>
    </row>
    <row r="13" spans="1:8" x14ac:dyDescent="0.3">
      <c r="A13" t="s">
        <v>19</v>
      </c>
      <c r="B13" t="s">
        <v>20</v>
      </c>
      <c r="C13" t="s">
        <v>21</v>
      </c>
      <c r="D13" t="s">
        <v>99</v>
      </c>
      <c r="E13">
        <v>0</v>
      </c>
      <c r="F13">
        <v>0</v>
      </c>
      <c r="G13">
        <v>0</v>
      </c>
      <c r="H13">
        <v>1</v>
      </c>
    </row>
    <row r="14" spans="1:8" x14ac:dyDescent="0.3">
      <c r="A14" t="s">
        <v>19</v>
      </c>
      <c r="B14" t="s">
        <v>20</v>
      </c>
      <c r="C14" t="s">
        <v>21</v>
      </c>
      <c r="D14" t="s">
        <v>101</v>
      </c>
      <c r="E14">
        <v>0</v>
      </c>
      <c r="F14">
        <v>0</v>
      </c>
      <c r="G14">
        <v>0</v>
      </c>
      <c r="H14">
        <v>1</v>
      </c>
    </row>
    <row r="15" spans="1:8" x14ac:dyDescent="0.3">
      <c r="A15" t="s">
        <v>19</v>
      </c>
      <c r="B15" t="s">
        <v>20</v>
      </c>
      <c r="C15" t="s">
        <v>21</v>
      </c>
      <c r="D15" t="s">
        <v>103</v>
      </c>
      <c r="E15">
        <v>0</v>
      </c>
      <c r="F15">
        <v>0</v>
      </c>
      <c r="G15">
        <v>0</v>
      </c>
      <c r="H15">
        <v>1</v>
      </c>
    </row>
    <row r="16" spans="1:8" x14ac:dyDescent="0.3">
      <c r="A16" t="s">
        <v>19</v>
      </c>
      <c r="B16" t="s">
        <v>20</v>
      </c>
      <c r="C16" t="s">
        <v>21</v>
      </c>
      <c r="D16" t="s">
        <v>105</v>
      </c>
      <c r="E16">
        <v>0</v>
      </c>
      <c r="F16">
        <v>0</v>
      </c>
      <c r="G16">
        <v>0</v>
      </c>
      <c r="H16">
        <v>1</v>
      </c>
    </row>
    <row r="17" spans="1:8" x14ac:dyDescent="0.3">
      <c r="A17" t="s">
        <v>19</v>
      </c>
      <c r="B17" t="s">
        <v>20</v>
      </c>
      <c r="C17" t="s">
        <v>21</v>
      </c>
      <c r="D17" t="s">
        <v>107</v>
      </c>
      <c r="E17">
        <v>0</v>
      </c>
      <c r="F17">
        <v>0</v>
      </c>
      <c r="G17">
        <v>0</v>
      </c>
      <c r="H17">
        <v>1</v>
      </c>
    </row>
    <row r="18" spans="1:8" x14ac:dyDescent="0.3">
      <c r="A18" t="s">
        <v>19</v>
      </c>
      <c r="B18" t="s">
        <v>20</v>
      </c>
      <c r="C18" t="s">
        <v>21</v>
      </c>
      <c r="D18" t="s">
        <v>109</v>
      </c>
      <c r="E18">
        <v>0</v>
      </c>
      <c r="F18">
        <v>0</v>
      </c>
      <c r="G18">
        <v>0</v>
      </c>
      <c r="H18">
        <v>1</v>
      </c>
    </row>
    <row r="19" spans="1:8" x14ac:dyDescent="0.3">
      <c r="A19" t="s">
        <v>19</v>
      </c>
      <c r="B19" t="s">
        <v>20</v>
      </c>
      <c r="C19" t="s">
        <v>21</v>
      </c>
      <c r="D19" t="s">
        <v>111</v>
      </c>
      <c r="E19">
        <v>0</v>
      </c>
      <c r="F19">
        <v>0</v>
      </c>
      <c r="G19">
        <v>0</v>
      </c>
      <c r="H19">
        <v>1</v>
      </c>
    </row>
    <row r="20" spans="1:8" x14ac:dyDescent="0.3">
      <c r="A20" t="s">
        <v>19</v>
      </c>
      <c r="B20" t="s">
        <v>20</v>
      </c>
      <c r="C20" t="s">
        <v>23</v>
      </c>
      <c r="D20" t="s">
        <v>77</v>
      </c>
      <c r="E20">
        <v>1</v>
      </c>
      <c r="F20">
        <v>1</v>
      </c>
      <c r="G20">
        <v>1</v>
      </c>
      <c r="H20">
        <v>1</v>
      </c>
    </row>
    <row r="21" spans="1:8" x14ac:dyDescent="0.3">
      <c r="A21" t="s">
        <v>19</v>
      </c>
      <c r="B21" t="s">
        <v>20</v>
      </c>
      <c r="C21" t="s">
        <v>23</v>
      </c>
      <c r="D21" t="s">
        <v>79</v>
      </c>
      <c r="E21">
        <v>0</v>
      </c>
      <c r="F21">
        <v>0</v>
      </c>
      <c r="G21">
        <v>0</v>
      </c>
      <c r="H21">
        <v>1</v>
      </c>
    </row>
    <row r="22" spans="1:8" x14ac:dyDescent="0.3">
      <c r="A22" t="s">
        <v>19</v>
      </c>
      <c r="B22" t="s">
        <v>20</v>
      </c>
      <c r="C22" t="s">
        <v>23</v>
      </c>
      <c r="D22" t="s">
        <v>81</v>
      </c>
      <c r="E22">
        <v>0</v>
      </c>
      <c r="F22">
        <v>0</v>
      </c>
      <c r="G22">
        <v>0</v>
      </c>
      <c r="H22">
        <v>1</v>
      </c>
    </row>
    <row r="23" spans="1:8" x14ac:dyDescent="0.3">
      <c r="A23" t="s">
        <v>19</v>
      </c>
      <c r="B23" t="s">
        <v>20</v>
      </c>
      <c r="C23" t="s">
        <v>23</v>
      </c>
      <c r="D23" t="s">
        <v>83</v>
      </c>
      <c r="E23">
        <v>0</v>
      </c>
      <c r="F23">
        <v>0</v>
      </c>
      <c r="G23">
        <v>0</v>
      </c>
      <c r="H23">
        <v>1</v>
      </c>
    </row>
    <row r="24" spans="1:8" x14ac:dyDescent="0.3">
      <c r="A24" t="s">
        <v>19</v>
      </c>
      <c r="B24" t="s">
        <v>20</v>
      </c>
      <c r="C24" t="s">
        <v>23</v>
      </c>
      <c r="D24" t="s">
        <v>85</v>
      </c>
      <c r="E24">
        <v>0</v>
      </c>
      <c r="F24">
        <v>0</v>
      </c>
      <c r="G24">
        <v>0</v>
      </c>
      <c r="H24">
        <v>1</v>
      </c>
    </row>
    <row r="25" spans="1:8" x14ac:dyDescent="0.3">
      <c r="A25" t="s">
        <v>19</v>
      </c>
      <c r="B25" t="s">
        <v>20</v>
      </c>
      <c r="C25" t="s">
        <v>23</v>
      </c>
      <c r="D25" t="s">
        <v>87</v>
      </c>
      <c r="E25">
        <v>0</v>
      </c>
      <c r="F25">
        <v>0</v>
      </c>
      <c r="G25">
        <v>0</v>
      </c>
      <c r="H25">
        <v>1</v>
      </c>
    </row>
    <row r="26" spans="1:8" x14ac:dyDescent="0.3">
      <c r="A26" t="s">
        <v>19</v>
      </c>
      <c r="B26" t="s">
        <v>20</v>
      </c>
      <c r="C26" t="s">
        <v>23</v>
      </c>
      <c r="D26" t="s">
        <v>89</v>
      </c>
      <c r="E26">
        <v>0</v>
      </c>
      <c r="F26">
        <v>0</v>
      </c>
      <c r="G26">
        <v>0</v>
      </c>
      <c r="H26">
        <v>1</v>
      </c>
    </row>
    <row r="27" spans="1:8" x14ac:dyDescent="0.3">
      <c r="A27" t="s">
        <v>19</v>
      </c>
      <c r="B27" t="s">
        <v>20</v>
      </c>
      <c r="C27" t="s">
        <v>23</v>
      </c>
      <c r="D27" t="s">
        <v>91</v>
      </c>
      <c r="E27">
        <v>0</v>
      </c>
      <c r="F27">
        <v>0</v>
      </c>
      <c r="G27">
        <v>0</v>
      </c>
      <c r="H27">
        <v>1</v>
      </c>
    </row>
    <row r="28" spans="1:8" x14ac:dyDescent="0.3">
      <c r="A28" t="s">
        <v>19</v>
      </c>
      <c r="B28" t="s">
        <v>20</v>
      </c>
      <c r="C28" t="s">
        <v>23</v>
      </c>
      <c r="D28" t="s">
        <v>93</v>
      </c>
      <c r="E28">
        <v>0</v>
      </c>
      <c r="F28">
        <v>0</v>
      </c>
      <c r="G28">
        <v>0</v>
      </c>
      <c r="H28">
        <v>1</v>
      </c>
    </row>
    <row r="29" spans="1:8" x14ac:dyDescent="0.3">
      <c r="A29" t="s">
        <v>19</v>
      </c>
      <c r="B29" t="s">
        <v>20</v>
      </c>
      <c r="C29" t="s">
        <v>23</v>
      </c>
      <c r="D29" t="s">
        <v>95</v>
      </c>
      <c r="E29">
        <v>0</v>
      </c>
      <c r="F29">
        <v>0</v>
      </c>
      <c r="G29">
        <v>0</v>
      </c>
      <c r="H29">
        <v>1</v>
      </c>
    </row>
    <row r="30" spans="1:8" x14ac:dyDescent="0.3">
      <c r="A30" t="s">
        <v>19</v>
      </c>
      <c r="B30" t="s">
        <v>20</v>
      </c>
      <c r="C30" t="s">
        <v>23</v>
      </c>
      <c r="D30" t="s">
        <v>97</v>
      </c>
      <c r="E30">
        <v>0</v>
      </c>
      <c r="F30">
        <v>0</v>
      </c>
      <c r="G30">
        <v>0</v>
      </c>
      <c r="H30">
        <v>1</v>
      </c>
    </row>
    <row r="31" spans="1:8" x14ac:dyDescent="0.3">
      <c r="A31" t="s">
        <v>19</v>
      </c>
      <c r="B31" t="s">
        <v>20</v>
      </c>
      <c r="C31" t="s">
        <v>23</v>
      </c>
      <c r="D31" t="s">
        <v>99</v>
      </c>
      <c r="E31">
        <v>0</v>
      </c>
      <c r="F31">
        <v>0</v>
      </c>
      <c r="G31">
        <v>0</v>
      </c>
      <c r="H31">
        <v>1</v>
      </c>
    </row>
    <row r="32" spans="1:8" x14ac:dyDescent="0.3">
      <c r="A32" t="s">
        <v>19</v>
      </c>
      <c r="B32" t="s">
        <v>20</v>
      </c>
      <c r="C32" t="s">
        <v>23</v>
      </c>
      <c r="D32" t="s">
        <v>101</v>
      </c>
      <c r="E32">
        <v>0</v>
      </c>
      <c r="F32">
        <v>0</v>
      </c>
      <c r="G32">
        <v>0</v>
      </c>
      <c r="H32">
        <v>1</v>
      </c>
    </row>
    <row r="33" spans="1:8" x14ac:dyDescent="0.3">
      <c r="A33" t="s">
        <v>19</v>
      </c>
      <c r="B33" t="s">
        <v>20</v>
      </c>
      <c r="C33" t="s">
        <v>23</v>
      </c>
      <c r="D33" t="s">
        <v>103</v>
      </c>
      <c r="E33">
        <v>0</v>
      </c>
      <c r="F33">
        <v>0</v>
      </c>
      <c r="G33">
        <v>0</v>
      </c>
      <c r="H33">
        <v>1</v>
      </c>
    </row>
    <row r="34" spans="1:8" x14ac:dyDescent="0.3">
      <c r="A34" t="s">
        <v>19</v>
      </c>
      <c r="B34" t="s">
        <v>20</v>
      </c>
      <c r="C34" t="s">
        <v>23</v>
      </c>
      <c r="D34" t="s">
        <v>105</v>
      </c>
      <c r="E34">
        <v>0</v>
      </c>
      <c r="F34">
        <v>0</v>
      </c>
      <c r="G34">
        <v>0</v>
      </c>
      <c r="H34">
        <v>1</v>
      </c>
    </row>
    <row r="35" spans="1:8" x14ac:dyDescent="0.3">
      <c r="A35" t="s">
        <v>19</v>
      </c>
      <c r="B35" t="s">
        <v>20</v>
      </c>
      <c r="C35" t="s">
        <v>23</v>
      </c>
      <c r="D35" t="s">
        <v>107</v>
      </c>
      <c r="E35">
        <v>0</v>
      </c>
      <c r="F35">
        <v>0</v>
      </c>
      <c r="G35">
        <v>0</v>
      </c>
      <c r="H35">
        <v>1</v>
      </c>
    </row>
    <row r="36" spans="1:8" x14ac:dyDescent="0.3">
      <c r="A36" t="s">
        <v>19</v>
      </c>
      <c r="B36" t="s">
        <v>20</v>
      </c>
      <c r="C36" t="s">
        <v>23</v>
      </c>
      <c r="D36" t="s">
        <v>109</v>
      </c>
      <c r="E36">
        <v>0</v>
      </c>
      <c r="F36">
        <v>0</v>
      </c>
      <c r="G36">
        <v>0</v>
      </c>
      <c r="H36">
        <v>1</v>
      </c>
    </row>
    <row r="37" spans="1:8" x14ac:dyDescent="0.3">
      <c r="A37" t="s">
        <v>19</v>
      </c>
      <c r="B37" t="s">
        <v>20</v>
      </c>
      <c r="C37" t="s">
        <v>23</v>
      </c>
      <c r="D37" t="s">
        <v>111</v>
      </c>
      <c r="E37">
        <v>0</v>
      </c>
      <c r="F37">
        <v>0</v>
      </c>
      <c r="G37">
        <v>0</v>
      </c>
      <c r="H37">
        <v>1</v>
      </c>
    </row>
    <row r="38" spans="1:8" x14ac:dyDescent="0.3">
      <c r="A38" t="s">
        <v>19</v>
      </c>
      <c r="B38" t="s">
        <v>20</v>
      </c>
      <c r="C38" t="s">
        <v>24</v>
      </c>
      <c r="D38" t="s">
        <v>77</v>
      </c>
      <c r="E38">
        <v>1</v>
      </c>
      <c r="F38">
        <v>1</v>
      </c>
      <c r="G38">
        <v>1</v>
      </c>
      <c r="H38">
        <v>1</v>
      </c>
    </row>
    <row r="39" spans="1:8" x14ac:dyDescent="0.3">
      <c r="A39" t="s">
        <v>19</v>
      </c>
      <c r="B39" t="s">
        <v>20</v>
      </c>
      <c r="C39" t="s">
        <v>24</v>
      </c>
      <c r="D39" t="s">
        <v>79</v>
      </c>
      <c r="E39">
        <v>0</v>
      </c>
      <c r="F39">
        <v>0</v>
      </c>
      <c r="G39">
        <v>0</v>
      </c>
      <c r="H39">
        <v>1</v>
      </c>
    </row>
    <row r="40" spans="1:8" x14ac:dyDescent="0.3">
      <c r="A40" t="s">
        <v>19</v>
      </c>
      <c r="B40" t="s">
        <v>20</v>
      </c>
      <c r="C40" t="s">
        <v>24</v>
      </c>
      <c r="D40" t="s">
        <v>81</v>
      </c>
      <c r="E40">
        <v>0</v>
      </c>
      <c r="F40">
        <v>0</v>
      </c>
      <c r="G40">
        <v>0</v>
      </c>
      <c r="H40">
        <v>1</v>
      </c>
    </row>
    <row r="41" spans="1:8" x14ac:dyDescent="0.3">
      <c r="A41" t="s">
        <v>19</v>
      </c>
      <c r="B41" t="s">
        <v>20</v>
      </c>
      <c r="C41" t="s">
        <v>24</v>
      </c>
      <c r="D41" t="s">
        <v>83</v>
      </c>
      <c r="E41">
        <v>1</v>
      </c>
      <c r="F41">
        <v>1</v>
      </c>
      <c r="G41">
        <v>1</v>
      </c>
      <c r="H41">
        <v>1</v>
      </c>
    </row>
    <row r="42" spans="1:8" x14ac:dyDescent="0.3">
      <c r="A42" t="s">
        <v>19</v>
      </c>
      <c r="B42" t="s">
        <v>20</v>
      </c>
      <c r="C42" t="s">
        <v>24</v>
      </c>
      <c r="D42" t="s">
        <v>85</v>
      </c>
      <c r="E42">
        <v>0</v>
      </c>
      <c r="F42">
        <v>0</v>
      </c>
      <c r="G42">
        <v>0</v>
      </c>
      <c r="H42">
        <v>1</v>
      </c>
    </row>
    <row r="43" spans="1:8" x14ac:dyDescent="0.3">
      <c r="A43" t="s">
        <v>19</v>
      </c>
      <c r="B43" t="s">
        <v>20</v>
      </c>
      <c r="C43" t="s">
        <v>24</v>
      </c>
      <c r="D43" t="s">
        <v>87</v>
      </c>
      <c r="E43">
        <v>0</v>
      </c>
      <c r="F43">
        <v>0</v>
      </c>
      <c r="G43">
        <v>0</v>
      </c>
      <c r="H43">
        <v>1</v>
      </c>
    </row>
    <row r="44" spans="1:8" x14ac:dyDescent="0.3">
      <c r="A44" t="s">
        <v>19</v>
      </c>
      <c r="B44" t="s">
        <v>20</v>
      </c>
      <c r="C44" t="s">
        <v>24</v>
      </c>
      <c r="D44" t="s">
        <v>89</v>
      </c>
      <c r="E44">
        <v>0</v>
      </c>
      <c r="F44">
        <v>0</v>
      </c>
      <c r="G44">
        <v>0</v>
      </c>
      <c r="H44">
        <v>1</v>
      </c>
    </row>
    <row r="45" spans="1:8" x14ac:dyDescent="0.3">
      <c r="A45" t="s">
        <v>19</v>
      </c>
      <c r="B45" t="s">
        <v>20</v>
      </c>
      <c r="C45" t="s">
        <v>24</v>
      </c>
      <c r="D45" t="s">
        <v>91</v>
      </c>
      <c r="E45">
        <v>0</v>
      </c>
      <c r="F45">
        <v>0</v>
      </c>
      <c r="G45">
        <v>0</v>
      </c>
      <c r="H45">
        <v>1</v>
      </c>
    </row>
    <row r="46" spans="1:8" x14ac:dyDescent="0.3">
      <c r="A46" t="s">
        <v>19</v>
      </c>
      <c r="B46" t="s">
        <v>20</v>
      </c>
      <c r="C46" t="s">
        <v>24</v>
      </c>
      <c r="D46" t="s">
        <v>93</v>
      </c>
      <c r="E46">
        <v>0</v>
      </c>
      <c r="F46">
        <v>0</v>
      </c>
      <c r="G46">
        <v>0</v>
      </c>
      <c r="H46">
        <v>1</v>
      </c>
    </row>
    <row r="47" spans="1:8" x14ac:dyDescent="0.3">
      <c r="A47" t="s">
        <v>19</v>
      </c>
      <c r="B47" t="s">
        <v>20</v>
      </c>
      <c r="C47" t="s">
        <v>24</v>
      </c>
      <c r="D47" t="s">
        <v>95</v>
      </c>
      <c r="E47">
        <v>0</v>
      </c>
      <c r="F47">
        <v>0</v>
      </c>
      <c r="G47">
        <v>0</v>
      </c>
      <c r="H47">
        <v>1</v>
      </c>
    </row>
    <row r="48" spans="1:8" x14ac:dyDescent="0.3">
      <c r="A48" t="s">
        <v>19</v>
      </c>
      <c r="B48" t="s">
        <v>20</v>
      </c>
      <c r="C48" t="s">
        <v>24</v>
      </c>
      <c r="D48" t="s">
        <v>97</v>
      </c>
      <c r="E48">
        <v>0</v>
      </c>
      <c r="F48">
        <v>0</v>
      </c>
      <c r="G48">
        <v>0</v>
      </c>
      <c r="H48">
        <v>1</v>
      </c>
    </row>
    <row r="49" spans="1:8" x14ac:dyDescent="0.3">
      <c r="A49" t="s">
        <v>19</v>
      </c>
      <c r="B49" t="s">
        <v>20</v>
      </c>
      <c r="C49" t="s">
        <v>24</v>
      </c>
      <c r="D49" t="s">
        <v>99</v>
      </c>
      <c r="E49">
        <v>1</v>
      </c>
      <c r="F49">
        <v>0</v>
      </c>
      <c r="G49">
        <v>0</v>
      </c>
      <c r="H49">
        <v>0</v>
      </c>
    </row>
    <row r="50" spans="1:8" x14ac:dyDescent="0.3">
      <c r="A50" t="s">
        <v>19</v>
      </c>
      <c r="B50" t="s">
        <v>20</v>
      </c>
      <c r="C50" t="s">
        <v>24</v>
      </c>
      <c r="D50" t="s">
        <v>101</v>
      </c>
      <c r="E50">
        <v>0</v>
      </c>
      <c r="F50">
        <v>0</v>
      </c>
      <c r="G50">
        <v>0</v>
      </c>
      <c r="H50">
        <v>1</v>
      </c>
    </row>
    <row r="51" spans="1:8" x14ac:dyDescent="0.3">
      <c r="A51" t="s">
        <v>19</v>
      </c>
      <c r="B51" t="s">
        <v>20</v>
      </c>
      <c r="C51" t="s">
        <v>24</v>
      </c>
      <c r="D51" t="s">
        <v>103</v>
      </c>
      <c r="E51">
        <v>0</v>
      </c>
      <c r="F51">
        <v>0</v>
      </c>
      <c r="G51">
        <v>0</v>
      </c>
      <c r="H51">
        <v>1</v>
      </c>
    </row>
    <row r="52" spans="1:8" x14ac:dyDescent="0.3">
      <c r="A52" t="s">
        <v>19</v>
      </c>
      <c r="B52" t="s">
        <v>20</v>
      </c>
      <c r="C52" t="s">
        <v>24</v>
      </c>
      <c r="D52" t="s">
        <v>105</v>
      </c>
      <c r="E52">
        <v>0</v>
      </c>
      <c r="F52">
        <v>0</v>
      </c>
      <c r="G52">
        <v>0</v>
      </c>
      <c r="H52">
        <v>1</v>
      </c>
    </row>
    <row r="53" spans="1:8" x14ac:dyDescent="0.3">
      <c r="A53" t="s">
        <v>19</v>
      </c>
      <c r="B53" t="s">
        <v>20</v>
      </c>
      <c r="C53" t="s">
        <v>24</v>
      </c>
      <c r="D53" t="s">
        <v>107</v>
      </c>
      <c r="E53">
        <v>0</v>
      </c>
      <c r="F53">
        <v>0</v>
      </c>
      <c r="G53">
        <v>0</v>
      </c>
      <c r="H53">
        <v>1</v>
      </c>
    </row>
    <row r="54" spans="1:8" x14ac:dyDescent="0.3">
      <c r="A54" t="s">
        <v>19</v>
      </c>
      <c r="B54" t="s">
        <v>20</v>
      </c>
      <c r="C54" t="s">
        <v>24</v>
      </c>
      <c r="D54" t="s">
        <v>109</v>
      </c>
      <c r="E54">
        <v>0</v>
      </c>
      <c r="F54">
        <v>0</v>
      </c>
      <c r="G54">
        <v>0</v>
      </c>
      <c r="H54">
        <v>1</v>
      </c>
    </row>
    <row r="55" spans="1:8" x14ac:dyDescent="0.3">
      <c r="A55" t="s">
        <v>19</v>
      </c>
      <c r="B55" t="s">
        <v>20</v>
      </c>
      <c r="C55" t="s">
        <v>24</v>
      </c>
      <c r="D55" t="s">
        <v>111</v>
      </c>
      <c r="E55">
        <v>0</v>
      </c>
      <c r="F55">
        <v>0</v>
      </c>
      <c r="G55">
        <v>0</v>
      </c>
      <c r="H55">
        <v>1</v>
      </c>
    </row>
    <row r="56" spans="1:8" x14ac:dyDescent="0.3">
      <c r="A56" t="s">
        <v>19</v>
      </c>
      <c r="B56" t="s">
        <v>20</v>
      </c>
      <c r="C56" t="s">
        <v>25</v>
      </c>
      <c r="D56" t="s">
        <v>77</v>
      </c>
      <c r="E56">
        <v>1</v>
      </c>
      <c r="F56">
        <v>1</v>
      </c>
      <c r="G56">
        <v>1</v>
      </c>
      <c r="H56">
        <v>1</v>
      </c>
    </row>
    <row r="57" spans="1:8" x14ac:dyDescent="0.3">
      <c r="A57" t="s">
        <v>19</v>
      </c>
      <c r="B57" t="s">
        <v>20</v>
      </c>
      <c r="C57" t="s">
        <v>25</v>
      </c>
      <c r="D57" t="s">
        <v>79</v>
      </c>
      <c r="E57">
        <v>0</v>
      </c>
      <c r="F57">
        <v>0</v>
      </c>
      <c r="G57">
        <v>0</v>
      </c>
      <c r="H57">
        <v>1</v>
      </c>
    </row>
    <row r="58" spans="1:8" x14ac:dyDescent="0.3">
      <c r="A58" t="s">
        <v>19</v>
      </c>
      <c r="B58" t="s">
        <v>20</v>
      </c>
      <c r="C58" t="s">
        <v>25</v>
      </c>
      <c r="D58" t="s">
        <v>81</v>
      </c>
      <c r="E58">
        <v>0</v>
      </c>
      <c r="F58">
        <v>0</v>
      </c>
      <c r="G58">
        <v>0</v>
      </c>
      <c r="H58">
        <v>1</v>
      </c>
    </row>
    <row r="59" spans="1:8" x14ac:dyDescent="0.3">
      <c r="A59" t="s">
        <v>19</v>
      </c>
      <c r="B59" t="s">
        <v>20</v>
      </c>
      <c r="C59" t="s">
        <v>25</v>
      </c>
      <c r="D59" t="s">
        <v>83</v>
      </c>
      <c r="E59">
        <v>0</v>
      </c>
      <c r="F59">
        <v>0</v>
      </c>
      <c r="G59">
        <v>0</v>
      </c>
      <c r="H59">
        <v>1</v>
      </c>
    </row>
    <row r="60" spans="1:8" x14ac:dyDescent="0.3">
      <c r="A60" t="s">
        <v>19</v>
      </c>
      <c r="B60" t="s">
        <v>20</v>
      </c>
      <c r="C60" t="s">
        <v>25</v>
      </c>
      <c r="D60" t="s">
        <v>85</v>
      </c>
      <c r="E60">
        <v>0</v>
      </c>
      <c r="F60">
        <v>0</v>
      </c>
      <c r="G60">
        <v>0</v>
      </c>
      <c r="H60">
        <v>1</v>
      </c>
    </row>
    <row r="61" spans="1:8" x14ac:dyDescent="0.3">
      <c r="A61" t="s">
        <v>19</v>
      </c>
      <c r="B61" t="s">
        <v>20</v>
      </c>
      <c r="C61" t="s">
        <v>25</v>
      </c>
      <c r="D61" t="s">
        <v>87</v>
      </c>
      <c r="E61">
        <v>0</v>
      </c>
      <c r="F61">
        <v>0</v>
      </c>
      <c r="G61">
        <v>0</v>
      </c>
      <c r="H61">
        <v>1</v>
      </c>
    </row>
    <row r="62" spans="1:8" x14ac:dyDescent="0.3">
      <c r="A62" t="s">
        <v>19</v>
      </c>
      <c r="B62" t="s">
        <v>20</v>
      </c>
      <c r="C62" t="s">
        <v>25</v>
      </c>
      <c r="D62" t="s">
        <v>89</v>
      </c>
      <c r="E62">
        <v>0</v>
      </c>
      <c r="F62">
        <v>0</v>
      </c>
      <c r="G62">
        <v>0</v>
      </c>
      <c r="H62">
        <v>1</v>
      </c>
    </row>
    <row r="63" spans="1:8" x14ac:dyDescent="0.3">
      <c r="A63" t="s">
        <v>19</v>
      </c>
      <c r="B63" t="s">
        <v>20</v>
      </c>
      <c r="C63" t="s">
        <v>25</v>
      </c>
      <c r="D63" t="s">
        <v>91</v>
      </c>
      <c r="E63">
        <v>0</v>
      </c>
      <c r="F63">
        <v>0</v>
      </c>
      <c r="G63">
        <v>0</v>
      </c>
      <c r="H63">
        <v>1</v>
      </c>
    </row>
    <row r="64" spans="1:8" x14ac:dyDescent="0.3">
      <c r="A64" t="s">
        <v>19</v>
      </c>
      <c r="B64" t="s">
        <v>20</v>
      </c>
      <c r="C64" t="s">
        <v>25</v>
      </c>
      <c r="D64" t="s">
        <v>93</v>
      </c>
      <c r="E64">
        <v>0</v>
      </c>
      <c r="F64">
        <v>0</v>
      </c>
      <c r="G64">
        <v>0</v>
      </c>
      <c r="H64">
        <v>1</v>
      </c>
    </row>
    <row r="65" spans="1:8" x14ac:dyDescent="0.3">
      <c r="A65" t="s">
        <v>19</v>
      </c>
      <c r="B65" t="s">
        <v>20</v>
      </c>
      <c r="C65" t="s">
        <v>25</v>
      </c>
      <c r="D65" t="s">
        <v>95</v>
      </c>
      <c r="E65">
        <v>0</v>
      </c>
      <c r="F65">
        <v>0</v>
      </c>
      <c r="G65">
        <v>0</v>
      </c>
      <c r="H65">
        <v>1</v>
      </c>
    </row>
    <row r="66" spans="1:8" x14ac:dyDescent="0.3">
      <c r="A66" t="s">
        <v>19</v>
      </c>
      <c r="B66" t="s">
        <v>20</v>
      </c>
      <c r="C66" t="s">
        <v>25</v>
      </c>
      <c r="D66" t="s">
        <v>97</v>
      </c>
      <c r="E66">
        <v>0</v>
      </c>
      <c r="F66">
        <v>0</v>
      </c>
      <c r="G66">
        <v>0</v>
      </c>
      <c r="H66">
        <v>1</v>
      </c>
    </row>
    <row r="67" spans="1:8" x14ac:dyDescent="0.3">
      <c r="A67" t="s">
        <v>19</v>
      </c>
      <c r="B67" t="s">
        <v>20</v>
      </c>
      <c r="C67" t="s">
        <v>25</v>
      </c>
      <c r="D67" t="s">
        <v>99</v>
      </c>
      <c r="E67">
        <v>0</v>
      </c>
      <c r="F67">
        <v>0</v>
      </c>
      <c r="G67">
        <v>0</v>
      </c>
      <c r="H67">
        <v>1</v>
      </c>
    </row>
    <row r="68" spans="1:8" x14ac:dyDescent="0.3">
      <c r="A68" t="s">
        <v>19</v>
      </c>
      <c r="B68" t="s">
        <v>20</v>
      </c>
      <c r="C68" t="s">
        <v>25</v>
      </c>
      <c r="D68" t="s">
        <v>101</v>
      </c>
      <c r="E68">
        <v>0</v>
      </c>
      <c r="F68">
        <v>0</v>
      </c>
      <c r="G68">
        <v>0</v>
      </c>
      <c r="H68">
        <v>1</v>
      </c>
    </row>
    <row r="69" spans="1:8" x14ac:dyDescent="0.3">
      <c r="A69" t="s">
        <v>19</v>
      </c>
      <c r="B69" t="s">
        <v>20</v>
      </c>
      <c r="C69" t="s">
        <v>25</v>
      </c>
      <c r="D69" t="s">
        <v>103</v>
      </c>
      <c r="E69">
        <v>0</v>
      </c>
      <c r="F69">
        <v>0</v>
      </c>
      <c r="G69">
        <v>0</v>
      </c>
      <c r="H69">
        <v>1</v>
      </c>
    </row>
    <row r="70" spans="1:8" x14ac:dyDescent="0.3">
      <c r="A70" t="s">
        <v>19</v>
      </c>
      <c r="B70" t="s">
        <v>20</v>
      </c>
      <c r="C70" t="s">
        <v>25</v>
      </c>
      <c r="D70" t="s">
        <v>105</v>
      </c>
      <c r="E70">
        <v>0</v>
      </c>
      <c r="F70">
        <v>0</v>
      </c>
      <c r="G70">
        <v>0</v>
      </c>
      <c r="H70">
        <v>1</v>
      </c>
    </row>
    <row r="71" spans="1:8" x14ac:dyDescent="0.3">
      <c r="A71" t="s">
        <v>19</v>
      </c>
      <c r="B71" t="s">
        <v>20</v>
      </c>
      <c r="C71" t="s">
        <v>25</v>
      </c>
      <c r="D71" t="s">
        <v>107</v>
      </c>
      <c r="E71">
        <v>0</v>
      </c>
      <c r="F71">
        <v>0</v>
      </c>
      <c r="G71">
        <v>0</v>
      </c>
      <c r="H71">
        <v>1</v>
      </c>
    </row>
    <row r="72" spans="1:8" x14ac:dyDescent="0.3">
      <c r="A72" t="s">
        <v>19</v>
      </c>
      <c r="B72" t="s">
        <v>20</v>
      </c>
      <c r="C72" t="s">
        <v>25</v>
      </c>
      <c r="D72" t="s">
        <v>111</v>
      </c>
      <c r="E72">
        <v>0</v>
      </c>
      <c r="F72">
        <v>0</v>
      </c>
      <c r="G72">
        <v>0</v>
      </c>
      <c r="H72">
        <v>1</v>
      </c>
    </row>
    <row r="73" spans="1:8" x14ac:dyDescent="0.3">
      <c r="A73" t="s">
        <v>26</v>
      </c>
      <c r="B73" t="s">
        <v>27</v>
      </c>
      <c r="C73" t="s">
        <v>21</v>
      </c>
      <c r="D73" t="s">
        <v>77</v>
      </c>
      <c r="E73">
        <v>0</v>
      </c>
      <c r="F73">
        <v>0</v>
      </c>
      <c r="G73">
        <v>0</v>
      </c>
      <c r="H73">
        <v>1</v>
      </c>
    </row>
    <row r="74" spans="1:8" x14ac:dyDescent="0.3">
      <c r="A74" t="s">
        <v>26</v>
      </c>
      <c r="B74" t="s">
        <v>27</v>
      </c>
      <c r="C74" t="s">
        <v>21</v>
      </c>
      <c r="D74" t="s">
        <v>79</v>
      </c>
      <c r="E74">
        <v>0</v>
      </c>
      <c r="F74">
        <v>0</v>
      </c>
      <c r="G74">
        <v>0</v>
      </c>
      <c r="H74">
        <v>1</v>
      </c>
    </row>
    <row r="75" spans="1:8" x14ac:dyDescent="0.3">
      <c r="A75" t="s">
        <v>26</v>
      </c>
      <c r="B75" t="s">
        <v>27</v>
      </c>
      <c r="C75" t="s">
        <v>21</v>
      </c>
      <c r="D75" t="s">
        <v>81</v>
      </c>
      <c r="E75">
        <v>1</v>
      </c>
      <c r="F75">
        <v>1</v>
      </c>
      <c r="G75">
        <v>1</v>
      </c>
      <c r="H75">
        <v>1</v>
      </c>
    </row>
    <row r="76" spans="1:8" x14ac:dyDescent="0.3">
      <c r="A76" t="s">
        <v>26</v>
      </c>
      <c r="B76" t="s">
        <v>27</v>
      </c>
      <c r="C76" t="s">
        <v>21</v>
      </c>
      <c r="D76" t="s">
        <v>83</v>
      </c>
      <c r="E76">
        <v>0</v>
      </c>
      <c r="F76">
        <v>0</v>
      </c>
      <c r="G76">
        <v>0</v>
      </c>
      <c r="H76">
        <v>1</v>
      </c>
    </row>
    <row r="77" spans="1:8" x14ac:dyDescent="0.3">
      <c r="A77" t="s">
        <v>26</v>
      </c>
      <c r="B77" t="s">
        <v>27</v>
      </c>
      <c r="C77" t="s">
        <v>21</v>
      </c>
      <c r="D77" t="s">
        <v>85</v>
      </c>
      <c r="E77">
        <v>0</v>
      </c>
      <c r="F77">
        <v>0</v>
      </c>
      <c r="G77">
        <v>0</v>
      </c>
      <c r="H77">
        <v>1</v>
      </c>
    </row>
    <row r="78" spans="1:8" x14ac:dyDescent="0.3">
      <c r="A78" t="s">
        <v>26</v>
      </c>
      <c r="B78" t="s">
        <v>27</v>
      </c>
      <c r="C78" t="s">
        <v>21</v>
      </c>
      <c r="D78" t="s">
        <v>87</v>
      </c>
      <c r="E78">
        <v>0</v>
      </c>
      <c r="F78">
        <v>0</v>
      </c>
      <c r="G78">
        <v>0</v>
      </c>
      <c r="H78">
        <v>1</v>
      </c>
    </row>
    <row r="79" spans="1:8" x14ac:dyDescent="0.3">
      <c r="A79" t="s">
        <v>26</v>
      </c>
      <c r="B79" t="s">
        <v>27</v>
      </c>
      <c r="C79" t="s">
        <v>21</v>
      </c>
      <c r="D79" t="s">
        <v>89</v>
      </c>
      <c r="E79">
        <v>0</v>
      </c>
      <c r="F79">
        <v>0</v>
      </c>
      <c r="G79">
        <v>0</v>
      </c>
      <c r="H79">
        <v>1</v>
      </c>
    </row>
    <row r="80" spans="1:8" x14ac:dyDescent="0.3">
      <c r="A80" t="s">
        <v>26</v>
      </c>
      <c r="B80" t="s">
        <v>27</v>
      </c>
      <c r="C80" t="s">
        <v>21</v>
      </c>
      <c r="D80" t="s">
        <v>91</v>
      </c>
      <c r="E80">
        <v>0</v>
      </c>
      <c r="F80">
        <v>0</v>
      </c>
      <c r="G80">
        <v>0</v>
      </c>
      <c r="H80">
        <v>1</v>
      </c>
    </row>
    <row r="81" spans="1:8" x14ac:dyDescent="0.3">
      <c r="A81" t="s">
        <v>26</v>
      </c>
      <c r="B81" t="s">
        <v>27</v>
      </c>
      <c r="C81" t="s">
        <v>21</v>
      </c>
      <c r="D81" t="s">
        <v>93</v>
      </c>
      <c r="E81">
        <v>0</v>
      </c>
      <c r="F81">
        <v>0</v>
      </c>
      <c r="G81">
        <v>0</v>
      </c>
      <c r="H81">
        <v>1</v>
      </c>
    </row>
    <row r="82" spans="1:8" x14ac:dyDescent="0.3">
      <c r="A82" t="s">
        <v>26</v>
      </c>
      <c r="B82" t="s">
        <v>27</v>
      </c>
      <c r="C82" t="s">
        <v>21</v>
      </c>
      <c r="D82" t="s">
        <v>95</v>
      </c>
      <c r="E82">
        <v>0</v>
      </c>
      <c r="F82">
        <v>0</v>
      </c>
      <c r="G82">
        <v>0</v>
      </c>
      <c r="H82">
        <v>1</v>
      </c>
    </row>
    <row r="83" spans="1:8" x14ac:dyDescent="0.3">
      <c r="A83" t="s">
        <v>26</v>
      </c>
      <c r="B83" t="s">
        <v>27</v>
      </c>
      <c r="C83" t="s">
        <v>21</v>
      </c>
      <c r="D83" t="s">
        <v>97</v>
      </c>
      <c r="E83">
        <v>0</v>
      </c>
      <c r="F83">
        <v>0</v>
      </c>
      <c r="G83">
        <v>0</v>
      </c>
      <c r="H83">
        <v>1</v>
      </c>
    </row>
    <row r="84" spans="1:8" x14ac:dyDescent="0.3">
      <c r="A84" t="s">
        <v>26</v>
      </c>
      <c r="B84" t="s">
        <v>27</v>
      </c>
      <c r="C84" t="s">
        <v>21</v>
      </c>
      <c r="D84" t="s">
        <v>99</v>
      </c>
      <c r="E84">
        <v>0</v>
      </c>
      <c r="F84">
        <v>0</v>
      </c>
      <c r="G84">
        <v>0</v>
      </c>
      <c r="H84">
        <v>1</v>
      </c>
    </row>
    <row r="85" spans="1:8" x14ac:dyDescent="0.3">
      <c r="A85" t="s">
        <v>26</v>
      </c>
      <c r="B85" t="s">
        <v>27</v>
      </c>
      <c r="C85" t="s">
        <v>21</v>
      </c>
      <c r="D85" t="s">
        <v>101</v>
      </c>
      <c r="E85">
        <v>0</v>
      </c>
      <c r="F85">
        <v>0</v>
      </c>
      <c r="G85">
        <v>0</v>
      </c>
      <c r="H85">
        <v>1</v>
      </c>
    </row>
    <row r="86" spans="1:8" x14ac:dyDescent="0.3">
      <c r="A86" t="s">
        <v>26</v>
      </c>
      <c r="B86" t="s">
        <v>27</v>
      </c>
      <c r="C86" t="s">
        <v>21</v>
      </c>
      <c r="D86" t="s">
        <v>103</v>
      </c>
      <c r="E86">
        <v>0</v>
      </c>
      <c r="F86">
        <v>0</v>
      </c>
      <c r="G86">
        <v>0</v>
      </c>
      <c r="H86">
        <v>1</v>
      </c>
    </row>
    <row r="87" spans="1:8" x14ac:dyDescent="0.3">
      <c r="A87" t="s">
        <v>26</v>
      </c>
      <c r="B87" t="s">
        <v>27</v>
      </c>
      <c r="C87" t="s">
        <v>21</v>
      </c>
      <c r="D87" t="s">
        <v>105</v>
      </c>
      <c r="E87">
        <v>0</v>
      </c>
      <c r="F87">
        <v>0</v>
      </c>
      <c r="G87">
        <v>0</v>
      </c>
      <c r="H87">
        <v>1</v>
      </c>
    </row>
    <row r="88" spans="1:8" x14ac:dyDescent="0.3">
      <c r="A88" t="s">
        <v>26</v>
      </c>
      <c r="B88" t="s">
        <v>27</v>
      </c>
      <c r="C88" t="s">
        <v>21</v>
      </c>
      <c r="D88" t="s">
        <v>107</v>
      </c>
      <c r="E88">
        <v>0</v>
      </c>
      <c r="F88">
        <v>0</v>
      </c>
      <c r="G88">
        <v>0</v>
      </c>
      <c r="H88">
        <v>1</v>
      </c>
    </row>
    <row r="89" spans="1:8" x14ac:dyDescent="0.3">
      <c r="A89" t="s">
        <v>26</v>
      </c>
      <c r="B89" t="s">
        <v>27</v>
      </c>
      <c r="C89" t="s">
        <v>21</v>
      </c>
      <c r="D89" t="s">
        <v>109</v>
      </c>
      <c r="E89">
        <v>0</v>
      </c>
      <c r="F89">
        <v>0</v>
      </c>
      <c r="G89">
        <v>0</v>
      </c>
      <c r="H89">
        <v>1</v>
      </c>
    </row>
    <row r="90" spans="1:8" x14ac:dyDescent="0.3">
      <c r="A90" t="s">
        <v>26</v>
      </c>
      <c r="B90" t="s">
        <v>27</v>
      </c>
      <c r="C90" t="s">
        <v>21</v>
      </c>
      <c r="D90" t="s">
        <v>111</v>
      </c>
      <c r="E90">
        <v>0</v>
      </c>
      <c r="F90">
        <v>0</v>
      </c>
      <c r="G90">
        <v>0</v>
      </c>
      <c r="H90">
        <v>1</v>
      </c>
    </row>
    <row r="91" spans="1:8" x14ac:dyDescent="0.3">
      <c r="A91" t="s">
        <v>26</v>
      </c>
      <c r="B91" t="s">
        <v>27</v>
      </c>
      <c r="C91" t="s">
        <v>23</v>
      </c>
      <c r="D91" t="s">
        <v>77</v>
      </c>
      <c r="E91">
        <v>0</v>
      </c>
      <c r="F91">
        <v>0</v>
      </c>
      <c r="G91">
        <v>0</v>
      </c>
      <c r="H91">
        <v>1</v>
      </c>
    </row>
    <row r="92" spans="1:8" x14ac:dyDescent="0.3">
      <c r="A92" t="s">
        <v>26</v>
      </c>
      <c r="B92" t="s">
        <v>27</v>
      </c>
      <c r="C92" t="s">
        <v>23</v>
      </c>
      <c r="D92" t="s">
        <v>79</v>
      </c>
      <c r="E92">
        <v>1</v>
      </c>
      <c r="F92">
        <v>1</v>
      </c>
      <c r="G92">
        <v>1</v>
      </c>
      <c r="H92">
        <v>1</v>
      </c>
    </row>
    <row r="93" spans="1:8" x14ac:dyDescent="0.3">
      <c r="A93" t="s">
        <v>26</v>
      </c>
      <c r="B93" t="s">
        <v>27</v>
      </c>
      <c r="C93" t="s">
        <v>23</v>
      </c>
      <c r="D93" t="s">
        <v>81</v>
      </c>
      <c r="E93">
        <v>0</v>
      </c>
      <c r="F93">
        <v>0</v>
      </c>
      <c r="G93">
        <v>0</v>
      </c>
      <c r="H93">
        <v>1</v>
      </c>
    </row>
    <row r="94" spans="1:8" x14ac:dyDescent="0.3">
      <c r="A94" t="s">
        <v>26</v>
      </c>
      <c r="B94" t="s">
        <v>27</v>
      </c>
      <c r="C94" t="s">
        <v>23</v>
      </c>
      <c r="D94" t="s">
        <v>83</v>
      </c>
      <c r="E94">
        <v>0</v>
      </c>
      <c r="F94">
        <v>0</v>
      </c>
      <c r="G94">
        <v>0</v>
      </c>
      <c r="H94">
        <v>1</v>
      </c>
    </row>
    <row r="95" spans="1:8" x14ac:dyDescent="0.3">
      <c r="A95" t="s">
        <v>26</v>
      </c>
      <c r="B95" t="s">
        <v>27</v>
      </c>
      <c r="C95" t="s">
        <v>23</v>
      </c>
      <c r="D95" t="s">
        <v>85</v>
      </c>
      <c r="E95">
        <v>0</v>
      </c>
      <c r="F95">
        <v>0</v>
      </c>
      <c r="G95">
        <v>0</v>
      </c>
      <c r="H95">
        <v>1</v>
      </c>
    </row>
    <row r="96" spans="1:8" x14ac:dyDescent="0.3">
      <c r="A96" t="s">
        <v>26</v>
      </c>
      <c r="B96" t="s">
        <v>27</v>
      </c>
      <c r="C96" t="s">
        <v>23</v>
      </c>
      <c r="D96" t="s">
        <v>87</v>
      </c>
      <c r="E96">
        <v>0</v>
      </c>
      <c r="F96">
        <v>0</v>
      </c>
      <c r="G96">
        <v>0</v>
      </c>
      <c r="H96">
        <v>1</v>
      </c>
    </row>
    <row r="97" spans="1:8" x14ac:dyDescent="0.3">
      <c r="A97" t="s">
        <v>26</v>
      </c>
      <c r="B97" t="s">
        <v>27</v>
      </c>
      <c r="C97" t="s">
        <v>23</v>
      </c>
      <c r="D97" t="s">
        <v>89</v>
      </c>
      <c r="E97">
        <v>0</v>
      </c>
      <c r="F97">
        <v>0</v>
      </c>
      <c r="G97">
        <v>0</v>
      </c>
      <c r="H97">
        <v>1</v>
      </c>
    </row>
    <row r="98" spans="1:8" x14ac:dyDescent="0.3">
      <c r="A98" t="s">
        <v>26</v>
      </c>
      <c r="B98" t="s">
        <v>27</v>
      </c>
      <c r="C98" t="s">
        <v>23</v>
      </c>
      <c r="D98" t="s">
        <v>91</v>
      </c>
      <c r="E98">
        <v>0</v>
      </c>
      <c r="F98">
        <v>0</v>
      </c>
      <c r="G98">
        <v>0</v>
      </c>
      <c r="H98">
        <v>1</v>
      </c>
    </row>
    <row r="99" spans="1:8" x14ac:dyDescent="0.3">
      <c r="A99" t="s">
        <v>26</v>
      </c>
      <c r="B99" t="s">
        <v>27</v>
      </c>
      <c r="C99" t="s">
        <v>23</v>
      </c>
      <c r="D99" t="s">
        <v>93</v>
      </c>
      <c r="E99">
        <v>0</v>
      </c>
      <c r="F99">
        <v>0</v>
      </c>
      <c r="G99">
        <v>0</v>
      </c>
      <c r="H99">
        <v>1</v>
      </c>
    </row>
    <row r="100" spans="1:8" x14ac:dyDescent="0.3">
      <c r="A100" t="s">
        <v>26</v>
      </c>
      <c r="B100" t="s">
        <v>27</v>
      </c>
      <c r="C100" t="s">
        <v>23</v>
      </c>
      <c r="D100" t="s">
        <v>95</v>
      </c>
      <c r="E100">
        <v>0</v>
      </c>
      <c r="F100">
        <v>0</v>
      </c>
      <c r="G100">
        <v>0</v>
      </c>
      <c r="H100">
        <v>1</v>
      </c>
    </row>
    <row r="101" spans="1:8" x14ac:dyDescent="0.3">
      <c r="A101" t="s">
        <v>26</v>
      </c>
      <c r="B101" t="s">
        <v>27</v>
      </c>
      <c r="C101" t="s">
        <v>23</v>
      </c>
      <c r="D101" t="s">
        <v>97</v>
      </c>
      <c r="E101">
        <v>0</v>
      </c>
      <c r="F101">
        <v>0</v>
      </c>
      <c r="G101">
        <v>0</v>
      </c>
      <c r="H101">
        <v>1</v>
      </c>
    </row>
    <row r="102" spans="1:8" x14ac:dyDescent="0.3">
      <c r="A102" t="s">
        <v>26</v>
      </c>
      <c r="B102" t="s">
        <v>27</v>
      </c>
      <c r="C102" t="s">
        <v>23</v>
      </c>
      <c r="D102" t="s">
        <v>99</v>
      </c>
      <c r="E102">
        <v>0</v>
      </c>
      <c r="F102">
        <v>0</v>
      </c>
      <c r="G102">
        <v>0</v>
      </c>
      <c r="H102">
        <v>1</v>
      </c>
    </row>
    <row r="103" spans="1:8" x14ac:dyDescent="0.3">
      <c r="A103" t="s">
        <v>26</v>
      </c>
      <c r="B103" t="s">
        <v>27</v>
      </c>
      <c r="C103" t="s">
        <v>23</v>
      </c>
      <c r="D103" t="s">
        <v>101</v>
      </c>
      <c r="E103">
        <v>0</v>
      </c>
      <c r="F103">
        <v>0</v>
      </c>
      <c r="G103">
        <v>0</v>
      </c>
      <c r="H103">
        <v>1</v>
      </c>
    </row>
    <row r="104" spans="1:8" x14ac:dyDescent="0.3">
      <c r="A104" t="s">
        <v>26</v>
      </c>
      <c r="B104" t="s">
        <v>27</v>
      </c>
      <c r="C104" t="s">
        <v>23</v>
      </c>
      <c r="D104" t="s">
        <v>103</v>
      </c>
      <c r="E104">
        <v>0</v>
      </c>
      <c r="F104">
        <v>0</v>
      </c>
      <c r="G104">
        <v>0</v>
      </c>
      <c r="H104">
        <v>1</v>
      </c>
    </row>
    <row r="105" spans="1:8" x14ac:dyDescent="0.3">
      <c r="A105" t="s">
        <v>26</v>
      </c>
      <c r="B105" t="s">
        <v>27</v>
      </c>
      <c r="C105" t="s">
        <v>23</v>
      </c>
      <c r="D105" t="s">
        <v>105</v>
      </c>
      <c r="E105">
        <v>0</v>
      </c>
      <c r="F105">
        <v>0</v>
      </c>
      <c r="G105">
        <v>0</v>
      </c>
      <c r="H105">
        <v>1</v>
      </c>
    </row>
    <row r="106" spans="1:8" x14ac:dyDescent="0.3">
      <c r="A106" t="s">
        <v>26</v>
      </c>
      <c r="B106" t="s">
        <v>27</v>
      </c>
      <c r="C106" t="s">
        <v>23</v>
      </c>
      <c r="D106" t="s">
        <v>107</v>
      </c>
      <c r="E106">
        <v>0</v>
      </c>
      <c r="F106">
        <v>0</v>
      </c>
      <c r="G106">
        <v>0</v>
      </c>
      <c r="H106">
        <v>1</v>
      </c>
    </row>
    <row r="107" spans="1:8" x14ac:dyDescent="0.3">
      <c r="A107" t="s">
        <v>26</v>
      </c>
      <c r="B107" t="s">
        <v>27</v>
      </c>
      <c r="C107" t="s">
        <v>23</v>
      </c>
      <c r="D107" t="s">
        <v>109</v>
      </c>
      <c r="E107">
        <v>0</v>
      </c>
      <c r="F107">
        <v>0</v>
      </c>
      <c r="G107">
        <v>0</v>
      </c>
      <c r="H107">
        <v>1</v>
      </c>
    </row>
    <row r="108" spans="1:8" x14ac:dyDescent="0.3">
      <c r="A108" t="s">
        <v>26</v>
      </c>
      <c r="B108" t="s">
        <v>27</v>
      </c>
      <c r="C108" t="s">
        <v>23</v>
      </c>
      <c r="D108" t="s">
        <v>111</v>
      </c>
      <c r="E108">
        <v>0</v>
      </c>
      <c r="F108">
        <v>0</v>
      </c>
      <c r="G108">
        <v>0</v>
      </c>
      <c r="H108">
        <v>1</v>
      </c>
    </row>
    <row r="109" spans="1:8" x14ac:dyDescent="0.3">
      <c r="A109" t="s">
        <v>26</v>
      </c>
      <c r="B109" t="s">
        <v>27</v>
      </c>
      <c r="C109" t="s">
        <v>24</v>
      </c>
      <c r="D109" t="s">
        <v>77</v>
      </c>
      <c r="E109">
        <v>0</v>
      </c>
      <c r="F109">
        <v>0</v>
      </c>
      <c r="G109">
        <v>0</v>
      </c>
      <c r="H109">
        <v>1</v>
      </c>
    </row>
    <row r="110" spans="1:8" x14ac:dyDescent="0.3">
      <c r="A110" t="s">
        <v>26</v>
      </c>
      <c r="B110" t="s">
        <v>27</v>
      </c>
      <c r="C110" t="s">
        <v>24</v>
      </c>
      <c r="D110" t="s">
        <v>79</v>
      </c>
      <c r="E110">
        <v>0</v>
      </c>
      <c r="F110">
        <v>0</v>
      </c>
      <c r="G110">
        <v>0</v>
      </c>
      <c r="H110">
        <v>1</v>
      </c>
    </row>
    <row r="111" spans="1:8" x14ac:dyDescent="0.3">
      <c r="A111" t="s">
        <v>26</v>
      </c>
      <c r="B111" t="s">
        <v>27</v>
      </c>
      <c r="C111" t="s">
        <v>24</v>
      </c>
      <c r="D111" t="s">
        <v>81</v>
      </c>
      <c r="E111">
        <v>1</v>
      </c>
      <c r="F111">
        <v>1</v>
      </c>
      <c r="G111">
        <v>1</v>
      </c>
      <c r="H111">
        <v>1</v>
      </c>
    </row>
    <row r="112" spans="1:8" x14ac:dyDescent="0.3">
      <c r="A112" t="s">
        <v>26</v>
      </c>
      <c r="B112" t="s">
        <v>27</v>
      </c>
      <c r="C112" t="s">
        <v>24</v>
      </c>
      <c r="D112" t="s">
        <v>83</v>
      </c>
      <c r="E112">
        <v>1</v>
      </c>
      <c r="F112">
        <v>1</v>
      </c>
      <c r="G112">
        <v>1</v>
      </c>
      <c r="H112">
        <v>1</v>
      </c>
    </row>
    <row r="113" spans="1:8" x14ac:dyDescent="0.3">
      <c r="A113" t="s">
        <v>26</v>
      </c>
      <c r="B113" t="s">
        <v>27</v>
      </c>
      <c r="C113" t="s">
        <v>24</v>
      </c>
      <c r="D113" t="s">
        <v>85</v>
      </c>
      <c r="E113">
        <v>0</v>
      </c>
      <c r="F113">
        <v>0</v>
      </c>
      <c r="G113">
        <v>0</v>
      </c>
      <c r="H113">
        <v>1</v>
      </c>
    </row>
    <row r="114" spans="1:8" x14ac:dyDescent="0.3">
      <c r="A114" t="s">
        <v>26</v>
      </c>
      <c r="B114" t="s">
        <v>27</v>
      </c>
      <c r="C114" t="s">
        <v>24</v>
      </c>
      <c r="D114" t="s">
        <v>87</v>
      </c>
      <c r="E114">
        <v>0</v>
      </c>
      <c r="F114">
        <v>0</v>
      </c>
      <c r="G114">
        <v>0</v>
      </c>
      <c r="H114">
        <v>1</v>
      </c>
    </row>
    <row r="115" spans="1:8" x14ac:dyDescent="0.3">
      <c r="A115" t="s">
        <v>26</v>
      </c>
      <c r="B115" t="s">
        <v>27</v>
      </c>
      <c r="C115" t="s">
        <v>24</v>
      </c>
      <c r="D115" t="s">
        <v>89</v>
      </c>
      <c r="E115">
        <v>0</v>
      </c>
      <c r="F115">
        <v>0</v>
      </c>
      <c r="G115">
        <v>0</v>
      </c>
      <c r="H115">
        <v>1</v>
      </c>
    </row>
    <row r="116" spans="1:8" x14ac:dyDescent="0.3">
      <c r="A116" t="s">
        <v>26</v>
      </c>
      <c r="B116" t="s">
        <v>27</v>
      </c>
      <c r="C116" t="s">
        <v>24</v>
      </c>
      <c r="D116" t="s">
        <v>91</v>
      </c>
      <c r="E116">
        <v>0</v>
      </c>
      <c r="F116">
        <v>0</v>
      </c>
      <c r="G116">
        <v>0</v>
      </c>
      <c r="H116">
        <v>1</v>
      </c>
    </row>
    <row r="117" spans="1:8" x14ac:dyDescent="0.3">
      <c r="A117" t="s">
        <v>26</v>
      </c>
      <c r="B117" t="s">
        <v>27</v>
      </c>
      <c r="C117" t="s">
        <v>24</v>
      </c>
      <c r="D117" t="s">
        <v>93</v>
      </c>
      <c r="E117">
        <v>0</v>
      </c>
      <c r="F117">
        <v>0</v>
      </c>
      <c r="G117">
        <v>0</v>
      </c>
      <c r="H117">
        <v>1</v>
      </c>
    </row>
    <row r="118" spans="1:8" x14ac:dyDescent="0.3">
      <c r="A118" t="s">
        <v>26</v>
      </c>
      <c r="B118" t="s">
        <v>27</v>
      </c>
      <c r="C118" t="s">
        <v>24</v>
      </c>
      <c r="D118" t="s">
        <v>95</v>
      </c>
      <c r="E118">
        <v>0</v>
      </c>
      <c r="F118">
        <v>0</v>
      </c>
      <c r="G118">
        <v>0</v>
      </c>
      <c r="H118">
        <v>1</v>
      </c>
    </row>
    <row r="119" spans="1:8" x14ac:dyDescent="0.3">
      <c r="A119" t="s">
        <v>26</v>
      </c>
      <c r="B119" t="s">
        <v>27</v>
      </c>
      <c r="C119" t="s">
        <v>24</v>
      </c>
      <c r="D119" t="s">
        <v>97</v>
      </c>
      <c r="E119">
        <v>0</v>
      </c>
      <c r="F119">
        <v>0</v>
      </c>
      <c r="G119">
        <v>0</v>
      </c>
      <c r="H119">
        <v>1</v>
      </c>
    </row>
    <row r="120" spans="1:8" x14ac:dyDescent="0.3">
      <c r="A120" t="s">
        <v>26</v>
      </c>
      <c r="B120" t="s">
        <v>27</v>
      </c>
      <c r="C120" t="s">
        <v>24</v>
      </c>
      <c r="D120" t="s">
        <v>99</v>
      </c>
      <c r="E120">
        <v>0</v>
      </c>
      <c r="F120">
        <v>0</v>
      </c>
      <c r="G120">
        <v>0</v>
      </c>
      <c r="H120">
        <v>1</v>
      </c>
    </row>
    <row r="121" spans="1:8" x14ac:dyDescent="0.3">
      <c r="A121" t="s">
        <v>26</v>
      </c>
      <c r="B121" t="s">
        <v>27</v>
      </c>
      <c r="C121" t="s">
        <v>24</v>
      </c>
      <c r="D121" t="s">
        <v>101</v>
      </c>
      <c r="E121">
        <v>0</v>
      </c>
      <c r="F121">
        <v>0</v>
      </c>
      <c r="G121">
        <v>0</v>
      </c>
      <c r="H121">
        <v>1</v>
      </c>
    </row>
    <row r="122" spans="1:8" x14ac:dyDescent="0.3">
      <c r="A122" t="s">
        <v>26</v>
      </c>
      <c r="B122" t="s">
        <v>27</v>
      </c>
      <c r="C122" t="s">
        <v>24</v>
      </c>
      <c r="D122" t="s">
        <v>103</v>
      </c>
      <c r="E122">
        <v>0</v>
      </c>
      <c r="F122">
        <v>0</v>
      </c>
      <c r="G122">
        <v>0</v>
      </c>
      <c r="H122">
        <v>1</v>
      </c>
    </row>
    <row r="123" spans="1:8" x14ac:dyDescent="0.3">
      <c r="A123" t="s">
        <v>26</v>
      </c>
      <c r="B123" t="s">
        <v>27</v>
      </c>
      <c r="C123" t="s">
        <v>24</v>
      </c>
      <c r="D123" t="s">
        <v>105</v>
      </c>
      <c r="E123">
        <v>0</v>
      </c>
      <c r="F123">
        <v>0</v>
      </c>
      <c r="G123">
        <v>0</v>
      </c>
      <c r="H123">
        <v>1</v>
      </c>
    </row>
    <row r="124" spans="1:8" x14ac:dyDescent="0.3">
      <c r="A124" t="s">
        <v>26</v>
      </c>
      <c r="B124" t="s">
        <v>27</v>
      </c>
      <c r="C124" t="s">
        <v>24</v>
      </c>
      <c r="D124" t="s">
        <v>107</v>
      </c>
      <c r="E124">
        <v>0</v>
      </c>
      <c r="F124">
        <v>0</v>
      </c>
      <c r="G124">
        <v>0</v>
      </c>
      <c r="H124">
        <v>1</v>
      </c>
    </row>
    <row r="125" spans="1:8" x14ac:dyDescent="0.3">
      <c r="A125" t="s">
        <v>26</v>
      </c>
      <c r="B125" t="s">
        <v>27</v>
      </c>
      <c r="C125" t="s">
        <v>24</v>
      </c>
      <c r="D125" t="s">
        <v>109</v>
      </c>
      <c r="E125">
        <v>0</v>
      </c>
      <c r="F125">
        <v>0</v>
      </c>
      <c r="G125">
        <v>0</v>
      </c>
      <c r="H125">
        <v>1</v>
      </c>
    </row>
    <row r="126" spans="1:8" x14ac:dyDescent="0.3">
      <c r="A126" t="s">
        <v>26</v>
      </c>
      <c r="B126" t="s">
        <v>27</v>
      </c>
      <c r="C126" t="s">
        <v>24</v>
      </c>
      <c r="D126" t="s">
        <v>111</v>
      </c>
      <c r="E126">
        <v>0</v>
      </c>
      <c r="F126">
        <v>0</v>
      </c>
      <c r="G126">
        <v>0</v>
      </c>
      <c r="H126">
        <v>1</v>
      </c>
    </row>
    <row r="127" spans="1:8" x14ac:dyDescent="0.3">
      <c r="A127" t="s">
        <v>26</v>
      </c>
      <c r="B127" t="s">
        <v>27</v>
      </c>
      <c r="C127" t="s">
        <v>25</v>
      </c>
      <c r="D127" t="s">
        <v>77</v>
      </c>
      <c r="E127">
        <v>0</v>
      </c>
      <c r="F127">
        <v>0</v>
      </c>
      <c r="G127">
        <v>0</v>
      </c>
      <c r="H127">
        <v>1</v>
      </c>
    </row>
    <row r="128" spans="1:8" x14ac:dyDescent="0.3">
      <c r="A128" t="s">
        <v>26</v>
      </c>
      <c r="B128" t="s">
        <v>27</v>
      </c>
      <c r="C128" t="s">
        <v>25</v>
      </c>
      <c r="D128" t="s">
        <v>79</v>
      </c>
      <c r="E128">
        <v>0</v>
      </c>
      <c r="F128">
        <v>0</v>
      </c>
      <c r="G128">
        <v>0</v>
      </c>
      <c r="H128">
        <v>1</v>
      </c>
    </row>
    <row r="129" spans="1:8" x14ac:dyDescent="0.3">
      <c r="A129" t="s">
        <v>26</v>
      </c>
      <c r="B129" t="s">
        <v>27</v>
      </c>
      <c r="C129" t="s">
        <v>25</v>
      </c>
      <c r="D129" t="s">
        <v>81</v>
      </c>
      <c r="E129">
        <v>1</v>
      </c>
      <c r="F129">
        <v>1</v>
      </c>
      <c r="G129">
        <v>1</v>
      </c>
      <c r="H129">
        <v>1</v>
      </c>
    </row>
    <row r="130" spans="1:8" x14ac:dyDescent="0.3">
      <c r="A130" t="s">
        <v>26</v>
      </c>
      <c r="B130" t="s">
        <v>27</v>
      </c>
      <c r="C130" t="s">
        <v>25</v>
      </c>
      <c r="D130" t="s">
        <v>83</v>
      </c>
      <c r="E130">
        <v>0</v>
      </c>
      <c r="F130">
        <v>0</v>
      </c>
      <c r="G130">
        <v>0</v>
      </c>
      <c r="H130">
        <v>1</v>
      </c>
    </row>
    <row r="131" spans="1:8" x14ac:dyDescent="0.3">
      <c r="A131" t="s">
        <v>26</v>
      </c>
      <c r="B131" t="s">
        <v>27</v>
      </c>
      <c r="C131" t="s">
        <v>25</v>
      </c>
      <c r="D131" t="s">
        <v>85</v>
      </c>
      <c r="E131">
        <v>0</v>
      </c>
      <c r="F131">
        <v>0</v>
      </c>
      <c r="G131">
        <v>0</v>
      </c>
      <c r="H131">
        <v>1</v>
      </c>
    </row>
    <row r="132" spans="1:8" x14ac:dyDescent="0.3">
      <c r="A132" t="s">
        <v>26</v>
      </c>
      <c r="B132" t="s">
        <v>27</v>
      </c>
      <c r="C132" t="s">
        <v>25</v>
      </c>
      <c r="D132" t="s">
        <v>87</v>
      </c>
      <c r="E132">
        <v>0</v>
      </c>
      <c r="F132">
        <v>0</v>
      </c>
      <c r="G132">
        <v>0</v>
      </c>
      <c r="H132">
        <v>1</v>
      </c>
    </row>
    <row r="133" spans="1:8" x14ac:dyDescent="0.3">
      <c r="A133" t="s">
        <v>26</v>
      </c>
      <c r="B133" t="s">
        <v>27</v>
      </c>
      <c r="C133" t="s">
        <v>25</v>
      </c>
      <c r="D133" t="s">
        <v>89</v>
      </c>
      <c r="E133">
        <v>0</v>
      </c>
      <c r="F133">
        <v>0</v>
      </c>
      <c r="G133">
        <v>0</v>
      </c>
      <c r="H133">
        <v>1</v>
      </c>
    </row>
    <row r="134" spans="1:8" x14ac:dyDescent="0.3">
      <c r="A134" t="s">
        <v>26</v>
      </c>
      <c r="B134" t="s">
        <v>27</v>
      </c>
      <c r="C134" t="s">
        <v>25</v>
      </c>
      <c r="D134" t="s">
        <v>91</v>
      </c>
      <c r="E134">
        <v>0</v>
      </c>
      <c r="F134">
        <v>0</v>
      </c>
      <c r="G134">
        <v>0</v>
      </c>
      <c r="H134">
        <v>1</v>
      </c>
    </row>
    <row r="135" spans="1:8" x14ac:dyDescent="0.3">
      <c r="A135" t="s">
        <v>26</v>
      </c>
      <c r="B135" t="s">
        <v>27</v>
      </c>
      <c r="C135" t="s">
        <v>25</v>
      </c>
      <c r="D135" t="s">
        <v>93</v>
      </c>
      <c r="E135">
        <v>0</v>
      </c>
      <c r="F135">
        <v>0</v>
      </c>
      <c r="G135">
        <v>0</v>
      </c>
      <c r="H135">
        <v>1</v>
      </c>
    </row>
    <row r="136" spans="1:8" x14ac:dyDescent="0.3">
      <c r="A136" t="s">
        <v>26</v>
      </c>
      <c r="B136" t="s">
        <v>27</v>
      </c>
      <c r="C136" t="s">
        <v>25</v>
      </c>
      <c r="D136" t="s">
        <v>95</v>
      </c>
      <c r="E136">
        <v>0</v>
      </c>
      <c r="F136">
        <v>0</v>
      </c>
      <c r="G136">
        <v>0</v>
      </c>
      <c r="H136">
        <v>1</v>
      </c>
    </row>
    <row r="137" spans="1:8" x14ac:dyDescent="0.3">
      <c r="A137" t="s">
        <v>26</v>
      </c>
      <c r="B137" t="s">
        <v>27</v>
      </c>
      <c r="C137" t="s">
        <v>25</v>
      </c>
      <c r="D137" t="s">
        <v>97</v>
      </c>
      <c r="E137">
        <v>0</v>
      </c>
      <c r="F137">
        <v>0</v>
      </c>
      <c r="G137">
        <v>0</v>
      </c>
      <c r="H137">
        <v>1</v>
      </c>
    </row>
    <row r="138" spans="1:8" x14ac:dyDescent="0.3">
      <c r="A138" t="s">
        <v>26</v>
      </c>
      <c r="B138" t="s">
        <v>27</v>
      </c>
      <c r="C138" t="s">
        <v>25</v>
      </c>
      <c r="D138" t="s">
        <v>99</v>
      </c>
      <c r="E138">
        <v>0</v>
      </c>
      <c r="F138">
        <v>0</v>
      </c>
      <c r="G138">
        <v>0</v>
      </c>
      <c r="H138">
        <v>1</v>
      </c>
    </row>
    <row r="139" spans="1:8" x14ac:dyDescent="0.3">
      <c r="A139" t="s">
        <v>26</v>
      </c>
      <c r="B139" t="s">
        <v>27</v>
      </c>
      <c r="C139" t="s">
        <v>25</v>
      </c>
      <c r="D139" t="s">
        <v>101</v>
      </c>
      <c r="E139">
        <v>0</v>
      </c>
      <c r="F139">
        <v>0</v>
      </c>
      <c r="G139">
        <v>0</v>
      </c>
      <c r="H139">
        <v>1</v>
      </c>
    </row>
    <row r="140" spans="1:8" x14ac:dyDescent="0.3">
      <c r="A140" t="s">
        <v>26</v>
      </c>
      <c r="B140" t="s">
        <v>27</v>
      </c>
      <c r="C140" t="s">
        <v>25</v>
      </c>
      <c r="D140" t="s">
        <v>103</v>
      </c>
      <c r="E140">
        <v>0</v>
      </c>
      <c r="F140">
        <v>0</v>
      </c>
      <c r="G140">
        <v>0</v>
      </c>
      <c r="H140">
        <v>1</v>
      </c>
    </row>
    <row r="141" spans="1:8" x14ac:dyDescent="0.3">
      <c r="A141" t="s">
        <v>26</v>
      </c>
      <c r="B141" t="s">
        <v>27</v>
      </c>
      <c r="C141" t="s">
        <v>25</v>
      </c>
      <c r="D141" t="s">
        <v>105</v>
      </c>
      <c r="E141">
        <v>0</v>
      </c>
      <c r="F141">
        <v>0</v>
      </c>
      <c r="G141">
        <v>0</v>
      </c>
      <c r="H141">
        <v>1</v>
      </c>
    </row>
    <row r="142" spans="1:8" x14ac:dyDescent="0.3">
      <c r="A142" t="s">
        <v>26</v>
      </c>
      <c r="B142" t="s">
        <v>27</v>
      </c>
      <c r="C142" t="s">
        <v>25</v>
      </c>
      <c r="D142" t="s">
        <v>107</v>
      </c>
      <c r="E142">
        <v>0</v>
      </c>
      <c r="F142">
        <v>0</v>
      </c>
      <c r="G142">
        <v>0</v>
      </c>
      <c r="H142">
        <v>1</v>
      </c>
    </row>
    <row r="143" spans="1:8" x14ac:dyDescent="0.3">
      <c r="A143" t="s">
        <v>26</v>
      </c>
      <c r="B143" t="s">
        <v>27</v>
      </c>
      <c r="C143" t="s">
        <v>25</v>
      </c>
      <c r="D143" t="s">
        <v>111</v>
      </c>
      <c r="E143">
        <v>0</v>
      </c>
      <c r="F143">
        <v>0</v>
      </c>
      <c r="G143">
        <v>0</v>
      </c>
      <c r="H143">
        <v>1</v>
      </c>
    </row>
    <row r="144" spans="1:8" x14ac:dyDescent="0.3">
      <c r="A144" t="s">
        <v>28</v>
      </c>
      <c r="B144" t="s">
        <v>29</v>
      </c>
      <c r="C144" t="s">
        <v>21</v>
      </c>
      <c r="D144" t="s">
        <v>77</v>
      </c>
      <c r="E144">
        <v>0</v>
      </c>
      <c r="F144">
        <v>0</v>
      </c>
      <c r="G144">
        <v>0</v>
      </c>
      <c r="H144">
        <v>1</v>
      </c>
    </row>
    <row r="145" spans="1:8" x14ac:dyDescent="0.3">
      <c r="A145" t="s">
        <v>28</v>
      </c>
      <c r="B145" t="s">
        <v>29</v>
      </c>
      <c r="C145" t="s">
        <v>21</v>
      </c>
      <c r="D145" t="s">
        <v>79</v>
      </c>
      <c r="E145">
        <v>0</v>
      </c>
      <c r="F145">
        <v>0</v>
      </c>
      <c r="G145">
        <v>0</v>
      </c>
      <c r="H145">
        <v>1</v>
      </c>
    </row>
    <row r="146" spans="1:8" x14ac:dyDescent="0.3">
      <c r="A146" t="s">
        <v>28</v>
      </c>
      <c r="B146" t="s">
        <v>29</v>
      </c>
      <c r="C146" t="s">
        <v>21</v>
      </c>
      <c r="D146" t="s">
        <v>81</v>
      </c>
      <c r="E146">
        <v>1</v>
      </c>
      <c r="F146">
        <v>1</v>
      </c>
      <c r="G146">
        <v>1</v>
      </c>
      <c r="H146">
        <v>1</v>
      </c>
    </row>
    <row r="147" spans="1:8" x14ac:dyDescent="0.3">
      <c r="A147" t="s">
        <v>28</v>
      </c>
      <c r="B147" t="s">
        <v>29</v>
      </c>
      <c r="C147" t="s">
        <v>21</v>
      </c>
      <c r="D147" t="s">
        <v>83</v>
      </c>
      <c r="E147">
        <v>0</v>
      </c>
      <c r="F147">
        <v>0</v>
      </c>
      <c r="G147">
        <v>0</v>
      </c>
      <c r="H147">
        <v>1</v>
      </c>
    </row>
    <row r="148" spans="1:8" x14ac:dyDescent="0.3">
      <c r="A148" t="s">
        <v>28</v>
      </c>
      <c r="B148" t="s">
        <v>29</v>
      </c>
      <c r="C148" t="s">
        <v>21</v>
      </c>
      <c r="D148" t="s">
        <v>85</v>
      </c>
      <c r="E148">
        <v>0</v>
      </c>
      <c r="F148">
        <v>0</v>
      </c>
      <c r="G148">
        <v>0</v>
      </c>
      <c r="H148">
        <v>1</v>
      </c>
    </row>
    <row r="149" spans="1:8" x14ac:dyDescent="0.3">
      <c r="A149" t="s">
        <v>28</v>
      </c>
      <c r="B149" t="s">
        <v>29</v>
      </c>
      <c r="C149" t="s">
        <v>21</v>
      </c>
      <c r="D149" t="s">
        <v>87</v>
      </c>
      <c r="E149">
        <v>0</v>
      </c>
      <c r="F149">
        <v>0</v>
      </c>
      <c r="G149">
        <v>0</v>
      </c>
      <c r="H149">
        <v>1</v>
      </c>
    </row>
    <row r="150" spans="1:8" x14ac:dyDescent="0.3">
      <c r="A150" t="s">
        <v>28</v>
      </c>
      <c r="B150" t="s">
        <v>29</v>
      </c>
      <c r="C150" t="s">
        <v>21</v>
      </c>
      <c r="D150" t="s">
        <v>89</v>
      </c>
      <c r="E150">
        <v>0</v>
      </c>
      <c r="F150">
        <v>0</v>
      </c>
      <c r="G150">
        <v>0</v>
      </c>
      <c r="H150">
        <v>1</v>
      </c>
    </row>
    <row r="151" spans="1:8" x14ac:dyDescent="0.3">
      <c r="A151" t="s">
        <v>28</v>
      </c>
      <c r="B151" t="s">
        <v>29</v>
      </c>
      <c r="C151" t="s">
        <v>21</v>
      </c>
      <c r="D151" t="s">
        <v>91</v>
      </c>
      <c r="E151">
        <v>0</v>
      </c>
      <c r="F151">
        <v>0</v>
      </c>
      <c r="G151">
        <v>0</v>
      </c>
      <c r="H151">
        <v>1</v>
      </c>
    </row>
    <row r="152" spans="1:8" x14ac:dyDescent="0.3">
      <c r="A152" t="s">
        <v>28</v>
      </c>
      <c r="B152" t="s">
        <v>29</v>
      </c>
      <c r="C152" t="s">
        <v>21</v>
      </c>
      <c r="D152" t="s">
        <v>93</v>
      </c>
      <c r="E152">
        <v>0</v>
      </c>
      <c r="F152">
        <v>0</v>
      </c>
      <c r="G152">
        <v>0</v>
      </c>
      <c r="H152">
        <v>1</v>
      </c>
    </row>
    <row r="153" spans="1:8" x14ac:dyDescent="0.3">
      <c r="A153" t="s">
        <v>28</v>
      </c>
      <c r="B153" t="s">
        <v>29</v>
      </c>
      <c r="C153" t="s">
        <v>21</v>
      </c>
      <c r="D153" t="s">
        <v>95</v>
      </c>
      <c r="E153">
        <v>0</v>
      </c>
      <c r="F153">
        <v>0</v>
      </c>
      <c r="G153">
        <v>0</v>
      </c>
      <c r="H153">
        <v>1</v>
      </c>
    </row>
    <row r="154" spans="1:8" x14ac:dyDescent="0.3">
      <c r="A154" t="s">
        <v>28</v>
      </c>
      <c r="B154" t="s">
        <v>29</v>
      </c>
      <c r="C154" t="s">
        <v>21</v>
      </c>
      <c r="D154" t="s">
        <v>97</v>
      </c>
      <c r="E154">
        <v>0</v>
      </c>
      <c r="F154">
        <v>0</v>
      </c>
      <c r="G154">
        <v>0</v>
      </c>
      <c r="H154">
        <v>1</v>
      </c>
    </row>
    <row r="155" spans="1:8" x14ac:dyDescent="0.3">
      <c r="A155" t="s">
        <v>28</v>
      </c>
      <c r="B155" t="s">
        <v>29</v>
      </c>
      <c r="C155" t="s">
        <v>21</v>
      </c>
      <c r="D155" t="s">
        <v>99</v>
      </c>
      <c r="E155">
        <v>0</v>
      </c>
      <c r="F155">
        <v>0</v>
      </c>
      <c r="G155">
        <v>0</v>
      </c>
      <c r="H155">
        <v>1</v>
      </c>
    </row>
    <row r="156" spans="1:8" x14ac:dyDescent="0.3">
      <c r="A156" t="s">
        <v>28</v>
      </c>
      <c r="B156" t="s">
        <v>29</v>
      </c>
      <c r="C156" t="s">
        <v>21</v>
      </c>
      <c r="D156" t="s">
        <v>101</v>
      </c>
      <c r="E156">
        <v>0</v>
      </c>
      <c r="F156">
        <v>0</v>
      </c>
      <c r="G156">
        <v>0</v>
      </c>
      <c r="H156">
        <v>1</v>
      </c>
    </row>
    <row r="157" spans="1:8" x14ac:dyDescent="0.3">
      <c r="A157" t="s">
        <v>28</v>
      </c>
      <c r="B157" t="s">
        <v>29</v>
      </c>
      <c r="C157" t="s">
        <v>21</v>
      </c>
      <c r="D157" t="s">
        <v>103</v>
      </c>
      <c r="E157">
        <v>0</v>
      </c>
      <c r="F157">
        <v>0</v>
      </c>
      <c r="G157">
        <v>0</v>
      </c>
      <c r="H157">
        <v>1</v>
      </c>
    </row>
    <row r="158" spans="1:8" x14ac:dyDescent="0.3">
      <c r="A158" t="s">
        <v>28</v>
      </c>
      <c r="B158" t="s">
        <v>29</v>
      </c>
      <c r="C158" t="s">
        <v>21</v>
      </c>
      <c r="D158" t="s">
        <v>105</v>
      </c>
      <c r="E158">
        <v>0</v>
      </c>
      <c r="F158">
        <v>0</v>
      </c>
      <c r="G158">
        <v>0</v>
      </c>
      <c r="H158">
        <v>1</v>
      </c>
    </row>
    <row r="159" spans="1:8" x14ac:dyDescent="0.3">
      <c r="A159" t="s">
        <v>28</v>
      </c>
      <c r="B159" t="s">
        <v>29</v>
      </c>
      <c r="C159" t="s">
        <v>21</v>
      </c>
      <c r="D159" t="s">
        <v>107</v>
      </c>
      <c r="E159">
        <v>0</v>
      </c>
      <c r="F159">
        <v>0</v>
      </c>
      <c r="G159">
        <v>0</v>
      </c>
      <c r="H159">
        <v>1</v>
      </c>
    </row>
    <row r="160" spans="1:8" x14ac:dyDescent="0.3">
      <c r="A160" t="s">
        <v>28</v>
      </c>
      <c r="B160" t="s">
        <v>29</v>
      </c>
      <c r="C160" t="s">
        <v>21</v>
      </c>
      <c r="D160" t="s">
        <v>109</v>
      </c>
      <c r="E160">
        <v>1</v>
      </c>
      <c r="F160">
        <v>1</v>
      </c>
      <c r="G160">
        <v>1</v>
      </c>
      <c r="H160">
        <v>1</v>
      </c>
    </row>
    <row r="161" spans="1:8" x14ac:dyDescent="0.3">
      <c r="A161" t="s">
        <v>28</v>
      </c>
      <c r="B161" t="s">
        <v>29</v>
      </c>
      <c r="C161" t="s">
        <v>21</v>
      </c>
      <c r="D161" t="s">
        <v>111</v>
      </c>
      <c r="E161">
        <v>0</v>
      </c>
      <c r="F161">
        <v>0</v>
      </c>
      <c r="G161">
        <v>0</v>
      </c>
      <c r="H161">
        <v>1</v>
      </c>
    </row>
    <row r="162" spans="1:8" x14ac:dyDescent="0.3">
      <c r="A162" t="s">
        <v>28</v>
      </c>
      <c r="B162" t="s">
        <v>29</v>
      </c>
      <c r="C162" t="s">
        <v>23</v>
      </c>
      <c r="D162" t="s">
        <v>77</v>
      </c>
      <c r="E162">
        <v>0</v>
      </c>
      <c r="F162">
        <v>0</v>
      </c>
      <c r="G162">
        <v>0</v>
      </c>
      <c r="H162">
        <v>1</v>
      </c>
    </row>
    <row r="163" spans="1:8" x14ac:dyDescent="0.3">
      <c r="A163" t="s">
        <v>28</v>
      </c>
      <c r="B163" t="s">
        <v>29</v>
      </c>
      <c r="C163" t="s">
        <v>23</v>
      </c>
      <c r="D163" t="s">
        <v>79</v>
      </c>
      <c r="E163">
        <v>0</v>
      </c>
      <c r="F163">
        <v>0</v>
      </c>
      <c r="G163">
        <v>0</v>
      </c>
      <c r="H163">
        <v>1</v>
      </c>
    </row>
    <row r="164" spans="1:8" x14ac:dyDescent="0.3">
      <c r="A164" t="s">
        <v>28</v>
      </c>
      <c r="B164" t="s">
        <v>29</v>
      </c>
      <c r="C164" t="s">
        <v>23</v>
      </c>
      <c r="D164" t="s">
        <v>81</v>
      </c>
      <c r="E164">
        <v>1</v>
      </c>
      <c r="F164">
        <v>1</v>
      </c>
      <c r="G164">
        <v>1</v>
      </c>
      <c r="H164">
        <v>1</v>
      </c>
    </row>
    <row r="165" spans="1:8" x14ac:dyDescent="0.3">
      <c r="A165" t="s">
        <v>28</v>
      </c>
      <c r="B165" t="s">
        <v>29</v>
      </c>
      <c r="C165" t="s">
        <v>23</v>
      </c>
      <c r="D165" t="s">
        <v>83</v>
      </c>
      <c r="E165">
        <v>0</v>
      </c>
      <c r="F165">
        <v>0</v>
      </c>
      <c r="G165">
        <v>0</v>
      </c>
      <c r="H165">
        <v>1</v>
      </c>
    </row>
    <row r="166" spans="1:8" x14ac:dyDescent="0.3">
      <c r="A166" t="s">
        <v>28</v>
      </c>
      <c r="B166" t="s">
        <v>29</v>
      </c>
      <c r="C166" t="s">
        <v>23</v>
      </c>
      <c r="D166" t="s">
        <v>85</v>
      </c>
      <c r="E166">
        <v>0</v>
      </c>
      <c r="F166">
        <v>0</v>
      </c>
      <c r="G166">
        <v>0</v>
      </c>
      <c r="H166">
        <v>1</v>
      </c>
    </row>
    <row r="167" spans="1:8" x14ac:dyDescent="0.3">
      <c r="A167" t="s">
        <v>28</v>
      </c>
      <c r="B167" t="s">
        <v>29</v>
      </c>
      <c r="C167" t="s">
        <v>23</v>
      </c>
      <c r="D167" t="s">
        <v>87</v>
      </c>
      <c r="E167">
        <v>0</v>
      </c>
      <c r="F167">
        <v>0</v>
      </c>
      <c r="G167">
        <v>0</v>
      </c>
      <c r="H167">
        <v>1</v>
      </c>
    </row>
    <row r="168" spans="1:8" x14ac:dyDescent="0.3">
      <c r="A168" t="s">
        <v>28</v>
      </c>
      <c r="B168" t="s">
        <v>29</v>
      </c>
      <c r="C168" t="s">
        <v>23</v>
      </c>
      <c r="D168" t="s">
        <v>89</v>
      </c>
      <c r="E168">
        <v>0</v>
      </c>
      <c r="F168">
        <v>0</v>
      </c>
      <c r="G168">
        <v>0</v>
      </c>
      <c r="H168">
        <v>1</v>
      </c>
    </row>
    <row r="169" spans="1:8" x14ac:dyDescent="0.3">
      <c r="A169" t="s">
        <v>28</v>
      </c>
      <c r="B169" t="s">
        <v>29</v>
      </c>
      <c r="C169" t="s">
        <v>23</v>
      </c>
      <c r="D169" t="s">
        <v>91</v>
      </c>
      <c r="E169">
        <v>0</v>
      </c>
      <c r="F169">
        <v>0</v>
      </c>
      <c r="G169">
        <v>0</v>
      </c>
      <c r="H169">
        <v>1</v>
      </c>
    </row>
    <row r="170" spans="1:8" x14ac:dyDescent="0.3">
      <c r="A170" t="s">
        <v>28</v>
      </c>
      <c r="B170" t="s">
        <v>29</v>
      </c>
      <c r="C170" t="s">
        <v>23</v>
      </c>
      <c r="D170" t="s">
        <v>93</v>
      </c>
      <c r="E170">
        <v>0</v>
      </c>
      <c r="F170">
        <v>0</v>
      </c>
      <c r="G170">
        <v>0</v>
      </c>
      <c r="H170">
        <v>1</v>
      </c>
    </row>
    <row r="171" spans="1:8" x14ac:dyDescent="0.3">
      <c r="A171" t="s">
        <v>28</v>
      </c>
      <c r="B171" t="s">
        <v>29</v>
      </c>
      <c r="C171" t="s">
        <v>23</v>
      </c>
      <c r="D171" t="s">
        <v>95</v>
      </c>
      <c r="E171">
        <v>0</v>
      </c>
      <c r="F171">
        <v>0</v>
      </c>
      <c r="G171">
        <v>0</v>
      </c>
      <c r="H171">
        <v>1</v>
      </c>
    </row>
    <row r="172" spans="1:8" x14ac:dyDescent="0.3">
      <c r="A172" t="s">
        <v>28</v>
      </c>
      <c r="B172" t="s">
        <v>29</v>
      </c>
      <c r="C172" t="s">
        <v>23</v>
      </c>
      <c r="D172" t="s">
        <v>97</v>
      </c>
      <c r="E172">
        <v>0</v>
      </c>
      <c r="F172">
        <v>0</v>
      </c>
      <c r="G172">
        <v>0</v>
      </c>
      <c r="H172">
        <v>1</v>
      </c>
    </row>
    <row r="173" spans="1:8" x14ac:dyDescent="0.3">
      <c r="A173" t="s">
        <v>28</v>
      </c>
      <c r="B173" t="s">
        <v>29</v>
      </c>
      <c r="C173" t="s">
        <v>23</v>
      </c>
      <c r="D173" t="s">
        <v>99</v>
      </c>
      <c r="E173">
        <v>0</v>
      </c>
      <c r="F173">
        <v>0</v>
      </c>
      <c r="G173">
        <v>0</v>
      </c>
      <c r="H173">
        <v>1</v>
      </c>
    </row>
    <row r="174" spans="1:8" x14ac:dyDescent="0.3">
      <c r="A174" t="s">
        <v>28</v>
      </c>
      <c r="B174" t="s">
        <v>29</v>
      </c>
      <c r="C174" t="s">
        <v>23</v>
      </c>
      <c r="D174" t="s">
        <v>101</v>
      </c>
      <c r="E174">
        <v>0</v>
      </c>
      <c r="F174">
        <v>0</v>
      </c>
      <c r="G174">
        <v>0</v>
      </c>
      <c r="H174">
        <v>1</v>
      </c>
    </row>
    <row r="175" spans="1:8" x14ac:dyDescent="0.3">
      <c r="A175" t="s">
        <v>28</v>
      </c>
      <c r="B175" t="s">
        <v>29</v>
      </c>
      <c r="C175" t="s">
        <v>23</v>
      </c>
      <c r="D175" t="s">
        <v>103</v>
      </c>
      <c r="E175">
        <v>0</v>
      </c>
      <c r="F175">
        <v>0</v>
      </c>
      <c r="G175">
        <v>0</v>
      </c>
      <c r="H175">
        <v>1</v>
      </c>
    </row>
    <row r="176" spans="1:8" x14ac:dyDescent="0.3">
      <c r="A176" t="s">
        <v>28</v>
      </c>
      <c r="B176" t="s">
        <v>29</v>
      </c>
      <c r="C176" t="s">
        <v>23</v>
      </c>
      <c r="D176" t="s">
        <v>105</v>
      </c>
      <c r="E176">
        <v>0</v>
      </c>
      <c r="F176">
        <v>0</v>
      </c>
      <c r="G176">
        <v>0</v>
      </c>
      <c r="H176">
        <v>1</v>
      </c>
    </row>
    <row r="177" spans="1:8" x14ac:dyDescent="0.3">
      <c r="A177" t="s">
        <v>28</v>
      </c>
      <c r="B177" t="s">
        <v>29</v>
      </c>
      <c r="C177" t="s">
        <v>23</v>
      </c>
      <c r="D177" t="s">
        <v>107</v>
      </c>
      <c r="E177">
        <v>1</v>
      </c>
      <c r="F177">
        <v>0</v>
      </c>
      <c r="G177">
        <v>0</v>
      </c>
      <c r="H177">
        <v>0</v>
      </c>
    </row>
    <row r="178" spans="1:8" x14ac:dyDescent="0.3">
      <c r="A178" t="s">
        <v>28</v>
      </c>
      <c r="B178" t="s">
        <v>29</v>
      </c>
      <c r="C178" t="s">
        <v>23</v>
      </c>
      <c r="D178" t="s">
        <v>109</v>
      </c>
      <c r="E178">
        <v>1</v>
      </c>
      <c r="F178">
        <v>1</v>
      </c>
      <c r="G178">
        <v>1</v>
      </c>
      <c r="H178">
        <v>1</v>
      </c>
    </row>
    <row r="179" spans="1:8" x14ac:dyDescent="0.3">
      <c r="A179" t="s">
        <v>28</v>
      </c>
      <c r="B179" t="s">
        <v>29</v>
      </c>
      <c r="C179" t="s">
        <v>23</v>
      </c>
      <c r="D179" t="s">
        <v>111</v>
      </c>
      <c r="E179">
        <v>0</v>
      </c>
      <c r="F179">
        <v>0</v>
      </c>
      <c r="G179">
        <v>0</v>
      </c>
      <c r="H179">
        <v>1</v>
      </c>
    </row>
    <row r="180" spans="1:8" x14ac:dyDescent="0.3">
      <c r="A180" t="s">
        <v>28</v>
      </c>
      <c r="B180" t="s">
        <v>29</v>
      </c>
      <c r="C180" t="s">
        <v>24</v>
      </c>
      <c r="D180" t="s">
        <v>77</v>
      </c>
      <c r="E180">
        <v>0</v>
      </c>
      <c r="F180">
        <v>0</v>
      </c>
      <c r="G180">
        <v>0</v>
      </c>
      <c r="H180">
        <v>1</v>
      </c>
    </row>
    <row r="181" spans="1:8" x14ac:dyDescent="0.3">
      <c r="A181" t="s">
        <v>28</v>
      </c>
      <c r="B181" t="s">
        <v>29</v>
      </c>
      <c r="C181" t="s">
        <v>24</v>
      </c>
      <c r="D181" t="s">
        <v>79</v>
      </c>
      <c r="E181">
        <v>0</v>
      </c>
      <c r="F181">
        <v>0</v>
      </c>
      <c r="G181">
        <v>0</v>
      </c>
      <c r="H181">
        <v>1</v>
      </c>
    </row>
    <row r="182" spans="1:8" x14ac:dyDescent="0.3">
      <c r="A182" t="s">
        <v>28</v>
      </c>
      <c r="B182" t="s">
        <v>29</v>
      </c>
      <c r="C182" t="s">
        <v>24</v>
      </c>
      <c r="D182" t="s">
        <v>81</v>
      </c>
      <c r="E182">
        <v>1</v>
      </c>
      <c r="F182">
        <v>1</v>
      </c>
      <c r="G182">
        <v>1</v>
      </c>
      <c r="H182">
        <v>1</v>
      </c>
    </row>
    <row r="183" spans="1:8" x14ac:dyDescent="0.3">
      <c r="A183" t="s">
        <v>28</v>
      </c>
      <c r="B183" t="s">
        <v>29</v>
      </c>
      <c r="C183" t="s">
        <v>24</v>
      </c>
      <c r="D183" t="s">
        <v>83</v>
      </c>
      <c r="E183">
        <v>0</v>
      </c>
      <c r="F183">
        <v>0</v>
      </c>
      <c r="G183">
        <v>0</v>
      </c>
      <c r="H183">
        <v>1</v>
      </c>
    </row>
    <row r="184" spans="1:8" x14ac:dyDescent="0.3">
      <c r="A184" t="s">
        <v>28</v>
      </c>
      <c r="B184" t="s">
        <v>29</v>
      </c>
      <c r="C184" t="s">
        <v>24</v>
      </c>
      <c r="D184" t="s">
        <v>85</v>
      </c>
      <c r="E184">
        <v>0</v>
      </c>
      <c r="F184">
        <v>0</v>
      </c>
      <c r="G184">
        <v>0</v>
      </c>
      <c r="H184">
        <v>1</v>
      </c>
    </row>
    <row r="185" spans="1:8" x14ac:dyDescent="0.3">
      <c r="A185" t="s">
        <v>28</v>
      </c>
      <c r="B185" t="s">
        <v>29</v>
      </c>
      <c r="C185" t="s">
        <v>24</v>
      </c>
      <c r="D185" t="s">
        <v>87</v>
      </c>
      <c r="E185">
        <v>0</v>
      </c>
      <c r="F185">
        <v>0</v>
      </c>
      <c r="G185">
        <v>0</v>
      </c>
      <c r="H185">
        <v>1</v>
      </c>
    </row>
    <row r="186" spans="1:8" x14ac:dyDescent="0.3">
      <c r="A186" t="s">
        <v>28</v>
      </c>
      <c r="B186" t="s">
        <v>29</v>
      </c>
      <c r="C186" t="s">
        <v>24</v>
      </c>
      <c r="D186" t="s">
        <v>89</v>
      </c>
      <c r="E186">
        <v>0</v>
      </c>
      <c r="F186">
        <v>0</v>
      </c>
      <c r="G186">
        <v>0</v>
      </c>
      <c r="H186">
        <v>1</v>
      </c>
    </row>
    <row r="187" spans="1:8" x14ac:dyDescent="0.3">
      <c r="A187" t="s">
        <v>28</v>
      </c>
      <c r="B187" t="s">
        <v>29</v>
      </c>
      <c r="C187" t="s">
        <v>24</v>
      </c>
      <c r="D187" t="s">
        <v>91</v>
      </c>
      <c r="E187">
        <v>0</v>
      </c>
      <c r="F187">
        <v>0</v>
      </c>
      <c r="G187">
        <v>0</v>
      </c>
      <c r="H187">
        <v>1</v>
      </c>
    </row>
    <row r="188" spans="1:8" x14ac:dyDescent="0.3">
      <c r="A188" t="s">
        <v>28</v>
      </c>
      <c r="B188" t="s">
        <v>29</v>
      </c>
      <c r="C188" t="s">
        <v>24</v>
      </c>
      <c r="D188" t="s">
        <v>93</v>
      </c>
      <c r="E188">
        <v>0</v>
      </c>
      <c r="F188">
        <v>0</v>
      </c>
      <c r="G188">
        <v>0</v>
      </c>
      <c r="H188">
        <v>1</v>
      </c>
    </row>
    <row r="189" spans="1:8" x14ac:dyDescent="0.3">
      <c r="A189" t="s">
        <v>28</v>
      </c>
      <c r="B189" t="s">
        <v>29</v>
      </c>
      <c r="C189" t="s">
        <v>24</v>
      </c>
      <c r="D189" t="s">
        <v>95</v>
      </c>
      <c r="E189">
        <v>0</v>
      </c>
      <c r="F189">
        <v>0</v>
      </c>
      <c r="G189">
        <v>0</v>
      </c>
      <c r="H189">
        <v>1</v>
      </c>
    </row>
    <row r="190" spans="1:8" x14ac:dyDescent="0.3">
      <c r="A190" t="s">
        <v>28</v>
      </c>
      <c r="B190" t="s">
        <v>29</v>
      </c>
      <c r="C190" t="s">
        <v>24</v>
      </c>
      <c r="D190" t="s">
        <v>97</v>
      </c>
      <c r="E190">
        <v>0</v>
      </c>
      <c r="F190">
        <v>0</v>
      </c>
      <c r="G190">
        <v>0</v>
      </c>
      <c r="H190">
        <v>1</v>
      </c>
    </row>
    <row r="191" spans="1:8" x14ac:dyDescent="0.3">
      <c r="A191" t="s">
        <v>28</v>
      </c>
      <c r="B191" t="s">
        <v>29</v>
      </c>
      <c r="C191" t="s">
        <v>24</v>
      </c>
      <c r="D191" t="s">
        <v>99</v>
      </c>
      <c r="E191">
        <v>0</v>
      </c>
      <c r="F191">
        <v>0</v>
      </c>
      <c r="G191">
        <v>0</v>
      </c>
      <c r="H191">
        <v>1</v>
      </c>
    </row>
    <row r="192" spans="1:8" x14ac:dyDescent="0.3">
      <c r="A192" t="s">
        <v>28</v>
      </c>
      <c r="B192" t="s">
        <v>29</v>
      </c>
      <c r="C192" t="s">
        <v>24</v>
      </c>
      <c r="D192" t="s">
        <v>101</v>
      </c>
      <c r="E192">
        <v>0</v>
      </c>
      <c r="F192">
        <v>0</v>
      </c>
      <c r="G192">
        <v>0</v>
      </c>
      <c r="H192">
        <v>1</v>
      </c>
    </row>
    <row r="193" spans="1:8" x14ac:dyDescent="0.3">
      <c r="A193" t="s">
        <v>28</v>
      </c>
      <c r="B193" t="s">
        <v>29</v>
      </c>
      <c r="C193" t="s">
        <v>24</v>
      </c>
      <c r="D193" t="s">
        <v>103</v>
      </c>
      <c r="E193">
        <v>0</v>
      </c>
      <c r="F193">
        <v>0</v>
      </c>
      <c r="G193">
        <v>0</v>
      </c>
      <c r="H193">
        <v>1</v>
      </c>
    </row>
    <row r="194" spans="1:8" x14ac:dyDescent="0.3">
      <c r="A194" t="s">
        <v>28</v>
      </c>
      <c r="B194" t="s">
        <v>29</v>
      </c>
      <c r="C194" t="s">
        <v>24</v>
      </c>
      <c r="D194" t="s">
        <v>105</v>
      </c>
      <c r="E194">
        <v>0</v>
      </c>
      <c r="F194">
        <v>0</v>
      </c>
      <c r="G194">
        <v>0</v>
      </c>
      <c r="H194">
        <v>1</v>
      </c>
    </row>
    <row r="195" spans="1:8" x14ac:dyDescent="0.3">
      <c r="A195" t="s">
        <v>28</v>
      </c>
      <c r="B195" t="s">
        <v>29</v>
      </c>
      <c r="C195" t="s">
        <v>24</v>
      </c>
      <c r="D195" t="s">
        <v>107</v>
      </c>
      <c r="E195">
        <v>0</v>
      </c>
      <c r="F195">
        <v>0</v>
      </c>
      <c r="G195">
        <v>0</v>
      </c>
      <c r="H195">
        <v>1</v>
      </c>
    </row>
    <row r="196" spans="1:8" x14ac:dyDescent="0.3">
      <c r="A196" t="s">
        <v>28</v>
      </c>
      <c r="B196" t="s">
        <v>29</v>
      </c>
      <c r="C196" t="s">
        <v>24</v>
      </c>
      <c r="D196" t="s">
        <v>109</v>
      </c>
      <c r="E196">
        <v>1</v>
      </c>
      <c r="F196">
        <v>1</v>
      </c>
      <c r="G196">
        <v>1</v>
      </c>
      <c r="H196">
        <v>1</v>
      </c>
    </row>
    <row r="197" spans="1:8" x14ac:dyDescent="0.3">
      <c r="A197" t="s">
        <v>28</v>
      </c>
      <c r="B197" t="s">
        <v>29</v>
      </c>
      <c r="C197" t="s">
        <v>24</v>
      </c>
      <c r="D197" t="s">
        <v>111</v>
      </c>
      <c r="E197">
        <v>0</v>
      </c>
      <c r="F197">
        <v>0</v>
      </c>
      <c r="G197">
        <v>0</v>
      </c>
      <c r="H197">
        <v>1</v>
      </c>
    </row>
    <row r="198" spans="1:8" x14ac:dyDescent="0.3">
      <c r="A198" t="s">
        <v>28</v>
      </c>
      <c r="B198" t="s">
        <v>29</v>
      </c>
      <c r="C198" t="s">
        <v>25</v>
      </c>
      <c r="D198" t="s">
        <v>77</v>
      </c>
      <c r="E198">
        <v>0</v>
      </c>
      <c r="F198">
        <v>0</v>
      </c>
      <c r="G198">
        <v>0</v>
      </c>
      <c r="H198">
        <v>1</v>
      </c>
    </row>
    <row r="199" spans="1:8" x14ac:dyDescent="0.3">
      <c r="A199" t="s">
        <v>28</v>
      </c>
      <c r="B199" t="s">
        <v>29</v>
      </c>
      <c r="C199" t="s">
        <v>25</v>
      </c>
      <c r="D199" t="s">
        <v>79</v>
      </c>
      <c r="E199">
        <v>0</v>
      </c>
      <c r="F199">
        <v>0</v>
      </c>
      <c r="G199">
        <v>0</v>
      </c>
      <c r="H199">
        <v>1</v>
      </c>
    </row>
    <row r="200" spans="1:8" x14ac:dyDescent="0.3">
      <c r="A200" t="s">
        <v>28</v>
      </c>
      <c r="B200" t="s">
        <v>29</v>
      </c>
      <c r="C200" t="s">
        <v>25</v>
      </c>
      <c r="D200" t="s">
        <v>81</v>
      </c>
      <c r="E200">
        <v>0</v>
      </c>
      <c r="F200">
        <v>0</v>
      </c>
      <c r="G200">
        <v>1</v>
      </c>
      <c r="H200">
        <v>0</v>
      </c>
    </row>
    <row r="201" spans="1:8" x14ac:dyDescent="0.3">
      <c r="A201" t="s">
        <v>28</v>
      </c>
      <c r="B201" t="s">
        <v>29</v>
      </c>
      <c r="C201" t="s">
        <v>25</v>
      </c>
      <c r="D201" t="s">
        <v>83</v>
      </c>
      <c r="E201">
        <v>0</v>
      </c>
      <c r="F201">
        <v>0</v>
      </c>
      <c r="G201">
        <v>0</v>
      </c>
      <c r="H201">
        <v>1</v>
      </c>
    </row>
    <row r="202" spans="1:8" x14ac:dyDescent="0.3">
      <c r="A202" t="s">
        <v>28</v>
      </c>
      <c r="B202" t="s">
        <v>29</v>
      </c>
      <c r="C202" t="s">
        <v>25</v>
      </c>
      <c r="D202" t="s">
        <v>85</v>
      </c>
      <c r="E202">
        <v>0</v>
      </c>
      <c r="F202">
        <v>0</v>
      </c>
      <c r="G202">
        <v>0</v>
      </c>
      <c r="H202">
        <v>1</v>
      </c>
    </row>
    <row r="203" spans="1:8" x14ac:dyDescent="0.3">
      <c r="A203" t="s">
        <v>28</v>
      </c>
      <c r="B203" t="s">
        <v>29</v>
      </c>
      <c r="C203" t="s">
        <v>25</v>
      </c>
      <c r="D203" t="s">
        <v>87</v>
      </c>
      <c r="E203">
        <v>0</v>
      </c>
      <c r="F203">
        <v>0</v>
      </c>
      <c r="G203">
        <v>0</v>
      </c>
      <c r="H203">
        <v>1</v>
      </c>
    </row>
    <row r="204" spans="1:8" x14ac:dyDescent="0.3">
      <c r="A204" t="s">
        <v>28</v>
      </c>
      <c r="B204" t="s">
        <v>29</v>
      </c>
      <c r="C204" t="s">
        <v>25</v>
      </c>
      <c r="D204" t="s">
        <v>89</v>
      </c>
      <c r="E204">
        <v>0</v>
      </c>
      <c r="F204">
        <v>0</v>
      </c>
      <c r="G204">
        <v>0</v>
      </c>
      <c r="H204">
        <v>1</v>
      </c>
    </row>
    <row r="205" spans="1:8" x14ac:dyDescent="0.3">
      <c r="A205" t="s">
        <v>28</v>
      </c>
      <c r="B205" t="s">
        <v>29</v>
      </c>
      <c r="C205" t="s">
        <v>25</v>
      </c>
      <c r="D205" t="s">
        <v>91</v>
      </c>
      <c r="E205">
        <v>0</v>
      </c>
      <c r="F205">
        <v>0</v>
      </c>
      <c r="G205">
        <v>0</v>
      </c>
      <c r="H205">
        <v>1</v>
      </c>
    </row>
    <row r="206" spans="1:8" x14ac:dyDescent="0.3">
      <c r="A206" t="s">
        <v>28</v>
      </c>
      <c r="B206" t="s">
        <v>29</v>
      </c>
      <c r="C206" t="s">
        <v>25</v>
      </c>
      <c r="D206" t="s">
        <v>93</v>
      </c>
      <c r="E206">
        <v>0</v>
      </c>
      <c r="F206">
        <v>0</v>
      </c>
      <c r="G206">
        <v>0</v>
      </c>
      <c r="H206">
        <v>1</v>
      </c>
    </row>
    <row r="207" spans="1:8" x14ac:dyDescent="0.3">
      <c r="A207" t="s">
        <v>28</v>
      </c>
      <c r="B207" t="s">
        <v>29</v>
      </c>
      <c r="C207" t="s">
        <v>25</v>
      </c>
      <c r="D207" t="s">
        <v>95</v>
      </c>
      <c r="E207">
        <v>0</v>
      </c>
      <c r="F207">
        <v>0</v>
      </c>
      <c r="G207">
        <v>0</v>
      </c>
      <c r="H207">
        <v>1</v>
      </c>
    </row>
    <row r="208" spans="1:8" x14ac:dyDescent="0.3">
      <c r="A208" t="s">
        <v>28</v>
      </c>
      <c r="B208" t="s">
        <v>29</v>
      </c>
      <c r="C208" t="s">
        <v>25</v>
      </c>
      <c r="D208" t="s">
        <v>97</v>
      </c>
      <c r="E208">
        <v>0</v>
      </c>
      <c r="F208">
        <v>0</v>
      </c>
      <c r="G208">
        <v>0</v>
      </c>
      <c r="H208">
        <v>1</v>
      </c>
    </row>
    <row r="209" spans="1:8" x14ac:dyDescent="0.3">
      <c r="A209" t="s">
        <v>28</v>
      </c>
      <c r="B209" t="s">
        <v>29</v>
      </c>
      <c r="C209" t="s">
        <v>25</v>
      </c>
      <c r="D209" t="s">
        <v>99</v>
      </c>
      <c r="E209">
        <v>0</v>
      </c>
      <c r="F209">
        <v>0</v>
      </c>
      <c r="G209">
        <v>0</v>
      </c>
      <c r="H209">
        <v>1</v>
      </c>
    </row>
    <row r="210" spans="1:8" x14ac:dyDescent="0.3">
      <c r="A210" t="s">
        <v>28</v>
      </c>
      <c r="B210" t="s">
        <v>29</v>
      </c>
      <c r="C210" t="s">
        <v>25</v>
      </c>
      <c r="D210" t="s">
        <v>101</v>
      </c>
      <c r="E210">
        <v>0</v>
      </c>
      <c r="F210">
        <v>0</v>
      </c>
      <c r="G210">
        <v>0</v>
      </c>
      <c r="H210">
        <v>1</v>
      </c>
    </row>
    <row r="211" spans="1:8" x14ac:dyDescent="0.3">
      <c r="A211" t="s">
        <v>28</v>
      </c>
      <c r="B211" t="s">
        <v>29</v>
      </c>
      <c r="C211" t="s">
        <v>25</v>
      </c>
      <c r="D211" t="s">
        <v>103</v>
      </c>
      <c r="E211">
        <v>0</v>
      </c>
      <c r="F211">
        <v>0</v>
      </c>
      <c r="G211">
        <v>0</v>
      </c>
      <c r="H211">
        <v>1</v>
      </c>
    </row>
    <row r="212" spans="1:8" x14ac:dyDescent="0.3">
      <c r="A212" t="s">
        <v>28</v>
      </c>
      <c r="B212" t="s">
        <v>29</v>
      </c>
      <c r="C212" t="s">
        <v>25</v>
      </c>
      <c r="D212" t="s">
        <v>105</v>
      </c>
      <c r="E212">
        <v>0</v>
      </c>
      <c r="F212">
        <v>0</v>
      </c>
      <c r="G212">
        <v>0</v>
      </c>
      <c r="H212">
        <v>1</v>
      </c>
    </row>
    <row r="213" spans="1:8" x14ac:dyDescent="0.3">
      <c r="A213" t="s">
        <v>28</v>
      </c>
      <c r="B213" t="s">
        <v>29</v>
      </c>
      <c r="C213" t="s">
        <v>25</v>
      </c>
      <c r="D213" t="s">
        <v>107</v>
      </c>
      <c r="E213">
        <v>0</v>
      </c>
      <c r="F213">
        <v>0</v>
      </c>
      <c r="G213">
        <v>0</v>
      </c>
      <c r="H213">
        <v>1</v>
      </c>
    </row>
    <row r="214" spans="1:8" x14ac:dyDescent="0.3">
      <c r="A214" t="s">
        <v>28</v>
      </c>
      <c r="B214" t="s">
        <v>29</v>
      </c>
      <c r="C214" t="s">
        <v>25</v>
      </c>
      <c r="D214" t="s">
        <v>111</v>
      </c>
      <c r="E214">
        <v>0</v>
      </c>
      <c r="F214">
        <v>0</v>
      </c>
      <c r="G214">
        <v>0</v>
      </c>
      <c r="H214">
        <v>1</v>
      </c>
    </row>
    <row r="215" spans="1:8" x14ac:dyDescent="0.3">
      <c r="A215" t="s">
        <v>40</v>
      </c>
      <c r="B215" t="s">
        <v>41</v>
      </c>
      <c r="C215" t="s">
        <v>21</v>
      </c>
      <c r="D215" t="s">
        <v>77</v>
      </c>
      <c r="E215">
        <v>0</v>
      </c>
      <c r="F215">
        <v>0</v>
      </c>
      <c r="G215">
        <v>0</v>
      </c>
      <c r="H215">
        <v>1</v>
      </c>
    </row>
    <row r="216" spans="1:8" x14ac:dyDescent="0.3">
      <c r="A216" t="s">
        <v>40</v>
      </c>
      <c r="B216" t="s">
        <v>41</v>
      </c>
      <c r="C216" t="s">
        <v>21</v>
      </c>
      <c r="D216" t="s">
        <v>79</v>
      </c>
      <c r="E216">
        <v>0</v>
      </c>
      <c r="F216">
        <v>0</v>
      </c>
      <c r="G216">
        <v>0</v>
      </c>
      <c r="H216">
        <v>1</v>
      </c>
    </row>
    <row r="217" spans="1:8" x14ac:dyDescent="0.3">
      <c r="A217" t="s">
        <v>40</v>
      </c>
      <c r="B217" t="s">
        <v>41</v>
      </c>
      <c r="C217" t="s">
        <v>21</v>
      </c>
      <c r="D217" t="s">
        <v>81</v>
      </c>
      <c r="E217">
        <v>1</v>
      </c>
      <c r="F217">
        <v>1</v>
      </c>
      <c r="G217">
        <v>1</v>
      </c>
      <c r="H217">
        <v>1</v>
      </c>
    </row>
    <row r="218" spans="1:8" x14ac:dyDescent="0.3">
      <c r="A218" t="s">
        <v>40</v>
      </c>
      <c r="B218" t="s">
        <v>41</v>
      </c>
      <c r="C218" t="s">
        <v>21</v>
      </c>
      <c r="D218" t="s">
        <v>83</v>
      </c>
      <c r="E218">
        <v>0</v>
      </c>
      <c r="F218">
        <v>0</v>
      </c>
      <c r="G218">
        <v>0</v>
      </c>
      <c r="H218">
        <v>1</v>
      </c>
    </row>
    <row r="219" spans="1:8" x14ac:dyDescent="0.3">
      <c r="A219" t="s">
        <v>40</v>
      </c>
      <c r="B219" t="s">
        <v>41</v>
      </c>
      <c r="C219" t="s">
        <v>21</v>
      </c>
      <c r="D219" t="s">
        <v>85</v>
      </c>
      <c r="E219">
        <v>0</v>
      </c>
      <c r="F219">
        <v>0</v>
      </c>
      <c r="G219">
        <v>0</v>
      </c>
      <c r="H219">
        <v>1</v>
      </c>
    </row>
    <row r="220" spans="1:8" x14ac:dyDescent="0.3">
      <c r="A220" t="s">
        <v>40</v>
      </c>
      <c r="B220" t="s">
        <v>41</v>
      </c>
      <c r="C220" t="s">
        <v>21</v>
      </c>
      <c r="D220" t="s">
        <v>87</v>
      </c>
      <c r="E220">
        <v>0</v>
      </c>
      <c r="F220">
        <v>0</v>
      </c>
      <c r="G220">
        <v>0</v>
      </c>
      <c r="H220">
        <v>1</v>
      </c>
    </row>
    <row r="221" spans="1:8" x14ac:dyDescent="0.3">
      <c r="A221" t="s">
        <v>40</v>
      </c>
      <c r="B221" t="s">
        <v>41</v>
      </c>
      <c r="C221" t="s">
        <v>21</v>
      </c>
      <c r="D221" t="s">
        <v>89</v>
      </c>
      <c r="E221">
        <v>0</v>
      </c>
      <c r="F221">
        <v>0</v>
      </c>
      <c r="G221">
        <v>0</v>
      </c>
      <c r="H221">
        <v>1</v>
      </c>
    </row>
    <row r="222" spans="1:8" x14ac:dyDescent="0.3">
      <c r="A222" t="s">
        <v>40</v>
      </c>
      <c r="B222" t="s">
        <v>41</v>
      </c>
      <c r="C222" t="s">
        <v>21</v>
      </c>
      <c r="D222" t="s">
        <v>91</v>
      </c>
      <c r="E222">
        <v>0</v>
      </c>
      <c r="F222">
        <v>0</v>
      </c>
      <c r="G222">
        <v>0</v>
      </c>
      <c r="H222">
        <v>1</v>
      </c>
    </row>
    <row r="223" spans="1:8" x14ac:dyDescent="0.3">
      <c r="A223" t="s">
        <v>40</v>
      </c>
      <c r="B223" t="s">
        <v>41</v>
      </c>
      <c r="C223" t="s">
        <v>21</v>
      </c>
      <c r="D223" t="s">
        <v>93</v>
      </c>
      <c r="E223">
        <v>0</v>
      </c>
      <c r="F223">
        <v>0</v>
      </c>
      <c r="G223">
        <v>0</v>
      </c>
      <c r="H223">
        <v>1</v>
      </c>
    </row>
    <row r="224" spans="1:8" x14ac:dyDescent="0.3">
      <c r="A224" t="s">
        <v>40</v>
      </c>
      <c r="B224" t="s">
        <v>41</v>
      </c>
      <c r="C224" t="s">
        <v>21</v>
      </c>
      <c r="D224" t="s">
        <v>95</v>
      </c>
      <c r="E224">
        <v>0</v>
      </c>
      <c r="F224">
        <v>0</v>
      </c>
      <c r="G224">
        <v>0</v>
      </c>
      <c r="H224">
        <v>1</v>
      </c>
    </row>
    <row r="225" spans="1:8" x14ac:dyDescent="0.3">
      <c r="A225" t="s">
        <v>40</v>
      </c>
      <c r="B225" t="s">
        <v>41</v>
      </c>
      <c r="C225" t="s">
        <v>21</v>
      </c>
      <c r="D225" t="s">
        <v>97</v>
      </c>
      <c r="E225">
        <v>0</v>
      </c>
      <c r="F225">
        <v>0</v>
      </c>
      <c r="G225">
        <v>0</v>
      </c>
      <c r="H225">
        <v>1</v>
      </c>
    </row>
    <row r="226" spans="1:8" x14ac:dyDescent="0.3">
      <c r="A226" t="s">
        <v>40</v>
      </c>
      <c r="B226" t="s">
        <v>41</v>
      </c>
      <c r="C226" t="s">
        <v>21</v>
      </c>
      <c r="D226" t="s">
        <v>99</v>
      </c>
      <c r="E226">
        <v>0</v>
      </c>
      <c r="F226">
        <v>0</v>
      </c>
      <c r="G226">
        <v>0</v>
      </c>
      <c r="H226">
        <v>1</v>
      </c>
    </row>
    <row r="227" spans="1:8" x14ac:dyDescent="0.3">
      <c r="A227" t="s">
        <v>40</v>
      </c>
      <c r="B227" t="s">
        <v>41</v>
      </c>
      <c r="C227" t="s">
        <v>21</v>
      </c>
      <c r="D227" t="s">
        <v>101</v>
      </c>
      <c r="E227">
        <v>0</v>
      </c>
      <c r="F227">
        <v>0</v>
      </c>
      <c r="G227">
        <v>0</v>
      </c>
      <c r="H227">
        <v>1</v>
      </c>
    </row>
    <row r="228" spans="1:8" x14ac:dyDescent="0.3">
      <c r="A228" t="s">
        <v>40</v>
      </c>
      <c r="B228" t="s">
        <v>41</v>
      </c>
      <c r="C228" t="s">
        <v>21</v>
      </c>
      <c r="D228" t="s">
        <v>103</v>
      </c>
      <c r="E228">
        <v>0</v>
      </c>
      <c r="F228">
        <v>0</v>
      </c>
      <c r="G228">
        <v>0</v>
      </c>
      <c r="H228">
        <v>1</v>
      </c>
    </row>
    <row r="229" spans="1:8" x14ac:dyDescent="0.3">
      <c r="A229" t="s">
        <v>40</v>
      </c>
      <c r="B229" t="s">
        <v>41</v>
      </c>
      <c r="C229" t="s">
        <v>21</v>
      </c>
      <c r="D229" t="s">
        <v>105</v>
      </c>
      <c r="E229">
        <v>0</v>
      </c>
      <c r="F229">
        <v>0</v>
      </c>
      <c r="G229">
        <v>0</v>
      </c>
      <c r="H229">
        <v>1</v>
      </c>
    </row>
    <row r="230" spans="1:8" x14ac:dyDescent="0.3">
      <c r="A230" t="s">
        <v>40</v>
      </c>
      <c r="B230" t="s">
        <v>41</v>
      </c>
      <c r="C230" t="s">
        <v>21</v>
      </c>
      <c r="D230" t="s">
        <v>107</v>
      </c>
      <c r="E230">
        <v>0</v>
      </c>
      <c r="F230">
        <v>0</v>
      </c>
      <c r="G230">
        <v>0</v>
      </c>
      <c r="H230">
        <v>1</v>
      </c>
    </row>
    <row r="231" spans="1:8" x14ac:dyDescent="0.3">
      <c r="A231" t="s">
        <v>40</v>
      </c>
      <c r="B231" t="s">
        <v>41</v>
      </c>
      <c r="C231" t="s">
        <v>21</v>
      </c>
      <c r="D231" t="s">
        <v>109</v>
      </c>
      <c r="E231">
        <v>1</v>
      </c>
      <c r="F231">
        <v>1</v>
      </c>
      <c r="G231">
        <v>1</v>
      </c>
      <c r="H231">
        <v>1</v>
      </c>
    </row>
    <row r="232" spans="1:8" x14ac:dyDescent="0.3">
      <c r="A232" t="s">
        <v>40</v>
      </c>
      <c r="B232" t="s">
        <v>41</v>
      </c>
      <c r="C232" t="s">
        <v>21</v>
      </c>
      <c r="D232" t="s">
        <v>111</v>
      </c>
      <c r="E232">
        <v>0</v>
      </c>
      <c r="F232">
        <v>0</v>
      </c>
      <c r="G232">
        <v>0</v>
      </c>
      <c r="H232">
        <v>1</v>
      </c>
    </row>
    <row r="233" spans="1:8" x14ac:dyDescent="0.3">
      <c r="A233" t="s">
        <v>40</v>
      </c>
      <c r="B233" t="s">
        <v>41</v>
      </c>
      <c r="C233" t="s">
        <v>23</v>
      </c>
      <c r="D233" t="s">
        <v>77</v>
      </c>
      <c r="E233">
        <v>1</v>
      </c>
      <c r="F233">
        <v>1</v>
      </c>
      <c r="G233">
        <v>0</v>
      </c>
      <c r="H233">
        <v>0</v>
      </c>
    </row>
    <row r="234" spans="1:8" x14ac:dyDescent="0.3">
      <c r="A234" t="s">
        <v>40</v>
      </c>
      <c r="B234" t="s">
        <v>41</v>
      </c>
      <c r="C234" t="s">
        <v>23</v>
      </c>
      <c r="D234" t="s">
        <v>79</v>
      </c>
      <c r="E234">
        <v>0</v>
      </c>
      <c r="F234">
        <v>0</v>
      </c>
      <c r="G234">
        <v>0</v>
      </c>
      <c r="H234">
        <v>1</v>
      </c>
    </row>
    <row r="235" spans="1:8" x14ac:dyDescent="0.3">
      <c r="A235" t="s">
        <v>40</v>
      </c>
      <c r="B235" t="s">
        <v>41</v>
      </c>
      <c r="C235" t="s">
        <v>23</v>
      </c>
      <c r="D235" t="s">
        <v>81</v>
      </c>
      <c r="E235">
        <v>1</v>
      </c>
      <c r="F235">
        <v>1</v>
      </c>
      <c r="G235">
        <v>1</v>
      </c>
      <c r="H235">
        <v>1</v>
      </c>
    </row>
    <row r="236" spans="1:8" x14ac:dyDescent="0.3">
      <c r="A236" t="s">
        <v>40</v>
      </c>
      <c r="B236" t="s">
        <v>41</v>
      </c>
      <c r="C236" t="s">
        <v>23</v>
      </c>
      <c r="D236" t="s">
        <v>83</v>
      </c>
      <c r="E236">
        <v>1</v>
      </c>
      <c r="F236">
        <v>1</v>
      </c>
      <c r="G236">
        <v>0</v>
      </c>
      <c r="H236">
        <v>0</v>
      </c>
    </row>
    <row r="237" spans="1:8" x14ac:dyDescent="0.3">
      <c r="A237" t="s">
        <v>40</v>
      </c>
      <c r="B237" t="s">
        <v>41</v>
      </c>
      <c r="C237" t="s">
        <v>23</v>
      </c>
      <c r="D237" t="s">
        <v>85</v>
      </c>
      <c r="E237">
        <v>0</v>
      </c>
      <c r="F237">
        <v>0</v>
      </c>
      <c r="G237">
        <v>0</v>
      </c>
      <c r="H237">
        <v>1</v>
      </c>
    </row>
    <row r="238" spans="1:8" x14ac:dyDescent="0.3">
      <c r="A238" t="s">
        <v>40</v>
      </c>
      <c r="B238" t="s">
        <v>41</v>
      </c>
      <c r="C238" t="s">
        <v>23</v>
      </c>
      <c r="D238" t="s">
        <v>87</v>
      </c>
      <c r="E238">
        <v>0</v>
      </c>
      <c r="F238">
        <v>0</v>
      </c>
      <c r="G238">
        <v>0</v>
      </c>
      <c r="H238">
        <v>1</v>
      </c>
    </row>
    <row r="239" spans="1:8" x14ac:dyDescent="0.3">
      <c r="A239" t="s">
        <v>40</v>
      </c>
      <c r="B239" t="s">
        <v>41</v>
      </c>
      <c r="C239" t="s">
        <v>23</v>
      </c>
      <c r="D239" t="s">
        <v>89</v>
      </c>
      <c r="E239">
        <v>0</v>
      </c>
      <c r="F239">
        <v>0</v>
      </c>
      <c r="G239">
        <v>0</v>
      </c>
      <c r="H239">
        <v>1</v>
      </c>
    </row>
    <row r="240" spans="1:8" x14ac:dyDescent="0.3">
      <c r="A240" t="s">
        <v>40</v>
      </c>
      <c r="B240" t="s">
        <v>41</v>
      </c>
      <c r="C240" t="s">
        <v>23</v>
      </c>
      <c r="D240" t="s">
        <v>91</v>
      </c>
      <c r="E240">
        <v>0</v>
      </c>
      <c r="F240">
        <v>0</v>
      </c>
      <c r="G240">
        <v>0</v>
      </c>
      <c r="H240">
        <v>1</v>
      </c>
    </row>
    <row r="241" spans="1:8" x14ac:dyDescent="0.3">
      <c r="A241" t="s">
        <v>40</v>
      </c>
      <c r="B241" t="s">
        <v>41</v>
      </c>
      <c r="C241" t="s">
        <v>23</v>
      </c>
      <c r="D241" t="s">
        <v>93</v>
      </c>
      <c r="E241">
        <v>0</v>
      </c>
      <c r="F241">
        <v>0</v>
      </c>
      <c r="G241">
        <v>0</v>
      </c>
      <c r="H241">
        <v>1</v>
      </c>
    </row>
    <row r="242" spans="1:8" x14ac:dyDescent="0.3">
      <c r="A242" t="s">
        <v>40</v>
      </c>
      <c r="B242" t="s">
        <v>41</v>
      </c>
      <c r="C242" t="s">
        <v>23</v>
      </c>
      <c r="D242" t="s">
        <v>95</v>
      </c>
      <c r="E242">
        <v>0</v>
      </c>
      <c r="F242">
        <v>0</v>
      </c>
      <c r="G242">
        <v>0</v>
      </c>
      <c r="H242">
        <v>1</v>
      </c>
    </row>
    <row r="243" spans="1:8" x14ac:dyDescent="0.3">
      <c r="A243" t="s">
        <v>40</v>
      </c>
      <c r="B243" t="s">
        <v>41</v>
      </c>
      <c r="C243" t="s">
        <v>23</v>
      </c>
      <c r="D243" t="s">
        <v>97</v>
      </c>
      <c r="E243">
        <v>0</v>
      </c>
      <c r="F243">
        <v>0</v>
      </c>
      <c r="G243">
        <v>0</v>
      </c>
      <c r="H243">
        <v>1</v>
      </c>
    </row>
    <row r="244" spans="1:8" x14ac:dyDescent="0.3">
      <c r="A244" t="s">
        <v>40</v>
      </c>
      <c r="B244" t="s">
        <v>41</v>
      </c>
      <c r="C244" t="s">
        <v>23</v>
      </c>
      <c r="D244" t="s">
        <v>99</v>
      </c>
      <c r="E244">
        <v>1</v>
      </c>
      <c r="F244">
        <v>1</v>
      </c>
      <c r="G244">
        <v>1</v>
      </c>
      <c r="H244">
        <v>1</v>
      </c>
    </row>
    <row r="245" spans="1:8" x14ac:dyDescent="0.3">
      <c r="A245" t="s">
        <v>40</v>
      </c>
      <c r="B245" t="s">
        <v>41</v>
      </c>
      <c r="C245" t="s">
        <v>23</v>
      </c>
      <c r="D245" t="s">
        <v>101</v>
      </c>
      <c r="E245">
        <v>0</v>
      </c>
      <c r="F245">
        <v>0</v>
      </c>
      <c r="G245">
        <v>0</v>
      </c>
      <c r="H245">
        <v>1</v>
      </c>
    </row>
    <row r="246" spans="1:8" x14ac:dyDescent="0.3">
      <c r="A246" t="s">
        <v>40</v>
      </c>
      <c r="B246" t="s">
        <v>41</v>
      </c>
      <c r="C246" t="s">
        <v>23</v>
      </c>
      <c r="D246" t="s">
        <v>103</v>
      </c>
      <c r="E246">
        <v>0</v>
      </c>
      <c r="F246">
        <v>0</v>
      </c>
      <c r="G246">
        <v>0</v>
      </c>
      <c r="H246">
        <v>1</v>
      </c>
    </row>
    <row r="247" spans="1:8" x14ac:dyDescent="0.3">
      <c r="A247" t="s">
        <v>40</v>
      </c>
      <c r="B247" t="s">
        <v>41</v>
      </c>
      <c r="C247" t="s">
        <v>23</v>
      </c>
      <c r="D247" t="s">
        <v>105</v>
      </c>
      <c r="E247">
        <v>0</v>
      </c>
      <c r="F247">
        <v>0</v>
      </c>
      <c r="G247">
        <v>0</v>
      </c>
      <c r="H247">
        <v>1</v>
      </c>
    </row>
    <row r="248" spans="1:8" x14ac:dyDescent="0.3">
      <c r="A248" t="s">
        <v>40</v>
      </c>
      <c r="B248" t="s">
        <v>41</v>
      </c>
      <c r="C248" t="s">
        <v>23</v>
      </c>
      <c r="D248" t="s">
        <v>107</v>
      </c>
      <c r="E248">
        <v>0</v>
      </c>
      <c r="F248">
        <v>0</v>
      </c>
      <c r="G248">
        <v>0</v>
      </c>
      <c r="H248">
        <v>1</v>
      </c>
    </row>
    <row r="249" spans="1:8" x14ac:dyDescent="0.3">
      <c r="A249" t="s">
        <v>40</v>
      </c>
      <c r="B249" t="s">
        <v>41</v>
      </c>
      <c r="C249" t="s">
        <v>23</v>
      </c>
      <c r="D249" t="s">
        <v>109</v>
      </c>
      <c r="E249">
        <v>1</v>
      </c>
      <c r="F249">
        <v>1</v>
      </c>
      <c r="G249">
        <v>1</v>
      </c>
      <c r="H249">
        <v>1</v>
      </c>
    </row>
    <row r="250" spans="1:8" x14ac:dyDescent="0.3">
      <c r="A250" t="s">
        <v>40</v>
      </c>
      <c r="B250" t="s">
        <v>41</v>
      </c>
      <c r="C250" t="s">
        <v>23</v>
      </c>
      <c r="D250" t="s">
        <v>111</v>
      </c>
      <c r="E250">
        <v>0</v>
      </c>
      <c r="F250">
        <v>0</v>
      </c>
      <c r="G250">
        <v>0</v>
      </c>
      <c r="H250">
        <v>1</v>
      </c>
    </row>
    <row r="251" spans="1:8" x14ac:dyDescent="0.3">
      <c r="A251" t="s">
        <v>40</v>
      </c>
      <c r="B251" t="s">
        <v>41</v>
      </c>
      <c r="C251" t="s">
        <v>24</v>
      </c>
      <c r="D251" t="s">
        <v>77</v>
      </c>
      <c r="E251">
        <v>1</v>
      </c>
      <c r="F251">
        <v>1</v>
      </c>
      <c r="G251">
        <v>1</v>
      </c>
      <c r="H251">
        <v>1</v>
      </c>
    </row>
    <row r="252" spans="1:8" x14ac:dyDescent="0.3">
      <c r="A252" t="s">
        <v>40</v>
      </c>
      <c r="B252" t="s">
        <v>41</v>
      </c>
      <c r="C252" t="s">
        <v>24</v>
      </c>
      <c r="D252" t="s">
        <v>79</v>
      </c>
      <c r="E252">
        <v>0</v>
      </c>
      <c r="F252">
        <v>0</v>
      </c>
      <c r="G252">
        <v>0</v>
      </c>
      <c r="H252">
        <v>1</v>
      </c>
    </row>
    <row r="253" spans="1:8" x14ac:dyDescent="0.3">
      <c r="A253" t="s">
        <v>40</v>
      </c>
      <c r="B253" t="s">
        <v>41</v>
      </c>
      <c r="C253" t="s">
        <v>24</v>
      </c>
      <c r="D253" t="s">
        <v>81</v>
      </c>
      <c r="E253">
        <v>1</v>
      </c>
      <c r="F253">
        <v>1</v>
      </c>
      <c r="G253">
        <v>1</v>
      </c>
      <c r="H253">
        <v>1</v>
      </c>
    </row>
    <row r="254" spans="1:8" x14ac:dyDescent="0.3">
      <c r="A254" t="s">
        <v>40</v>
      </c>
      <c r="B254" t="s">
        <v>41</v>
      </c>
      <c r="C254" t="s">
        <v>24</v>
      </c>
      <c r="D254" t="s">
        <v>83</v>
      </c>
      <c r="E254">
        <v>1</v>
      </c>
      <c r="F254">
        <v>1</v>
      </c>
      <c r="G254">
        <v>1</v>
      </c>
      <c r="H254">
        <v>1</v>
      </c>
    </row>
    <row r="255" spans="1:8" x14ac:dyDescent="0.3">
      <c r="A255" t="s">
        <v>40</v>
      </c>
      <c r="B255" t="s">
        <v>41</v>
      </c>
      <c r="C255" t="s">
        <v>24</v>
      </c>
      <c r="D255" t="s">
        <v>85</v>
      </c>
      <c r="E255">
        <v>0</v>
      </c>
      <c r="F255">
        <v>0</v>
      </c>
      <c r="G255">
        <v>0</v>
      </c>
      <c r="H255">
        <v>1</v>
      </c>
    </row>
    <row r="256" spans="1:8" x14ac:dyDescent="0.3">
      <c r="A256" t="s">
        <v>40</v>
      </c>
      <c r="B256" t="s">
        <v>41</v>
      </c>
      <c r="C256" t="s">
        <v>24</v>
      </c>
      <c r="D256" t="s">
        <v>87</v>
      </c>
      <c r="E256">
        <v>0</v>
      </c>
      <c r="F256">
        <v>0</v>
      </c>
      <c r="G256">
        <v>0</v>
      </c>
      <c r="H256">
        <v>1</v>
      </c>
    </row>
    <row r="257" spans="1:8" x14ac:dyDescent="0.3">
      <c r="A257" t="s">
        <v>40</v>
      </c>
      <c r="B257" t="s">
        <v>41</v>
      </c>
      <c r="C257" t="s">
        <v>24</v>
      </c>
      <c r="D257" t="s">
        <v>89</v>
      </c>
      <c r="E257">
        <v>0</v>
      </c>
      <c r="F257">
        <v>0</v>
      </c>
      <c r="G257">
        <v>0</v>
      </c>
      <c r="H257">
        <v>1</v>
      </c>
    </row>
    <row r="258" spans="1:8" x14ac:dyDescent="0.3">
      <c r="A258" t="s">
        <v>40</v>
      </c>
      <c r="B258" t="s">
        <v>41</v>
      </c>
      <c r="C258" t="s">
        <v>24</v>
      </c>
      <c r="D258" t="s">
        <v>91</v>
      </c>
      <c r="E258">
        <v>0</v>
      </c>
      <c r="F258">
        <v>0</v>
      </c>
      <c r="G258">
        <v>0</v>
      </c>
      <c r="H258">
        <v>1</v>
      </c>
    </row>
    <row r="259" spans="1:8" x14ac:dyDescent="0.3">
      <c r="A259" t="s">
        <v>40</v>
      </c>
      <c r="B259" t="s">
        <v>41</v>
      </c>
      <c r="C259" t="s">
        <v>24</v>
      </c>
      <c r="D259" t="s">
        <v>93</v>
      </c>
      <c r="E259">
        <v>0</v>
      </c>
      <c r="F259">
        <v>0</v>
      </c>
      <c r="G259">
        <v>0</v>
      </c>
      <c r="H259">
        <v>1</v>
      </c>
    </row>
    <row r="260" spans="1:8" x14ac:dyDescent="0.3">
      <c r="A260" t="s">
        <v>40</v>
      </c>
      <c r="B260" t="s">
        <v>41</v>
      </c>
      <c r="C260" t="s">
        <v>24</v>
      </c>
      <c r="D260" t="s">
        <v>95</v>
      </c>
      <c r="E260">
        <v>0</v>
      </c>
      <c r="F260">
        <v>0</v>
      </c>
      <c r="G260">
        <v>0</v>
      </c>
      <c r="H260">
        <v>1</v>
      </c>
    </row>
    <row r="261" spans="1:8" x14ac:dyDescent="0.3">
      <c r="A261" t="s">
        <v>40</v>
      </c>
      <c r="B261" t="s">
        <v>41</v>
      </c>
      <c r="C261" t="s">
        <v>24</v>
      </c>
      <c r="D261" t="s">
        <v>97</v>
      </c>
      <c r="E261">
        <v>0</v>
      </c>
      <c r="F261">
        <v>0</v>
      </c>
      <c r="G261">
        <v>0</v>
      </c>
      <c r="H261">
        <v>1</v>
      </c>
    </row>
    <row r="262" spans="1:8" x14ac:dyDescent="0.3">
      <c r="A262" t="s">
        <v>40</v>
      </c>
      <c r="B262" t="s">
        <v>41</v>
      </c>
      <c r="C262" t="s">
        <v>24</v>
      </c>
      <c r="D262" t="s">
        <v>99</v>
      </c>
      <c r="E262">
        <v>0</v>
      </c>
      <c r="F262">
        <v>0</v>
      </c>
      <c r="G262">
        <v>0</v>
      </c>
      <c r="H262">
        <v>1</v>
      </c>
    </row>
    <row r="263" spans="1:8" x14ac:dyDescent="0.3">
      <c r="A263" t="s">
        <v>40</v>
      </c>
      <c r="B263" t="s">
        <v>41</v>
      </c>
      <c r="C263" t="s">
        <v>24</v>
      </c>
      <c r="D263" t="s">
        <v>101</v>
      </c>
      <c r="E263">
        <v>0</v>
      </c>
      <c r="F263">
        <v>0</v>
      </c>
      <c r="G263">
        <v>0</v>
      </c>
      <c r="H263">
        <v>1</v>
      </c>
    </row>
    <row r="264" spans="1:8" x14ac:dyDescent="0.3">
      <c r="A264" t="s">
        <v>40</v>
      </c>
      <c r="B264" t="s">
        <v>41</v>
      </c>
      <c r="C264" t="s">
        <v>24</v>
      </c>
      <c r="D264" t="s">
        <v>103</v>
      </c>
      <c r="E264">
        <v>0</v>
      </c>
      <c r="F264">
        <v>0</v>
      </c>
      <c r="G264">
        <v>0</v>
      </c>
      <c r="H264">
        <v>1</v>
      </c>
    </row>
    <row r="265" spans="1:8" x14ac:dyDescent="0.3">
      <c r="A265" t="s">
        <v>40</v>
      </c>
      <c r="B265" t="s">
        <v>41</v>
      </c>
      <c r="C265" t="s">
        <v>24</v>
      </c>
      <c r="D265" t="s">
        <v>105</v>
      </c>
      <c r="E265">
        <v>0</v>
      </c>
      <c r="F265">
        <v>0</v>
      </c>
      <c r="G265">
        <v>0</v>
      </c>
      <c r="H265">
        <v>1</v>
      </c>
    </row>
    <row r="266" spans="1:8" x14ac:dyDescent="0.3">
      <c r="A266" t="s">
        <v>40</v>
      </c>
      <c r="B266" t="s">
        <v>41</v>
      </c>
      <c r="C266" t="s">
        <v>24</v>
      </c>
      <c r="D266" t="s">
        <v>107</v>
      </c>
      <c r="E266">
        <v>0</v>
      </c>
      <c r="F266">
        <v>0</v>
      </c>
      <c r="G266">
        <v>0</v>
      </c>
      <c r="H266">
        <v>1</v>
      </c>
    </row>
    <row r="267" spans="1:8" x14ac:dyDescent="0.3">
      <c r="A267" t="s">
        <v>40</v>
      </c>
      <c r="B267" t="s">
        <v>41</v>
      </c>
      <c r="C267" t="s">
        <v>24</v>
      </c>
      <c r="D267" t="s">
        <v>109</v>
      </c>
      <c r="E267">
        <v>1</v>
      </c>
      <c r="F267">
        <v>1</v>
      </c>
      <c r="G267">
        <v>1</v>
      </c>
      <c r="H267">
        <v>1</v>
      </c>
    </row>
    <row r="268" spans="1:8" x14ac:dyDescent="0.3">
      <c r="A268" t="s">
        <v>40</v>
      </c>
      <c r="B268" t="s">
        <v>41</v>
      </c>
      <c r="C268" t="s">
        <v>24</v>
      </c>
      <c r="D268" t="s">
        <v>111</v>
      </c>
      <c r="E268">
        <v>0</v>
      </c>
      <c r="F268">
        <v>0</v>
      </c>
      <c r="G268">
        <v>0</v>
      </c>
      <c r="H268">
        <v>1</v>
      </c>
    </row>
    <row r="269" spans="1:8" x14ac:dyDescent="0.3">
      <c r="A269" t="s">
        <v>40</v>
      </c>
      <c r="B269" t="s">
        <v>41</v>
      </c>
      <c r="C269" t="s">
        <v>25</v>
      </c>
      <c r="D269" t="s">
        <v>77</v>
      </c>
      <c r="E269">
        <v>0</v>
      </c>
      <c r="F269">
        <v>0</v>
      </c>
      <c r="G269">
        <v>0</v>
      </c>
      <c r="H269">
        <v>1</v>
      </c>
    </row>
    <row r="270" spans="1:8" x14ac:dyDescent="0.3">
      <c r="A270" t="s">
        <v>40</v>
      </c>
      <c r="B270" t="s">
        <v>41</v>
      </c>
      <c r="C270" t="s">
        <v>25</v>
      </c>
      <c r="D270" t="s">
        <v>79</v>
      </c>
      <c r="E270">
        <v>0</v>
      </c>
      <c r="F270">
        <v>0</v>
      </c>
      <c r="G270">
        <v>0</v>
      </c>
      <c r="H270">
        <v>1</v>
      </c>
    </row>
    <row r="271" spans="1:8" x14ac:dyDescent="0.3">
      <c r="A271" t="s">
        <v>40</v>
      </c>
      <c r="B271" t="s">
        <v>41</v>
      </c>
      <c r="C271" t="s">
        <v>25</v>
      </c>
      <c r="D271" t="s">
        <v>81</v>
      </c>
      <c r="E271">
        <v>1</v>
      </c>
      <c r="F271">
        <v>1</v>
      </c>
      <c r="G271">
        <v>1</v>
      </c>
      <c r="H271">
        <v>1</v>
      </c>
    </row>
    <row r="272" spans="1:8" x14ac:dyDescent="0.3">
      <c r="A272" t="s">
        <v>40</v>
      </c>
      <c r="B272" t="s">
        <v>41</v>
      </c>
      <c r="C272" t="s">
        <v>25</v>
      </c>
      <c r="D272" t="s">
        <v>83</v>
      </c>
      <c r="E272">
        <v>0</v>
      </c>
      <c r="F272">
        <v>0</v>
      </c>
      <c r="G272">
        <v>0</v>
      </c>
      <c r="H272">
        <v>1</v>
      </c>
    </row>
    <row r="273" spans="1:8" x14ac:dyDescent="0.3">
      <c r="A273" t="s">
        <v>40</v>
      </c>
      <c r="B273" t="s">
        <v>41</v>
      </c>
      <c r="C273" t="s">
        <v>25</v>
      </c>
      <c r="D273" t="s">
        <v>85</v>
      </c>
      <c r="E273">
        <v>0</v>
      </c>
      <c r="F273">
        <v>0</v>
      </c>
      <c r="G273">
        <v>0</v>
      </c>
      <c r="H273">
        <v>1</v>
      </c>
    </row>
    <row r="274" spans="1:8" x14ac:dyDescent="0.3">
      <c r="A274" t="s">
        <v>40</v>
      </c>
      <c r="B274" t="s">
        <v>41</v>
      </c>
      <c r="C274" t="s">
        <v>25</v>
      </c>
      <c r="D274" t="s">
        <v>87</v>
      </c>
      <c r="E274">
        <v>0</v>
      </c>
      <c r="F274">
        <v>0</v>
      </c>
      <c r="G274">
        <v>0</v>
      </c>
      <c r="H274">
        <v>1</v>
      </c>
    </row>
    <row r="275" spans="1:8" x14ac:dyDescent="0.3">
      <c r="A275" t="s">
        <v>40</v>
      </c>
      <c r="B275" t="s">
        <v>41</v>
      </c>
      <c r="C275" t="s">
        <v>25</v>
      </c>
      <c r="D275" t="s">
        <v>89</v>
      </c>
      <c r="E275">
        <v>0</v>
      </c>
      <c r="F275">
        <v>0</v>
      </c>
      <c r="G275">
        <v>0</v>
      </c>
      <c r="H275">
        <v>1</v>
      </c>
    </row>
    <row r="276" spans="1:8" x14ac:dyDescent="0.3">
      <c r="A276" t="s">
        <v>40</v>
      </c>
      <c r="B276" t="s">
        <v>41</v>
      </c>
      <c r="C276" t="s">
        <v>25</v>
      </c>
      <c r="D276" t="s">
        <v>91</v>
      </c>
      <c r="E276">
        <v>0</v>
      </c>
      <c r="F276">
        <v>0</v>
      </c>
      <c r="G276">
        <v>0</v>
      </c>
      <c r="H276">
        <v>1</v>
      </c>
    </row>
    <row r="277" spans="1:8" x14ac:dyDescent="0.3">
      <c r="A277" t="s">
        <v>40</v>
      </c>
      <c r="B277" t="s">
        <v>41</v>
      </c>
      <c r="C277" t="s">
        <v>25</v>
      </c>
      <c r="D277" t="s">
        <v>93</v>
      </c>
      <c r="E277">
        <v>0</v>
      </c>
      <c r="F277">
        <v>0</v>
      </c>
      <c r="G277">
        <v>0</v>
      </c>
      <c r="H277">
        <v>1</v>
      </c>
    </row>
    <row r="278" spans="1:8" x14ac:dyDescent="0.3">
      <c r="A278" t="s">
        <v>40</v>
      </c>
      <c r="B278" t="s">
        <v>41</v>
      </c>
      <c r="C278" t="s">
        <v>25</v>
      </c>
      <c r="D278" t="s">
        <v>95</v>
      </c>
      <c r="E278">
        <v>0</v>
      </c>
      <c r="F278">
        <v>0</v>
      </c>
      <c r="G278">
        <v>0</v>
      </c>
      <c r="H278">
        <v>1</v>
      </c>
    </row>
    <row r="279" spans="1:8" x14ac:dyDescent="0.3">
      <c r="A279" t="s">
        <v>40</v>
      </c>
      <c r="B279" t="s">
        <v>41</v>
      </c>
      <c r="C279" t="s">
        <v>25</v>
      </c>
      <c r="D279" t="s">
        <v>97</v>
      </c>
      <c r="E279">
        <v>0</v>
      </c>
      <c r="F279">
        <v>0</v>
      </c>
      <c r="G279">
        <v>0</v>
      </c>
      <c r="H279">
        <v>1</v>
      </c>
    </row>
    <row r="280" spans="1:8" x14ac:dyDescent="0.3">
      <c r="A280" t="s">
        <v>40</v>
      </c>
      <c r="B280" t="s">
        <v>41</v>
      </c>
      <c r="C280" t="s">
        <v>25</v>
      </c>
      <c r="D280" t="s">
        <v>99</v>
      </c>
      <c r="E280">
        <v>0</v>
      </c>
      <c r="F280">
        <v>0</v>
      </c>
      <c r="G280">
        <v>0</v>
      </c>
      <c r="H280">
        <v>1</v>
      </c>
    </row>
    <row r="281" spans="1:8" x14ac:dyDescent="0.3">
      <c r="A281" t="s">
        <v>40</v>
      </c>
      <c r="B281" t="s">
        <v>41</v>
      </c>
      <c r="C281" t="s">
        <v>25</v>
      </c>
      <c r="D281" t="s">
        <v>101</v>
      </c>
      <c r="E281">
        <v>0</v>
      </c>
      <c r="F281">
        <v>0</v>
      </c>
      <c r="G281">
        <v>0</v>
      </c>
      <c r="H281">
        <v>1</v>
      </c>
    </row>
    <row r="282" spans="1:8" x14ac:dyDescent="0.3">
      <c r="A282" t="s">
        <v>40</v>
      </c>
      <c r="B282" t="s">
        <v>41</v>
      </c>
      <c r="C282" t="s">
        <v>25</v>
      </c>
      <c r="D282" t="s">
        <v>103</v>
      </c>
      <c r="E282">
        <v>0</v>
      </c>
      <c r="F282">
        <v>0</v>
      </c>
      <c r="G282">
        <v>0</v>
      </c>
      <c r="H282">
        <v>1</v>
      </c>
    </row>
    <row r="283" spans="1:8" x14ac:dyDescent="0.3">
      <c r="A283" t="s">
        <v>40</v>
      </c>
      <c r="B283" t="s">
        <v>41</v>
      </c>
      <c r="C283" t="s">
        <v>25</v>
      </c>
      <c r="D283" t="s">
        <v>105</v>
      </c>
      <c r="E283">
        <v>0</v>
      </c>
      <c r="F283">
        <v>0</v>
      </c>
      <c r="G283">
        <v>0</v>
      </c>
      <c r="H283">
        <v>1</v>
      </c>
    </row>
    <row r="284" spans="1:8" x14ac:dyDescent="0.3">
      <c r="A284" t="s">
        <v>40</v>
      </c>
      <c r="B284" t="s">
        <v>41</v>
      </c>
      <c r="C284" t="s">
        <v>25</v>
      </c>
      <c r="D284" t="s">
        <v>107</v>
      </c>
      <c r="E284">
        <v>0</v>
      </c>
      <c r="F284">
        <v>0</v>
      </c>
      <c r="G284">
        <v>0</v>
      </c>
      <c r="H284">
        <v>1</v>
      </c>
    </row>
    <row r="285" spans="1:8" x14ac:dyDescent="0.3">
      <c r="A285" t="s">
        <v>40</v>
      </c>
      <c r="B285" t="s">
        <v>41</v>
      </c>
      <c r="C285" t="s">
        <v>25</v>
      </c>
      <c r="D285" t="s">
        <v>111</v>
      </c>
      <c r="E285">
        <v>0</v>
      </c>
      <c r="F285">
        <v>0</v>
      </c>
      <c r="G285">
        <v>0</v>
      </c>
      <c r="H285">
        <v>1</v>
      </c>
    </row>
    <row r="286" spans="1:8" x14ac:dyDescent="0.3">
      <c r="A286" t="s">
        <v>47</v>
      </c>
      <c r="B286" t="s">
        <v>48</v>
      </c>
      <c r="C286" t="s">
        <v>21</v>
      </c>
      <c r="D286" t="s">
        <v>77</v>
      </c>
      <c r="E286">
        <v>0</v>
      </c>
      <c r="F286">
        <v>0</v>
      </c>
      <c r="G286">
        <v>0</v>
      </c>
      <c r="H286">
        <v>1</v>
      </c>
    </row>
    <row r="287" spans="1:8" x14ac:dyDescent="0.3">
      <c r="A287" t="s">
        <v>47</v>
      </c>
      <c r="B287" t="s">
        <v>48</v>
      </c>
      <c r="C287" t="s">
        <v>21</v>
      </c>
      <c r="D287" t="s">
        <v>79</v>
      </c>
      <c r="E287">
        <v>0</v>
      </c>
      <c r="F287">
        <v>0</v>
      </c>
      <c r="G287">
        <v>0</v>
      </c>
      <c r="H287">
        <v>1</v>
      </c>
    </row>
    <row r="288" spans="1:8" x14ac:dyDescent="0.3">
      <c r="A288" t="s">
        <v>47</v>
      </c>
      <c r="B288" t="s">
        <v>48</v>
      </c>
      <c r="C288" t="s">
        <v>21</v>
      </c>
      <c r="D288" t="s">
        <v>81</v>
      </c>
      <c r="E288">
        <v>1</v>
      </c>
      <c r="F288">
        <v>1</v>
      </c>
      <c r="G288">
        <v>1</v>
      </c>
      <c r="H288">
        <v>1</v>
      </c>
    </row>
    <row r="289" spans="1:8" x14ac:dyDescent="0.3">
      <c r="A289" t="s">
        <v>47</v>
      </c>
      <c r="B289" t="s">
        <v>48</v>
      </c>
      <c r="C289" t="s">
        <v>21</v>
      </c>
      <c r="D289" t="s">
        <v>83</v>
      </c>
      <c r="E289">
        <v>0</v>
      </c>
      <c r="F289">
        <v>0</v>
      </c>
      <c r="G289">
        <v>0</v>
      </c>
      <c r="H289">
        <v>1</v>
      </c>
    </row>
    <row r="290" spans="1:8" x14ac:dyDescent="0.3">
      <c r="A290" t="s">
        <v>47</v>
      </c>
      <c r="B290" t="s">
        <v>48</v>
      </c>
      <c r="C290" t="s">
        <v>21</v>
      </c>
      <c r="D290" t="s">
        <v>85</v>
      </c>
      <c r="E290">
        <v>0</v>
      </c>
      <c r="F290">
        <v>0</v>
      </c>
      <c r="G290">
        <v>0</v>
      </c>
      <c r="H290">
        <v>1</v>
      </c>
    </row>
    <row r="291" spans="1:8" x14ac:dyDescent="0.3">
      <c r="A291" t="s">
        <v>47</v>
      </c>
      <c r="B291" t="s">
        <v>48</v>
      </c>
      <c r="C291" t="s">
        <v>21</v>
      </c>
      <c r="D291" t="s">
        <v>87</v>
      </c>
      <c r="E291">
        <v>0</v>
      </c>
      <c r="F291">
        <v>0</v>
      </c>
      <c r="G291">
        <v>0</v>
      </c>
      <c r="H291">
        <v>1</v>
      </c>
    </row>
    <row r="292" spans="1:8" x14ac:dyDescent="0.3">
      <c r="A292" t="s">
        <v>47</v>
      </c>
      <c r="B292" t="s">
        <v>48</v>
      </c>
      <c r="C292" t="s">
        <v>21</v>
      </c>
      <c r="D292" t="s">
        <v>89</v>
      </c>
      <c r="E292">
        <v>0</v>
      </c>
      <c r="F292">
        <v>0</v>
      </c>
      <c r="G292">
        <v>0</v>
      </c>
      <c r="H292">
        <v>1</v>
      </c>
    </row>
    <row r="293" spans="1:8" x14ac:dyDescent="0.3">
      <c r="A293" t="s">
        <v>47</v>
      </c>
      <c r="B293" t="s">
        <v>48</v>
      </c>
      <c r="C293" t="s">
        <v>21</v>
      </c>
      <c r="D293" t="s">
        <v>91</v>
      </c>
      <c r="E293">
        <v>0</v>
      </c>
      <c r="F293">
        <v>0</v>
      </c>
      <c r="G293">
        <v>0</v>
      </c>
      <c r="H293">
        <v>1</v>
      </c>
    </row>
    <row r="294" spans="1:8" x14ac:dyDescent="0.3">
      <c r="A294" t="s">
        <v>47</v>
      </c>
      <c r="B294" t="s">
        <v>48</v>
      </c>
      <c r="C294" t="s">
        <v>21</v>
      </c>
      <c r="D294" t="s">
        <v>93</v>
      </c>
      <c r="E294">
        <v>0</v>
      </c>
      <c r="F294">
        <v>0</v>
      </c>
      <c r="G294">
        <v>0</v>
      </c>
      <c r="H294">
        <v>1</v>
      </c>
    </row>
    <row r="295" spans="1:8" x14ac:dyDescent="0.3">
      <c r="A295" t="s">
        <v>47</v>
      </c>
      <c r="B295" t="s">
        <v>48</v>
      </c>
      <c r="C295" t="s">
        <v>21</v>
      </c>
      <c r="D295" t="s">
        <v>95</v>
      </c>
      <c r="E295">
        <v>0</v>
      </c>
      <c r="F295">
        <v>0</v>
      </c>
      <c r="G295">
        <v>0</v>
      </c>
      <c r="H295">
        <v>1</v>
      </c>
    </row>
    <row r="296" spans="1:8" x14ac:dyDescent="0.3">
      <c r="A296" t="s">
        <v>47</v>
      </c>
      <c r="B296" t="s">
        <v>48</v>
      </c>
      <c r="C296" t="s">
        <v>21</v>
      </c>
      <c r="D296" t="s">
        <v>97</v>
      </c>
      <c r="E296">
        <v>0</v>
      </c>
      <c r="F296">
        <v>0</v>
      </c>
      <c r="G296">
        <v>0</v>
      </c>
      <c r="H296">
        <v>1</v>
      </c>
    </row>
    <row r="297" spans="1:8" x14ac:dyDescent="0.3">
      <c r="A297" t="s">
        <v>47</v>
      </c>
      <c r="B297" t="s">
        <v>48</v>
      </c>
      <c r="C297" t="s">
        <v>21</v>
      </c>
      <c r="D297" t="s">
        <v>99</v>
      </c>
      <c r="E297">
        <v>0</v>
      </c>
      <c r="F297">
        <v>0</v>
      </c>
      <c r="G297">
        <v>0</v>
      </c>
      <c r="H297">
        <v>1</v>
      </c>
    </row>
    <row r="298" spans="1:8" x14ac:dyDescent="0.3">
      <c r="A298" t="s">
        <v>47</v>
      </c>
      <c r="B298" t="s">
        <v>48</v>
      </c>
      <c r="C298" t="s">
        <v>21</v>
      </c>
      <c r="D298" t="s">
        <v>101</v>
      </c>
      <c r="E298">
        <v>0</v>
      </c>
      <c r="F298">
        <v>0</v>
      </c>
      <c r="G298">
        <v>0</v>
      </c>
      <c r="H298">
        <v>1</v>
      </c>
    </row>
    <row r="299" spans="1:8" x14ac:dyDescent="0.3">
      <c r="A299" t="s">
        <v>47</v>
      </c>
      <c r="B299" t="s">
        <v>48</v>
      </c>
      <c r="C299" t="s">
        <v>21</v>
      </c>
      <c r="D299" t="s">
        <v>103</v>
      </c>
      <c r="E299">
        <v>0</v>
      </c>
      <c r="F299">
        <v>0</v>
      </c>
      <c r="G299">
        <v>0</v>
      </c>
      <c r="H299">
        <v>1</v>
      </c>
    </row>
    <row r="300" spans="1:8" x14ac:dyDescent="0.3">
      <c r="A300" t="s">
        <v>47</v>
      </c>
      <c r="B300" t="s">
        <v>48</v>
      </c>
      <c r="C300" t="s">
        <v>21</v>
      </c>
      <c r="D300" t="s">
        <v>105</v>
      </c>
      <c r="E300">
        <v>0</v>
      </c>
      <c r="F300">
        <v>0</v>
      </c>
      <c r="G300">
        <v>0</v>
      </c>
      <c r="H300">
        <v>1</v>
      </c>
    </row>
    <row r="301" spans="1:8" x14ac:dyDescent="0.3">
      <c r="A301" t="s">
        <v>47</v>
      </c>
      <c r="B301" t="s">
        <v>48</v>
      </c>
      <c r="C301" t="s">
        <v>21</v>
      </c>
      <c r="D301" t="s">
        <v>107</v>
      </c>
      <c r="E301">
        <v>1</v>
      </c>
      <c r="F301">
        <v>1</v>
      </c>
      <c r="G301">
        <v>1</v>
      </c>
      <c r="H301">
        <v>1</v>
      </c>
    </row>
    <row r="302" spans="1:8" x14ac:dyDescent="0.3">
      <c r="A302" t="s">
        <v>47</v>
      </c>
      <c r="B302" t="s">
        <v>48</v>
      </c>
      <c r="C302" t="s">
        <v>21</v>
      </c>
      <c r="D302" t="s">
        <v>109</v>
      </c>
      <c r="E302">
        <v>1</v>
      </c>
      <c r="F302">
        <v>1</v>
      </c>
      <c r="G302">
        <v>1</v>
      </c>
      <c r="H302">
        <v>1</v>
      </c>
    </row>
    <row r="303" spans="1:8" x14ac:dyDescent="0.3">
      <c r="A303" t="s">
        <v>47</v>
      </c>
      <c r="B303" t="s">
        <v>48</v>
      </c>
      <c r="C303" t="s">
        <v>21</v>
      </c>
      <c r="D303" t="s">
        <v>111</v>
      </c>
      <c r="E303">
        <v>0</v>
      </c>
      <c r="F303">
        <v>0</v>
      </c>
      <c r="G303">
        <v>0</v>
      </c>
      <c r="H303">
        <v>1</v>
      </c>
    </row>
    <row r="304" spans="1:8" x14ac:dyDescent="0.3">
      <c r="A304" t="s">
        <v>47</v>
      </c>
      <c r="B304" t="s">
        <v>48</v>
      </c>
      <c r="C304" t="s">
        <v>23</v>
      </c>
      <c r="D304" t="s">
        <v>77</v>
      </c>
      <c r="E304">
        <v>0</v>
      </c>
      <c r="F304">
        <v>0</v>
      </c>
      <c r="G304">
        <v>0</v>
      </c>
      <c r="H304">
        <v>1</v>
      </c>
    </row>
    <row r="305" spans="1:8" x14ac:dyDescent="0.3">
      <c r="A305" t="s">
        <v>47</v>
      </c>
      <c r="B305" t="s">
        <v>48</v>
      </c>
      <c r="C305" t="s">
        <v>23</v>
      </c>
      <c r="D305" t="s">
        <v>79</v>
      </c>
      <c r="E305">
        <v>0</v>
      </c>
      <c r="F305">
        <v>0</v>
      </c>
      <c r="G305">
        <v>0</v>
      </c>
      <c r="H305">
        <v>1</v>
      </c>
    </row>
    <row r="306" spans="1:8" x14ac:dyDescent="0.3">
      <c r="A306" t="s">
        <v>47</v>
      </c>
      <c r="B306" t="s">
        <v>48</v>
      </c>
      <c r="C306" t="s">
        <v>23</v>
      </c>
      <c r="D306" t="s">
        <v>81</v>
      </c>
      <c r="E306">
        <v>1</v>
      </c>
      <c r="F306">
        <v>0</v>
      </c>
      <c r="G306">
        <v>0</v>
      </c>
      <c r="H306">
        <v>0</v>
      </c>
    </row>
    <row r="307" spans="1:8" x14ac:dyDescent="0.3">
      <c r="A307" t="s">
        <v>47</v>
      </c>
      <c r="B307" t="s">
        <v>48</v>
      </c>
      <c r="C307" t="s">
        <v>23</v>
      </c>
      <c r="D307" t="s">
        <v>83</v>
      </c>
      <c r="E307">
        <v>0</v>
      </c>
      <c r="F307">
        <v>0</v>
      </c>
      <c r="G307">
        <v>0</v>
      </c>
      <c r="H307">
        <v>1</v>
      </c>
    </row>
    <row r="308" spans="1:8" x14ac:dyDescent="0.3">
      <c r="A308" t="s">
        <v>47</v>
      </c>
      <c r="B308" t="s">
        <v>48</v>
      </c>
      <c r="C308" t="s">
        <v>23</v>
      </c>
      <c r="D308" t="s">
        <v>85</v>
      </c>
      <c r="E308">
        <v>0</v>
      </c>
      <c r="F308">
        <v>0</v>
      </c>
      <c r="G308">
        <v>0</v>
      </c>
      <c r="H308">
        <v>1</v>
      </c>
    </row>
    <row r="309" spans="1:8" x14ac:dyDescent="0.3">
      <c r="A309" t="s">
        <v>47</v>
      </c>
      <c r="B309" t="s">
        <v>48</v>
      </c>
      <c r="C309" t="s">
        <v>23</v>
      </c>
      <c r="D309" t="s">
        <v>87</v>
      </c>
      <c r="E309">
        <v>0</v>
      </c>
      <c r="F309">
        <v>0</v>
      </c>
      <c r="G309">
        <v>0</v>
      </c>
      <c r="H309">
        <v>1</v>
      </c>
    </row>
    <row r="310" spans="1:8" x14ac:dyDescent="0.3">
      <c r="A310" t="s">
        <v>47</v>
      </c>
      <c r="B310" t="s">
        <v>48</v>
      </c>
      <c r="C310" t="s">
        <v>23</v>
      </c>
      <c r="D310" t="s">
        <v>89</v>
      </c>
      <c r="E310">
        <v>0</v>
      </c>
      <c r="F310">
        <v>0</v>
      </c>
      <c r="G310">
        <v>0</v>
      </c>
      <c r="H310">
        <v>1</v>
      </c>
    </row>
    <row r="311" spans="1:8" x14ac:dyDescent="0.3">
      <c r="A311" t="s">
        <v>47</v>
      </c>
      <c r="B311" t="s">
        <v>48</v>
      </c>
      <c r="C311" t="s">
        <v>23</v>
      </c>
      <c r="D311" t="s">
        <v>91</v>
      </c>
      <c r="E311">
        <v>0</v>
      </c>
      <c r="F311">
        <v>0</v>
      </c>
      <c r="G311">
        <v>0</v>
      </c>
      <c r="H311">
        <v>1</v>
      </c>
    </row>
    <row r="312" spans="1:8" x14ac:dyDescent="0.3">
      <c r="A312" t="s">
        <v>47</v>
      </c>
      <c r="B312" t="s">
        <v>48</v>
      </c>
      <c r="C312" t="s">
        <v>23</v>
      </c>
      <c r="D312" t="s">
        <v>93</v>
      </c>
      <c r="E312">
        <v>0</v>
      </c>
      <c r="F312">
        <v>0</v>
      </c>
      <c r="G312">
        <v>0</v>
      </c>
      <c r="H312">
        <v>1</v>
      </c>
    </row>
    <row r="313" spans="1:8" x14ac:dyDescent="0.3">
      <c r="A313" t="s">
        <v>47</v>
      </c>
      <c r="B313" t="s">
        <v>48</v>
      </c>
      <c r="C313" t="s">
        <v>23</v>
      </c>
      <c r="D313" t="s">
        <v>95</v>
      </c>
      <c r="E313">
        <v>0</v>
      </c>
      <c r="F313">
        <v>0</v>
      </c>
      <c r="G313">
        <v>0</v>
      </c>
      <c r="H313">
        <v>1</v>
      </c>
    </row>
    <row r="314" spans="1:8" x14ac:dyDescent="0.3">
      <c r="A314" t="s">
        <v>47</v>
      </c>
      <c r="B314" t="s">
        <v>48</v>
      </c>
      <c r="C314" t="s">
        <v>23</v>
      </c>
      <c r="D314" t="s">
        <v>97</v>
      </c>
      <c r="E314">
        <v>0</v>
      </c>
      <c r="F314">
        <v>0</v>
      </c>
      <c r="G314">
        <v>0</v>
      </c>
      <c r="H314">
        <v>1</v>
      </c>
    </row>
    <row r="315" spans="1:8" x14ac:dyDescent="0.3">
      <c r="A315" t="s">
        <v>47</v>
      </c>
      <c r="B315" t="s">
        <v>48</v>
      </c>
      <c r="C315" t="s">
        <v>23</v>
      </c>
      <c r="D315" t="s">
        <v>99</v>
      </c>
      <c r="E315">
        <v>0</v>
      </c>
      <c r="F315">
        <v>0</v>
      </c>
      <c r="G315">
        <v>0</v>
      </c>
      <c r="H315">
        <v>1</v>
      </c>
    </row>
    <row r="316" spans="1:8" x14ac:dyDescent="0.3">
      <c r="A316" t="s">
        <v>47</v>
      </c>
      <c r="B316" t="s">
        <v>48</v>
      </c>
      <c r="C316" t="s">
        <v>23</v>
      </c>
      <c r="D316" t="s">
        <v>101</v>
      </c>
      <c r="E316">
        <v>0</v>
      </c>
      <c r="F316">
        <v>0</v>
      </c>
      <c r="G316">
        <v>0</v>
      </c>
      <c r="H316">
        <v>1</v>
      </c>
    </row>
    <row r="317" spans="1:8" x14ac:dyDescent="0.3">
      <c r="A317" t="s">
        <v>47</v>
      </c>
      <c r="B317" t="s">
        <v>48</v>
      </c>
      <c r="C317" t="s">
        <v>23</v>
      </c>
      <c r="D317" t="s">
        <v>103</v>
      </c>
      <c r="E317">
        <v>0</v>
      </c>
      <c r="F317">
        <v>0</v>
      </c>
      <c r="G317">
        <v>0</v>
      </c>
      <c r="H317">
        <v>1</v>
      </c>
    </row>
    <row r="318" spans="1:8" x14ac:dyDescent="0.3">
      <c r="A318" t="s">
        <v>47</v>
      </c>
      <c r="B318" t="s">
        <v>48</v>
      </c>
      <c r="C318" t="s">
        <v>23</v>
      </c>
      <c r="D318" t="s">
        <v>105</v>
      </c>
      <c r="E318">
        <v>0</v>
      </c>
      <c r="F318">
        <v>0</v>
      </c>
      <c r="G318">
        <v>0</v>
      </c>
      <c r="H318">
        <v>1</v>
      </c>
    </row>
    <row r="319" spans="1:8" x14ac:dyDescent="0.3">
      <c r="A319" t="s">
        <v>47</v>
      </c>
      <c r="B319" t="s">
        <v>48</v>
      </c>
      <c r="C319" t="s">
        <v>23</v>
      </c>
      <c r="D319" t="s">
        <v>107</v>
      </c>
      <c r="E319">
        <v>0</v>
      </c>
      <c r="F319">
        <v>1</v>
      </c>
      <c r="G319">
        <v>0</v>
      </c>
      <c r="H319">
        <v>0</v>
      </c>
    </row>
    <row r="320" spans="1:8" x14ac:dyDescent="0.3">
      <c r="A320" t="s">
        <v>47</v>
      </c>
      <c r="B320" t="s">
        <v>48</v>
      </c>
      <c r="C320" t="s">
        <v>23</v>
      </c>
      <c r="D320" t="s">
        <v>109</v>
      </c>
      <c r="E320">
        <v>1</v>
      </c>
      <c r="F320">
        <v>1</v>
      </c>
      <c r="G320">
        <v>1</v>
      </c>
      <c r="H320">
        <v>1</v>
      </c>
    </row>
    <row r="321" spans="1:8" x14ac:dyDescent="0.3">
      <c r="A321" t="s">
        <v>47</v>
      </c>
      <c r="B321" t="s">
        <v>48</v>
      </c>
      <c r="C321" t="s">
        <v>23</v>
      </c>
      <c r="D321" t="s">
        <v>111</v>
      </c>
      <c r="E321">
        <v>0</v>
      </c>
      <c r="F321">
        <v>0</v>
      </c>
      <c r="G321">
        <v>0</v>
      </c>
      <c r="H321">
        <v>1</v>
      </c>
    </row>
    <row r="322" spans="1:8" x14ac:dyDescent="0.3">
      <c r="A322" t="s">
        <v>47</v>
      </c>
      <c r="B322" t="s">
        <v>48</v>
      </c>
      <c r="C322" t="s">
        <v>24</v>
      </c>
      <c r="D322" t="s">
        <v>77</v>
      </c>
      <c r="E322">
        <v>0</v>
      </c>
      <c r="F322">
        <v>0</v>
      </c>
      <c r="G322">
        <v>0</v>
      </c>
      <c r="H322">
        <v>1</v>
      </c>
    </row>
    <row r="323" spans="1:8" x14ac:dyDescent="0.3">
      <c r="A323" t="s">
        <v>47</v>
      </c>
      <c r="B323" t="s">
        <v>48</v>
      </c>
      <c r="C323" t="s">
        <v>24</v>
      </c>
      <c r="D323" t="s">
        <v>79</v>
      </c>
      <c r="E323">
        <v>0</v>
      </c>
      <c r="F323">
        <v>0</v>
      </c>
      <c r="G323">
        <v>0</v>
      </c>
      <c r="H323">
        <v>1</v>
      </c>
    </row>
    <row r="324" spans="1:8" x14ac:dyDescent="0.3">
      <c r="A324" t="s">
        <v>47</v>
      </c>
      <c r="B324" t="s">
        <v>48</v>
      </c>
      <c r="C324" t="s">
        <v>24</v>
      </c>
      <c r="D324" t="s">
        <v>81</v>
      </c>
      <c r="E324">
        <v>1</v>
      </c>
      <c r="F324">
        <v>1</v>
      </c>
      <c r="G324">
        <v>1</v>
      </c>
      <c r="H324">
        <v>1</v>
      </c>
    </row>
    <row r="325" spans="1:8" x14ac:dyDescent="0.3">
      <c r="A325" t="s">
        <v>47</v>
      </c>
      <c r="B325" t="s">
        <v>48</v>
      </c>
      <c r="C325" t="s">
        <v>24</v>
      </c>
      <c r="D325" t="s">
        <v>83</v>
      </c>
      <c r="E325">
        <v>0</v>
      </c>
      <c r="F325">
        <v>0</v>
      </c>
      <c r="G325">
        <v>0</v>
      </c>
      <c r="H325">
        <v>1</v>
      </c>
    </row>
    <row r="326" spans="1:8" x14ac:dyDescent="0.3">
      <c r="A326" t="s">
        <v>47</v>
      </c>
      <c r="B326" t="s">
        <v>48</v>
      </c>
      <c r="C326" t="s">
        <v>24</v>
      </c>
      <c r="D326" t="s">
        <v>85</v>
      </c>
      <c r="E326">
        <v>0</v>
      </c>
      <c r="F326">
        <v>0</v>
      </c>
      <c r="G326">
        <v>0</v>
      </c>
      <c r="H326">
        <v>1</v>
      </c>
    </row>
    <row r="327" spans="1:8" x14ac:dyDescent="0.3">
      <c r="A327" t="s">
        <v>47</v>
      </c>
      <c r="B327" t="s">
        <v>48</v>
      </c>
      <c r="C327" t="s">
        <v>24</v>
      </c>
      <c r="D327" t="s">
        <v>87</v>
      </c>
      <c r="E327">
        <v>0</v>
      </c>
      <c r="F327">
        <v>0</v>
      </c>
      <c r="G327">
        <v>0</v>
      </c>
      <c r="H327">
        <v>1</v>
      </c>
    </row>
    <row r="328" spans="1:8" x14ac:dyDescent="0.3">
      <c r="A328" t="s">
        <v>47</v>
      </c>
      <c r="B328" t="s">
        <v>48</v>
      </c>
      <c r="C328" t="s">
        <v>24</v>
      </c>
      <c r="D328" t="s">
        <v>89</v>
      </c>
      <c r="E328">
        <v>0</v>
      </c>
      <c r="F328">
        <v>0</v>
      </c>
      <c r="G328">
        <v>0</v>
      </c>
      <c r="H328">
        <v>1</v>
      </c>
    </row>
    <row r="329" spans="1:8" x14ac:dyDescent="0.3">
      <c r="A329" t="s">
        <v>47</v>
      </c>
      <c r="B329" t="s">
        <v>48</v>
      </c>
      <c r="C329" t="s">
        <v>24</v>
      </c>
      <c r="D329" t="s">
        <v>91</v>
      </c>
      <c r="E329">
        <v>0</v>
      </c>
      <c r="F329">
        <v>0</v>
      </c>
      <c r="G329">
        <v>0</v>
      </c>
      <c r="H329">
        <v>1</v>
      </c>
    </row>
    <row r="330" spans="1:8" x14ac:dyDescent="0.3">
      <c r="A330" t="s">
        <v>47</v>
      </c>
      <c r="B330" t="s">
        <v>48</v>
      </c>
      <c r="C330" t="s">
        <v>24</v>
      </c>
      <c r="D330" t="s">
        <v>93</v>
      </c>
      <c r="E330">
        <v>0</v>
      </c>
      <c r="F330">
        <v>0</v>
      </c>
      <c r="G330">
        <v>0</v>
      </c>
      <c r="H330">
        <v>1</v>
      </c>
    </row>
    <row r="331" spans="1:8" x14ac:dyDescent="0.3">
      <c r="A331" t="s">
        <v>47</v>
      </c>
      <c r="B331" t="s">
        <v>48</v>
      </c>
      <c r="C331" t="s">
        <v>24</v>
      </c>
      <c r="D331" t="s">
        <v>95</v>
      </c>
      <c r="E331">
        <v>0</v>
      </c>
      <c r="F331">
        <v>0</v>
      </c>
      <c r="G331">
        <v>0</v>
      </c>
      <c r="H331">
        <v>1</v>
      </c>
    </row>
    <row r="332" spans="1:8" x14ac:dyDescent="0.3">
      <c r="A332" t="s">
        <v>47</v>
      </c>
      <c r="B332" t="s">
        <v>48</v>
      </c>
      <c r="C332" t="s">
        <v>24</v>
      </c>
      <c r="D332" t="s">
        <v>97</v>
      </c>
      <c r="E332">
        <v>0</v>
      </c>
      <c r="F332">
        <v>0</v>
      </c>
      <c r="G332">
        <v>0</v>
      </c>
      <c r="H332">
        <v>1</v>
      </c>
    </row>
    <row r="333" spans="1:8" x14ac:dyDescent="0.3">
      <c r="A333" t="s">
        <v>47</v>
      </c>
      <c r="B333" t="s">
        <v>48</v>
      </c>
      <c r="C333" t="s">
        <v>24</v>
      </c>
      <c r="D333" t="s">
        <v>99</v>
      </c>
      <c r="E333">
        <v>0</v>
      </c>
      <c r="F333">
        <v>0</v>
      </c>
      <c r="G333">
        <v>0</v>
      </c>
      <c r="H333">
        <v>1</v>
      </c>
    </row>
    <row r="334" spans="1:8" x14ac:dyDescent="0.3">
      <c r="A334" t="s">
        <v>47</v>
      </c>
      <c r="B334" t="s">
        <v>48</v>
      </c>
      <c r="C334" t="s">
        <v>24</v>
      </c>
      <c r="D334" t="s">
        <v>101</v>
      </c>
      <c r="E334">
        <v>0</v>
      </c>
      <c r="F334">
        <v>0</v>
      </c>
      <c r="G334">
        <v>0</v>
      </c>
      <c r="H334">
        <v>1</v>
      </c>
    </row>
    <row r="335" spans="1:8" x14ac:dyDescent="0.3">
      <c r="A335" t="s">
        <v>47</v>
      </c>
      <c r="B335" t="s">
        <v>48</v>
      </c>
      <c r="C335" t="s">
        <v>24</v>
      </c>
      <c r="D335" t="s">
        <v>103</v>
      </c>
      <c r="E335">
        <v>0</v>
      </c>
      <c r="F335">
        <v>0</v>
      </c>
      <c r="G335">
        <v>0</v>
      </c>
      <c r="H335">
        <v>1</v>
      </c>
    </row>
    <row r="336" spans="1:8" x14ac:dyDescent="0.3">
      <c r="A336" t="s">
        <v>47</v>
      </c>
      <c r="B336" t="s">
        <v>48</v>
      </c>
      <c r="C336" t="s">
        <v>24</v>
      </c>
      <c r="D336" t="s">
        <v>105</v>
      </c>
      <c r="E336">
        <v>0</v>
      </c>
      <c r="F336">
        <v>0</v>
      </c>
      <c r="G336">
        <v>0</v>
      </c>
      <c r="H336">
        <v>1</v>
      </c>
    </row>
    <row r="337" spans="1:8" x14ac:dyDescent="0.3">
      <c r="A337" t="s">
        <v>47</v>
      </c>
      <c r="B337" t="s">
        <v>48</v>
      </c>
      <c r="C337" t="s">
        <v>24</v>
      </c>
      <c r="D337" t="s">
        <v>107</v>
      </c>
      <c r="E337">
        <v>0</v>
      </c>
      <c r="F337">
        <v>0</v>
      </c>
      <c r="G337">
        <v>0</v>
      </c>
      <c r="H337">
        <v>1</v>
      </c>
    </row>
    <row r="338" spans="1:8" x14ac:dyDescent="0.3">
      <c r="A338" t="s">
        <v>47</v>
      </c>
      <c r="B338" t="s">
        <v>48</v>
      </c>
      <c r="C338" t="s">
        <v>24</v>
      </c>
      <c r="D338" t="s">
        <v>109</v>
      </c>
      <c r="E338">
        <v>1</v>
      </c>
      <c r="F338">
        <v>1</v>
      </c>
      <c r="G338">
        <v>1</v>
      </c>
      <c r="H338">
        <v>1</v>
      </c>
    </row>
    <row r="339" spans="1:8" x14ac:dyDescent="0.3">
      <c r="A339" t="s">
        <v>47</v>
      </c>
      <c r="B339" t="s">
        <v>48</v>
      </c>
      <c r="C339" t="s">
        <v>24</v>
      </c>
      <c r="D339" t="s">
        <v>111</v>
      </c>
      <c r="E339">
        <v>0</v>
      </c>
      <c r="F339">
        <v>0</v>
      </c>
      <c r="G339">
        <v>0</v>
      </c>
      <c r="H339">
        <v>1</v>
      </c>
    </row>
    <row r="340" spans="1:8" x14ac:dyDescent="0.3">
      <c r="A340" t="s">
        <v>47</v>
      </c>
      <c r="B340" t="s">
        <v>48</v>
      </c>
      <c r="C340" t="s">
        <v>25</v>
      </c>
      <c r="D340" t="s">
        <v>77</v>
      </c>
      <c r="E340">
        <v>0</v>
      </c>
      <c r="F340">
        <v>0</v>
      </c>
      <c r="G340">
        <v>0</v>
      </c>
      <c r="H340">
        <v>1</v>
      </c>
    </row>
    <row r="341" spans="1:8" x14ac:dyDescent="0.3">
      <c r="A341" t="s">
        <v>47</v>
      </c>
      <c r="B341" t="s">
        <v>48</v>
      </c>
      <c r="C341" t="s">
        <v>25</v>
      </c>
      <c r="D341" t="s">
        <v>79</v>
      </c>
      <c r="E341">
        <v>0</v>
      </c>
      <c r="F341">
        <v>0</v>
      </c>
      <c r="G341">
        <v>0</v>
      </c>
      <c r="H341">
        <v>1</v>
      </c>
    </row>
    <row r="342" spans="1:8" x14ac:dyDescent="0.3">
      <c r="A342" t="s">
        <v>47</v>
      </c>
      <c r="B342" t="s">
        <v>48</v>
      </c>
      <c r="C342" t="s">
        <v>25</v>
      </c>
      <c r="D342" t="s">
        <v>81</v>
      </c>
      <c r="E342">
        <v>1</v>
      </c>
      <c r="F342">
        <v>0</v>
      </c>
      <c r="G342">
        <v>0</v>
      </c>
      <c r="H342">
        <v>0</v>
      </c>
    </row>
    <row r="343" spans="1:8" x14ac:dyDescent="0.3">
      <c r="A343" t="s">
        <v>47</v>
      </c>
      <c r="B343" t="s">
        <v>48</v>
      </c>
      <c r="C343" t="s">
        <v>25</v>
      </c>
      <c r="D343" t="s">
        <v>83</v>
      </c>
      <c r="E343">
        <v>0</v>
      </c>
      <c r="F343">
        <v>0</v>
      </c>
      <c r="G343">
        <v>0</v>
      </c>
      <c r="H343">
        <v>1</v>
      </c>
    </row>
    <row r="344" spans="1:8" x14ac:dyDescent="0.3">
      <c r="A344" t="s">
        <v>47</v>
      </c>
      <c r="B344" t="s">
        <v>48</v>
      </c>
      <c r="C344" t="s">
        <v>25</v>
      </c>
      <c r="D344" t="s">
        <v>85</v>
      </c>
      <c r="E344">
        <v>0</v>
      </c>
      <c r="F344">
        <v>0</v>
      </c>
      <c r="G344">
        <v>0</v>
      </c>
      <c r="H344">
        <v>1</v>
      </c>
    </row>
    <row r="345" spans="1:8" x14ac:dyDescent="0.3">
      <c r="A345" t="s">
        <v>47</v>
      </c>
      <c r="B345" t="s">
        <v>48</v>
      </c>
      <c r="C345" t="s">
        <v>25</v>
      </c>
      <c r="D345" t="s">
        <v>87</v>
      </c>
      <c r="E345">
        <v>0</v>
      </c>
      <c r="F345">
        <v>0</v>
      </c>
      <c r="G345">
        <v>0</v>
      </c>
      <c r="H345">
        <v>1</v>
      </c>
    </row>
    <row r="346" spans="1:8" x14ac:dyDescent="0.3">
      <c r="A346" t="s">
        <v>47</v>
      </c>
      <c r="B346" t="s">
        <v>48</v>
      </c>
      <c r="C346" t="s">
        <v>25</v>
      </c>
      <c r="D346" t="s">
        <v>89</v>
      </c>
      <c r="E346">
        <v>0</v>
      </c>
      <c r="F346">
        <v>0</v>
      </c>
      <c r="G346">
        <v>0</v>
      </c>
      <c r="H346">
        <v>1</v>
      </c>
    </row>
    <row r="347" spans="1:8" x14ac:dyDescent="0.3">
      <c r="A347" t="s">
        <v>47</v>
      </c>
      <c r="B347" t="s">
        <v>48</v>
      </c>
      <c r="C347" t="s">
        <v>25</v>
      </c>
      <c r="D347" t="s">
        <v>91</v>
      </c>
      <c r="E347">
        <v>0</v>
      </c>
      <c r="F347">
        <v>0</v>
      </c>
      <c r="G347">
        <v>0</v>
      </c>
      <c r="H347">
        <v>1</v>
      </c>
    </row>
    <row r="348" spans="1:8" x14ac:dyDescent="0.3">
      <c r="A348" t="s">
        <v>47</v>
      </c>
      <c r="B348" t="s">
        <v>48</v>
      </c>
      <c r="C348" t="s">
        <v>25</v>
      </c>
      <c r="D348" t="s">
        <v>93</v>
      </c>
      <c r="E348">
        <v>0</v>
      </c>
      <c r="F348">
        <v>0</v>
      </c>
      <c r="G348">
        <v>0</v>
      </c>
      <c r="H348">
        <v>1</v>
      </c>
    </row>
    <row r="349" spans="1:8" x14ac:dyDescent="0.3">
      <c r="A349" t="s">
        <v>47</v>
      </c>
      <c r="B349" t="s">
        <v>48</v>
      </c>
      <c r="C349" t="s">
        <v>25</v>
      </c>
      <c r="D349" t="s">
        <v>95</v>
      </c>
      <c r="E349">
        <v>0</v>
      </c>
      <c r="F349">
        <v>0</v>
      </c>
      <c r="G349">
        <v>0</v>
      </c>
      <c r="H349">
        <v>1</v>
      </c>
    </row>
    <row r="350" spans="1:8" x14ac:dyDescent="0.3">
      <c r="A350" t="s">
        <v>47</v>
      </c>
      <c r="B350" t="s">
        <v>48</v>
      </c>
      <c r="C350" t="s">
        <v>25</v>
      </c>
      <c r="D350" t="s">
        <v>97</v>
      </c>
      <c r="E350">
        <v>0</v>
      </c>
      <c r="F350">
        <v>0</v>
      </c>
      <c r="G350">
        <v>0</v>
      </c>
      <c r="H350">
        <v>1</v>
      </c>
    </row>
    <row r="351" spans="1:8" x14ac:dyDescent="0.3">
      <c r="A351" t="s">
        <v>47</v>
      </c>
      <c r="B351" t="s">
        <v>48</v>
      </c>
      <c r="C351" t="s">
        <v>25</v>
      </c>
      <c r="D351" t="s">
        <v>99</v>
      </c>
      <c r="E351">
        <v>0</v>
      </c>
      <c r="F351">
        <v>0</v>
      </c>
      <c r="G351">
        <v>0</v>
      </c>
      <c r="H351">
        <v>1</v>
      </c>
    </row>
    <row r="352" spans="1:8" x14ac:dyDescent="0.3">
      <c r="A352" t="s">
        <v>47</v>
      </c>
      <c r="B352" t="s">
        <v>48</v>
      </c>
      <c r="C352" t="s">
        <v>25</v>
      </c>
      <c r="D352" t="s">
        <v>101</v>
      </c>
      <c r="E352">
        <v>0</v>
      </c>
      <c r="F352">
        <v>0</v>
      </c>
      <c r="G352">
        <v>0</v>
      </c>
      <c r="H352">
        <v>1</v>
      </c>
    </row>
    <row r="353" spans="1:8" x14ac:dyDescent="0.3">
      <c r="A353" t="s">
        <v>47</v>
      </c>
      <c r="B353" t="s">
        <v>48</v>
      </c>
      <c r="C353" t="s">
        <v>25</v>
      </c>
      <c r="D353" t="s">
        <v>103</v>
      </c>
      <c r="E353">
        <v>0</v>
      </c>
      <c r="F353">
        <v>0</v>
      </c>
      <c r="G353">
        <v>0</v>
      </c>
      <c r="H353">
        <v>1</v>
      </c>
    </row>
    <row r="354" spans="1:8" x14ac:dyDescent="0.3">
      <c r="A354" t="s">
        <v>47</v>
      </c>
      <c r="B354" t="s">
        <v>48</v>
      </c>
      <c r="C354" t="s">
        <v>25</v>
      </c>
      <c r="D354" t="s">
        <v>105</v>
      </c>
      <c r="E354">
        <v>0</v>
      </c>
      <c r="F354">
        <v>0</v>
      </c>
      <c r="G354">
        <v>0</v>
      </c>
      <c r="H354">
        <v>1</v>
      </c>
    </row>
    <row r="355" spans="1:8" x14ac:dyDescent="0.3">
      <c r="A355" t="s">
        <v>47</v>
      </c>
      <c r="B355" t="s">
        <v>48</v>
      </c>
      <c r="C355" t="s">
        <v>25</v>
      </c>
      <c r="D355" t="s">
        <v>107</v>
      </c>
      <c r="E355">
        <v>0</v>
      </c>
      <c r="F355">
        <v>0</v>
      </c>
      <c r="G355">
        <v>0</v>
      </c>
      <c r="H355">
        <v>1</v>
      </c>
    </row>
    <row r="356" spans="1:8" x14ac:dyDescent="0.3">
      <c r="A356" t="s">
        <v>47</v>
      </c>
      <c r="B356" t="s">
        <v>48</v>
      </c>
      <c r="C356" t="s">
        <v>25</v>
      </c>
      <c r="D356" t="s">
        <v>111</v>
      </c>
      <c r="E356">
        <v>0</v>
      </c>
      <c r="F356">
        <v>0</v>
      </c>
      <c r="G356">
        <v>0</v>
      </c>
      <c r="H356">
        <v>1</v>
      </c>
    </row>
    <row r="357" spans="1:8" x14ac:dyDescent="0.3">
      <c r="A357" t="s">
        <v>49</v>
      </c>
      <c r="B357" t="s">
        <v>50</v>
      </c>
      <c r="C357" t="s">
        <v>21</v>
      </c>
      <c r="D357" t="s">
        <v>77</v>
      </c>
      <c r="E357">
        <v>0</v>
      </c>
      <c r="F357">
        <v>0</v>
      </c>
      <c r="G357">
        <v>0</v>
      </c>
      <c r="H357">
        <v>1</v>
      </c>
    </row>
    <row r="358" spans="1:8" x14ac:dyDescent="0.3">
      <c r="A358" t="s">
        <v>49</v>
      </c>
      <c r="B358" t="s">
        <v>50</v>
      </c>
      <c r="C358" t="s">
        <v>21</v>
      </c>
      <c r="D358" t="s">
        <v>79</v>
      </c>
      <c r="E358">
        <v>0</v>
      </c>
      <c r="F358">
        <v>0</v>
      </c>
      <c r="G358">
        <v>0</v>
      </c>
      <c r="H358">
        <v>1</v>
      </c>
    </row>
    <row r="359" spans="1:8" x14ac:dyDescent="0.3">
      <c r="A359" t="s">
        <v>49</v>
      </c>
      <c r="B359" t="s">
        <v>50</v>
      </c>
      <c r="C359" t="s">
        <v>21</v>
      </c>
      <c r="D359" t="s">
        <v>81</v>
      </c>
      <c r="E359">
        <v>1</v>
      </c>
      <c r="F359">
        <v>1</v>
      </c>
      <c r="G359">
        <v>1</v>
      </c>
      <c r="H359">
        <v>1</v>
      </c>
    </row>
    <row r="360" spans="1:8" x14ac:dyDescent="0.3">
      <c r="A360" t="s">
        <v>49</v>
      </c>
      <c r="B360" t="s">
        <v>50</v>
      </c>
      <c r="C360" t="s">
        <v>21</v>
      </c>
      <c r="D360" t="s">
        <v>83</v>
      </c>
      <c r="E360">
        <v>0</v>
      </c>
      <c r="F360">
        <v>0</v>
      </c>
      <c r="G360">
        <v>0</v>
      </c>
      <c r="H360">
        <v>1</v>
      </c>
    </row>
    <row r="361" spans="1:8" x14ac:dyDescent="0.3">
      <c r="A361" t="s">
        <v>49</v>
      </c>
      <c r="B361" t="s">
        <v>50</v>
      </c>
      <c r="C361" t="s">
        <v>21</v>
      </c>
      <c r="D361" t="s">
        <v>85</v>
      </c>
      <c r="E361">
        <v>0</v>
      </c>
      <c r="F361">
        <v>0</v>
      </c>
      <c r="G361">
        <v>0</v>
      </c>
      <c r="H361">
        <v>1</v>
      </c>
    </row>
    <row r="362" spans="1:8" x14ac:dyDescent="0.3">
      <c r="A362" t="s">
        <v>49</v>
      </c>
      <c r="B362" t="s">
        <v>50</v>
      </c>
      <c r="C362" t="s">
        <v>21</v>
      </c>
      <c r="D362" t="s">
        <v>87</v>
      </c>
      <c r="E362">
        <v>0</v>
      </c>
      <c r="F362">
        <v>0</v>
      </c>
      <c r="G362">
        <v>0</v>
      </c>
      <c r="H362">
        <v>1</v>
      </c>
    </row>
    <row r="363" spans="1:8" x14ac:dyDescent="0.3">
      <c r="A363" t="s">
        <v>49</v>
      </c>
      <c r="B363" t="s">
        <v>50</v>
      </c>
      <c r="C363" t="s">
        <v>21</v>
      </c>
      <c r="D363" t="s">
        <v>89</v>
      </c>
      <c r="E363">
        <v>0</v>
      </c>
      <c r="F363">
        <v>0</v>
      </c>
      <c r="G363">
        <v>0</v>
      </c>
      <c r="H363">
        <v>1</v>
      </c>
    </row>
    <row r="364" spans="1:8" x14ac:dyDescent="0.3">
      <c r="A364" t="s">
        <v>49</v>
      </c>
      <c r="B364" t="s">
        <v>50</v>
      </c>
      <c r="C364" t="s">
        <v>21</v>
      </c>
      <c r="D364" t="s">
        <v>91</v>
      </c>
      <c r="E364">
        <v>0</v>
      </c>
      <c r="F364">
        <v>0</v>
      </c>
      <c r="G364">
        <v>0</v>
      </c>
      <c r="H364">
        <v>1</v>
      </c>
    </row>
    <row r="365" spans="1:8" x14ac:dyDescent="0.3">
      <c r="A365" t="s">
        <v>49</v>
      </c>
      <c r="B365" t="s">
        <v>50</v>
      </c>
      <c r="C365" t="s">
        <v>21</v>
      </c>
      <c r="D365" t="s">
        <v>93</v>
      </c>
      <c r="E365">
        <v>0</v>
      </c>
      <c r="F365">
        <v>0</v>
      </c>
      <c r="G365">
        <v>0</v>
      </c>
      <c r="H365">
        <v>1</v>
      </c>
    </row>
    <row r="366" spans="1:8" x14ac:dyDescent="0.3">
      <c r="A366" t="s">
        <v>49</v>
      </c>
      <c r="B366" t="s">
        <v>50</v>
      </c>
      <c r="C366" t="s">
        <v>21</v>
      </c>
      <c r="D366" t="s">
        <v>95</v>
      </c>
      <c r="E366">
        <v>0</v>
      </c>
      <c r="F366">
        <v>0</v>
      </c>
      <c r="G366">
        <v>0</v>
      </c>
      <c r="H366">
        <v>1</v>
      </c>
    </row>
    <row r="367" spans="1:8" x14ac:dyDescent="0.3">
      <c r="A367" t="s">
        <v>49</v>
      </c>
      <c r="B367" t="s">
        <v>50</v>
      </c>
      <c r="C367" t="s">
        <v>21</v>
      </c>
      <c r="D367" t="s">
        <v>97</v>
      </c>
      <c r="E367">
        <v>0</v>
      </c>
      <c r="F367">
        <v>0</v>
      </c>
      <c r="G367">
        <v>0</v>
      </c>
      <c r="H367">
        <v>1</v>
      </c>
    </row>
    <row r="368" spans="1:8" x14ac:dyDescent="0.3">
      <c r="A368" t="s">
        <v>49</v>
      </c>
      <c r="B368" t="s">
        <v>50</v>
      </c>
      <c r="C368" t="s">
        <v>21</v>
      </c>
      <c r="D368" t="s">
        <v>99</v>
      </c>
      <c r="E368">
        <v>0</v>
      </c>
      <c r="F368">
        <v>0</v>
      </c>
      <c r="G368">
        <v>0</v>
      </c>
      <c r="H368">
        <v>1</v>
      </c>
    </row>
    <row r="369" spans="1:8" x14ac:dyDescent="0.3">
      <c r="A369" t="s">
        <v>49</v>
      </c>
      <c r="B369" t="s">
        <v>50</v>
      </c>
      <c r="C369" t="s">
        <v>21</v>
      </c>
      <c r="D369" t="s">
        <v>101</v>
      </c>
      <c r="E369">
        <v>1</v>
      </c>
      <c r="F369">
        <v>1</v>
      </c>
      <c r="G369">
        <v>1</v>
      </c>
      <c r="H369">
        <v>1</v>
      </c>
    </row>
    <row r="370" spans="1:8" x14ac:dyDescent="0.3">
      <c r="A370" t="s">
        <v>49</v>
      </c>
      <c r="B370" t="s">
        <v>50</v>
      </c>
      <c r="C370" t="s">
        <v>21</v>
      </c>
      <c r="D370" t="s">
        <v>103</v>
      </c>
      <c r="E370">
        <v>0</v>
      </c>
      <c r="F370">
        <v>0</v>
      </c>
      <c r="G370">
        <v>0</v>
      </c>
      <c r="H370">
        <v>1</v>
      </c>
    </row>
    <row r="371" spans="1:8" x14ac:dyDescent="0.3">
      <c r="A371" t="s">
        <v>49</v>
      </c>
      <c r="B371" t="s">
        <v>50</v>
      </c>
      <c r="C371" t="s">
        <v>21</v>
      </c>
      <c r="D371" t="s">
        <v>105</v>
      </c>
      <c r="E371">
        <v>0</v>
      </c>
      <c r="F371">
        <v>0</v>
      </c>
      <c r="G371">
        <v>0</v>
      </c>
      <c r="H371">
        <v>1</v>
      </c>
    </row>
    <row r="372" spans="1:8" x14ac:dyDescent="0.3">
      <c r="A372" t="s">
        <v>49</v>
      </c>
      <c r="B372" t="s">
        <v>50</v>
      </c>
      <c r="C372" t="s">
        <v>21</v>
      </c>
      <c r="D372" t="s">
        <v>107</v>
      </c>
      <c r="E372">
        <v>0</v>
      </c>
      <c r="F372">
        <v>0</v>
      </c>
      <c r="G372">
        <v>0</v>
      </c>
      <c r="H372">
        <v>1</v>
      </c>
    </row>
    <row r="373" spans="1:8" x14ac:dyDescent="0.3">
      <c r="A373" t="s">
        <v>49</v>
      </c>
      <c r="B373" t="s">
        <v>50</v>
      </c>
      <c r="C373" t="s">
        <v>21</v>
      </c>
      <c r="D373" t="s">
        <v>109</v>
      </c>
      <c r="E373">
        <v>1</v>
      </c>
      <c r="F373">
        <v>1</v>
      </c>
      <c r="G373">
        <v>1</v>
      </c>
      <c r="H373">
        <v>1</v>
      </c>
    </row>
    <row r="374" spans="1:8" x14ac:dyDescent="0.3">
      <c r="A374" t="s">
        <v>49</v>
      </c>
      <c r="B374" t="s">
        <v>50</v>
      </c>
      <c r="C374" t="s">
        <v>21</v>
      </c>
      <c r="D374" t="s">
        <v>111</v>
      </c>
      <c r="E374">
        <v>0</v>
      </c>
      <c r="F374">
        <v>0</v>
      </c>
      <c r="G374">
        <v>0</v>
      </c>
      <c r="H374">
        <v>1</v>
      </c>
    </row>
    <row r="375" spans="1:8" x14ac:dyDescent="0.3">
      <c r="A375" t="s">
        <v>49</v>
      </c>
      <c r="B375" t="s">
        <v>50</v>
      </c>
      <c r="C375" t="s">
        <v>23</v>
      </c>
      <c r="D375" t="s">
        <v>77</v>
      </c>
      <c r="E375">
        <v>0</v>
      </c>
      <c r="F375">
        <v>0</v>
      </c>
      <c r="G375">
        <v>0</v>
      </c>
      <c r="H375">
        <v>1</v>
      </c>
    </row>
    <row r="376" spans="1:8" x14ac:dyDescent="0.3">
      <c r="A376" t="s">
        <v>49</v>
      </c>
      <c r="B376" t="s">
        <v>50</v>
      </c>
      <c r="C376" t="s">
        <v>23</v>
      </c>
      <c r="D376" t="s">
        <v>79</v>
      </c>
      <c r="E376">
        <v>0</v>
      </c>
      <c r="F376">
        <v>0</v>
      </c>
      <c r="G376">
        <v>0</v>
      </c>
      <c r="H376">
        <v>1</v>
      </c>
    </row>
    <row r="377" spans="1:8" x14ac:dyDescent="0.3">
      <c r="A377" t="s">
        <v>49</v>
      </c>
      <c r="B377" t="s">
        <v>50</v>
      </c>
      <c r="C377" t="s">
        <v>23</v>
      </c>
      <c r="D377" t="s">
        <v>81</v>
      </c>
      <c r="E377">
        <v>0</v>
      </c>
      <c r="F377">
        <v>0</v>
      </c>
      <c r="G377">
        <v>0</v>
      </c>
      <c r="H377">
        <v>1</v>
      </c>
    </row>
    <row r="378" spans="1:8" x14ac:dyDescent="0.3">
      <c r="A378" t="s">
        <v>49</v>
      </c>
      <c r="B378" t="s">
        <v>50</v>
      </c>
      <c r="C378" t="s">
        <v>23</v>
      </c>
      <c r="D378" t="s">
        <v>83</v>
      </c>
      <c r="E378">
        <v>0</v>
      </c>
      <c r="F378">
        <v>1</v>
      </c>
      <c r="G378">
        <v>0</v>
      </c>
      <c r="H378">
        <v>0</v>
      </c>
    </row>
    <row r="379" spans="1:8" x14ac:dyDescent="0.3">
      <c r="A379" t="s">
        <v>49</v>
      </c>
      <c r="B379" t="s">
        <v>50</v>
      </c>
      <c r="C379" t="s">
        <v>23</v>
      </c>
      <c r="D379" t="s">
        <v>85</v>
      </c>
      <c r="E379">
        <v>0</v>
      </c>
      <c r="F379">
        <v>0</v>
      </c>
      <c r="G379">
        <v>0</v>
      </c>
      <c r="H379">
        <v>1</v>
      </c>
    </row>
    <row r="380" spans="1:8" x14ac:dyDescent="0.3">
      <c r="A380" t="s">
        <v>49</v>
      </c>
      <c r="B380" t="s">
        <v>50</v>
      </c>
      <c r="C380" t="s">
        <v>23</v>
      </c>
      <c r="D380" t="s">
        <v>87</v>
      </c>
      <c r="E380">
        <v>0</v>
      </c>
      <c r="F380">
        <v>0</v>
      </c>
      <c r="G380">
        <v>0</v>
      </c>
      <c r="H380">
        <v>1</v>
      </c>
    </row>
    <row r="381" spans="1:8" x14ac:dyDescent="0.3">
      <c r="A381" t="s">
        <v>49</v>
      </c>
      <c r="B381" t="s">
        <v>50</v>
      </c>
      <c r="C381" t="s">
        <v>23</v>
      </c>
      <c r="D381" t="s">
        <v>89</v>
      </c>
      <c r="E381">
        <v>0</v>
      </c>
      <c r="F381">
        <v>0</v>
      </c>
      <c r="G381">
        <v>0</v>
      </c>
      <c r="H381">
        <v>1</v>
      </c>
    </row>
    <row r="382" spans="1:8" x14ac:dyDescent="0.3">
      <c r="A382" t="s">
        <v>49</v>
      </c>
      <c r="B382" t="s">
        <v>50</v>
      </c>
      <c r="C382" t="s">
        <v>23</v>
      </c>
      <c r="D382" t="s">
        <v>91</v>
      </c>
      <c r="E382">
        <v>0</v>
      </c>
      <c r="F382">
        <v>0</v>
      </c>
      <c r="G382">
        <v>0</v>
      </c>
      <c r="H382">
        <v>1</v>
      </c>
    </row>
    <row r="383" spans="1:8" x14ac:dyDescent="0.3">
      <c r="A383" t="s">
        <v>49</v>
      </c>
      <c r="B383" t="s">
        <v>50</v>
      </c>
      <c r="C383" t="s">
        <v>23</v>
      </c>
      <c r="D383" t="s">
        <v>93</v>
      </c>
      <c r="E383">
        <v>0</v>
      </c>
      <c r="F383">
        <v>0</v>
      </c>
      <c r="G383">
        <v>0</v>
      </c>
      <c r="H383">
        <v>1</v>
      </c>
    </row>
    <row r="384" spans="1:8" x14ac:dyDescent="0.3">
      <c r="A384" t="s">
        <v>49</v>
      </c>
      <c r="B384" t="s">
        <v>50</v>
      </c>
      <c r="C384" t="s">
        <v>23</v>
      </c>
      <c r="D384" t="s">
        <v>95</v>
      </c>
      <c r="E384">
        <v>0</v>
      </c>
      <c r="F384">
        <v>0</v>
      </c>
      <c r="G384">
        <v>0</v>
      </c>
      <c r="H384">
        <v>1</v>
      </c>
    </row>
    <row r="385" spans="1:8" x14ac:dyDescent="0.3">
      <c r="A385" t="s">
        <v>49</v>
      </c>
      <c r="B385" t="s">
        <v>50</v>
      </c>
      <c r="C385" t="s">
        <v>23</v>
      </c>
      <c r="D385" t="s">
        <v>97</v>
      </c>
      <c r="E385">
        <v>0</v>
      </c>
      <c r="F385">
        <v>0</v>
      </c>
      <c r="G385">
        <v>0</v>
      </c>
      <c r="H385">
        <v>1</v>
      </c>
    </row>
    <row r="386" spans="1:8" x14ac:dyDescent="0.3">
      <c r="A386" t="s">
        <v>49</v>
      </c>
      <c r="B386" t="s">
        <v>50</v>
      </c>
      <c r="C386" t="s">
        <v>23</v>
      </c>
      <c r="D386" t="s">
        <v>99</v>
      </c>
      <c r="E386">
        <v>0</v>
      </c>
      <c r="F386">
        <v>0</v>
      </c>
      <c r="G386">
        <v>0</v>
      </c>
      <c r="H386">
        <v>1</v>
      </c>
    </row>
    <row r="387" spans="1:8" x14ac:dyDescent="0.3">
      <c r="A387" t="s">
        <v>49</v>
      </c>
      <c r="B387" t="s">
        <v>50</v>
      </c>
      <c r="C387" t="s">
        <v>23</v>
      </c>
      <c r="D387" t="s">
        <v>101</v>
      </c>
      <c r="E387">
        <v>0</v>
      </c>
      <c r="F387">
        <v>0</v>
      </c>
      <c r="G387">
        <v>0</v>
      </c>
      <c r="H387">
        <v>1</v>
      </c>
    </row>
    <row r="388" spans="1:8" x14ac:dyDescent="0.3">
      <c r="A388" t="s">
        <v>49</v>
      </c>
      <c r="B388" t="s">
        <v>50</v>
      </c>
      <c r="C388" t="s">
        <v>23</v>
      </c>
      <c r="D388" t="s">
        <v>103</v>
      </c>
      <c r="E388">
        <v>0</v>
      </c>
      <c r="F388">
        <v>0</v>
      </c>
      <c r="G388">
        <v>0</v>
      </c>
      <c r="H388">
        <v>1</v>
      </c>
    </row>
    <row r="389" spans="1:8" x14ac:dyDescent="0.3">
      <c r="A389" t="s">
        <v>49</v>
      </c>
      <c r="B389" t="s">
        <v>50</v>
      </c>
      <c r="C389" t="s">
        <v>23</v>
      </c>
      <c r="D389" t="s">
        <v>105</v>
      </c>
      <c r="E389">
        <v>0</v>
      </c>
      <c r="F389">
        <v>0</v>
      </c>
      <c r="G389">
        <v>0</v>
      </c>
      <c r="H389">
        <v>1</v>
      </c>
    </row>
    <row r="390" spans="1:8" x14ac:dyDescent="0.3">
      <c r="A390" t="s">
        <v>49</v>
      </c>
      <c r="B390" t="s">
        <v>50</v>
      </c>
      <c r="C390" t="s">
        <v>23</v>
      </c>
      <c r="D390" t="s">
        <v>107</v>
      </c>
      <c r="E390">
        <v>0</v>
      </c>
      <c r="F390">
        <v>0</v>
      </c>
      <c r="G390">
        <v>0</v>
      </c>
      <c r="H390">
        <v>1</v>
      </c>
    </row>
    <row r="391" spans="1:8" x14ac:dyDescent="0.3">
      <c r="A391" t="s">
        <v>49</v>
      </c>
      <c r="B391" t="s">
        <v>50</v>
      </c>
      <c r="C391" t="s">
        <v>23</v>
      </c>
      <c r="D391" t="s">
        <v>109</v>
      </c>
      <c r="E391">
        <v>1</v>
      </c>
      <c r="F391">
        <v>1</v>
      </c>
      <c r="G391">
        <v>1</v>
      </c>
      <c r="H391">
        <v>1</v>
      </c>
    </row>
    <row r="392" spans="1:8" x14ac:dyDescent="0.3">
      <c r="A392" t="s">
        <v>49</v>
      </c>
      <c r="B392" t="s">
        <v>50</v>
      </c>
      <c r="C392" t="s">
        <v>23</v>
      </c>
      <c r="D392" t="s">
        <v>111</v>
      </c>
      <c r="E392">
        <v>0</v>
      </c>
      <c r="F392">
        <v>0</v>
      </c>
      <c r="G392">
        <v>0</v>
      </c>
      <c r="H392">
        <v>1</v>
      </c>
    </row>
    <row r="393" spans="1:8" x14ac:dyDescent="0.3">
      <c r="A393" t="s">
        <v>49</v>
      </c>
      <c r="B393" t="s">
        <v>50</v>
      </c>
      <c r="C393" t="s">
        <v>24</v>
      </c>
      <c r="D393" t="s">
        <v>77</v>
      </c>
      <c r="E393">
        <v>0</v>
      </c>
      <c r="F393">
        <v>1</v>
      </c>
      <c r="G393">
        <v>0</v>
      </c>
      <c r="H393">
        <v>0</v>
      </c>
    </row>
    <row r="394" spans="1:8" x14ac:dyDescent="0.3">
      <c r="A394" t="s">
        <v>49</v>
      </c>
      <c r="B394" t="s">
        <v>50</v>
      </c>
      <c r="C394" t="s">
        <v>24</v>
      </c>
      <c r="D394" t="s">
        <v>79</v>
      </c>
      <c r="E394">
        <v>0</v>
      </c>
      <c r="F394">
        <v>0</v>
      </c>
      <c r="G394">
        <v>0</v>
      </c>
      <c r="H394">
        <v>1</v>
      </c>
    </row>
    <row r="395" spans="1:8" x14ac:dyDescent="0.3">
      <c r="A395" t="s">
        <v>49</v>
      </c>
      <c r="B395" t="s">
        <v>50</v>
      </c>
      <c r="C395" t="s">
        <v>24</v>
      </c>
      <c r="D395" t="s">
        <v>81</v>
      </c>
      <c r="E395">
        <v>1</v>
      </c>
      <c r="F395">
        <v>1</v>
      </c>
      <c r="G395">
        <v>1</v>
      </c>
      <c r="H395">
        <v>1</v>
      </c>
    </row>
    <row r="396" spans="1:8" x14ac:dyDescent="0.3">
      <c r="A396" t="s">
        <v>49</v>
      </c>
      <c r="B396" t="s">
        <v>50</v>
      </c>
      <c r="C396" t="s">
        <v>24</v>
      </c>
      <c r="D396" t="s">
        <v>83</v>
      </c>
      <c r="E396">
        <v>1</v>
      </c>
      <c r="F396">
        <v>1</v>
      </c>
      <c r="G396">
        <v>1</v>
      </c>
      <c r="H396">
        <v>1</v>
      </c>
    </row>
    <row r="397" spans="1:8" x14ac:dyDescent="0.3">
      <c r="A397" t="s">
        <v>49</v>
      </c>
      <c r="B397" t="s">
        <v>50</v>
      </c>
      <c r="C397" t="s">
        <v>24</v>
      </c>
      <c r="D397" t="s">
        <v>85</v>
      </c>
      <c r="E397">
        <v>0</v>
      </c>
      <c r="F397">
        <v>0</v>
      </c>
      <c r="G397">
        <v>0</v>
      </c>
      <c r="H397">
        <v>1</v>
      </c>
    </row>
    <row r="398" spans="1:8" x14ac:dyDescent="0.3">
      <c r="A398" t="s">
        <v>49</v>
      </c>
      <c r="B398" t="s">
        <v>50</v>
      </c>
      <c r="C398" t="s">
        <v>24</v>
      </c>
      <c r="D398" t="s">
        <v>87</v>
      </c>
      <c r="E398">
        <v>0</v>
      </c>
      <c r="F398">
        <v>0</v>
      </c>
      <c r="G398">
        <v>0</v>
      </c>
      <c r="H398">
        <v>1</v>
      </c>
    </row>
    <row r="399" spans="1:8" x14ac:dyDescent="0.3">
      <c r="A399" t="s">
        <v>49</v>
      </c>
      <c r="B399" t="s">
        <v>50</v>
      </c>
      <c r="C399" t="s">
        <v>24</v>
      </c>
      <c r="D399" t="s">
        <v>89</v>
      </c>
      <c r="E399">
        <v>0</v>
      </c>
      <c r="F399">
        <v>0</v>
      </c>
      <c r="G399">
        <v>0</v>
      </c>
      <c r="H399">
        <v>1</v>
      </c>
    </row>
    <row r="400" spans="1:8" x14ac:dyDescent="0.3">
      <c r="A400" t="s">
        <v>49</v>
      </c>
      <c r="B400" t="s">
        <v>50</v>
      </c>
      <c r="C400" t="s">
        <v>24</v>
      </c>
      <c r="D400" t="s">
        <v>91</v>
      </c>
      <c r="E400">
        <v>0</v>
      </c>
      <c r="F400">
        <v>0</v>
      </c>
      <c r="G400">
        <v>0</v>
      </c>
      <c r="H400">
        <v>1</v>
      </c>
    </row>
    <row r="401" spans="1:8" x14ac:dyDescent="0.3">
      <c r="A401" t="s">
        <v>49</v>
      </c>
      <c r="B401" t="s">
        <v>50</v>
      </c>
      <c r="C401" t="s">
        <v>24</v>
      </c>
      <c r="D401" t="s">
        <v>93</v>
      </c>
      <c r="E401">
        <v>0</v>
      </c>
      <c r="F401">
        <v>0</v>
      </c>
      <c r="G401">
        <v>0</v>
      </c>
      <c r="H401">
        <v>1</v>
      </c>
    </row>
    <row r="402" spans="1:8" x14ac:dyDescent="0.3">
      <c r="A402" t="s">
        <v>49</v>
      </c>
      <c r="B402" t="s">
        <v>50</v>
      </c>
      <c r="C402" t="s">
        <v>24</v>
      </c>
      <c r="D402" t="s">
        <v>95</v>
      </c>
      <c r="E402">
        <v>0</v>
      </c>
      <c r="F402">
        <v>0</v>
      </c>
      <c r="G402">
        <v>0</v>
      </c>
      <c r="H402">
        <v>1</v>
      </c>
    </row>
    <row r="403" spans="1:8" x14ac:dyDescent="0.3">
      <c r="A403" t="s">
        <v>49</v>
      </c>
      <c r="B403" t="s">
        <v>50</v>
      </c>
      <c r="C403" t="s">
        <v>24</v>
      </c>
      <c r="D403" t="s">
        <v>97</v>
      </c>
      <c r="E403">
        <v>0</v>
      </c>
      <c r="F403">
        <v>0</v>
      </c>
      <c r="G403">
        <v>0</v>
      </c>
      <c r="H403">
        <v>1</v>
      </c>
    </row>
    <row r="404" spans="1:8" x14ac:dyDescent="0.3">
      <c r="A404" t="s">
        <v>49</v>
      </c>
      <c r="B404" t="s">
        <v>50</v>
      </c>
      <c r="C404" t="s">
        <v>24</v>
      </c>
      <c r="D404" t="s">
        <v>99</v>
      </c>
      <c r="E404">
        <v>0</v>
      </c>
      <c r="F404">
        <v>0</v>
      </c>
      <c r="G404">
        <v>0</v>
      </c>
      <c r="H404">
        <v>1</v>
      </c>
    </row>
    <row r="405" spans="1:8" x14ac:dyDescent="0.3">
      <c r="A405" t="s">
        <v>49</v>
      </c>
      <c r="B405" t="s">
        <v>50</v>
      </c>
      <c r="C405" t="s">
        <v>24</v>
      </c>
      <c r="D405" t="s">
        <v>101</v>
      </c>
      <c r="E405">
        <v>1</v>
      </c>
      <c r="F405">
        <v>1</v>
      </c>
      <c r="G405">
        <v>1</v>
      </c>
      <c r="H405">
        <v>1</v>
      </c>
    </row>
    <row r="406" spans="1:8" x14ac:dyDescent="0.3">
      <c r="A406" t="s">
        <v>49</v>
      </c>
      <c r="B406" t="s">
        <v>50</v>
      </c>
      <c r="C406" t="s">
        <v>24</v>
      </c>
      <c r="D406" t="s">
        <v>103</v>
      </c>
      <c r="E406">
        <v>0</v>
      </c>
      <c r="F406">
        <v>0</v>
      </c>
      <c r="G406">
        <v>0</v>
      </c>
      <c r="H406">
        <v>1</v>
      </c>
    </row>
    <row r="407" spans="1:8" x14ac:dyDescent="0.3">
      <c r="A407" t="s">
        <v>49</v>
      </c>
      <c r="B407" t="s">
        <v>50</v>
      </c>
      <c r="C407" t="s">
        <v>24</v>
      </c>
      <c r="D407" t="s">
        <v>105</v>
      </c>
      <c r="E407">
        <v>0</v>
      </c>
      <c r="F407">
        <v>0</v>
      </c>
      <c r="G407">
        <v>0</v>
      </c>
      <c r="H407">
        <v>1</v>
      </c>
    </row>
    <row r="408" spans="1:8" x14ac:dyDescent="0.3">
      <c r="A408" t="s">
        <v>49</v>
      </c>
      <c r="B408" t="s">
        <v>50</v>
      </c>
      <c r="C408" t="s">
        <v>24</v>
      </c>
      <c r="D408" t="s">
        <v>107</v>
      </c>
      <c r="E408">
        <v>0</v>
      </c>
      <c r="F408">
        <v>0</v>
      </c>
      <c r="G408">
        <v>0</v>
      </c>
      <c r="H408">
        <v>1</v>
      </c>
    </row>
    <row r="409" spans="1:8" x14ac:dyDescent="0.3">
      <c r="A409" t="s">
        <v>49</v>
      </c>
      <c r="B409" t="s">
        <v>50</v>
      </c>
      <c r="C409" t="s">
        <v>24</v>
      </c>
      <c r="D409" t="s">
        <v>109</v>
      </c>
      <c r="E409">
        <v>0</v>
      </c>
      <c r="F409">
        <v>1</v>
      </c>
      <c r="G409">
        <v>1</v>
      </c>
      <c r="H409">
        <v>0</v>
      </c>
    </row>
    <row r="410" spans="1:8" x14ac:dyDescent="0.3">
      <c r="A410" t="s">
        <v>49</v>
      </c>
      <c r="B410" t="s">
        <v>50</v>
      </c>
      <c r="C410" t="s">
        <v>24</v>
      </c>
      <c r="D410" t="s">
        <v>111</v>
      </c>
      <c r="E410">
        <v>0</v>
      </c>
      <c r="F410">
        <v>0</v>
      </c>
      <c r="G410">
        <v>0</v>
      </c>
      <c r="H410">
        <v>1</v>
      </c>
    </row>
    <row r="411" spans="1:8" x14ac:dyDescent="0.3">
      <c r="A411" t="s">
        <v>49</v>
      </c>
      <c r="B411" t="s">
        <v>50</v>
      </c>
      <c r="C411" t="s">
        <v>25</v>
      </c>
      <c r="D411" t="s">
        <v>77</v>
      </c>
      <c r="E411">
        <v>0</v>
      </c>
      <c r="F411">
        <v>0</v>
      </c>
      <c r="G411">
        <v>0</v>
      </c>
      <c r="H411">
        <v>1</v>
      </c>
    </row>
    <row r="412" spans="1:8" x14ac:dyDescent="0.3">
      <c r="A412" t="s">
        <v>49</v>
      </c>
      <c r="B412" t="s">
        <v>50</v>
      </c>
      <c r="C412" t="s">
        <v>25</v>
      </c>
      <c r="D412" t="s">
        <v>79</v>
      </c>
      <c r="E412">
        <v>0</v>
      </c>
      <c r="F412">
        <v>0</v>
      </c>
      <c r="G412">
        <v>0</v>
      </c>
      <c r="H412">
        <v>1</v>
      </c>
    </row>
    <row r="413" spans="1:8" x14ac:dyDescent="0.3">
      <c r="A413" t="s">
        <v>49</v>
      </c>
      <c r="B413" t="s">
        <v>50</v>
      </c>
      <c r="C413" t="s">
        <v>25</v>
      </c>
      <c r="D413" t="s">
        <v>81</v>
      </c>
      <c r="E413">
        <v>1</v>
      </c>
      <c r="F413">
        <v>1</v>
      </c>
      <c r="G413">
        <v>1</v>
      </c>
      <c r="H413">
        <v>1</v>
      </c>
    </row>
    <row r="414" spans="1:8" x14ac:dyDescent="0.3">
      <c r="A414" t="s">
        <v>49</v>
      </c>
      <c r="B414" t="s">
        <v>50</v>
      </c>
      <c r="C414" t="s">
        <v>25</v>
      </c>
      <c r="D414" t="s">
        <v>83</v>
      </c>
      <c r="E414">
        <v>0</v>
      </c>
      <c r="F414">
        <v>0</v>
      </c>
      <c r="G414">
        <v>0</v>
      </c>
      <c r="H414">
        <v>1</v>
      </c>
    </row>
    <row r="415" spans="1:8" x14ac:dyDescent="0.3">
      <c r="A415" t="s">
        <v>49</v>
      </c>
      <c r="B415" t="s">
        <v>50</v>
      </c>
      <c r="C415" t="s">
        <v>25</v>
      </c>
      <c r="D415" t="s">
        <v>85</v>
      </c>
      <c r="E415">
        <v>0</v>
      </c>
      <c r="F415">
        <v>0</v>
      </c>
      <c r="G415">
        <v>0</v>
      </c>
      <c r="H415">
        <v>1</v>
      </c>
    </row>
    <row r="416" spans="1:8" x14ac:dyDescent="0.3">
      <c r="A416" t="s">
        <v>49</v>
      </c>
      <c r="B416" t="s">
        <v>50</v>
      </c>
      <c r="C416" t="s">
        <v>25</v>
      </c>
      <c r="D416" t="s">
        <v>87</v>
      </c>
      <c r="E416">
        <v>0</v>
      </c>
      <c r="F416">
        <v>0</v>
      </c>
      <c r="G416">
        <v>0</v>
      </c>
      <c r="H416">
        <v>1</v>
      </c>
    </row>
    <row r="417" spans="1:8" x14ac:dyDescent="0.3">
      <c r="A417" t="s">
        <v>49</v>
      </c>
      <c r="B417" t="s">
        <v>50</v>
      </c>
      <c r="C417" t="s">
        <v>25</v>
      </c>
      <c r="D417" t="s">
        <v>89</v>
      </c>
      <c r="E417">
        <v>0</v>
      </c>
      <c r="F417">
        <v>0</v>
      </c>
      <c r="G417">
        <v>0</v>
      </c>
      <c r="H417">
        <v>1</v>
      </c>
    </row>
    <row r="418" spans="1:8" x14ac:dyDescent="0.3">
      <c r="A418" t="s">
        <v>49</v>
      </c>
      <c r="B418" t="s">
        <v>50</v>
      </c>
      <c r="C418" t="s">
        <v>25</v>
      </c>
      <c r="D418" t="s">
        <v>91</v>
      </c>
      <c r="E418">
        <v>0</v>
      </c>
      <c r="F418">
        <v>0</v>
      </c>
      <c r="G418">
        <v>0</v>
      </c>
      <c r="H418">
        <v>1</v>
      </c>
    </row>
    <row r="419" spans="1:8" x14ac:dyDescent="0.3">
      <c r="A419" t="s">
        <v>49</v>
      </c>
      <c r="B419" t="s">
        <v>50</v>
      </c>
      <c r="C419" t="s">
        <v>25</v>
      </c>
      <c r="D419" t="s">
        <v>93</v>
      </c>
      <c r="E419">
        <v>0</v>
      </c>
      <c r="F419">
        <v>0</v>
      </c>
      <c r="G419">
        <v>0</v>
      </c>
      <c r="H419">
        <v>1</v>
      </c>
    </row>
    <row r="420" spans="1:8" x14ac:dyDescent="0.3">
      <c r="A420" t="s">
        <v>49</v>
      </c>
      <c r="B420" t="s">
        <v>50</v>
      </c>
      <c r="C420" t="s">
        <v>25</v>
      </c>
      <c r="D420" t="s">
        <v>95</v>
      </c>
      <c r="E420">
        <v>0</v>
      </c>
      <c r="F420">
        <v>0</v>
      </c>
      <c r="G420">
        <v>0</v>
      </c>
      <c r="H420">
        <v>1</v>
      </c>
    </row>
    <row r="421" spans="1:8" x14ac:dyDescent="0.3">
      <c r="A421" t="s">
        <v>49</v>
      </c>
      <c r="B421" t="s">
        <v>50</v>
      </c>
      <c r="C421" t="s">
        <v>25</v>
      </c>
      <c r="D421" t="s">
        <v>97</v>
      </c>
      <c r="E421">
        <v>0</v>
      </c>
      <c r="F421">
        <v>0</v>
      </c>
      <c r="G421">
        <v>0</v>
      </c>
      <c r="H421">
        <v>1</v>
      </c>
    </row>
    <row r="422" spans="1:8" x14ac:dyDescent="0.3">
      <c r="A422" t="s">
        <v>49</v>
      </c>
      <c r="B422" t="s">
        <v>50</v>
      </c>
      <c r="C422" t="s">
        <v>25</v>
      </c>
      <c r="D422" t="s">
        <v>99</v>
      </c>
      <c r="E422">
        <v>0</v>
      </c>
      <c r="F422">
        <v>0</v>
      </c>
      <c r="G422">
        <v>0</v>
      </c>
      <c r="H422">
        <v>1</v>
      </c>
    </row>
    <row r="423" spans="1:8" x14ac:dyDescent="0.3">
      <c r="A423" t="s">
        <v>49</v>
      </c>
      <c r="B423" t="s">
        <v>50</v>
      </c>
      <c r="C423" t="s">
        <v>25</v>
      </c>
      <c r="D423" t="s">
        <v>101</v>
      </c>
      <c r="E423">
        <v>0</v>
      </c>
      <c r="F423">
        <v>0</v>
      </c>
      <c r="G423">
        <v>0</v>
      </c>
      <c r="H423">
        <v>1</v>
      </c>
    </row>
    <row r="424" spans="1:8" x14ac:dyDescent="0.3">
      <c r="A424" t="s">
        <v>49</v>
      </c>
      <c r="B424" t="s">
        <v>50</v>
      </c>
      <c r="C424" t="s">
        <v>25</v>
      </c>
      <c r="D424" t="s">
        <v>103</v>
      </c>
      <c r="E424">
        <v>0</v>
      </c>
      <c r="F424">
        <v>0</v>
      </c>
      <c r="G424">
        <v>0</v>
      </c>
      <c r="H424">
        <v>1</v>
      </c>
    </row>
    <row r="425" spans="1:8" x14ac:dyDescent="0.3">
      <c r="A425" t="s">
        <v>49</v>
      </c>
      <c r="B425" t="s">
        <v>50</v>
      </c>
      <c r="C425" t="s">
        <v>25</v>
      </c>
      <c r="D425" t="s">
        <v>105</v>
      </c>
      <c r="E425">
        <v>0</v>
      </c>
      <c r="F425">
        <v>0</v>
      </c>
      <c r="G425">
        <v>0</v>
      </c>
      <c r="H425">
        <v>1</v>
      </c>
    </row>
    <row r="426" spans="1:8" x14ac:dyDescent="0.3">
      <c r="A426" t="s">
        <v>49</v>
      </c>
      <c r="B426" t="s">
        <v>50</v>
      </c>
      <c r="C426" t="s">
        <v>25</v>
      </c>
      <c r="D426" t="s">
        <v>107</v>
      </c>
      <c r="E426">
        <v>0</v>
      </c>
      <c r="F426">
        <v>0</v>
      </c>
      <c r="G426">
        <v>0</v>
      </c>
      <c r="H426">
        <v>1</v>
      </c>
    </row>
    <row r="427" spans="1:8" x14ac:dyDescent="0.3">
      <c r="A427" t="s">
        <v>49</v>
      </c>
      <c r="B427" t="s">
        <v>50</v>
      </c>
      <c r="C427" t="s">
        <v>25</v>
      </c>
      <c r="D427" t="s">
        <v>111</v>
      </c>
      <c r="E427">
        <v>0</v>
      </c>
      <c r="F427">
        <v>0</v>
      </c>
      <c r="G427">
        <v>0</v>
      </c>
      <c r="H427">
        <v>1</v>
      </c>
    </row>
    <row r="428" spans="1:8" x14ac:dyDescent="0.3">
      <c r="A428" t="s">
        <v>51</v>
      </c>
      <c r="B428" t="s">
        <v>52</v>
      </c>
      <c r="C428" t="s">
        <v>21</v>
      </c>
      <c r="D428" t="s">
        <v>77</v>
      </c>
      <c r="E428">
        <v>0</v>
      </c>
      <c r="F428">
        <v>0</v>
      </c>
      <c r="G428">
        <v>0</v>
      </c>
      <c r="H428">
        <v>1</v>
      </c>
    </row>
    <row r="429" spans="1:8" x14ac:dyDescent="0.3">
      <c r="A429" t="s">
        <v>51</v>
      </c>
      <c r="B429" t="s">
        <v>52</v>
      </c>
      <c r="C429" t="s">
        <v>21</v>
      </c>
      <c r="D429" t="s">
        <v>79</v>
      </c>
      <c r="E429">
        <v>0</v>
      </c>
      <c r="F429">
        <v>0</v>
      </c>
      <c r="G429">
        <v>0</v>
      </c>
      <c r="H429">
        <v>1</v>
      </c>
    </row>
    <row r="430" spans="1:8" x14ac:dyDescent="0.3">
      <c r="A430" t="s">
        <v>51</v>
      </c>
      <c r="B430" t="s">
        <v>52</v>
      </c>
      <c r="C430" t="s">
        <v>21</v>
      </c>
      <c r="D430" t="s">
        <v>81</v>
      </c>
      <c r="E430">
        <v>1</v>
      </c>
      <c r="F430">
        <v>1</v>
      </c>
      <c r="G430">
        <v>1</v>
      </c>
      <c r="H430">
        <v>1</v>
      </c>
    </row>
    <row r="431" spans="1:8" x14ac:dyDescent="0.3">
      <c r="A431" t="s">
        <v>51</v>
      </c>
      <c r="B431" t="s">
        <v>52</v>
      </c>
      <c r="C431" t="s">
        <v>21</v>
      </c>
      <c r="D431" t="s">
        <v>83</v>
      </c>
      <c r="E431">
        <v>0</v>
      </c>
      <c r="F431">
        <v>0</v>
      </c>
      <c r="G431">
        <v>0</v>
      </c>
      <c r="H431">
        <v>1</v>
      </c>
    </row>
    <row r="432" spans="1:8" x14ac:dyDescent="0.3">
      <c r="A432" t="s">
        <v>51</v>
      </c>
      <c r="B432" t="s">
        <v>52</v>
      </c>
      <c r="C432" t="s">
        <v>21</v>
      </c>
      <c r="D432" t="s">
        <v>85</v>
      </c>
      <c r="E432">
        <v>0</v>
      </c>
      <c r="F432">
        <v>0</v>
      </c>
      <c r="G432">
        <v>0</v>
      </c>
      <c r="H432">
        <v>1</v>
      </c>
    </row>
    <row r="433" spans="1:8" x14ac:dyDescent="0.3">
      <c r="A433" t="s">
        <v>51</v>
      </c>
      <c r="B433" t="s">
        <v>52</v>
      </c>
      <c r="C433" t="s">
        <v>21</v>
      </c>
      <c r="D433" t="s">
        <v>87</v>
      </c>
      <c r="E433">
        <v>0</v>
      </c>
      <c r="F433">
        <v>0</v>
      </c>
      <c r="G433">
        <v>0</v>
      </c>
      <c r="H433">
        <v>1</v>
      </c>
    </row>
    <row r="434" spans="1:8" x14ac:dyDescent="0.3">
      <c r="A434" t="s">
        <v>51</v>
      </c>
      <c r="B434" t="s">
        <v>52</v>
      </c>
      <c r="C434" t="s">
        <v>21</v>
      </c>
      <c r="D434" t="s">
        <v>89</v>
      </c>
      <c r="E434">
        <v>0</v>
      </c>
      <c r="F434">
        <v>0</v>
      </c>
      <c r="G434">
        <v>0</v>
      </c>
      <c r="H434">
        <v>1</v>
      </c>
    </row>
    <row r="435" spans="1:8" x14ac:dyDescent="0.3">
      <c r="A435" t="s">
        <v>51</v>
      </c>
      <c r="B435" t="s">
        <v>52</v>
      </c>
      <c r="C435" t="s">
        <v>21</v>
      </c>
      <c r="D435" t="s">
        <v>91</v>
      </c>
      <c r="E435">
        <v>0</v>
      </c>
      <c r="F435">
        <v>0</v>
      </c>
      <c r="G435">
        <v>0</v>
      </c>
      <c r="H435">
        <v>1</v>
      </c>
    </row>
    <row r="436" spans="1:8" x14ac:dyDescent="0.3">
      <c r="A436" t="s">
        <v>51</v>
      </c>
      <c r="B436" t="s">
        <v>52</v>
      </c>
      <c r="C436" t="s">
        <v>21</v>
      </c>
      <c r="D436" t="s">
        <v>93</v>
      </c>
      <c r="E436">
        <v>0</v>
      </c>
      <c r="F436">
        <v>0</v>
      </c>
      <c r="G436">
        <v>0</v>
      </c>
      <c r="H436">
        <v>1</v>
      </c>
    </row>
    <row r="437" spans="1:8" x14ac:dyDescent="0.3">
      <c r="A437" t="s">
        <v>51</v>
      </c>
      <c r="B437" t="s">
        <v>52</v>
      </c>
      <c r="C437" t="s">
        <v>21</v>
      </c>
      <c r="D437" t="s">
        <v>95</v>
      </c>
      <c r="E437">
        <v>0</v>
      </c>
      <c r="F437">
        <v>0</v>
      </c>
      <c r="G437">
        <v>0</v>
      </c>
      <c r="H437">
        <v>1</v>
      </c>
    </row>
    <row r="438" spans="1:8" x14ac:dyDescent="0.3">
      <c r="A438" t="s">
        <v>51</v>
      </c>
      <c r="B438" t="s">
        <v>52</v>
      </c>
      <c r="C438" t="s">
        <v>21</v>
      </c>
      <c r="D438" t="s">
        <v>97</v>
      </c>
      <c r="E438">
        <v>0</v>
      </c>
      <c r="F438">
        <v>0</v>
      </c>
      <c r="G438">
        <v>0</v>
      </c>
      <c r="H438">
        <v>1</v>
      </c>
    </row>
    <row r="439" spans="1:8" x14ac:dyDescent="0.3">
      <c r="A439" t="s">
        <v>51</v>
      </c>
      <c r="B439" t="s">
        <v>52</v>
      </c>
      <c r="C439" t="s">
        <v>21</v>
      </c>
      <c r="D439" t="s">
        <v>99</v>
      </c>
      <c r="E439">
        <v>0</v>
      </c>
      <c r="F439">
        <v>0</v>
      </c>
      <c r="G439">
        <v>0</v>
      </c>
      <c r="H439">
        <v>1</v>
      </c>
    </row>
    <row r="440" spans="1:8" x14ac:dyDescent="0.3">
      <c r="A440" t="s">
        <v>51</v>
      </c>
      <c r="B440" t="s">
        <v>52</v>
      </c>
      <c r="C440" t="s">
        <v>21</v>
      </c>
      <c r="D440" t="s">
        <v>101</v>
      </c>
      <c r="E440">
        <v>0</v>
      </c>
      <c r="F440">
        <v>0</v>
      </c>
      <c r="G440">
        <v>0</v>
      </c>
      <c r="H440">
        <v>1</v>
      </c>
    </row>
    <row r="441" spans="1:8" x14ac:dyDescent="0.3">
      <c r="A441" t="s">
        <v>51</v>
      </c>
      <c r="B441" t="s">
        <v>52</v>
      </c>
      <c r="C441" t="s">
        <v>21</v>
      </c>
      <c r="D441" t="s">
        <v>103</v>
      </c>
      <c r="E441">
        <v>0</v>
      </c>
      <c r="F441">
        <v>0</v>
      </c>
      <c r="G441">
        <v>0</v>
      </c>
      <c r="H441">
        <v>1</v>
      </c>
    </row>
    <row r="442" spans="1:8" x14ac:dyDescent="0.3">
      <c r="A442" t="s">
        <v>51</v>
      </c>
      <c r="B442" t="s">
        <v>52</v>
      </c>
      <c r="C442" t="s">
        <v>21</v>
      </c>
      <c r="D442" t="s">
        <v>105</v>
      </c>
      <c r="E442">
        <v>0</v>
      </c>
      <c r="F442">
        <v>0</v>
      </c>
      <c r="G442">
        <v>0</v>
      </c>
      <c r="H442">
        <v>1</v>
      </c>
    </row>
    <row r="443" spans="1:8" x14ac:dyDescent="0.3">
      <c r="A443" t="s">
        <v>51</v>
      </c>
      <c r="B443" t="s">
        <v>52</v>
      </c>
      <c r="C443" t="s">
        <v>21</v>
      </c>
      <c r="D443" t="s">
        <v>107</v>
      </c>
      <c r="E443">
        <v>0</v>
      </c>
      <c r="F443">
        <v>0</v>
      </c>
      <c r="G443">
        <v>0</v>
      </c>
      <c r="H443">
        <v>1</v>
      </c>
    </row>
    <row r="444" spans="1:8" x14ac:dyDescent="0.3">
      <c r="A444" t="s">
        <v>51</v>
      </c>
      <c r="B444" t="s">
        <v>52</v>
      </c>
      <c r="C444" t="s">
        <v>21</v>
      </c>
      <c r="D444" t="s">
        <v>109</v>
      </c>
      <c r="E444">
        <v>1</v>
      </c>
      <c r="F444">
        <v>1</v>
      </c>
      <c r="G444">
        <v>1</v>
      </c>
      <c r="H444">
        <v>1</v>
      </c>
    </row>
    <row r="445" spans="1:8" x14ac:dyDescent="0.3">
      <c r="A445" t="s">
        <v>51</v>
      </c>
      <c r="B445" t="s">
        <v>52</v>
      </c>
      <c r="C445" t="s">
        <v>21</v>
      </c>
      <c r="D445" t="s">
        <v>111</v>
      </c>
      <c r="E445">
        <v>0</v>
      </c>
      <c r="F445">
        <v>0</v>
      </c>
      <c r="G445">
        <v>0</v>
      </c>
      <c r="H445">
        <v>1</v>
      </c>
    </row>
    <row r="446" spans="1:8" x14ac:dyDescent="0.3">
      <c r="A446" t="s">
        <v>51</v>
      </c>
      <c r="B446" t="s">
        <v>52</v>
      </c>
      <c r="C446" t="s">
        <v>23</v>
      </c>
      <c r="D446" t="s">
        <v>77</v>
      </c>
      <c r="E446">
        <v>0</v>
      </c>
      <c r="F446">
        <v>0</v>
      </c>
      <c r="G446">
        <v>0</v>
      </c>
      <c r="H446">
        <v>1</v>
      </c>
    </row>
    <row r="447" spans="1:8" x14ac:dyDescent="0.3">
      <c r="A447" t="s">
        <v>51</v>
      </c>
      <c r="B447" t="s">
        <v>52</v>
      </c>
      <c r="C447" t="s">
        <v>23</v>
      </c>
      <c r="D447" t="s">
        <v>79</v>
      </c>
      <c r="E447">
        <v>1</v>
      </c>
      <c r="F447">
        <v>1</v>
      </c>
      <c r="G447">
        <v>1</v>
      </c>
      <c r="H447">
        <v>1</v>
      </c>
    </row>
    <row r="448" spans="1:8" x14ac:dyDescent="0.3">
      <c r="A448" t="s">
        <v>51</v>
      </c>
      <c r="B448" t="s">
        <v>52</v>
      </c>
      <c r="C448" t="s">
        <v>23</v>
      </c>
      <c r="D448" t="s">
        <v>81</v>
      </c>
      <c r="E448">
        <v>1</v>
      </c>
      <c r="F448">
        <v>1</v>
      </c>
      <c r="G448">
        <v>1</v>
      </c>
      <c r="H448">
        <v>1</v>
      </c>
    </row>
    <row r="449" spans="1:8" x14ac:dyDescent="0.3">
      <c r="A449" t="s">
        <v>51</v>
      </c>
      <c r="B449" t="s">
        <v>52</v>
      </c>
      <c r="C449" t="s">
        <v>23</v>
      </c>
      <c r="D449" t="s">
        <v>83</v>
      </c>
      <c r="E449">
        <v>0</v>
      </c>
      <c r="F449">
        <v>0</v>
      </c>
      <c r="G449">
        <v>0</v>
      </c>
      <c r="H449">
        <v>1</v>
      </c>
    </row>
    <row r="450" spans="1:8" x14ac:dyDescent="0.3">
      <c r="A450" t="s">
        <v>51</v>
      </c>
      <c r="B450" t="s">
        <v>52</v>
      </c>
      <c r="C450" t="s">
        <v>23</v>
      </c>
      <c r="D450" t="s">
        <v>85</v>
      </c>
      <c r="E450">
        <v>0</v>
      </c>
      <c r="F450">
        <v>0</v>
      </c>
      <c r="G450">
        <v>0</v>
      </c>
      <c r="H450">
        <v>1</v>
      </c>
    </row>
    <row r="451" spans="1:8" x14ac:dyDescent="0.3">
      <c r="A451" t="s">
        <v>51</v>
      </c>
      <c r="B451" t="s">
        <v>52</v>
      </c>
      <c r="C451" t="s">
        <v>23</v>
      </c>
      <c r="D451" t="s">
        <v>87</v>
      </c>
      <c r="E451">
        <v>0</v>
      </c>
      <c r="F451">
        <v>0</v>
      </c>
      <c r="G451">
        <v>0</v>
      </c>
      <c r="H451">
        <v>1</v>
      </c>
    </row>
    <row r="452" spans="1:8" x14ac:dyDescent="0.3">
      <c r="A452" t="s">
        <v>51</v>
      </c>
      <c r="B452" t="s">
        <v>52</v>
      </c>
      <c r="C452" t="s">
        <v>23</v>
      </c>
      <c r="D452" t="s">
        <v>89</v>
      </c>
      <c r="E452">
        <v>0</v>
      </c>
      <c r="F452">
        <v>0</v>
      </c>
      <c r="G452">
        <v>0</v>
      </c>
      <c r="H452">
        <v>1</v>
      </c>
    </row>
    <row r="453" spans="1:8" x14ac:dyDescent="0.3">
      <c r="A453" t="s">
        <v>51</v>
      </c>
      <c r="B453" t="s">
        <v>52</v>
      </c>
      <c r="C453" t="s">
        <v>23</v>
      </c>
      <c r="D453" t="s">
        <v>91</v>
      </c>
      <c r="E453">
        <v>0</v>
      </c>
      <c r="F453">
        <v>0</v>
      </c>
      <c r="G453">
        <v>0</v>
      </c>
      <c r="H453">
        <v>1</v>
      </c>
    </row>
    <row r="454" spans="1:8" x14ac:dyDescent="0.3">
      <c r="A454" t="s">
        <v>51</v>
      </c>
      <c r="B454" t="s">
        <v>52</v>
      </c>
      <c r="C454" t="s">
        <v>23</v>
      </c>
      <c r="D454" t="s">
        <v>93</v>
      </c>
      <c r="E454">
        <v>0</v>
      </c>
      <c r="F454">
        <v>0</v>
      </c>
      <c r="G454">
        <v>0</v>
      </c>
      <c r="H454">
        <v>1</v>
      </c>
    </row>
    <row r="455" spans="1:8" x14ac:dyDescent="0.3">
      <c r="A455" t="s">
        <v>51</v>
      </c>
      <c r="B455" t="s">
        <v>52</v>
      </c>
      <c r="C455" t="s">
        <v>23</v>
      </c>
      <c r="D455" t="s">
        <v>95</v>
      </c>
      <c r="E455">
        <v>1</v>
      </c>
      <c r="F455">
        <v>0</v>
      </c>
      <c r="G455">
        <v>0</v>
      </c>
      <c r="H455">
        <v>0</v>
      </c>
    </row>
    <row r="456" spans="1:8" x14ac:dyDescent="0.3">
      <c r="A456" t="s">
        <v>51</v>
      </c>
      <c r="B456" t="s">
        <v>52</v>
      </c>
      <c r="C456" t="s">
        <v>23</v>
      </c>
      <c r="D456" t="s">
        <v>97</v>
      </c>
      <c r="E456">
        <v>0</v>
      </c>
      <c r="F456">
        <v>0</v>
      </c>
      <c r="G456">
        <v>0</v>
      </c>
      <c r="H456">
        <v>1</v>
      </c>
    </row>
    <row r="457" spans="1:8" x14ac:dyDescent="0.3">
      <c r="A457" t="s">
        <v>51</v>
      </c>
      <c r="B457" t="s">
        <v>52</v>
      </c>
      <c r="C457" t="s">
        <v>23</v>
      </c>
      <c r="D457" t="s">
        <v>99</v>
      </c>
      <c r="E457">
        <v>1</v>
      </c>
      <c r="F457">
        <v>1</v>
      </c>
      <c r="G457">
        <v>0</v>
      </c>
      <c r="H457">
        <v>0</v>
      </c>
    </row>
    <row r="458" spans="1:8" x14ac:dyDescent="0.3">
      <c r="A458" t="s">
        <v>51</v>
      </c>
      <c r="B458" t="s">
        <v>52</v>
      </c>
      <c r="C458" t="s">
        <v>23</v>
      </c>
      <c r="D458" t="s">
        <v>101</v>
      </c>
      <c r="E458">
        <v>1</v>
      </c>
      <c r="F458">
        <v>0</v>
      </c>
      <c r="G458">
        <v>0</v>
      </c>
      <c r="H458">
        <v>0</v>
      </c>
    </row>
    <row r="459" spans="1:8" x14ac:dyDescent="0.3">
      <c r="A459" t="s">
        <v>51</v>
      </c>
      <c r="B459" t="s">
        <v>52</v>
      </c>
      <c r="C459" t="s">
        <v>23</v>
      </c>
      <c r="D459" t="s">
        <v>103</v>
      </c>
      <c r="E459">
        <v>0</v>
      </c>
      <c r="F459">
        <v>0</v>
      </c>
      <c r="G459">
        <v>0</v>
      </c>
      <c r="H459">
        <v>1</v>
      </c>
    </row>
    <row r="460" spans="1:8" x14ac:dyDescent="0.3">
      <c r="A460" t="s">
        <v>51</v>
      </c>
      <c r="B460" t="s">
        <v>52</v>
      </c>
      <c r="C460" t="s">
        <v>23</v>
      </c>
      <c r="D460" t="s">
        <v>105</v>
      </c>
      <c r="E460">
        <v>0</v>
      </c>
      <c r="F460">
        <v>0</v>
      </c>
      <c r="G460">
        <v>0</v>
      </c>
      <c r="H460">
        <v>1</v>
      </c>
    </row>
    <row r="461" spans="1:8" x14ac:dyDescent="0.3">
      <c r="A461" t="s">
        <v>51</v>
      </c>
      <c r="B461" t="s">
        <v>52</v>
      </c>
      <c r="C461" t="s">
        <v>23</v>
      </c>
      <c r="D461" t="s">
        <v>107</v>
      </c>
      <c r="E461">
        <v>0</v>
      </c>
      <c r="F461">
        <v>0</v>
      </c>
      <c r="G461">
        <v>0</v>
      </c>
      <c r="H461">
        <v>1</v>
      </c>
    </row>
    <row r="462" spans="1:8" x14ac:dyDescent="0.3">
      <c r="A462" t="s">
        <v>51</v>
      </c>
      <c r="B462" t="s">
        <v>52</v>
      </c>
      <c r="C462" t="s">
        <v>23</v>
      </c>
      <c r="D462" t="s">
        <v>109</v>
      </c>
      <c r="E462">
        <v>1</v>
      </c>
      <c r="F462">
        <v>1</v>
      </c>
      <c r="G462">
        <v>1</v>
      </c>
      <c r="H462">
        <v>1</v>
      </c>
    </row>
    <row r="463" spans="1:8" x14ac:dyDescent="0.3">
      <c r="A463" t="s">
        <v>51</v>
      </c>
      <c r="B463" t="s">
        <v>52</v>
      </c>
      <c r="C463" t="s">
        <v>23</v>
      </c>
      <c r="D463" t="s">
        <v>111</v>
      </c>
      <c r="E463">
        <v>0</v>
      </c>
      <c r="F463">
        <v>0</v>
      </c>
      <c r="G463">
        <v>0</v>
      </c>
      <c r="H463">
        <v>1</v>
      </c>
    </row>
    <row r="464" spans="1:8" x14ac:dyDescent="0.3">
      <c r="A464" t="s">
        <v>51</v>
      </c>
      <c r="B464" t="s">
        <v>52</v>
      </c>
      <c r="C464" t="s">
        <v>24</v>
      </c>
      <c r="D464" t="s">
        <v>77</v>
      </c>
      <c r="E464">
        <v>0</v>
      </c>
      <c r="F464">
        <v>0</v>
      </c>
      <c r="G464">
        <v>0</v>
      </c>
      <c r="H464">
        <v>1</v>
      </c>
    </row>
    <row r="465" spans="1:8" x14ac:dyDescent="0.3">
      <c r="A465" t="s">
        <v>51</v>
      </c>
      <c r="B465" t="s">
        <v>52</v>
      </c>
      <c r="C465" t="s">
        <v>24</v>
      </c>
      <c r="D465" t="s">
        <v>79</v>
      </c>
      <c r="E465">
        <v>0</v>
      </c>
      <c r="F465">
        <v>0</v>
      </c>
      <c r="G465">
        <v>0</v>
      </c>
      <c r="H465">
        <v>1</v>
      </c>
    </row>
    <row r="466" spans="1:8" x14ac:dyDescent="0.3">
      <c r="A466" t="s">
        <v>51</v>
      </c>
      <c r="B466" t="s">
        <v>52</v>
      </c>
      <c r="C466" t="s">
        <v>24</v>
      </c>
      <c r="D466" t="s">
        <v>81</v>
      </c>
      <c r="E466">
        <v>1</v>
      </c>
      <c r="F466">
        <v>1</v>
      </c>
      <c r="G466">
        <v>1</v>
      </c>
      <c r="H466">
        <v>1</v>
      </c>
    </row>
    <row r="467" spans="1:8" x14ac:dyDescent="0.3">
      <c r="A467" t="s">
        <v>51</v>
      </c>
      <c r="B467" t="s">
        <v>52</v>
      </c>
      <c r="C467" t="s">
        <v>24</v>
      </c>
      <c r="D467" t="s">
        <v>83</v>
      </c>
      <c r="E467">
        <v>0</v>
      </c>
      <c r="F467">
        <v>0</v>
      </c>
      <c r="G467">
        <v>0</v>
      </c>
      <c r="H467">
        <v>1</v>
      </c>
    </row>
    <row r="468" spans="1:8" x14ac:dyDescent="0.3">
      <c r="A468" t="s">
        <v>51</v>
      </c>
      <c r="B468" t="s">
        <v>52</v>
      </c>
      <c r="C468" t="s">
        <v>24</v>
      </c>
      <c r="D468" t="s">
        <v>85</v>
      </c>
      <c r="E468">
        <v>0</v>
      </c>
      <c r="F468">
        <v>1</v>
      </c>
      <c r="G468">
        <v>1</v>
      </c>
      <c r="H468">
        <v>0</v>
      </c>
    </row>
    <row r="469" spans="1:8" x14ac:dyDescent="0.3">
      <c r="A469" t="s">
        <v>51</v>
      </c>
      <c r="B469" t="s">
        <v>52</v>
      </c>
      <c r="C469" t="s">
        <v>24</v>
      </c>
      <c r="D469" t="s">
        <v>87</v>
      </c>
      <c r="E469">
        <v>0</v>
      </c>
      <c r="F469">
        <v>0</v>
      </c>
      <c r="G469">
        <v>0</v>
      </c>
      <c r="H469">
        <v>1</v>
      </c>
    </row>
    <row r="470" spans="1:8" x14ac:dyDescent="0.3">
      <c r="A470" t="s">
        <v>51</v>
      </c>
      <c r="B470" t="s">
        <v>52</v>
      </c>
      <c r="C470" t="s">
        <v>24</v>
      </c>
      <c r="D470" t="s">
        <v>89</v>
      </c>
      <c r="E470">
        <v>0</v>
      </c>
      <c r="F470">
        <v>0</v>
      </c>
      <c r="G470">
        <v>0</v>
      </c>
      <c r="H470">
        <v>1</v>
      </c>
    </row>
    <row r="471" spans="1:8" x14ac:dyDescent="0.3">
      <c r="A471" t="s">
        <v>51</v>
      </c>
      <c r="B471" t="s">
        <v>52</v>
      </c>
      <c r="C471" t="s">
        <v>24</v>
      </c>
      <c r="D471" t="s">
        <v>91</v>
      </c>
      <c r="E471">
        <v>0</v>
      </c>
      <c r="F471">
        <v>0</v>
      </c>
      <c r="G471">
        <v>0</v>
      </c>
      <c r="H471">
        <v>1</v>
      </c>
    </row>
    <row r="472" spans="1:8" x14ac:dyDescent="0.3">
      <c r="A472" t="s">
        <v>51</v>
      </c>
      <c r="B472" t="s">
        <v>52</v>
      </c>
      <c r="C472" t="s">
        <v>24</v>
      </c>
      <c r="D472" t="s">
        <v>93</v>
      </c>
      <c r="E472">
        <v>0</v>
      </c>
      <c r="F472">
        <v>0</v>
      </c>
      <c r="G472">
        <v>0</v>
      </c>
      <c r="H472">
        <v>1</v>
      </c>
    </row>
    <row r="473" spans="1:8" x14ac:dyDescent="0.3">
      <c r="A473" t="s">
        <v>51</v>
      </c>
      <c r="B473" t="s">
        <v>52</v>
      </c>
      <c r="C473" t="s">
        <v>24</v>
      </c>
      <c r="D473" t="s">
        <v>95</v>
      </c>
      <c r="E473">
        <v>0</v>
      </c>
      <c r="F473">
        <v>0</v>
      </c>
      <c r="G473">
        <v>0</v>
      </c>
      <c r="H473">
        <v>1</v>
      </c>
    </row>
    <row r="474" spans="1:8" x14ac:dyDescent="0.3">
      <c r="A474" t="s">
        <v>51</v>
      </c>
      <c r="B474" t="s">
        <v>52</v>
      </c>
      <c r="C474" t="s">
        <v>24</v>
      </c>
      <c r="D474" t="s">
        <v>97</v>
      </c>
      <c r="E474">
        <v>0</v>
      </c>
      <c r="F474">
        <v>0</v>
      </c>
      <c r="G474">
        <v>0</v>
      </c>
      <c r="H474">
        <v>1</v>
      </c>
    </row>
    <row r="475" spans="1:8" x14ac:dyDescent="0.3">
      <c r="A475" t="s">
        <v>51</v>
      </c>
      <c r="B475" t="s">
        <v>52</v>
      </c>
      <c r="C475" t="s">
        <v>24</v>
      </c>
      <c r="D475" t="s">
        <v>99</v>
      </c>
      <c r="E475">
        <v>0</v>
      </c>
      <c r="F475">
        <v>1</v>
      </c>
      <c r="G475">
        <v>0</v>
      </c>
      <c r="H475">
        <v>0</v>
      </c>
    </row>
    <row r="476" spans="1:8" x14ac:dyDescent="0.3">
      <c r="A476" t="s">
        <v>51</v>
      </c>
      <c r="B476" t="s">
        <v>52</v>
      </c>
      <c r="C476" t="s">
        <v>24</v>
      </c>
      <c r="D476" t="s">
        <v>101</v>
      </c>
      <c r="E476">
        <v>0</v>
      </c>
      <c r="F476">
        <v>0</v>
      </c>
      <c r="G476">
        <v>0</v>
      </c>
      <c r="H476">
        <v>1</v>
      </c>
    </row>
    <row r="477" spans="1:8" x14ac:dyDescent="0.3">
      <c r="A477" t="s">
        <v>51</v>
      </c>
      <c r="B477" t="s">
        <v>52</v>
      </c>
      <c r="C477" t="s">
        <v>24</v>
      </c>
      <c r="D477" t="s">
        <v>103</v>
      </c>
      <c r="E477">
        <v>0</v>
      </c>
      <c r="F477">
        <v>0</v>
      </c>
      <c r="G477">
        <v>0</v>
      </c>
      <c r="H477">
        <v>1</v>
      </c>
    </row>
    <row r="478" spans="1:8" x14ac:dyDescent="0.3">
      <c r="A478" t="s">
        <v>51</v>
      </c>
      <c r="B478" t="s">
        <v>52</v>
      </c>
      <c r="C478" t="s">
        <v>24</v>
      </c>
      <c r="D478" t="s">
        <v>105</v>
      </c>
      <c r="E478">
        <v>0</v>
      </c>
      <c r="F478">
        <v>0</v>
      </c>
      <c r="G478">
        <v>0</v>
      </c>
      <c r="H478">
        <v>1</v>
      </c>
    </row>
    <row r="479" spans="1:8" x14ac:dyDescent="0.3">
      <c r="A479" t="s">
        <v>51</v>
      </c>
      <c r="B479" t="s">
        <v>52</v>
      </c>
      <c r="C479" t="s">
        <v>24</v>
      </c>
      <c r="D479" t="s">
        <v>107</v>
      </c>
      <c r="E479">
        <v>0</v>
      </c>
      <c r="F479">
        <v>0</v>
      </c>
      <c r="G479">
        <v>0</v>
      </c>
      <c r="H479">
        <v>1</v>
      </c>
    </row>
    <row r="480" spans="1:8" x14ac:dyDescent="0.3">
      <c r="A480" t="s">
        <v>51</v>
      </c>
      <c r="B480" t="s">
        <v>52</v>
      </c>
      <c r="C480" t="s">
        <v>24</v>
      </c>
      <c r="D480" t="s">
        <v>109</v>
      </c>
      <c r="E480">
        <v>1</v>
      </c>
      <c r="F480">
        <v>1</v>
      </c>
      <c r="G480">
        <v>1</v>
      </c>
      <c r="H480">
        <v>1</v>
      </c>
    </row>
    <row r="481" spans="1:8" x14ac:dyDescent="0.3">
      <c r="A481" t="s">
        <v>51</v>
      </c>
      <c r="B481" t="s">
        <v>52</v>
      </c>
      <c r="C481" t="s">
        <v>24</v>
      </c>
      <c r="D481" t="s">
        <v>111</v>
      </c>
      <c r="E481">
        <v>0</v>
      </c>
      <c r="F481">
        <v>0</v>
      </c>
      <c r="G481">
        <v>0</v>
      </c>
      <c r="H481">
        <v>1</v>
      </c>
    </row>
    <row r="482" spans="1:8" x14ac:dyDescent="0.3">
      <c r="A482" t="s">
        <v>51</v>
      </c>
      <c r="B482" t="s">
        <v>52</v>
      </c>
      <c r="C482" t="s">
        <v>25</v>
      </c>
      <c r="D482" t="s">
        <v>77</v>
      </c>
      <c r="E482">
        <v>0</v>
      </c>
      <c r="F482">
        <v>0</v>
      </c>
      <c r="G482">
        <v>0</v>
      </c>
      <c r="H482">
        <v>1</v>
      </c>
    </row>
    <row r="483" spans="1:8" x14ac:dyDescent="0.3">
      <c r="A483" t="s">
        <v>51</v>
      </c>
      <c r="B483" t="s">
        <v>52</v>
      </c>
      <c r="C483" t="s">
        <v>25</v>
      </c>
      <c r="D483" t="s">
        <v>79</v>
      </c>
      <c r="E483">
        <v>0</v>
      </c>
      <c r="F483">
        <v>0</v>
      </c>
      <c r="G483">
        <v>0</v>
      </c>
      <c r="H483">
        <v>1</v>
      </c>
    </row>
    <row r="484" spans="1:8" x14ac:dyDescent="0.3">
      <c r="A484" t="s">
        <v>51</v>
      </c>
      <c r="B484" t="s">
        <v>52</v>
      </c>
      <c r="C484" t="s">
        <v>25</v>
      </c>
      <c r="D484" t="s">
        <v>81</v>
      </c>
      <c r="E484">
        <v>1</v>
      </c>
      <c r="F484">
        <v>0</v>
      </c>
      <c r="G484">
        <v>1</v>
      </c>
      <c r="H484">
        <v>0</v>
      </c>
    </row>
    <row r="485" spans="1:8" x14ac:dyDescent="0.3">
      <c r="A485" t="s">
        <v>51</v>
      </c>
      <c r="B485" t="s">
        <v>52</v>
      </c>
      <c r="C485" t="s">
        <v>25</v>
      </c>
      <c r="D485" t="s">
        <v>83</v>
      </c>
      <c r="E485">
        <v>0</v>
      </c>
      <c r="F485">
        <v>0</v>
      </c>
      <c r="G485">
        <v>0</v>
      </c>
      <c r="H485">
        <v>1</v>
      </c>
    </row>
    <row r="486" spans="1:8" x14ac:dyDescent="0.3">
      <c r="A486" t="s">
        <v>51</v>
      </c>
      <c r="B486" t="s">
        <v>52</v>
      </c>
      <c r="C486" t="s">
        <v>25</v>
      </c>
      <c r="D486" t="s">
        <v>85</v>
      </c>
      <c r="E486">
        <v>0</v>
      </c>
      <c r="F486">
        <v>0</v>
      </c>
      <c r="G486">
        <v>0</v>
      </c>
      <c r="H486">
        <v>1</v>
      </c>
    </row>
    <row r="487" spans="1:8" x14ac:dyDescent="0.3">
      <c r="A487" t="s">
        <v>51</v>
      </c>
      <c r="B487" t="s">
        <v>52</v>
      </c>
      <c r="C487" t="s">
        <v>25</v>
      </c>
      <c r="D487" t="s">
        <v>87</v>
      </c>
      <c r="E487">
        <v>0</v>
      </c>
      <c r="F487">
        <v>0</v>
      </c>
      <c r="G487">
        <v>0</v>
      </c>
      <c r="H487">
        <v>1</v>
      </c>
    </row>
    <row r="488" spans="1:8" x14ac:dyDescent="0.3">
      <c r="A488" t="s">
        <v>51</v>
      </c>
      <c r="B488" t="s">
        <v>52</v>
      </c>
      <c r="C488" t="s">
        <v>25</v>
      </c>
      <c r="D488" t="s">
        <v>89</v>
      </c>
      <c r="E488">
        <v>0</v>
      </c>
      <c r="F488">
        <v>0</v>
      </c>
      <c r="G488">
        <v>0</v>
      </c>
      <c r="H488">
        <v>1</v>
      </c>
    </row>
    <row r="489" spans="1:8" x14ac:dyDescent="0.3">
      <c r="A489" t="s">
        <v>51</v>
      </c>
      <c r="B489" t="s">
        <v>52</v>
      </c>
      <c r="C489" t="s">
        <v>25</v>
      </c>
      <c r="D489" t="s">
        <v>91</v>
      </c>
      <c r="E489">
        <v>0</v>
      </c>
      <c r="F489">
        <v>0</v>
      </c>
      <c r="G489">
        <v>0</v>
      </c>
      <c r="H489">
        <v>1</v>
      </c>
    </row>
    <row r="490" spans="1:8" x14ac:dyDescent="0.3">
      <c r="A490" t="s">
        <v>51</v>
      </c>
      <c r="B490" t="s">
        <v>52</v>
      </c>
      <c r="C490" t="s">
        <v>25</v>
      </c>
      <c r="D490" t="s">
        <v>93</v>
      </c>
      <c r="E490">
        <v>0</v>
      </c>
      <c r="F490">
        <v>0</v>
      </c>
      <c r="G490">
        <v>0</v>
      </c>
      <c r="H490">
        <v>1</v>
      </c>
    </row>
    <row r="491" spans="1:8" x14ac:dyDescent="0.3">
      <c r="A491" t="s">
        <v>51</v>
      </c>
      <c r="B491" t="s">
        <v>52</v>
      </c>
      <c r="C491" t="s">
        <v>25</v>
      </c>
      <c r="D491" t="s">
        <v>95</v>
      </c>
      <c r="E491">
        <v>0</v>
      </c>
      <c r="F491">
        <v>0</v>
      </c>
      <c r="G491">
        <v>0</v>
      </c>
      <c r="H491">
        <v>1</v>
      </c>
    </row>
    <row r="492" spans="1:8" x14ac:dyDescent="0.3">
      <c r="A492" t="s">
        <v>51</v>
      </c>
      <c r="B492" t="s">
        <v>52</v>
      </c>
      <c r="C492" t="s">
        <v>25</v>
      </c>
      <c r="D492" t="s">
        <v>97</v>
      </c>
      <c r="E492">
        <v>0</v>
      </c>
      <c r="F492">
        <v>0</v>
      </c>
      <c r="G492">
        <v>0</v>
      </c>
      <c r="H492">
        <v>1</v>
      </c>
    </row>
    <row r="493" spans="1:8" x14ac:dyDescent="0.3">
      <c r="A493" t="s">
        <v>51</v>
      </c>
      <c r="B493" t="s">
        <v>52</v>
      </c>
      <c r="C493" t="s">
        <v>25</v>
      </c>
      <c r="D493" t="s">
        <v>99</v>
      </c>
      <c r="E493">
        <v>0</v>
      </c>
      <c r="F493">
        <v>1</v>
      </c>
      <c r="G493">
        <v>1</v>
      </c>
      <c r="H493">
        <v>0</v>
      </c>
    </row>
    <row r="494" spans="1:8" x14ac:dyDescent="0.3">
      <c r="A494" t="s">
        <v>51</v>
      </c>
      <c r="B494" t="s">
        <v>52</v>
      </c>
      <c r="C494" t="s">
        <v>25</v>
      </c>
      <c r="D494" t="s">
        <v>101</v>
      </c>
      <c r="E494">
        <v>0</v>
      </c>
      <c r="F494">
        <v>0</v>
      </c>
      <c r="G494">
        <v>0</v>
      </c>
      <c r="H494">
        <v>1</v>
      </c>
    </row>
    <row r="495" spans="1:8" x14ac:dyDescent="0.3">
      <c r="A495" t="s">
        <v>51</v>
      </c>
      <c r="B495" t="s">
        <v>52</v>
      </c>
      <c r="C495" t="s">
        <v>25</v>
      </c>
      <c r="D495" t="s">
        <v>103</v>
      </c>
      <c r="E495">
        <v>0</v>
      </c>
      <c r="F495">
        <v>0</v>
      </c>
      <c r="G495">
        <v>0</v>
      </c>
      <c r="H495">
        <v>1</v>
      </c>
    </row>
    <row r="496" spans="1:8" x14ac:dyDescent="0.3">
      <c r="A496" t="s">
        <v>51</v>
      </c>
      <c r="B496" t="s">
        <v>52</v>
      </c>
      <c r="C496" t="s">
        <v>25</v>
      </c>
      <c r="D496" t="s">
        <v>105</v>
      </c>
      <c r="E496">
        <v>0</v>
      </c>
      <c r="F496">
        <v>0</v>
      </c>
      <c r="G496">
        <v>0</v>
      </c>
      <c r="H496">
        <v>1</v>
      </c>
    </row>
    <row r="497" spans="1:8" x14ac:dyDescent="0.3">
      <c r="A497" t="s">
        <v>51</v>
      </c>
      <c r="B497" t="s">
        <v>52</v>
      </c>
      <c r="C497" t="s">
        <v>25</v>
      </c>
      <c r="D497" t="s">
        <v>107</v>
      </c>
      <c r="E497">
        <v>0</v>
      </c>
      <c r="F497">
        <v>0</v>
      </c>
      <c r="G497">
        <v>0</v>
      </c>
      <c r="H497">
        <v>1</v>
      </c>
    </row>
    <row r="498" spans="1:8" x14ac:dyDescent="0.3">
      <c r="A498" t="s">
        <v>51</v>
      </c>
      <c r="B498" t="s">
        <v>52</v>
      </c>
      <c r="C498" t="s">
        <v>25</v>
      </c>
      <c r="D498" t="s">
        <v>111</v>
      </c>
      <c r="E498">
        <v>0</v>
      </c>
      <c r="F498">
        <v>0</v>
      </c>
      <c r="G498">
        <v>0</v>
      </c>
      <c r="H498">
        <v>1</v>
      </c>
    </row>
    <row r="499" spans="1:8" x14ac:dyDescent="0.3">
      <c r="A499" t="s">
        <v>59</v>
      </c>
      <c r="B499" t="s">
        <v>60</v>
      </c>
      <c r="C499" t="s">
        <v>21</v>
      </c>
      <c r="D499" t="s">
        <v>77</v>
      </c>
      <c r="E499">
        <v>0</v>
      </c>
      <c r="F499">
        <v>0</v>
      </c>
      <c r="G499">
        <v>0</v>
      </c>
      <c r="H499">
        <v>1</v>
      </c>
    </row>
    <row r="500" spans="1:8" x14ac:dyDescent="0.3">
      <c r="A500" t="s">
        <v>59</v>
      </c>
      <c r="B500" t="s">
        <v>60</v>
      </c>
      <c r="C500" t="s">
        <v>21</v>
      </c>
      <c r="D500" t="s">
        <v>79</v>
      </c>
      <c r="E500">
        <v>0</v>
      </c>
      <c r="F500">
        <v>0</v>
      </c>
      <c r="G500">
        <v>0</v>
      </c>
      <c r="H500">
        <v>1</v>
      </c>
    </row>
    <row r="501" spans="1:8" x14ac:dyDescent="0.3">
      <c r="A501" t="s">
        <v>59</v>
      </c>
      <c r="B501" t="s">
        <v>60</v>
      </c>
      <c r="C501" t="s">
        <v>21</v>
      </c>
      <c r="D501" t="s">
        <v>81</v>
      </c>
      <c r="E501">
        <v>1</v>
      </c>
      <c r="F501">
        <v>1</v>
      </c>
      <c r="G501">
        <v>1</v>
      </c>
      <c r="H501">
        <v>1</v>
      </c>
    </row>
    <row r="502" spans="1:8" x14ac:dyDescent="0.3">
      <c r="A502" t="s">
        <v>59</v>
      </c>
      <c r="B502" t="s">
        <v>60</v>
      </c>
      <c r="C502" t="s">
        <v>21</v>
      </c>
      <c r="D502" t="s">
        <v>83</v>
      </c>
      <c r="E502">
        <v>0</v>
      </c>
      <c r="F502">
        <v>0</v>
      </c>
      <c r="G502">
        <v>0</v>
      </c>
      <c r="H502">
        <v>1</v>
      </c>
    </row>
    <row r="503" spans="1:8" x14ac:dyDescent="0.3">
      <c r="A503" t="s">
        <v>59</v>
      </c>
      <c r="B503" t="s">
        <v>60</v>
      </c>
      <c r="C503" t="s">
        <v>21</v>
      </c>
      <c r="D503" t="s">
        <v>85</v>
      </c>
      <c r="E503">
        <v>0</v>
      </c>
      <c r="F503">
        <v>0</v>
      </c>
      <c r="G503">
        <v>0</v>
      </c>
      <c r="H503">
        <v>1</v>
      </c>
    </row>
    <row r="504" spans="1:8" x14ac:dyDescent="0.3">
      <c r="A504" t="s">
        <v>59</v>
      </c>
      <c r="B504" t="s">
        <v>60</v>
      </c>
      <c r="C504" t="s">
        <v>21</v>
      </c>
      <c r="D504" t="s">
        <v>87</v>
      </c>
      <c r="E504">
        <v>0</v>
      </c>
      <c r="F504">
        <v>0</v>
      </c>
      <c r="G504">
        <v>0</v>
      </c>
      <c r="H504">
        <v>1</v>
      </c>
    </row>
    <row r="505" spans="1:8" x14ac:dyDescent="0.3">
      <c r="A505" t="s">
        <v>59</v>
      </c>
      <c r="B505" t="s">
        <v>60</v>
      </c>
      <c r="C505" t="s">
        <v>21</v>
      </c>
      <c r="D505" t="s">
        <v>89</v>
      </c>
      <c r="E505">
        <v>0</v>
      </c>
      <c r="F505">
        <v>0</v>
      </c>
      <c r="G505">
        <v>0</v>
      </c>
      <c r="H505">
        <v>1</v>
      </c>
    </row>
    <row r="506" spans="1:8" x14ac:dyDescent="0.3">
      <c r="A506" t="s">
        <v>59</v>
      </c>
      <c r="B506" t="s">
        <v>60</v>
      </c>
      <c r="C506" t="s">
        <v>21</v>
      </c>
      <c r="D506" t="s">
        <v>91</v>
      </c>
      <c r="E506">
        <v>0</v>
      </c>
      <c r="F506">
        <v>0</v>
      </c>
      <c r="G506">
        <v>0</v>
      </c>
      <c r="H506">
        <v>1</v>
      </c>
    </row>
    <row r="507" spans="1:8" x14ac:dyDescent="0.3">
      <c r="A507" t="s">
        <v>59</v>
      </c>
      <c r="B507" t="s">
        <v>60</v>
      </c>
      <c r="C507" t="s">
        <v>21</v>
      </c>
      <c r="D507" t="s">
        <v>93</v>
      </c>
      <c r="E507">
        <v>0</v>
      </c>
      <c r="F507">
        <v>0</v>
      </c>
      <c r="G507">
        <v>0</v>
      </c>
      <c r="H507">
        <v>1</v>
      </c>
    </row>
    <row r="508" spans="1:8" x14ac:dyDescent="0.3">
      <c r="A508" t="s">
        <v>59</v>
      </c>
      <c r="B508" t="s">
        <v>60</v>
      </c>
      <c r="C508" t="s">
        <v>21</v>
      </c>
      <c r="D508" t="s">
        <v>95</v>
      </c>
      <c r="E508">
        <v>0</v>
      </c>
      <c r="F508">
        <v>0</v>
      </c>
      <c r="G508">
        <v>0</v>
      </c>
      <c r="H508">
        <v>1</v>
      </c>
    </row>
    <row r="509" spans="1:8" x14ac:dyDescent="0.3">
      <c r="A509" t="s">
        <v>59</v>
      </c>
      <c r="B509" t="s">
        <v>60</v>
      </c>
      <c r="C509" t="s">
        <v>21</v>
      </c>
      <c r="D509" t="s">
        <v>97</v>
      </c>
      <c r="E509">
        <v>0</v>
      </c>
      <c r="F509">
        <v>0</v>
      </c>
      <c r="G509">
        <v>0</v>
      </c>
      <c r="H509">
        <v>1</v>
      </c>
    </row>
    <row r="510" spans="1:8" x14ac:dyDescent="0.3">
      <c r="A510" t="s">
        <v>59</v>
      </c>
      <c r="B510" t="s">
        <v>60</v>
      </c>
      <c r="C510" t="s">
        <v>21</v>
      </c>
      <c r="D510" t="s">
        <v>99</v>
      </c>
      <c r="E510">
        <v>0</v>
      </c>
      <c r="F510">
        <v>0</v>
      </c>
      <c r="G510">
        <v>0</v>
      </c>
      <c r="H510">
        <v>1</v>
      </c>
    </row>
    <row r="511" spans="1:8" x14ac:dyDescent="0.3">
      <c r="A511" t="s">
        <v>59</v>
      </c>
      <c r="B511" t="s">
        <v>60</v>
      </c>
      <c r="C511" t="s">
        <v>21</v>
      </c>
      <c r="D511" t="s">
        <v>101</v>
      </c>
      <c r="E511">
        <v>0</v>
      </c>
      <c r="F511">
        <v>0</v>
      </c>
      <c r="G511">
        <v>0</v>
      </c>
      <c r="H511">
        <v>1</v>
      </c>
    </row>
    <row r="512" spans="1:8" x14ac:dyDescent="0.3">
      <c r="A512" t="s">
        <v>59</v>
      </c>
      <c r="B512" t="s">
        <v>60</v>
      </c>
      <c r="C512" t="s">
        <v>21</v>
      </c>
      <c r="D512" t="s">
        <v>103</v>
      </c>
      <c r="E512">
        <v>0</v>
      </c>
      <c r="F512">
        <v>0</v>
      </c>
      <c r="G512">
        <v>0</v>
      </c>
      <c r="H512">
        <v>1</v>
      </c>
    </row>
    <row r="513" spans="1:8" x14ac:dyDescent="0.3">
      <c r="A513" t="s">
        <v>59</v>
      </c>
      <c r="B513" t="s">
        <v>60</v>
      </c>
      <c r="C513" t="s">
        <v>21</v>
      </c>
      <c r="D513" t="s">
        <v>105</v>
      </c>
      <c r="E513">
        <v>0</v>
      </c>
      <c r="F513">
        <v>0</v>
      </c>
      <c r="G513">
        <v>0</v>
      </c>
      <c r="H513">
        <v>1</v>
      </c>
    </row>
    <row r="514" spans="1:8" x14ac:dyDescent="0.3">
      <c r="A514" t="s">
        <v>59</v>
      </c>
      <c r="B514" t="s">
        <v>60</v>
      </c>
      <c r="C514" t="s">
        <v>21</v>
      </c>
      <c r="D514" t="s">
        <v>107</v>
      </c>
      <c r="E514">
        <v>0</v>
      </c>
      <c r="F514">
        <v>0</v>
      </c>
      <c r="G514">
        <v>0</v>
      </c>
      <c r="H514">
        <v>1</v>
      </c>
    </row>
    <row r="515" spans="1:8" x14ac:dyDescent="0.3">
      <c r="A515" t="s">
        <v>59</v>
      </c>
      <c r="B515" t="s">
        <v>60</v>
      </c>
      <c r="C515" t="s">
        <v>21</v>
      </c>
      <c r="D515" t="s">
        <v>109</v>
      </c>
      <c r="E515">
        <v>1</v>
      </c>
      <c r="F515">
        <v>1</v>
      </c>
      <c r="G515">
        <v>1</v>
      </c>
      <c r="H515">
        <v>1</v>
      </c>
    </row>
    <row r="516" spans="1:8" x14ac:dyDescent="0.3">
      <c r="A516" t="s">
        <v>59</v>
      </c>
      <c r="B516" t="s">
        <v>60</v>
      </c>
      <c r="C516" t="s">
        <v>21</v>
      </c>
      <c r="D516" t="s">
        <v>111</v>
      </c>
      <c r="E516">
        <v>0</v>
      </c>
      <c r="F516">
        <v>0</v>
      </c>
      <c r="G516">
        <v>0</v>
      </c>
      <c r="H516">
        <v>1</v>
      </c>
    </row>
    <row r="517" spans="1:8" x14ac:dyDescent="0.3">
      <c r="A517" t="s">
        <v>59</v>
      </c>
      <c r="B517" t="s">
        <v>60</v>
      </c>
      <c r="C517" t="s">
        <v>23</v>
      </c>
      <c r="D517" t="s">
        <v>77</v>
      </c>
      <c r="E517">
        <v>0</v>
      </c>
      <c r="F517">
        <v>0</v>
      </c>
      <c r="G517">
        <v>0</v>
      </c>
      <c r="H517">
        <v>1</v>
      </c>
    </row>
    <row r="518" spans="1:8" x14ac:dyDescent="0.3">
      <c r="A518" t="s">
        <v>59</v>
      </c>
      <c r="B518" t="s">
        <v>60</v>
      </c>
      <c r="C518" t="s">
        <v>23</v>
      </c>
      <c r="D518" t="s">
        <v>79</v>
      </c>
      <c r="E518">
        <v>0</v>
      </c>
      <c r="F518">
        <v>0</v>
      </c>
      <c r="G518">
        <v>0</v>
      </c>
      <c r="H518">
        <v>1</v>
      </c>
    </row>
    <row r="519" spans="1:8" x14ac:dyDescent="0.3">
      <c r="A519" t="s">
        <v>59</v>
      </c>
      <c r="B519" t="s">
        <v>60</v>
      </c>
      <c r="C519" t="s">
        <v>23</v>
      </c>
      <c r="D519" t="s">
        <v>81</v>
      </c>
      <c r="E519">
        <v>0</v>
      </c>
      <c r="F519">
        <v>0</v>
      </c>
      <c r="G519">
        <v>0</v>
      </c>
      <c r="H519">
        <v>1</v>
      </c>
    </row>
    <row r="520" spans="1:8" x14ac:dyDescent="0.3">
      <c r="A520" t="s">
        <v>59</v>
      </c>
      <c r="B520" t="s">
        <v>60</v>
      </c>
      <c r="C520" t="s">
        <v>23</v>
      </c>
      <c r="D520" t="s">
        <v>83</v>
      </c>
      <c r="E520">
        <v>0</v>
      </c>
      <c r="F520">
        <v>0</v>
      </c>
      <c r="G520">
        <v>0</v>
      </c>
      <c r="H520">
        <v>1</v>
      </c>
    </row>
    <row r="521" spans="1:8" x14ac:dyDescent="0.3">
      <c r="A521" t="s">
        <v>59</v>
      </c>
      <c r="B521" t="s">
        <v>60</v>
      </c>
      <c r="C521" t="s">
        <v>23</v>
      </c>
      <c r="D521" t="s">
        <v>85</v>
      </c>
      <c r="E521">
        <v>0</v>
      </c>
      <c r="F521">
        <v>0</v>
      </c>
      <c r="G521">
        <v>0</v>
      </c>
      <c r="H521">
        <v>1</v>
      </c>
    </row>
    <row r="522" spans="1:8" x14ac:dyDescent="0.3">
      <c r="A522" t="s">
        <v>59</v>
      </c>
      <c r="B522" t="s">
        <v>60</v>
      </c>
      <c r="C522" t="s">
        <v>23</v>
      </c>
      <c r="D522" t="s">
        <v>87</v>
      </c>
      <c r="E522">
        <v>0</v>
      </c>
      <c r="F522">
        <v>0</v>
      </c>
      <c r="G522">
        <v>0</v>
      </c>
      <c r="H522">
        <v>1</v>
      </c>
    </row>
    <row r="523" spans="1:8" x14ac:dyDescent="0.3">
      <c r="A523" t="s">
        <v>59</v>
      </c>
      <c r="B523" t="s">
        <v>60</v>
      </c>
      <c r="C523" t="s">
        <v>23</v>
      </c>
      <c r="D523" t="s">
        <v>89</v>
      </c>
      <c r="E523">
        <v>0</v>
      </c>
      <c r="F523">
        <v>0</v>
      </c>
      <c r="G523">
        <v>0</v>
      </c>
      <c r="H523">
        <v>1</v>
      </c>
    </row>
    <row r="524" spans="1:8" x14ac:dyDescent="0.3">
      <c r="A524" t="s">
        <v>59</v>
      </c>
      <c r="B524" t="s">
        <v>60</v>
      </c>
      <c r="C524" t="s">
        <v>23</v>
      </c>
      <c r="D524" t="s">
        <v>91</v>
      </c>
      <c r="E524">
        <v>0</v>
      </c>
      <c r="F524">
        <v>0</v>
      </c>
      <c r="G524">
        <v>0</v>
      </c>
      <c r="H524">
        <v>1</v>
      </c>
    </row>
    <row r="525" spans="1:8" x14ac:dyDescent="0.3">
      <c r="A525" t="s">
        <v>59</v>
      </c>
      <c r="B525" t="s">
        <v>60</v>
      </c>
      <c r="C525" t="s">
        <v>23</v>
      </c>
      <c r="D525" t="s">
        <v>93</v>
      </c>
      <c r="E525">
        <v>0</v>
      </c>
      <c r="F525">
        <v>0</v>
      </c>
      <c r="G525">
        <v>0</v>
      </c>
      <c r="H525">
        <v>1</v>
      </c>
    </row>
    <row r="526" spans="1:8" x14ac:dyDescent="0.3">
      <c r="A526" t="s">
        <v>59</v>
      </c>
      <c r="B526" t="s">
        <v>60</v>
      </c>
      <c r="C526" t="s">
        <v>23</v>
      </c>
      <c r="D526" t="s">
        <v>95</v>
      </c>
      <c r="E526">
        <v>0</v>
      </c>
      <c r="F526">
        <v>0</v>
      </c>
      <c r="G526">
        <v>0</v>
      </c>
      <c r="H526">
        <v>1</v>
      </c>
    </row>
    <row r="527" spans="1:8" x14ac:dyDescent="0.3">
      <c r="A527" t="s">
        <v>59</v>
      </c>
      <c r="B527" t="s">
        <v>60</v>
      </c>
      <c r="C527" t="s">
        <v>23</v>
      </c>
      <c r="D527" t="s">
        <v>97</v>
      </c>
      <c r="E527">
        <v>0</v>
      </c>
      <c r="F527">
        <v>0</v>
      </c>
      <c r="G527">
        <v>0</v>
      </c>
      <c r="H527">
        <v>1</v>
      </c>
    </row>
    <row r="528" spans="1:8" x14ac:dyDescent="0.3">
      <c r="A528" t="s">
        <v>59</v>
      </c>
      <c r="B528" t="s">
        <v>60</v>
      </c>
      <c r="C528" t="s">
        <v>23</v>
      </c>
      <c r="D528" t="s">
        <v>99</v>
      </c>
      <c r="E528">
        <v>0</v>
      </c>
      <c r="F528">
        <v>0</v>
      </c>
      <c r="G528">
        <v>0</v>
      </c>
      <c r="H528">
        <v>1</v>
      </c>
    </row>
    <row r="529" spans="1:8" x14ac:dyDescent="0.3">
      <c r="A529" t="s">
        <v>59</v>
      </c>
      <c r="B529" t="s">
        <v>60</v>
      </c>
      <c r="C529" t="s">
        <v>23</v>
      </c>
      <c r="D529" t="s">
        <v>101</v>
      </c>
      <c r="E529">
        <v>0</v>
      </c>
      <c r="F529">
        <v>0</v>
      </c>
      <c r="G529">
        <v>0</v>
      </c>
      <c r="H529">
        <v>1</v>
      </c>
    </row>
    <row r="530" spans="1:8" x14ac:dyDescent="0.3">
      <c r="A530" t="s">
        <v>59</v>
      </c>
      <c r="B530" t="s">
        <v>60</v>
      </c>
      <c r="C530" t="s">
        <v>23</v>
      </c>
      <c r="D530" t="s">
        <v>103</v>
      </c>
      <c r="E530">
        <v>0</v>
      </c>
      <c r="F530">
        <v>0</v>
      </c>
      <c r="G530">
        <v>0</v>
      </c>
      <c r="H530">
        <v>1</v>
      </c>
    </row>
    <row r="531" spans="1:8" x14ac:dyDescent="0.3">
      <c r="A531" t="s">
        <v>59</v>
      </c>
      <c r="B531" t="s">
        <v>60</v>
      </c>
      <c r="C531" t="s">
        <v>23</v>
      </c>
      <c r="D531" t="s">
        <v>105</v>
      </c>
      <c r="E531">
        <v>0</v>
      </c>
      <c r="F531">
        <v>0</v>
      </c>
      <c r="G531">
        <v>0</v>
      </c>
      <c r="H531">
        <v>1</v>
      </c>
    </row>
    <row r="532" spans="1:8" x14ac:dyDescent="0.3">
      <c r="A532" t="s">
        <v>59</v>
      </c>
      <c r="B532" t="s">
        <v>60</v>
      </c>
      <c r="C532" t="s">
        <v>23</v>
      </c>
      <c r="D532" t="s">
        <v>107</v>
      </c>
      <c r="E532">
        <v>0</v>
      </c>
      <c r="F532">
        <v>0</v>
      </c>
      <c r="G532">
        <v>0</v>
      </c>
      <c r="H532">
        <v>1</v>
      </c>
    </row>
    <row r="533" spans="1:8" x14ac:dyDescent="0.3">
      <c r="A533" t="s">
        <v>59</v>
      </c>
      <c r="B533" t="s">
        <v>60</v>
      </c>
      <c r="C533" t="s">
        <v>23</v>
      </c>
      <c r="D533" t="s">
        <v>109</v>
      </c>
      <c r="E533">
        <v>1</v>
      </c>
      <c r="F533">
        <v>1</v>
      </c>
      <c r="G533">
        <v>1</v>
      </c>
      <c r="H533">
        <v>1</v>
      </c>
    </row>
    <row r="534" spans="1:8" x14ac:dyDescent="0.3">
      <c r="A534" t="s">
        <v>59</v>
      </c>
      <c r="B534" t="s">
        <v>60</v>
      </c>
      <c r="C534" t="s">
        <v>23</v>
      </c>
      <c r="D534" t="s">
        <v>111</v>
      </c>
      <c r="E534">
        <v>0</v>
      </c>
      <c r="F534">
        <v>0</v>
      </c>
      <c r="G534">
        <v>0</v>
      </c>
      <c r="H534">
        <v>1</v>
      </c>
    </row>
    <row r="535" spans="1:8" x14ac:dyDescent="0.3">
      <c r="A535" t="s">
        <v>59</v>
      </c>
      <c r="B535" t="s">
        <v>60</v>
      </c>
      <c r="C535" t="s">
        <v>24</v>
      </c>
      <c r="D535" t="s">
        <v>77</v>
      </c>
      <c r="E535">
        <v>0</v>
      </c>
      <c r="F535">
        <v>0</v>
      </c>
      <c r="G535">
        <v>0</v>
      </c>
      <c r="H535">
        <v>1</v>
      </c>
    </row>
    <row r="536" spans="1:8" x14ac:dyDescent="0.3">
      <c r="A536" t="s">
        <v>59</v>
      </c>
      <c r="B536" t="s">
        <v>60</v>
      </c>
      <c r="C536" t="s">
        <v>24</v>
      </c>
      <c r="D536" t="s">
        <v>79</v>
      </c>
      <c r="E536">
        <v>0</v>
      </c>
      <c r="F536">
        <v>0</v>
      </c>
      <c r="G536">
        <v>0</v>
      </c>
      <c r="H536">
        <v>1</v>
      </c>
    </row>
    <row r="537" spans="1:8" x14ac:dyDescent="0.3">
      <c r="A537" t="s">
        <v>59</v>
      </c>
      <c r="B537" t="s">
        <v>60</v>
      </c>
      <c r="C537" t="s">
        <v>24</v>
      </c>
      <c r="D537" t="s">
        <v>81</v>
      </c>
      <c r="E537">
        <v>1</v>
      </c>
      <c r="F537">
        <v>1</v>
      </c>
      <c r="G537">
        <v>1</v>
      </c>
      <c r="H537">
        <v>1</v>
      </c>
    </row>
    <row r="538" spans="1:8" x14ac:dyDescent="0.3">
      <c r="A538" t="s">
        <v>59</v>
      </c>
      <c r="B538" t="s">
        <v>60</v>
      </c>
      <c r="C538" t="s">
        <v>24</v>
      </c>
      <c r="D538" t="s">
        <v>83</v>
      </c>
      <c r="E538">
        <v>0</v>
      </c>
      <c r="F538">
        <v>0</v>
      </c>
      <c r="G538">
        <v>0</v>
      </c>
      <c r="H538">
        <v>1</v>
      </c>
    </row>
    <row r="539" spans="1:8" x14ac:dyDescent="0.3">
      <c r="A539" t="s">
        <v>59</v>
      </c>
      <c r="B539" t="s">
        <v>60</v>
      </c>
      <c r="C539" t="s">
        <v>24</v>
      </c>
      <c r="D539" t="s">
        <v>85</v>
      </c>
      <c r="E539">
        <v>0</v>
      </c>
      <c r="F539">
        <v>0</v>
      </c>
      <c r="G539">
        <v>0</v>
      </c>
      <c r="H539">
        <v>1</v>
      </c>
    </row>
    <row r="540" spans="1:8" x14ac:dyDescent="0.3">
      <c r="A540" t="s">
        <v>59</v>
      </c>
      <c r="B540" t="s">
        <v>60</v>
      </c>
      <c r="C540" t="s">
        <v>24</v>
      </c>
      <c r="D540" t="s">
        <v>87</v>
      </c>
      <c r="E540">
        <v>0</v>
      </c>
      <c r="F540">
        <v>0</v>
      </c>
      <c r="G540">
        <v>0</v>
      </c>
      <c r="H540">
        <v>1</v>
      </c>
    </row>
    <row r="541" spans="1:8" x14ac:dyDescent="0.3">
      <c r="A541" t="s">
        <v>59</v>
      </c>
      <c r="B541" t="s">
        <v>60</v>
      </c>
      <c r="C541" t="s">
        <v>24</v>
      </c>
      <c r="D541" t="s">
        <v>89</v>
      </c>
      <c r="E541">
        <v>0</v>
      </c>
      <c r="F541">
        <v>0</v>
      </c>
      <c r="G541">
        <v>0</v>
      </c>
      <c r="H541">
        <v>1</v>
      </c>
    </row>
    <row r="542" spans="1:8" x14ac:dyDescent="0.3">
      <c r="A542" t="s">
        <v>59</v>
      </c>
      <c r="B542" t="s">
        <v>60</v>
      </c>
      <c r="C542" t="s">
        <v>24</v>
      </c>
      <c r="D542" t="s">
        <v>91</v>
      </c>
      <c r="E542">
        <v>0</v>
      </c>
      <c r="F542">
        <v>0</v>
      </c>
      <c r="G542">
        <v>0</v>
      </c>
      <c r="H542">
        <v>1</v>
      </c>
    </row>
    <row r="543" spans="1:8" x14ac:dyDescent="0.3">
      <c r="A543" t="s">
        <v>59</v>
      </c>
      <c r="B543" t="s">
        <v>60</v>
      </c>
      <c r="C543" t="s">
        <v>24</v>
      </c>
      <c r="D543" t="s">
        <v>93</v>
      </c>
      <c r="E543">
        <v>0</v>
      </c>
      <c r="F543">
        <v>0</v>
      </c>
      <c r="G543">
        <v>0</v>
      </c>
      <c r="H543">
        <v>1</v>
      </c>
    </row>
    <row r="544" spans="1:8" x14ac:dyDescent="0.3">
      <c r="A544" t="s">
        <v>59</v>
      </c>
      <c r="B544" t="s">
        <v>60</v>
      </c>
      <c r="C544" t="s">
        <v>24</v>
      </c>
      <c r="D544" t="s">
        <v>95</v>
      </c>
      <c r="E544">
        <v>0</v>
      </c>
      <c r="F544">
        <v>0</v>
      </c>
      <c r="G544">
        <v>0</v>
      </c>
      <c r="H544">
        <v>1</v>
      </c>
    </row>
    <row r="545" spans="1:8" x14ac:dyDescent="0.3">
      <c r="A545" t="s">
        <v>59</v>
      </c>
      <c r="B545" t="s">
        <v>60</v>
      </c>
      <c r="C545" t="s">
        <v>24</v>
      </c>
      <c r="D545" t="s">
        <v>97</v>
      </c>
      <c r="E545">
        <v>0</v>
      </c>
      <c r="F545">
        <v>0</v>
      </c>
      <c r="G545">
        <v>0</v>
      </c>
      <c r="H545">
        <v>1</v>
      </c>
    </row>
    <row r="546" spans="1:8" x14ac:dyDescent="0.3">
      <c r="A546" t="s">
        <v>59</v>
      </c>
      <c r="B546" t="s">
        <v>60</v>
      </c>
      <c r="C546" t="s">
        <v>24</v>
      </c>
      <c r="D546" t="s">
        <v>99</v>
      </c>
      <c r="E546">
        <v>0</v>
      </c>
      <c r="F546">
        <v>0</v>
      </c>
      <c r="G546">
        <v>0</v>
      </c>
      <c r="H546">
        <v>1</v>
      </c>
    </row>
    <row r="547" spans="1:8" x14ac:dyDescent="0.3">
      <c r="A547" t="s">
        <v>59</v>
      </c>
      <c r="B547" t="s">
        <v>60</v>
      </c>
      <c r="C547" t="s">
        <v>24</v>
      </c>
      <c r="D547" t="s">
        <v>101</v>
      </c>
      <c r="E547">
        <v>0</v>
      </c>
      <c r="F547">
        <v>0</v>
      </c>
      <c r="G547">
        <v>0</v>
      </c>
      <c r="H547">
        <v>1</v>
      </c>
    </row>
    <row r="548" spans="1:8" x14ac:dyDescent="0.3">
      <c r="A548" t="s">
        <v>59</v>
      </c>
      <c r="B548" t="s">
        <v>60</v>
      </c>
      <c r="C548" t="s">
        <v>24</v>
      </c>
      <c r="D548" t="s">
        <v>103</v>
      </c>
      <c r="E548">
        <v>0</v>
      </c>
      <c r="F548">
        <v>0</v>
      </c>
      <c r="G548">
        <v>0</v>
      </c>
      <c r="H548">
        <v>1</v>
      </c>
    </row>
    <row r="549" spans="1:8" x14ac:dyDescent="0.3">
      <c r="A549" t="s">
        <v>59</v>
      </c>
      <c r="B549" t="s">
        <v>60</v>
      </c>
      <c r="C549" t="s">
        <v>24</v>
      </c>
      <c r="D549" t="s">
        <v>105</v>
      </c>
      <c r="E549">
        <v>0</v>
      </c>
      <c r="F549">
        <v>0</v>
      </c>
      <c r="G549">
        <v>0</v>
      </c>
      <c r="H549">
        <v>1</v>
      </c>
    </row>
    <row r="550" spans="1:8" x14ac:dyDescent="0.3">
      <c r="A550" t="s">
        <v>59</v>
      </c>
      <c r="B550" t="s">
        <v>60</v>
      </c>
      <c r="C550" t="s">
        <v>24</v>
      </c>
      <c r="D550" t="s">
        <v>107</v>
      </c>
      <c r="E550">
        <v>0</v>
      </c>
      <c r="F550">
        <v>0</v>
      </c>
      <c r="G550">
        <v>0</v>
      </c>
      <c r="H550">
        <v>1</v>
      </c>
    </row>
    <row r="551" spans="1:8" x14ac:dyDescent="0.3">
      <c r="A551" t="s">
        <v>59</v>
      </c>
      <c r="B551" t="s">
        <v>60</v>
      </c>
      <c r="C551" t="s">
        <v>24</v>
      </c>
      <c r="D551" t="s">
        <v>109</v>
      </c>
      <c r="E551">
        <v>0</v>
      </c>
      <c r="F551">
        <v>0</v>
      </c>
      <c r="G551">
        <v>1</v>
      </c>
      <c r="H551">
        <v>0</v>
      </c>
    </row>
    <row r="552" spans="1:8" x14ac:dyDescent="0.3">
      <c r="A552" t="s">
        <v>59</v>
      </c>
      <c r="B552" t="s">
        <v>60</v>
      </c>
      <c r="C552" t="s">
        <v>24</v>
      </c>
      <c r="D552" t="s">
        <v>111</v>
      </c>
      <c r="E552">
        <v>0</v>
      </c>
      <c r="F552">
        <v>0</v>
      </c>
      <c r="G552">
        <v>0</v>
      </c>
      <c r="H552">
        <v>1</v>
      </c>
    </row>
    <row r="553" spans="1:8" x14ac:dyDescent="0.3">
      <c r="A553" t="s">
        <v>59</v>
      </c>
      <c r="B553" t="s">
        <v>60</v>
      </c>
      <c r="C553" t="s">
        <v>25</v>
      </c>
      <c r="D553" t="s">
        <v>77</v>
      </c>
      <c r="E553">
        <v>0</v>
      </c>
      <c r="F553">
        <v>0</v>
      </c>
      <c r="G553">
        <v>0</v>
      </c>
      <c r="H553">
        <v>1</v>
      </c>
    </row>
    <row r="554" spans="1:8" x14ac:dyDescent="0.3">
      <c r="A554" t="s">
        <v>59</v>
      </c>
      <c r="B554" t="s">
        <v>60</v>
      </c>
      <c r="C554" t="s">
        <v>25</v>
      </c>
      <c r="D554" t="s">
        <v>79</v>
      </c>
      <c r="E554">
        <v>0</v>
      </c>
      <c r="F554">
        <v>0</v>
      </c>
      <c r="G554">
        <v>0</v>
      </c>
      <c r="H554">
        <v>1</v>
      </c>
    </row>
    <row r="555" spans="1:8" x14ac:dyDescent="0.3">
      <c r="A555" t="s">
        <v>59</v>
      </c>
      <c r="B555" t="s">
        <v>60</v>
      </c>
      <c r="C555" t="s">
        <v>25</v>
      </c>
      <c r="D555" t="s">
        <v>81</v>
      </c>
      <c r="E555">
        <v>1</v>
      </c>
      <c r="F555">
        <v>1</v>
      </c>
      <c r="G555">
        <v>1</v>
      </c>
      <c r="H555">
        <v>1</v>
      </c>
    </row>
    <row r="556" spans="1:8" x14ac:dyDescent="0.3">
      <c r="A556" t="s">
        <v>59</v>
      </c>
      <c r="B556" t="s">
        <v>60</v>
      </c>
      <c r="C556" t="s">
        <v>25</v>
      </c>
      <c r="D556" t="s">
        <v>83</v>
      </c>
      <c r="E556">
        <v>0</v>
      </c>
      <c r="F556">
        <v>0</v>
      </c>
      <c r="G556">
        <v>0</v>
      </c>
      <c r="H556">
        <v>1</v>
      </c>
    </row>
    <row r="557" spans="1:8" x14ac:dyDescent="0.3">
      <c r="A557" t="s">
        <v>59</v>
      </c>
      <c r="B557" t="s">
        <v>60</v>
      </c>
      <c r="C557" t="s">
        <v>25</v>
      </c>
      <c r="D557" t="s">
        <v>85</v>
      </c>
      <c r="E557">
        <v>0</v>
      </c>
      <c r="F557">
        <v>0</v>
      </c>
      <c r="G557">
        <v>0</v>
      </c>
      <c r="H557">
        <v>1</v>
      </c>
    </row>
    <row r="558" spans="1:8" x14ac:dyDescent="0.3">
      <c r="A558" t="s">
        <v>59</v>
      </c>
      <c r="B558" t="s">
        <v>60</v>
      </c>
      <c r="C558" t="s">
        <v>25</v>
      </c>
      <c r="D558" t="s">
        <v>87</v>
      </c>
      <c r="E558">
        <v>0</v>
      </c>
      <c r="F558">
        <v>0</v>
      </c>
      <c r="G558">
        <v>0</v>
      </c>
      <c r="H558">
        <v>1</v>
      </c>
    </row>
    <row r="559" spans="1:8" x14ac:dyDescent="0.3">
      <c r="A559" t="s">
        <v>59</v>
      </c>
      <c r="B559" t="s">
        <v>60</v>
      </c>
      <c r="C559" t="s">
        <v>25</v>
      </c>
      <c r="D559" t="s">
        <v>89</v>
      </c>
      <c r="E559">
        <v>0</v>
      </c>
      <c r="F559">
        <v>0</v>
      </c>
      <c r="G559">
        <v>0</v>
      </c>
      <c r="H559">
        <v>1</v>
      </c>
    </row>
    <row r="560" spans="1:8" x14ac:dyDescent="0.3">
      <c r="A560" t="s">
        <v>59</v>
      </c>
      <c r="B560" t="s">
        <v>60</v>
      </c>
      <c r="C560" t="s">
        <v>25</v>
      </c>
      <c r="D560" t="s">
        <v>91</v>
      </c>
      <c r="E560">
        <v>0</v>
      </c>
      <c r="F560">
        <v>0</v>
      </c>
      <c r="G560">
        <v>0</v>
      </c>
      <c r="H560">
        <v>1</v>
      </c>
    </row>
    <row r="561" spans="1:8" x14ac:dyDescent="0.3">
      <c r="A561" t="s">
        <v>59</v>
      </c>
      <c r="B561" t="s">
        <v>60</v>
      </c>
      <c r="C561" t="s">
        <v>25</v>
      </c>
      <c r="D561" t="s">
        <v>93</v>
      </c>
      <c r="E561">
        <v>0</v>
      </c>
      <c r="F561">
        <v>0</v>
      </c>
      <c r="G561">
        <v>0</v>
      </c>
      <c r="H561">
        <v>1</v>
      </c>
    </row>
    <row r="562" spans="1:8" x14ac:dyDescent="0.3">
      <c r="A562" t="s">
        <v>59</v>
      </c>
      <c r="B562" t="s">
        <v>60</v>
      </c>
      <c r="C562" t="s">
        <v>25</v>
      </c>
      <c r="D562" t="s">
        <v>95</v>
      </c>
      <c r="E562">
        <v>0</v>
      </c>
      <c r="F562">
        <v>0</v>
      </c>
      <c r="G562">
        <v>0</v>
      </c>
      <c r="H562">
        <v>1</v>
      </c>
    </row>
    <row r="563" spans="1:8" x14ac:dyDescent="0.3">
      <c r="A563" t="s">
        <v>59</v>
      </c>
      <c r="B563" t="s">
        <v>60</v>
      </c>
      <c r="C563" t="s">
        <v>25</v>
      </c>
      <c r="D563" t="s">
        <v>97</v>
      </c>
      <c r="E563">
        <v>0</v>
      </c>
      <c r="F563">
        <v>0</v>
      </c>
      <c r="G563">
        <v>0</v>
      </c>
      <c r="H563">
        <v>1</v>
      </c>
    </row>
    <row r="564" spans="1:8" x14ac:dyDescent="0.3">
      <c r="A564" t="s">
        <v>59</v>
      </c>
      <c r="B564" t="s">
        <v>60</v>
      </c>
      <c r="C564" t="s">
        <v>25</v>
      </c>
      <c r="D564" t="s">
        <v>99</v>
      </c>
      <c r="E564">
        <v>0</v>
      </c>
      <c r="F564">
        <v>0</v>
      </c>
      <c r="G564">
        <v>0</v>
      </c>
      <c r="H564">
        <v>1</v>
      </c>
    </row>
    <row r="565" spans="1:8" x14ac:dyDescent="0.3">
      <c r="A565" t="s">
        <v>59</v>
      </c>
      <c r="B565" t="s">
        <v>60</v>
      </c>
      <c r="C565" t="s">
        <v>25</v>
      </c>
      <c r="D565" t="s">
        <v>101</v>
      </c>
      <c r="E565">
        <v>0</v>
      </c>
      <c r="F565">
        <v>0</v>
      </c>
      <c r="G565">
        <v>0</v>
      </c>
      <c r="H565">
        <v>1</v>
      </c>
    </row>
    <row r="566" spans="1:8" x14ac:dyDescent="0.3">
      <c r="A566" t="s">
        <v>59</v>
      </c>
      <c r="B566" t="s">
        <v>60</v>
      </c>
      <c r="C566" t="s">
        <v>25</v>
      </c>
      <c r="D566" t="s">
        <v>103</v>
      </c>
      <c r="E566">
        <v>0</v>
      </c>
      <c r="F566">
        <v>0</v>
      </c>
      <c r="G566">
        <v>0</v>
      </c>
      <c r="H566">
        <v>1</v>
      </c>
    </row>
    <row r="567" spans="1:8" x14ac:dyDescent="0.3">
      <c r="A567" t="s">
        <v>59</v>
      </c>
      <c r="B567" t="s">
        <v>60</v>
      </c>
      <c r="C567" t="s">
        <v>25</v>
      </c>
      <c r="D567" t="s">
        <v>105</v>
      </c>
      <c r="E567">
        <v>0</v>
      </c>
      <c r="F567">
        <v>0</v>
      </c>
      <c r="G567">
        <v>0</v>
      </c>
      <c r="H567">
        <v>1</v>
      </c>
    </row>
    <row r="568" spans="1:8" x14ac:dyDescent="0.3">
      <c r="A568" t="s">
        <v>59</v>
      </c>
      <c r="B568" t="s">
        <v>60</v>
      </c>
      <c r="C568" t="s">
        <v>25</v>
      </c>
      <c r="D568" t="s">
        <v>107</v>
      </c>
      <c r="E568">
        <v>0</v>
      </c>
      <c r="F568">
        <v>0</v>
      </c>
      <c r="G568">
        <v>0</v>
      </c>
      <c r="H568">
        <v>1</v>
      </c>
    </row>
    <row r="569" spans="1:8" x14ac:dyDescent="0.3">
      <c r="A569" t="s">
        <v>59</v>
      </c>
      <c r="B569" t="s">
        <v>60</v>
      </c>
      <c r="C569" t="s">
        <v>25</v>
      </c>
      <c r="D569" t="s">
        <v>111</v>
      </c>
      <c r="E569">
        <v>0</v>
      </c>
      <c r="F569">
        <v>0</v>
      </c>
      <c r="G569">
        <v>0</v>
      </c>
      <c r="H569">
        <v>1</v>
      </c>
    </row>
    <row r="570" spans="1:8" x14ac:dyDescent="0.3">
      <c r="A570" t="s">
        <v>61</v>
      </c>
      <c r="B570" t="s">
        <v>62</v>
      </c>
      <c r="C570" t="s">
        <v>21</v>
      </c>
      <c r="D570" t="s">
        <v>77</v>
      </c>
      <c r="E570">
        <v>0</v>
      </c>
      <c r="F570">
        <v>0</v>
      </c>
      <c r="G570">
        <v>0</v>
      </c>
      <c r="H570">
        <v>1</v>
      </c>
    </row>
    <row r="571" spans="1:8" x14ac:dyDescent="0.3">
      <c r="A571" t="s">
        <v>61</v>
      </c>
      <c r="B571" t="s">
        <v>62</v>
      </c>
      <c r="C571" t="s">
        <v>21</v>
      </c>
      <c r="D571" t="s">
        <v>79</v>
      </c>
      <c r="E571">
        <v>0</v>
      </c>
      <c r="F571">
        <v>0</v>
      </c>
      <c r="G571">
        <v>0</v>
      </c>
      <c r="H571">
        <v>1</v>
      </c>
    </row>
    <row r="572" spans="1:8" x14ac:dyDescent="0.3">
      <c r="A572" t="s">
        <v>61</v>
      </c>
      <c r="B572" t="s">
        <v>62</v>
      </c>
      <c r="C572" t="s">
        <v>21</v>
      </c>
      <c r="D572" t="s">
        <v>81</v>
      </c>
      <c r="E572">
        <v>0</v>
      </c>
      <c r="F572">
        <v>0</v>
      </c>
      <c r="G572">
        <v>0</v>
      </c>
      <c r="H572">
        <v>1</v>
      </c>
    </row>
    <row r="573" spans="1:8" x14ac:dyDescent="0.3">
      <c r="A573" t="s">
        <v>61</v>
      </c>
      <c r="B573" t="s">
        <v>62</v>
      </c>
      <c r="C573" t="s">
        <v>21</v>
      </c>
      <c r="D573" t="s">
        <v>83</v>
      </c>
      <c r="E573">
        <v>0</v>
      </c>
      <c r="F573">
        <v>0</v>
      </c>
      <c r="G573">
        <v>0</v>
      </c>
      <c r="H573">
        <v>1</v>
      </c>
    </row>
    <row r="574" spans="1:8" x14ac:dyDescent="0.3">
      <c r="A574" t="s">
        <v>61</v>
      </c>
      <c r="B574" t="s">
        <v>62</v>
      </c>
      <c r="C574" t="s">
        <v>21</v>
      </c>
      <c r="D574" t="s">
        <v>85</v>
      </c>
      <c r="E574">
        <v>0</v>
      </c>
      <c r="F574">
        <v>0</v>
      </c>
      <c r="G574">
        <v>0</v>
      </c>
      <c r="H574">
        <v>1</v>
      </c>
    </row>
    <row r="575" spans="1:8" x14ac:dyDescent="0.3">
      <c r="A575" t="s">
        <v>61</v>
      </c>
      <c r="B575" t="s">
        <v>62</v>
      </c>
      <c r="C575" t="s">
        <v>21</v>
      </c>
      <c r="D575" t="s">
        <v>87</v>
      </c>
      <c r="E575">
        <v>0</v>
      </c>
      <c r="F575">
        <v>0</v>
      </c>
      <c r="G575">
        <v>0</v>
      </c>
      <c r="H575">
        <v>1</v>
      </c>
    </row>
    <row r="576" spans="1:8" x14ac:dyDescent="0.3">
      <c r="A576" t="s">
        <v>61</v>
      </c>
      <c r="B576" t="s">
        <v>62</v>
      </c>
      <c r="C576" t="s">
        <v>21</v>
      </c>
      <c r="D576" t="s">
        <v>89</v>
      </c>
      <c r="E576">
        <v>0</v>
      </c>
      <c r="F576">
        <v>0</v>
      </c>
      <c r="G576">
        <v>0</v>
      </c>
      <c r="H576">
        <v>1</v>
      </c>
    </row>
    <row r="577" spans="1:8" x14ac:dyDescent="0.3">
      <c r="A577" t="s">
        <v>61</v>
      </c>
      <c r="B577" t="s">
        <v>62</v>
      </c>
      <c r="C577" t="s">
        <v>21</v>
      </c>
      <c r="D577" t="s">
        <v>91</v>
      </c>
      <c r="E577">
        <v>0</v>
      </c>
      <c r="F577">
        <v>0</v>
      </c>
      <c r="G577">
        <v>0</v>
      </c>
      <c r="H577">
        <v>1</v>
      </c>
    </row>
    <row r="578" spans="1:8" x14ac:dyDescent="0.3">
      <c r="A578" t="s">
        <v>61</v>
      </c>
      <c r="B578" t="s">
        <v>62</v>
      </c>
      <c r="C578" t="s">
        <v>21</v>
      </c>
      <c r="D578" t="s">
        <v>93</v>
      </c>
      <c r="E578">
        <v>0</v>
      </c>
      <c r="F578">
        <v>0</v>
      </c>
      <c r="G578">
        <v>0</v>
      </c>
      <c r="H578">
        <v>1</v>
      </c>
    </row>
    <row r="579" spans="1:8" x14ac:dyDescent="0.3">
      <c r="A579" t="s">
        <v>61</v>
      </c>
      <c r="B579" t="s">
        <v>62</v>
      </c>
      <c r="C579" t="s">
        <v>21</v>
      </c>
      <c r="D579" t="s">
        <v>95</v>
      </c>
      <c r="E579">
        <v>0</v>
      </c>
      <c r="F579">
        <v>0</v>
      </c>
      <c r="G579">
        <v>0</v>
      </c>
      <c r="H579">
        <v>1</v>
      </c>
    </row>
    <row r="580" spans="1:8" x14ac:dyDescent="0.3">
      <c r="A580" t="s">
        <v>61</v>
      </c>
      <c r="B580" t="s">
        <v>62</v>
      </c>
      <c r="C580" t="s">
        <v>21</v>
      </c>
      <c r="D580" t="s">
        <v>97</v>
      </c>
      <c r="E580">
        <v>0</v>
      </c>
      <c r="F580">
        <v>0</v>
      </c>
      <c r="G580">
        <v>0</v>
      </c>
      <c r="H580">
        <v>1</v>
      </c>
    </row>
    <row r="581" spans="1:8" x14ac:dyDescent="0.3">
      <c r="A581" t="s">
        <v>61</v>
      </c>
      <c r="B581" t="s">
        <v>62</v>
      </c>
      <c r="C581" t="s">
        <v>21</v>
      </c>
      <c r="D581" t="s">
        <v>99</v>
      </c>
      <c r="E581">
        <v>0</v>
      </c>
      <c r="F581">
        <v>0</v>
      </c>
      <c r="G581">
        <v>0</v>
      </c>
      <c r="H581">
        <v>1</v>
      </c>
    </row>
    <row r="582" spans="1:8" x14ac:dyDescent="0.3">
      <c r="A582" t="s">
        <v>61</v>
      </c>
      <c r="B582" t="s">
        <v>62</v>
      </c>
      <c r="C582" t="s">
        <v>21</v>
      </c>
      <c r="D582" t="s">
        <v>101</v>
      </c>
      <c r="E582">
        <v>0</v>
      </c>
      <c r="F582">
        <v>0</v>
      </c>
      <c r="G582">
        <v>0</v>
      </c>
      <c r="H582">
        <v>1</v>
      </c>
    </row>
    <row r="583" spans="1:8" x14ac:dyDescent="0.3">
      <c r="A583" t="s">
        <v>61</v>
      </c>
      <c r="B583" t="s">
        <v>62</v>
      </c>
      <c r="C583" t="s">
        <v>21</v>
      </c>
      <c r="D583" t="s">
        <v>103</v>
      </c>
      <c r="E583">
        <v>0</v>
      </c>
      <c r="F583">
        <v>0</v>
      </c>
      <c r="G583">
        <v>0</v>
      </c>
      <c r="H583">
        <v>1</v>
      </c>
    </row>
    <row r="584" spans="1:8" x14ac:dyDescent="0.3">
      <c r="A584" t="s">
        <v>61</v>
      </c>
      <c r="B584" t="s">
        <v>62</v>
      </c>
      <c r="C584" t="s">
        <v>21</v>
      </c>
      <c r="D584" t="s">
        <v>105</v>
      </c>
      <c r="E584">
        <v>0</v>
      </c>
      <c r="F584">
        <v>0</v>
      </c>
      <c r="G584">
        <v>0</v>
      </c>
      <c r="H584">
        <v>1</v>
      </c>
    </row>
    <row r="585" spans="1:8" x14ac:dyDescent="0.3">
      <c r="A585" t="s">
        <v>61</v>
      </c>
      <c r="B585" t="s">
        <v>62</v>
      </c>
      <c r="C585" t="s">
        <v>21</v>
      </c>
      <c r="D585" t="s">
        <v>107</v>
      </c>
      <c r="E585">
        <v>0</v>
      </c>
      <c r="F585">
        <v>0</v>
      </c>
      <c r="G585">
        <v>0</v>
      </c>
      <c r="H585">
        <v>1</v>
      </c>
    </row>
    <row r="586" spans="1:8" x14ac:dyDescent="0.3">
      <c r="A586" t="s">
        <v>61</v>
      </c>
      <c r="B586" t="s">
        <v>62</v>
      </c>
      <c r="C586" t="s">
        <v>21</v>
      </c>
      <c r="D586" t="s">
        <v>109</v>
      </c>
      <c r="E586">
        <v>1</v>
      </c>
      <c r="F586">
        <v>1</v>
      </c>
      <c r="G586">
        <v>1</v>
      </c>
      <c r="H586">
        <v>1</v>
      </c>
    </row>
    <row r="587" spans="1:8" x14ac:dyDescent="0.3">
      <c r="A587" t="s">
        <v>61</v>
      </c>
      <c r="B587" t="s">
        <v>62</v>
      </c>
      <c r="C587" t="s">
        <v>21</v>
      </c>
      <c r="D587" t="s">
        <v>111</v>
      </c>
      <c r="E587">
        <v>0</v>
      </c>
      <c r="F587">
        <v>0</v>
      </c>
      <c r="G587">
        <v>0</v>
      </c>
      <c r="H587">
        <v>1</v>
      </c>
    </row>
    <row r="588" spans="1:8" x14ac:dyDescent="0.3">
      <c r="A588" t="s">
        <v>61</v>
      </c>
      <c r="B588" t="s">
        <v>62</v>
      </c>
      <c r="C588" t="s">
        <v>23</v>
      </c>
      <c r="D588" t="s">
        <v>77</v>
      </c>
      <c r="E588">
        <v>0</v>
      </c>
      <c r="F588">
        <v>0</v>
      </c>
      <c r="G588">
        <v>0</v>
      </c>
      <c r="H588">
        <v>1</v>
      </c>
    </row>
    <row r="589" spans="1:8" x14ac:dyDescent="0.3">
      <c r="A589" t="s">
        <v>61</v>
      </c>
      <c r="B589" t="s">
        <v>62</v>
      </c>
      <c r="C589" t="s">
        <v>23</v>
      </c>
      <c r="D589" t="s">
        <v>79</v>
      </c>
      <c r="E589">
        <v>0</v>
      </c>
      <c r="F589">
        <v>0</v>
      </c>
      <c r="G589">
        <v>0</v>
      </c>
      <c r="H589">
        <v>1</v>
      </c>
    </row>
    <row r="590" spans="1:8" x14ac:dyDescent="0.3">
      <c r="A590" t="s">
        <v>61</v>
      </c>
      <c r="B590" t="s">
        <v>62</v>
      </c>
      <c r="C590" t="s">
        <v>23</v>
      </c>
      <c r="D590" t="s">
        <v>81</v>
      </c>
      <c r="E590">
        <v>1</v>
      </c>
      <c r="F590">
        <v>1</v>
      </c>
      <c r="G590">
        <v>1</v>
      </c>
      <c r="H590">
        <v>1</v>
      </c>
    </row>
    <row r="591" spans="1:8" x14ac:dyDescent="0.3">
      <c r="A591" t="s">
        <v>61</v>
      </c>
      <c r="B591" t="s">
        <v>62</v>
      </c>
      <c r="C591" t="s">
        <v>23</v>
      </c>
      <c r="D591" t="s">
        <v>83</v>
      </c>
      <c r="E591">
        <v>0</v>
      </c>
      <c r="F591">
        <v>0</v>
      </c>
      <c r="G591">
        <v>0</v>
      </c>
      <c r="H591">
        <v>1</v>
      </c>
    </row>
    <row r="592" spans="1:8" x14ac:dyDescent="0.3">
      <c r="A592" t="s">
        <v>61</v>
      </c>
      <c r="B592" t="s">
        <v>62</v>
      </c>
      <c r="C592" t="s">
        <v>23</v>
      </c>
      <c r="D592" t="s">
        <v>85</v>
      </c>
      <c r="E592">
        <v>0</v>
      </c>
      <c r="F592">
        <v>0</v>
      </c>
      <c r="G592">
        <v>0</v>
      </c>
      <c r="H592">
        <v>1</v>
      </c>
    </row>
    <row r="593" spans="1:8" x14ac:dyDescent="0.3">
      <c r="A593" t="s">
        <v>61</v>
      </c>
      <c r="B593" t="s">
        <v>62</v>
      </c>
      <c r="C593" t="s">
        <v>23</v>
      </c>
      <c r="D593" t="s">
        <v>87</v>
      </c>
      <c r="E593">
        <v>0</v>
      </c>
      <c r="F593">
        <v>0</v>
      </c>
      <c r="G593">
        <v>0</v>
      </c>
      <c r="H593">
        <v>1</v>
      </c>
    </row>
    <row r="594" spans="1:8" x14ac:dyDescent="0.3">
      <c r="A594" t="s">
        <v>61</v>
      </c>
      <c r="B594" t="s">
        <v>62</v>
      </c>
      <c r="C594" t="s">
        <v>23</v>
      </c>
      <c r="D594" t="s">
        <v>89</v>
      </c>
      <c r="E594">
        <v>0</v>
      </c>
      <c r="F594">
        <v>0</v>
      </c>
      <c r="G594">
        <v>0</v>
      </c>
      <c r="H594">
        <v>1</v>
      </c>
    </row>
    <row r="595" spans="1:8" x14ac:dyDescent="0.3">
      <c r="A595" t="s">
        <v>61</v>
      </c>
      <c r="B595" t="s">
        <v>62</v>
      </c>
      <c r="C595" t="s">
        <v>23</v>
      </c>
      <c r="D595" t="s">
        <v>91</v>
      </c>
      <c r="E595">
        <v>0</v>
      </c>
      <c r="F595">
        <v>0</v>
      </c>
      <c r="G595">
        <v>0</v>
      </c>
      <c r="H595">
        <v>1</v>
      </c>
    </row>
    <row r="596" spans="1:8" x14ac:dyDescent="0.3">
      <c r="A596" t="s">
        <v>61</v>
      </c>
      <c r="B596" t="s">
        <v>62</v>
      </c>
      <c r="C596" t="s">
        <v>23</v>
      </c>
      <c r="D596" t="s">
        <v>93</v>
      </c>
      <c r="E596">
        <v>0</v>
      </c>
      <c r="F596">
        <v>0</v>
      </c>
      <c r="G596">
        <v>0</v>
      </c>
      <c r="H596">
        <v>1</v>
      </c>
    </row>
    <row r="597" spans="1:8" x14ac:dyDescent="0.3">
      <c r="A597" t="s">
        <v>61</v>
      </c>
      <c r="B597" t="s">
        <v>62</v>
      </c>
      <c r="C597" t="s">
        <v>23</v>
      </c>
      <c r="D597" t="s">
        <v>95</v>
      </c>
      <c r="E597">
        <v>0</v>
      </c>
      <c r="F597">
        <v>0</v>
      </c>
      <c r="G597">
        <v>0</v>
      </c>
      <c r="H597">
        <v>1</v>
      </c>
    </row>
    <row r="598" spans="1:8" x14ac:dyDescent="0.3">
      <c r="A598" t="s">
        <v>61</v>
      </c>
      <c r="B598" t="s">
        <v>62</v>
      </c>
      <c r="C598" t="s">
        <v>23</v>
      </c>
      <c r="D598" t="s">
        <v>97</v>
      </c>
      <c r="E598">
        <v>0</v>
      </c>
      <c r="F598">
        <v>0</v>
      </c>
      <c r="G598">
        <v>0</v>
      </c>
      <c r="H598">
        <v>1</v>
      </c>
    </row>
    <row r="599" spans="1:8" x14ac:dyDescent="0.3">
      <c r="A599" t="s">
        <v>61</v>
      </c>
      <c r="B599" t="s">
        <v>62</v>
      </c>
      <c r="C599" t="s">
        <v>23</v>
      </c>
      <c r="D599" t="s">
        <v>99</v>
      </c>
      <c r="E599">
        <v>0</v>
      </c>
      <c r="F599">
        <v>0</v>
      </c>
      <c r="G599">
        <v>0</v>
      </c>
      <c r="H599">
        <v>1</v>
      </c>
    </row>
    <row r="600" spans="1:8" x14ac:dyDescent="0.3">
      <c r="A600" t="s">
        <v>61</v>
      </c>
      <c r="B600" t="s">
        <v>62</v>
      </c>
      <c r="C600" t="s">
        <v>23</v>
      </c>
      <c r="D600" t="s">
        <v>101</v>
      </c>
      <c r="E600">
        <v>0</v>
      </c>
      <c r="F600">
        <v>0</v>
      </c>
      <c r="G600">
        <v>0</v>
      </c>
      <c r="H600">
        <v>1</v>
      </c>
    </row>
    <row r="601" spans="1:8" x14ac:dyDescent="0.3">
      <c r="A601" t="s">
        <v>61</v>
      </c>
      <c r="B601" t="s">
        <v>62</v>
      </c>
      <c r="C601" t="s">
        <v>23</v>
      </c>
      <c r="D601" t="s">
        <v>103</v>
      </c>
      <c r="E601">
        <v>0</v>
      </c>
      <c r="F601">
        <v>0</v>
      </c>
      <c r="G601">
        <v>0</v>
      </c>
      <c r="H601">
        <v>1</v>
      </c>
    </row>
    <row r="602" spans="1:8" x14ac:dyDescent="0.3">
      <c r="A602" t="s">
        <v>61</v>
      </c>
      <c r="B602" t="s">
        <v>62</v>
      </c>
      <c r="C602" t="s">
        <v>23</v>
      </c>
      <c r="D602" t="s">
        <v>105</v>
      </c>
      <c r="E602">
        <v>0</v>
      </c>
      <c r="F602">
        <v>0</v>
      </c>
      <c r="G602">
        <v>0</v>
      </c>
      <c r="H602">
        <v>1</v>
      </c>
    </row>
    <row r="603" spans="1:8" x14ac:dyDescent="0.3">
      <c r="A603" t="s">
        <v>61</v>
      </c>
      <c r="B603" t="s">
        <v>62</v>
      </c>
      <c r="C603" t="s">
        <v>23</v>
      </c>
      <c r="D603" t="s">
        <v>107</v>
      </c>
      <c r="E603">
        <v>0</v>
      </c>
      <c r="F603">
        <v>0</v>
      </c>
      <c r="G603">
        <v>0</v>
      </c>
      <c r="H603">
        <v>1</v>
      </c>
    </row>
    <row r="604" spans="1:8" x14ac:dyDescent="0.3">
      <c r="A604" t="s">
        <v>61</v>
      </c>
      <c r="B604" t="s">
        <v>62</v>
      </c>
      <c r="C604" t="s">
        <v>23</v>
      </c>
      <c r="D604" t="s">
        <v>109</v>
      </c>
      <c r="E604">
        <v>1</v>
      </c>
      <c r="F604">
        <v>1</v>
      </c>
      <c r="G604">
        <v>1</v>
      </c>
      <c r="H604">
        <v>1</v>
      </c>
    </row>
    <row r="605" spans="1:8" x14ac:dyDescent="0.3">
      <c r="A605" t="s">
        <v>61</v>
      </c>
      <c r="B605" t="s">
        <v>62</v>
      </c>
      <c r="C605" t="s">
        <v>23</v>
      </c>
      <c r="D605" t="s">
        <v>111</v>
      </c>
      <c r="E605">
        <v>0</v>
      </c>
      <c r="F605">
        <v>0</v>
      </c>
      <c r="G605">
        <v>0</v>
      </c>
      <c r="H605">
        <v>1</v>
      </c>
    </row>
    <row r="606" spans="1:8" x14ac:dyDescent="0.3">
      <c r="A606" t="s">
        <v>61</v>
      </c>
      <c r="B606" t="s">
        <v>62</v>
      </c>
      <c r="C606" t="s">
        <v>24</v>
      </c>
      <c r="D606" t="s">
        <v>77</v>
      </c>
      <c r="E606">
        <v>0</v>
      </c>
      <c r="F606">
        <v>0</v>
      </c>
      <c r="G606">
        <v>0</v>
      </c>
      <c r="H606">
        <v>1</v>
      </c>
    </row>
    <row r="607" spans="1:8" x14ac:dyDescent="0.3">
      <c r="A607" t="s">
        <v>61</v>
      </c>
      <c r="B607" t="s">
        <v>62</v>
      </c>
      <c r="C607" t="s">
        <v>24</v>
      </c>
      <c r="D607" t="s">
        <v>79</v>
      </c>
      <c r="E607">
        <v>0</v>
      </c>
      <c r="F607">
        <v>0</v>
      </c>
      <c r="G607">
        <v>0</v>
      </c>
      <c r="H607">
        <v>1</v>
      </c>
    </row>
    <row r="608" spans="1:8" x14ac:dyDescent="0.3">
      <c r="A608" t="s">
        <v>61</v>
      </c>
      <c r="B608" t="s">
        <v>62</v>
      </c>
      <c r="C608" t="s">
        <v>24</v>
      </c>
      <c r="D608" t="s">
        <v>81</v>
      </c>
      <c r="E608">
        <v>1</v>
      </c>
      <c r="F608">
        <v>1</v>
      </c>
      <c r="G608">
        <v>1</v>
      </c>
      <c r="H608">
        <v>1</v>
      </c>
    </row>
    <row r="609" spans="1:8" x14ac:dyDescent="0.3">
      <c r="A609" t="s">
        <v>61</v>
      </c>
      <c r="B609" t="s">
        <v>62</v>
      </c>
      <c r="C609" t="s">
        <v>24</v>
      </c>
      <c r="D609" t="s">
        <v>83</v>
      </c>
      <c r="E609">
        <v>0</v>
      </c>
      <c r="F609">
        <v>0</v>
      </c>
      <c r="G609">
        <v>0</v>
      </c>
      <c r="H609">
        <v>1</v>
      </c>
    </row>
    <row r="610" spans="1:8" x14ac:dyDescent="0.3">
      <c r="A610" t="s">
        <v>61</v>
      </c>
      <c r="B610" t="s">
        <v>62</v>
      </c>
      <c r="C610" t="s">
        <v>24</v>
      </c>
      <c r="D610" t="s">
        <v>85</v>
      </c>
      <c r="E610">
        <v>0</v>
      </c>
      <c r="F610">
        <v>0</v>
      </c>
      <c r="G610">
        <v>0</v>
      </c>
      <c r="H610">
        <v>1</v>
      </c>
    </row>
    <row r="611" spans="1:8" x14ac:dyDescent="0.3">
      <c r="A611" t="s">
        <v>61</v>
      </c>
      <c r="B611" t="s">
        <v>62</v>
      </c>
      <c r="C611" t="s">
        <v>24</v>
      </c>
      <c r="D611" t="s">
        <v>87</v>
      </c>
      <c r="E611">
        <v>0</v>
      </c>
      <c r="F611">
        <v>0</v>
      </c>
      <c r="G611">
        <v>0</v>
      </c>
      <c r="H611">
        <v>1</v>
      </c>
    </row>
    <row r="612" spans="1:8" x14ac:dyDescent="0.3">
      <c r="A612" t="s">
        <v>61</v>
      </c>
      <c r="B612" t="s">
        <v>62</v>
      </c>
      <c r="C612" t="s">
        <v>24</v>
      </c>
      <c r="D612" t="s">
        <v>89</v>
      </c>
      <c r="E612">
        <v>0</v>
      </c>
      <c r="F612">
        <v>0</v>
      </c>
      <c r="G612">
        <v>0</v>
      </c>
      <c r="H612">
        <v>1</v>
      </c>
    </row>
    <row r="613" spans="1:8" x14ac:dyDescent="0.3">
      <c r="A613" t="s">
        <v>61</v>
      </c>
      <c r="B613" t="s">
        <v>62</v>
      </c>
      <c r="C613" t="s">
        <v>24</v>
      </c>
      <c r="D613" t="s">
        <v>91</v>
      </c>
      <c r="E613">
        <v>0</v>
      </c>
      <c r="F613">
        <v>0</v>
      </c>
      <c r="G613">
        <v>0</v>
      </c>
      <c r="H613">
        <v>1</v>
      </c>
    </row>
    <row r="614" spans="1:8" x14ac:dyDescent="0.3">
      <c r="A614" t="s">
        <v>61</v>
      </c>
      <c r="B614" t="s">
        <v>62</v>
      </c>
      <c r="C614" t="s">
        <v>24</v>
      </c>
      <c r="D614" t="s">
        <v>93</v>
      </c>
      <c r="E614">
        <v>0</v>
      </c>
      <c r="F614">
        <v>0</v>
      </c>
      <c r="G614">
        <v>0</v>
      </c>
      <c r="H614">
        <v>1</v>
      </c>
    </row>
    <row r="615" spans="1:8" x14ac:dyDescent="0.3">
      <c r="A615" t="s">
        <v>61</v>
      </c>
      <c r="B615" t="s">
        <v>62</v>
      </c>
      <c r="C615" t="s">
        <v>24</v>
      </c>
      <c r="D615" t="s">
        <v>95</v>
      </c>
      <c r="E615">
        <v>0</v>
      </c>
      <c r="F615">
        <v>0</v>
      </c>
      <c r="G615">
        <v>0</v>
      </c>
      <c r="H615">
        <v>1</v>
      </c>
    </row>
    <row r="616" spans="1:8" x14ac:dyDescent="0.3">
      <c r="A616" t="s">
        <v>61</v>
      </c>
      <c r="B616" t="s">
        <v>62</v>
      </c>
      <c r="C616" t="s">
        <v>24</v>
      </c>
      <c r="D616" t="s">
        <v>97</v>
      </c>
      <c r="E616">
        <v>1</v>
      </c>
      <c r="F616">
        <v>0</v>
      </c>
      <c r="G616">
        <v>0</v>
      </c>
      <c r="H616">
        <v>0</v>
      </c>
    </row>
    <row r="617" spans="1:8" x14ac:dyDescent="0.3">
      <c r="A617" t="s">
        <v>61</v>
      </c>
      <c r="B617" t="s">
        <v>62</v>
      </c>
      <c r="C617" t="s">
        <v>24</v>
      </c>
      <c r="D617" t="s">
        <v>99</v>
      </c>
      <c r="E617">
        <v>0</v>
      </c>
      <c r="F617">
        <v>0</v>
      </c>
      <c r="G617">
        <v>0</v>
      </c>
      <c r="H617">
        <v>1</v>
      </c>
    </row>
    <row r="618" spans="1:8" x14ac:dyDescent="0.3">
      <c r="A618" t="s">
        <v>61</v>
      </c>
      <c r="B618" t="s">
        <v>62</v>
      </c>
      <c r="C618" t="s">
        <v>24</v>
      </c>
      <c r="D618" t="s">
        <v>101</v>
      </c>
      <c r="E618">
        <v>1</v>
      </c>
      <c r="F618">
        <v>1</v>
      </c>
      <c r="G618">
        <v>1</v>
      </c>
      <c r="H618">
        <v>1</v>
      </c>
    </row>
    <row r="619" spans="1:8" x14ac:dyDescent="0.3">
      <c r="A619" t="s">
        <v>61</v>
      </c>
      <c r="B619" t="s">
        <v>62</v>
      </c>
      <c r="C619" t="s">
        <v>24</v>
      </c>
      <c r="D619" t="s">
        <v>103</v>
      </c>
      <c r="E619">
        <v>0</v>
      </c>
      <c r="F619">
        <v>0</v>
      </c>
      <c r="G619">
        <v>0</v>
      </c>
      <c r="H619">
        <v>1</v>
      </c>
    </row>
    <row r="620" spans="1:8" x14ac:dyDescent="0.3">
      <c r="A620" t="s">
        <v>61</v>
      </c>
      <c r="B620" t="s">
        <v>62</v>
      </c>
      <c r="C620" t="s">
        <v>24</v>
      </c>
      <c r="D620" t="s">
        <v>105</v>
      </c>
      <c r="E620">
        <v>0</v>
      </c>
      <c r="F620">
        <v>0</v>
      </c>
      <c r="G620">
        <v>0</v>
      </c>
      <c r="H620">
        <v>1</v>
      </c>
    </row>
    <row r="621" spans="1:8" x14ac:dyDescent="0.3">
      <c r="A621" t="s">
        <v>61</v>
      </c>
      <c r="B621" t="s">
        <v>62</v>
      </c>
      <c r="C621" t="s">
        <v>24</v>
      </c>
      <c r="D621" t="s">
        <v>107</v>
      </c>
      <c r="E621">
        <v>0</v>
      </c>
      <c r="F621">
        <v>0</v>
      </c>
      <c r="G621">
        <v>0</v>
      </c>
      <c r="H621">
        <v>1</v>
      </c>
    </row>
    <row r="622" spans="1:8" x14ac:dyDescent="0.3">
      <c r="A622" t="s">
        <v>61</v>
      </c>
      <c r="B622" t="s">
        <v>62</v>
      </c>
      <c r="C622" t="s">
        <v>24</v>
      </c>
      <c r="D622" t="s">
        <v>109</v>
      </c>
      <c r="E622">
        <v>1</v>
      </c>
      <c r="F622">
        <v>1</v>
      </c>
      <c r="G622">
        <v>1</v>
      </c>
      <c r="H622">
        <v>1</v>
      </c>
    </row>
    <row r="623" spans="1:8" x14ac:dyDescent="0.3">
      <c r="A623" t="s">
        <v>61</v>
      </c>
      <c r="B623" t="s">
        <v>62</v>
      </c>
      <c r="C623" t="s">
        <v>24</v>
      </c>
      <c r="D623" t="s">
        <v>111</v>
      </c>
      <c r="E623">
        <v>0</v>
      </c>
      <c r="F623">
        <v>0</v>
      </c>
      <c r="G623">
        <v>0</v>
      </c>
      <c r="H623">
        <v>1</v>
      </c>
    </row>
    <row r="624" spans="1:8" x14ac:dyDescent="0.3">
      <c r="A624" t="s">
        <v>61</v>
      </c>
      <c r="B624" t="s">
        <v>62</v>
      </c>
      <c r="C624" t="s">
        <v>25</v>
      </c>
      <c r="D624" t="s">
        <v>77</v>
      </c>
      <c r="E624">
        <v>0</v>
      </c>
      <c r="F624">
        <v>0</v>
      </c>
      <c r="G624">
        <v>0</v>
      </c>
      <c r="H624">
        <v>1</v>
      </c>
    </row>
    <row r="625" spans="1:8" x14ac:dyDescent="0.3">
      <c r="A625" t="s">
        <v>61</v>
      </c>
      <c r="B625" t="s">
        <v>62</v>
      </c>
      <c r="C625" t="s">
        <v>25</v>
      </c>
      <c r="D625" t="s">
        <v>79</v>
      </c>
      <c r="E625">
        <v>0</v>
      </c>
      <c r="F625">
        <v>0</v>
      </c>
      <c r="G625">
        <v>0</v>
      </c>
      <c r="H625">
        <v>1</v>
      </c>
    </row>
    <row r="626" spans="1:8" x14ac:dyDescent="0.3">
      <c r="A626" t="s">
        <v>61</v>
      </c>
      <c r="B626" t="s">
        <v>62</v>
      </c>
      <c r="C626" t="s">
        <v>25</v>
      </c>
      <c r="D626" t="s">
        <v>81</v>
      </c>
      <c r="E626">
        <v>1</v>
      </c>
      <c r="F626">
        <v>1</v>
      </c>
      <c r="G626">
        <v>1</v>
      </c>
      <c r="H626">
        <v>1</v>
      </c>
    </row>
    <row r="627" spans="1:8" x14ac:dyDescent="0.3">
      <c r="A627" t="s">
        <v>61</v>
      </c>
      <c r="B627" t="s">
        <v>62</v>
      </c>
      <c r="C627" t="s">
        <v>25</v>
      </c>
      <c r="D627" t="s">
        <v>83</v>
      </c>
      <c r="E627">
        <v>0</v>
      </c>
      <c r="F627">
        <v>0</v>
      </c>
      <c r="G627">
        <v>0</v>
      </c>
      <c r="H627">
        <v>1</v>
      </c>
    </row>
    <row r="628" spans="1:8" x14ac:dyDescent="0.3">
      <c r="A628" t="s">
        <v>61</v>
      </c>
      <c r="B628" t="s">
        <v>62</v>
      </c>
      <c r="C628" t="s">
        <v>25</v>
      </c>
      <c r="D628" t="s">
        <v>85</v>
      </c>
      <c r="E628">
        <v>0</v>
      </c>
      <c r="F628">
        <v>0</v>
      </c>
      <c r="G628">
        <v>0</v>
      </c>
      <c r="H628">
        <v>1</v>
      </c>
    </row>
    <row r="629" spans="1:8" x14ac:dyDescent="0.3">
      <c r="A629" t="s">
        <v>61</v>
      </c>
      <c r="B629" t="s">
        <v>62</v>
      </c>
      <c r="C629" t="s">
        <v>25</v>
      </c>
      <c r="D629" t="s">
        <v>87</v>
      </c>
      <c r="E629">
        <v>0</v>
      </c>
      <c r="F629">
        <v>0</v>
      </c>
      <c r="G629">
        <v>0</v>
      </c>
      <c r="H629">
        <v>1</v>
      </c>
    </row>
    <row r="630" spans="1:8" x14ac:dyDescent="0.3">
      <c r="A630" t="s">
        <v>61</v>
      </c>
      <c r="B630" t="s">
        <v>62</v>
      </c>
      <c r="C630" t="s">
        <v>25</v>
      </c>
      <c r="D630" t="s">
        <v>89</v>
      </c>
      <c r="E630">
        <v>0</v>
      </c>
      <c r="F630">
        <v>0</v>
      </c>
      <c r="G630">
        <v>0</v>
      </c>
      <c r="H630">
        <v>1</v>
      </c>
    </row>
    <row r="631" spans="1:8" x14ac:dyDescent="0.3">
      <c r="A631" t="s">
        <v>61</v>
      </c>
      <c r="B631" t="s">
        <v>62</v>
      </c>
      <c r="C631" t="s">
        <v>25</v>
      </c>
      <c r="D631" t="s">
        <v>91</v>
      </c>
      <c r="E631">
        <v>0</v>
      </c>
      <c r="F631">
        <v>0</v>
      </c>
      <c r="G631">
        <v>0</v>
      </c>
      <c r="H631">
        <v>1</v>
      </c>
    </row>
    <row r="632" spans="1:8" x14ac:dyDescent="0.3">
      <c r="A632" t="s">
        <v>61</v>
      </c>
      <c r="B632" t="s">
        <v>62</v>
      </c>
      <c r="C632" t="s">
        <v>25</v>
      </c>
      <c r="D632" t="s">
        <v>93</v>
      </c>
      <c r="E632">
        <v>0</v>
      </c>
      <c r="F632">
        <v>0</v>
      </c>
      <c r="G632">
        <v>0</v>
      </c>
      <c r="H632">
        <v>1</v>
      </c>
    </row>
    <row r="633" spans="1:8" x14ac:dyDescent="0.3">
      <c r="A633" t="s">
        <v>61</v>
      </c>
      <c r="B633" t="s">
        <v>62</v>
      </c>
      <c r="C633" t="s">
        <v>25</v>
      </c>
      <c r="D633" t="s">
        <v>95</v>
      </c>
      <c r="E633">
        <v>0</v>
      </c>
      <c r="F633">
        <v>0</v>
      </c>
      <c r="G633">
        <v>0</v>
      </c>
      <c r="H633">
        <v>1</v>
      </c>
    </row>
    <row r="634" spans="1:8" x14ac:dyDescent="0.3">
      <c r="A634" t="s">
        <v>61</v>
      </c>
      <c r="B634" t="s">
        <v>62</v>
      </c>
      <c r="C634" t="s">
        <v>25</v>
      </c>
      <c r="D634" t="s">
        <v>97</v>
      </c>
      <c r="E634">
        <v>0</v>
      </c>
      <c r="F634">
        <v>0</v>
      </c>
      <c r="G634">
        <v>0</v>
      </c>
      <c r="H634">
        <v>1</v>
      </c>
    </row>
    <row r="635" spans="1:8" x14ac:dyDescent="0.3">
      <c r="A635" t="s">
        <v>61</v>
      </c>
      <c r="B635" t="s">
        <v>62</v>
      </c>
      <c r="C635" t="s">
        <v>25</v>
      </c>
      <c r="D635" t="s">
        <v>99</v>
      </c>
      <c r="E635">
        <v>0</v>
      </c>
      <c r="F635">
        <v>0</v>
      </c>
      <c r="G635">
        <v>0</v>
      </c>
      <c r="H635">
        <v>1</v>
      </c>
    </row>
    <row r="636" spans="1:8" x14ac:dyDescent="0.3">
      <c r="A636" t="s">
        <v>61</v>
      </c>
      <c r="B636" t="s">
        <v>62</v>
      </c>
      <c r="C636" t="s">
        <v>25</v>
      </c>
      <c r="D636" t="s">
        <v>101</v>
      </c>
      <c r="E636">
        <v>0</v>
      </c>
      <c r="F636">
        <v>0</v>
      </c>
      <c r="G636">
        <v>0</v>
      </c>
      <c r="H636">
        <v>1</v>
      </c>
    </row>
    <row r="637" spans="1:8" x14ac:dyDescent="0.3">
      <c r="A637" t="s">
        <v>61</v>
      </c>
      <c r="B637" t="s">
        <v>62</v>
      </c>
      <c r="C637" t="s">
        <v>25</v>
      </c>
      <c r="D637" t="s">
        <v>103</v>
      </c>
      <c r="E637">
        <v>0</v>
      </c>
      <c r="F637">
        <v>0</v>
      </c>
      <c r="G637">
        <v>0</v>
      </c>
      <c r="H637">
        <v>1</v>
      </c>
    </row>
    <row r="638" spans="1:8" x14ac:dyDescent="0.3">
      <c r="A638" t="s">
        <v>61</v>
      </c>
      <c r="B638" t="s">
        <v>62</v>
      </c>
      <c r="C638" t="s">
        <v>25</v>
      </c>
      <c r="D638" t="s">
        <v>105</v>
      </c>
      <c r="E638">
        <v>0</v>
      </c>
      <c r="F638">
        <v>0</v>
      </c>
      <c r="G638">
        <v>0</v>
      </c>
      <c r="H638">
        <v>1</v>
      </c>
    </row>
    <row r="639" spans="1:8" x14ac:dyDescent="0.3">
      <c r="A639" t="s">
        <v>61</v>
      </c>
      <c r="B639" t="s">
        <v>62</v>
      </c>
      <c r="C639" t="s">
        <v>25</v>
      </c>
      <c r="D639" t="s">
        <v>107</v>
      </c>
      <c r="E639">
        <v>0</v>
      </c>
      <c r="F639">
        <v>0</v>
      </c>
      <c r="G639">
        <v>0</v>
      </c>
      <c r="H639">
        <v>1</v>
      </c>
    </row>
    <row r="640" spans="1:8" x14ac:dyDescent="0.3">
      <c r="A640" t="s">
        <v>61</v>
      </c>
      <c r="B640" t="s">
        <v>62</v>
      </c>
      <c r="C640" t="s">
        <v>25</v>
      </c>
      <c r="D640" t="s">
        <v>111</v>
      </c>
      <c r="E640">
        <v>0</v>
      </c>
      <c r="F640">
        <v>0</v>
      </c>
      <c r="G640">
        <v>0</v>
      </c>
      <c r="H640">
        <v>1</v>
      </c>
    </row>
    <row r="641" spans="1:8" x14ac:dyDescent="0.3">
      <c r="A641" t="s">
        <v>63</v>
      </c>
      <c r="B641" t="s">
        <v>64</v>
      </c>
      <c r="C641" t="s">
        <v>21</v>
      </c>
      <c r="D641" t="s">
        <v>77</v>
      </c>
      <c r="E641">
        <v>0</v>
      </c>
      <c r="F641">
        <v>0</v>
      </c>
      <c r="G641">
        <v>0</v>
      </c>
      <c r="H641">
        <v>1</v>
      </c>
    </row>
    <row r="642" spans="1:8" x14ac:dyDescent="0.3">
      <c r="A642" t="s">
        <v>63</v>
      </c>
      <c r="B642" t="s">
        <v>64</v>
      </c>
      <c r="C642" t="s">
        <v>21</v>
      </c>
      <c r="D642" t="s">
        <v>79</v>
      </c>
      <c r="E642">
        <v>0</v>
      </c>
      <c r="F642">
        <v>0</v>
      </c>
      <c r="G642">
        <v>0</v>
      </c>
      <c r="H642">
        <v>1</v>
      </c>
    </row>
    <row r="643" spans="1:8" x14ac:dyDescent="0.3">
      <c r="A643" t="s">
        <v>63</v>
      </c>
      <c r="B643" t="s">
        <v>64</v>
      </c>
      <c r="C643" t="s">
        <v>21</v>
      </c>
      <c r="D643" t="s">
        <v>81</v>
      </c>
      <c r="E643">
        <v>1</v>
      </c>
      <c r="F643">
        <v>1</v>
      </c>
      <c r="G643">
        <v>1</v>
      </c>
      <c r="H643">
        <v>1</v>
      </c>
    </row>
    <row r="644" spans="1:8" x14ac:dyDescent="0.3">
      <c r="A644" t="s">
        <v>63</v>
      </c>
      <c r="B644" t="s">
        <v>64</v>
      </c>
      <c r="C644" t="s">
        <v>21</v>
      </c>
      <c r="D644" t="s">
        <v>83</v>
      </c>
      <c r="E644">
        <v>0</v>
      </c>
      <c r="F644">
        <v>0</v>
      </c>
      <c r="G644">
        <v>0</v>
      </c>
      <c r="H644">
        <v>1</v>
      </c>
    </row>
    <row r="645" spans="1:8" x14ac:dyDescent="0.3">
      <c r="A645" t="s">
        <v>63</v>
      </c>
      <c r="B645" t="s">
        <v>64</v>
      </c>
      <c r="C645" t="s">
        <v>21</v>
      </c>
      <c r="D645" t="s">
        <v>85</v>
      </c>
      <c r="E645">
        <v>0</v>
      </c>
      <c r="F645">
        <v>0</v>
      </c>
      <c r="G645">
        <v>0</v>
      </c>
      <c r="H645">
        <v>1</v>
      </c>
    </row>
    <row r="646" spans="1:8" x14ac:dyDescent="0.3">
      <c r="A646" t="s">
        <v>63</v>
      </c>
      <c r="B646" t="s">
        <v>64</v>
      </c>
      <c r="C646" t="s">
        <v>21</v>
      </c>
      <c r="D646" t="s">
        <v>87</v>
      </c>
      <c r="E646">
        <v>0</v>
      </c>
      <c r="F646">
        <v>0</v>
      </c>
      <c r="G646">
        <v>0</v>
      </c>
      <c r="H646">
        <v>1</v>
      </c>
    </row>
    <row r="647" spans="1:8" x14ac:dyDescent="0.3">
      <c r="A647" t="s">
        <v>63</v>
      </c>
      <c r="B647" t="s">
        <v>64</v>
      </c>
      <c r="C647" t="s">
        <v>21</v>
      </c>
      <c r="D647" t="s">
        <v>89</v>
      </c>
      <c r="E647">
        <v>0</v>
      </c>
      <c r="F647">
        <v>0</v>
      </c>
      <c r="G647">
        <v>0</v>
      </c>
      <c r="H647">
        <v>1</v>
      </c>
    </row>
    <row r="648" spans="1:8" x14ac:dyDescent="0.3">
      <c r="A648" t="s">
        <v>63</v>
      </c>
      <c r="B648" t="s">
        <v>64</v>
      </c>
      <c r="C648" t="s">
        <v>21</v>
      </c>
      <c r="D648" t="s">
        <v>91</v>
      </c>
      <c r="E648">
        <v>0</v>
      </c>
      <c r="F648">
        <v>0</v>
      </c>
      <c r="G648">
        <v>0</v>
      </c>
      <c r="H648">
        <v>1</v>
      </c>
    </row>
    <row r="649" spans="1:8" x14ac:dyDescent="0.3">
      <c r="A649" t="s">
        <v>63</v>
      </c>
      <c r="B649" t="s">
        <v>64</v>
      </c>
      <c r="C649" t="s">
        <v>21</v>
      </c>
      <c r="D649" t="s">
        <v>93</v>
      </c>
      <c r="E649">
        <v>0</v>
      </c>
      <c r="F649">
        <v>0</v>
      </c>
      <c r="G649">
        <v>0</v>
      </c>
      <c r="H649">
        <v>1</v>
      </c>
    </row>
    <row r="650" spans="1:8" x14ac:dyDescent="0.3">
      <c r="A650" t="s">
        <v>63</v>
      </c>
      <c r="B650" t="s">
        <v>64</v>
      </c>
      <c r="C650" t="s">
        <v>21</v>
      </c>
      <c r="D650" t="s">
        <v>95</v>
      </c>
      <c r="E650">
        <v>0</v>
      </c>
      <c r="F650">
        <v>0</v>
      </c>
      <c r="G650">
        <v>0</v>
      </c>
      <c r="H650">
        <v>1</v>
      </c>
    </row>
    <row r="651" spans="1:8" x14ac:dyDescent="0.3">
      <c r="A651" t="s">
        <v>63</v>
      </c>
      <c r="B651" t="s">
        <v>64</v>
      </c>
      <c r="C651" t="s">
        <v>21</v>
      </c>
      <c r="D651" t="s">
        <v>97</v>
      </c>
      <c r="E651">
        <v>0</v>
      </c>
      <c r="F651">
        <v>0</v>
      </c>
      <c r="G651">
        <v>0</v>
      </c>
      <c r="H651">
        <v>1</v>
      </c>
    </row>
    <row r="652" spans="1:8" x14ac:dyDescent="0.3">
      <c r="A652" t="s">
        <v>63</v>
      </c>
      <c r="B652" t="s">
        <v>64</v>
      </c>
      <c r="C652" t="s">
        <v>21</v>
      </c>
      <c r="D652" t="s">
        <v>99</v>
      </c>
      <c r="E652">
        <v>0</v>
      </c>
      <c r="F652">
        <v>0</v>
      </c>
      <c r="G652">
        <v>0</v>
      </c>
      <c r="H652">
        <v>1</v>
      </c>
    </row>
    <row r="653" spans="1:8" x14ac:dyDescent="0.3">
      <c r="A653" t="s">
        <v>63</v>
      </c>
      <c r="B653" t="s">
        <v>64</v>
      </c>
      <c r="C653" t="s">
        <v>21</v>
      </c>
      <c r="D653" t="s">
        <v>101</v>
      </c>
      <c r="E653">
        <v>1</v>
      </c>
      <c r="F653">
        <v>1</v>
      </c>
      <c r="G653">
        <v>1</v>
      </c>
      <c r="H653">
        <v>1</v>
      </c>
    </row>
    <row r="654" spans="1:8" x14ac:dyDescent="0.3">
      <c r="A654" t="s">
        <v>63</v>
      </c>
      <c r="B654" t="s">
        <v>64</v>
      </c>
      <c r="C654" t="s">
        <v>21</v>
      </c>
      <c r="D654" t="s">
        <v>103</v>
      </c>
      <c r="E654">
        <v>0</v>
      </c>
      <c r="F654">
        <v>0</v>
      </c>
      <c r="G654">
        <v>0</v>
      </c>
      <c r="H654">
        <v>1</v>
      </c>
    </row>
    <row r="655" spans="1:8" x14ac:dyDescent="0.3">
      <c r="A655" t="s">
        <v>63</v>
      </c>
      <c r="B655" t="s">
        <v>64</v>
      </c>
      <c r="C655" t="s">
        <v>21</v>
      </c>
      <c r="D655" t="s">
        <v>105</v>
      </c>
      <c r="E655">
        <v>0</v>
      </c>
      <c r="F655">
        <v>0</v>
      </c>
      <c r="G655">
        <v>0</v>
      </c>
      <c r="H655">
        <v>1</v>
      </c>
    </row>
    <row r="656" spans="1:8" x14ac:dyDescent="0.3">
      <c r="A656" t="s">
        <v>63</v>
      </c>
      <c r="B656" t="s">
        <v>64</v>
      </c>
      <c r="C656" t="s">
        <v>21</v>
      </c>
      <c r="D656" t="s">
        <v>107</v>
      </c>
      <c r="E656">
        <v>0</v>
      </c>
      <c r="F656">
        <v>0</v>
      </c>
      <c r="G656">
        <v>0</v>
      </c>
      <c r="H656">
        <v>1</v>
      </c>
    </row>
    <row r="657" spans="1:8" x14ac:dyDescent="0.3">
      <c r="A657" t="s">
        <v>63</v>
      </c>
      <c r="B657" t="s">
        <v>64</v>
      </c>
      <c r="C657" t="s">
        <v>21</v>
      </c>
      <c r="D657" t="s">
        <v>109</v>
      </c>
      <c r="E657">
        <v>0</v>
      </c>
      <c r="F657">
        <v>0</v>
      </c>
      <c r="G657">
        <v>0</v>
      </c>
      <c r="H657">
        <v>1</v>
      </c>
    </row>
    <row r="658" spans="1:8" x14ac:dyDescent="0.3">
      <c r="A658" t="s">
        <v>63</v>
      </c>
      <c r="B658" t="s">
        <v>64</v>
      </c>
      <c r="C658" t="s">
        <v>21</v>
      </c>
      <c r="D658" t="s">
        <v>111</v>
      </c>
      <c r="E658">
        <v>0</v>
      </c>
      <c r="F658">
        <v>0</v>
      </c>
      <c r="G658">
        <v>0</v>
      </c>
      <c r="H658">
        <v>1</v>
      </c>
    </row>
    <row r="659" spans="1:8" x14ac:dyDescent="0.3">
      <c r="A659" t="s">
        <v>63</v>
      </c>
      <c r="B659" t="s">
        <v>64</v>
      </c>
      <c r="C659" t="s">
        <v>23</v>
      </c>
      <c r="D659" t="s">
        <v>77</v>
      </c>
      <c r="E659">
        <v>0</v>
      </c>
      <c r="F659">
        <v>0</v>
      </c>
      <c r="G659">
        <v>0</v>
      </c>
      <c r="H659">
        <v>1</v>
      </c>
    </row>
    <row r="660" spans="1:8" x14ac:dyDescent="0.3">
      <c r="A660" t="s">
        <v>63</v>
      </c>
      <c r="B660" t="s">
        <v>64</v>
      </c>
      <c r="C660" t="s">
        <v>23</v>
      </c>
      <c r="D660" t="s">
        <v>79</v>
      </c>
      <c r="E660">
        <v>0</v>
      </c>
      <c r="F660">
        <v>0</v>
      </c>
      <c r="G660">
        <v>0</v>
      </c>
      <c r="H660">
        <v>1</v>
      </c>
    </row>
    <row r="661" spans="1:8" x14ac:dyDescent="0.3">
      <c r="A661" t="s">
        <v>63</v>
      </c>
      <c r="B661" t="s">
        <v>64</v>
      </c>
      <c r="C661" t="s">
        <v>23</v>
      </c>
      <c r="D661" t="s">
        <v>81</v>
      </c>
      <c r="E661">
        <v>1</v>
      </c>
      <c r="F661">
        <v>1</v>
      </c>
      <c r="G661">
        <v>1</v>
      </c>
      <c r="H661">
        <v>1</v>
      </c>
    </row>
    <row r="662" spans="1:8" x14ac:dyDescent="0.3">
      <c r="A662" t="s">
        <v>63</v>
      </c>
      <c r="B662" t="s">
        <v>64</v>
      </c>
      <c r="C662" t="s">
        <v>23</v>
      </c>
      <c r="D662" t="s">
        <v>83</v>
      </c>
      <c r="E662">
        <v>0</v>
      </c>
      <c r="F662">
        <v>0</v>
      </c>
      <c r="G662">
        <v>0</v>
      </c>
      <c r="H662">
        <v>1</v>
      </c>
    </row>
    <row r="663" spans="1:8" x14ac:dyDescent="0.3">
      <c r="A663" t="s">
        <v>63</v>
      </c>
      <c r="B663" t="s">
        <v>64</v>
      </c>
      <c r="C663" t="s">
        <v>23</v>
      </c>
      <c r="D663" t="s">
        <v>85</v>
      </c>
      <c r="E663">
        <v>0</v>
      </c>
      <c r="F663">
        <v>0</v>
      </c>
      <c r="G663">
        <v>0</v>
      </c>
      <c r="H663">
        <v>1</v>
      </c>
    </row>
    <row r="664" spans="1:8" x14ac:dyDescent="0.3">
      <c r="A664" t="s">
        <v>63</v>
      </c>
      <c r="B664" t="s">
        <v>64</v>
      </c>
      <c r="C664" t="s">
        <v>23</v>
      </c>
      <c r="D664" t="s">
        <v>87</v>
      </c>
      <c r="E664">
        <v>0</v>
      </c>
      <c r="F664">
        <v>0</v>
      </c>
      <c r="G664">
        <v>0</v>
      </c>
      <c r="H664">
        <v>1</v>
      </c>
    </row>
    <row r="665" spans="1:8" x14ac:dyDescent="0.3">
      <c r="A665" t="s">
        <v>63</v>
      </c>
      <c r="B665" t="s">
        <v>64</v>
      </c>
      <c r="C665" t="s">
        <v>23</v>
      </c>
      <c r="D665" t="s">
        <v>89</v>
      </c>
      <c r="E665">
        <v>0</v>
      </c>
      <c r="F665">
        <v>0</v>
      </c>
      <c r="G665">
        <v>0</v>
      </c>
      <c r="H665">
        <v>1</v>
      </c>
    </row>
    <row r="666" spans="1:8" x14ac:dyDescent="0.3">
      <c r="A666" t="s">
        <v>63</v>
      </c>
      <c r="B666" t="s">
        <v>64</v>
      </c>
      <c r="C666" t="s">
        <v>23</v>
      </c>
      <c r="D666" t="s">
        <v>91</v>
      </c>
      <c r="E666">
        <v>0</v>
      </c>
      <c r="F666">
        <v>0</v>
      </c>
      <c r="G666">
        <v>0</v>
      </c>
      <c r="H666">
        <v>1</v>
      </c>
    </row>
    <row r="667" spans="1:8" x14ac:dyDescent="0.3">
      <c r="A667" t="s">
        <v>63</v>
      </c>
      <c r="B667" t="s">
        <v>64</v>
      </c>
      <c r="C667" t="s">
        <v>23</v>
      </c>
      <c r="D667" t="s">
        <v>93</v>
      </c>
      <c r="E667">
        <v>0</v>
      </c>
      <c r="F667">
        <v>0</v>
      </c>
      <c r="G667">
        <v>0</v>
      </c>
      <c r="H667">
        <v>1</v>
      </c>
    </row>
    <row r="668" spans="1:8" x14ac:dyDescent="0.3">
      <c r="A668" t="s">
        <v>63</v>
      </c>
      <c r="B668" t="s">
        <v>64</v>
      </c>
      <c r="C668" t="s">
        <v>23</v>
      </c>
      <c r="D668" t="s">
        <v>95</v>
      </c>
      <c r="E668">
        <v>0</v>
      </c>
      <c r="F668">
        <v>0</v>
      </c>
      <c r="G668">
        <v>0</v>
      </c>
      <c r="H668">
        <v>1</v>
      </c>
    </row>
    <row r="669" spans="1:8" x14ac:dyDescent="0.3">
      <c r="A669" t="s">
        <v>63</v>
      </c>
      <c r="B669" t="s">
        <v>64</v>
      </c>
      <c r="C669" t="s">
        <v>23</v>
      </c>
      <c r="D669" t="s">
        <v>97</v>
      </c>
      <c r="E669">
        <v>0</v>
      </c>
      <c r="F669">
        <v>0</v>
      </c>
      <c r="G669">
        <v>0</v>
      </c>
      <c r="H669">
        <v>1</v>
      </c>
    </row>
    <row r="670" spans="1:8" x14ac:dyDescent="0.3">
      <c r="A670" t="s">
        <v>63</v>
      </c>
      <c r="B670" t="s">
        <v>64</v>
      </c>
      <c r="C670" t="s">
        <v>23</v>
      </c>
      <c r="D670" t="s">
        <v>99</v>
      </c>
      <c r="E670">
        <v>0</v>
      </c>
      <c r="F670">
        <v>0</v>
      </c>
      <c r="G670">
        <v>0</v>
      </c>
      <c r="H670">
        <v>1</v>
      </c>
    </row>
    <row r="671" spans="1:8" x14ac:dyDescent="0.3">
      <c r="A671" t="s">
        <v>63</v>
      </c>
      <c r="B671" t="s">
        <v>64</v>
      </c>
      <c r="C671" t="s">
        <v>23</v>
      </c>
      <c r="D671" t="s">
        <v>101</v>
      </c>
      <c r="E671">
        <v>0</v>
      </c>
      <c r="F671">
        <v>0</v>
      </c>
      <c r="G671">
        <v>0</v>
      </c>
      <c r="H671">
        <v>1</v>
      </c>
    </row>
    <row r="672" spans="1:8" x14ac:dyDescent="0.3">
      <c r="A672" t="s">
        <v>63</v>
      </c>
      <c r="B672" t="s">
        <v>64</v>
      </c>
      <c r="C672" t="s">
        <v>23</v>
      </c>
      <c r="D672" t="s">
        <v>103</v>
      </c>
      <c r="E672">
        <v>0</v>
      </c>
      <c r="F672">
        <v>0</v>
      </c>
      <c r="G672">
        <v>0</v>
      </c>
      <c r="H672">
        <v>1</v>
      </c>
    </row>
    <row r="673" spans="1:8" x14ac:dyDescent="0.3">
      <c r="A673" t="s">
        <v>63</v>
      </c>
      <c r="B673" t="s">
        <v>64</v>
      </c>
      <c r="C673" t="s">
        <v>23</v>
      </c>
      <c r="D673" t="s">
        <v>105</v>
      </c>
      <c r="E673">
        <v>0</v>
      </c>
      <c r="F673">
        <v>0</v>
      </c>
      <c r="G673">
        <v>0</v>
      </c>
      <c r="H673">
        <v>1</v>
      </c>
    </row>
    <row r="674" spans="1:8" x14ac:dyDescent="0.3">
      <c r="A674" t="s">
        <v>63</v>
      </c>
      <c r="B674" t="s">
        <v>64</v>
      </c>
      <c r="C674" t="s">
        <v>23</v>
      </c>
      <c r="D674" t="s">
        <v>107</v>
      </c>
      <c r="E674">
        <v>0</v>
      </c>
      <c r="F674">
        <v>0</v>
      </c>
      <c r="G674">
        <v>0</v>
      </c>
      <c r="H674">
        <v>1</v>
      </c>
    </row>
    <row r="675" spans="1:8" x14ac:dyDescent="0.3">
      <c r="A675" t="s">
        <v>63</v>
      </c>
      <c r="B675" t="s">
        <v>64</v>
      </c>
      <c r="C675" t="s">
        <v>23</v>
      </c>
      <c r="D675" t="s">
        <v>109</v>
      </c>
      <c r="E675">
        <v>0</v>
      </c>
      <c r="F675">
        <v>0</v>
      </c>
      <c r="G675">
        <v>0</v>
      </c>
      <c r="H675">
        <v>1</v>
      </c>
    </row>
    <row r="676" spans="1:8" x14ac:dyDescent="0.3">
      <c r="A676" t="s">
        <v>63</v>
      </c>
      <c r="B676" t="s">
        <v>64</v>
      </c>
      <c r="C676" t="s">
        <v>23</v>
      </c>
      <c r="D676" t="s">
        <v>111</v>
      </c>
      <c r="E676">
        <v>0</v>
      </c>
      <c r="F676">
        <v>0</v>
      </c>
      <c r="G676">
        <v>0</v>
      </c>
      <c r="H676">
        <v>1</v>
      </c>
    </row>
    <row r="677" spans="1:8" x14ac:dyDescent="0.3">
      <c r="A677" t="s">
        <v>63</v>
      </c>
      <c r="B677" t="s">
        <v>64</v>
      </c>
      <c r="C677" t="s">
        <v>24</v>
      </c>
      <c r="D677" t="s">
        <v>77</v>
      </c>
      <c r="E677">
        <v>0</v>
      </c>
      <c r="F677">
        <v>0</v>
      </c>
      <c r="G677">
        <v>0</v>
      </c>
      <c r="H677">
        <v>1</v>
      </c>
    </row>
    <row r="678" spans="1:8" x14ac:dyDescent="0.3">
      <c r="A678" t="s">
        <v>63</v>
      </c>
      <c r="B678" t="s">
        <v>64</v>
      </c>
      <c r="C678" t="s">
        <v>24</v>
      </c>
      <c r="D678" t="s">
        <v>79</v>
      </c>
      <c r="E678">
        <v>0</v>
      </c>
      <c r="F678">
        <v>0</v>
      </c>
      <c r="G678">
        <v>0</v>
      </c>
      <c r="H678">
        <v>1</v>
      </c>
    </row>
    <row r="679" spans="1:8" x14ac:dyDescent="0.3">
      <c r="A679" t="s">
        <v>63</v>
      </c>
      <c r="B679" t="s">
        <v>64</v>
      </c>
      <c r="C679" t="s">
        <v>24</v>
      </c>
      <c r="D679" t="s">
        <v>81</v>
      </c>
      <c r="E679">
        <v>1</v>
      </c>
      <c r="F679">
        <v>1</v>
      </c>
      <c r="G679">
        <v>1</v>
      </c>
      <c r="H679">
        <v>1</v>
      </c>
    </row>
    <row r="680" spans="1:8" x14ac:dyDescent="0.3">
      <c r="A680" t="s">
        <v>63</v>
      </c>
      <c r="B680" t="s">
        <v>64</v>
      </c>
      <c r="C680" t="s">
        <v>24</v>
      </c>
      <c r="D680" t="s">
        <v>83</v>
      </c>
      <c r="E680">
        <v>1</v>
      </c>
      <c r="F680">
        <v>1</v>
      </c>
      <c r="G680">
        <v>1</v>
      </c>
      <c r="H680">
        <v>1</v>
      </c>
    </row>
    <row r="681" spans="1:8" x14ac:dyDescent="0.3">
      <c r="A681" t="s">
        <v>63</v>
      </c>
      <c r="B681" t="s">
        <v>64</v>
      </c>
      <c r="C681" t="s">
        <v>24</v>
      </c>
      <c r="D681" t="s">
        <v>85</v>
      </c>
      <c r="E681">
        <v>0</v>
      </c>
      <c r="F681">
        <v>0</v>
      </c>
      <c r="G681">
        <v>0</v>
      </c>
      <c r="H681">
        <v>1</v>
      </c>
    </row>
    <row r="682" spans="1:8" x14ac:dyDescent="0.3">
      <c r="A682" t="s">
        <v>63</v>
      </c>
      <c r="B682" t="s">
        <v>64</v>
      </c>
      <c r="C682" t="s">
        <v>24</v>
      </c>
      <c r="D682" t="s">
        <v>87</v>
      </c>
      <c r="E682">
        <v>0</v>
      </c>
      <c r="F682">
        <v>0</v>
      </c>
      <c r="G682">
        <v>0</v>
      </c>
      <c r="H682">
        <v>1</v>
      </c>
    </row>
    <row r="683" spans="1:8" x14ac:dyDescent="0.3">
      <c r="A683" t="s">
        <v>63</v>
      </c>
      <c r="B683" t="s">
        <v>64</v>
      </c>
      <c r="C683" t="s">
        <v>24</v>
      </c>
      <c r="D683" t="s">
        <v>89</v>
      </c>
      <c r="E683">
        <v>0</v>
      </c>
      <c r="F683">
        <v>0</v>
      </c>
      <c r="G683">
        <v>0</v>
      </c>
      <c r="H683">
        <v>1</v>
      </c>
    </row>
    <row r="684" spans="1:8" x14ac:dyDescent="0.3">
      <c r="A684" t="s">
        <v>63</v>
      </c>
      <c r="B684" t="s">
        <v>64</v>
      </c>
      <c r="C684" t="s">
        <v>24</v>
      </c>
      <c r="D684" t="s">
        <v>91</v>
      </c>
      <c r="E684">
        <v>0</v>
      </c>
      <c r="F684">
        <v>0</v>
      </c>
      <c r="G684">
        <v>0</v>
      </c>
      <c r="H684">
        <v>1</v>
      </c>
    </row>
    <row r="685" spans="1:8" x14ac:dyDescent="0.3">
      <c r="A685" t="s">
        <v>63</v>
      </c>
      <c r="B685" t="s">
        <v>64</v>
      </c>
      <c r="C685" t="s">
        <v>24</v>
      </c>
      <c r="D685" t="s">
        <v>93</v>
      </c>
      <c r="E685">
        <v>1</v>
      </c>
      <c r="F685">
        <v>1</v>
      </c>
      <c r="G685">
        <v>1</v>
      </c>
      <c r="H685">
        <v>1</v>
      </c>
    </row>
    <row r="686" spans="1:8" x14ac:dyDescent="0.3">
      <c r="A686" t="s">
        <v>63</v>
      </c>
      <c r="B686" t="s">
        <v>64</v>
      </c>
      <c r="C686" t="s">
        <v>24</v>
      </c>
      <c r="D686" t="s">
        <v>95</v>
      </c>
      <c r="E686">
        <v>1</v>
      </c>
      <c r="F686">
        <v>1</v>
      </c>
      <c r="G686">
        <v>1</v>
      </c>
      <c r="H686">
        <v>1</v>
      </c>
    </row>
    <row r="687" spans="1:8" x14ac:dyDescent="0.3">
      <c r="A687" t="s">
        <v>63</v>
      </c>
      <c r="B687" t="s">
        <v>64</v>
      </c>
      <c r="C687" t="s">
        <v>24</v>
      </c>
      <c r="D687" t="s">
        <v>97</v>
      </c>
      <c r="E687">
        <v>1</v>
      </c>
      <c r="F687">
        <v>1</v>
      </c>
      <c r="G687">
        <v>1</v>
      </c>
      <c r="H687">
        <v>1</v>
      </c>
    </row>
    <row r="688" spans="1:8" x14ac:dyDescent="0.3">
      <c r="A688" t="s">
        <v>63</v>
      </c>
      <c r="B688" t="s">
        <v>64</v>
      </c>
      <c r="C688" t="s">
        <v>24</v>
      </c>
      <c r="D688" t="s">
        <v>99</v>
      </c>
      <c r="E688">
        <v>1</v>
      </c>
      <c r="F688">
        <v>1</v>
      </c>
      <c r="G688">
        <v>1</v>
      </c>
      <c r="H688">
        <v>1</v>
      </c>
    </row>
    <row r="689" spans="1:8" x14ac:dyDescent="0.3">
      <c r="A689" t="s">
        <v>63</v>
      </c>
      <c r="B689" t="s">
        <v>64</v>
      </c>
      <c r="C689" t="s">
        <v>24</v>
      </c>
      <c r="D689" t="s">
        <v>101</v>
      </c>
      <c r="E689">
        <v>1</v>
      </c>
      <c r="F689">
        <v>1</v>
      </c>
      <c r="G689">
        <v>1</v>
      </c>
      <c r="H689">
        <v>1</v>
      </c>
    </row>
    <row r="690" spans="1:8" x14ac:dyDescent="0.3">
      <c r="A690" t="s">
        <v>63</v>
      </c>
      <c r="B690" t="s">
        <v>64</v>
      </c>
      <c r="C690" t="s">
        <v>24</v>
      </c>
      <c r="D690" t="s">
        <v>103</v>
      </c>
      <c r="E690">
        <v>0</v>
      </c>
      <c r="F690">
        <v>0</v>
      </c>
      <c r="G690">
        <v>0</v>
      </c>
      <c r="H690">
        <v>1</v>
      </c>
    </row>
    <row r="691" spans="1:8" x14ac:dyDescent="0.3">
      <c r="A691" t="s">
        <v>63</v>
      </c>
      <c r="B691" t="s">
        <v>64</v>
      </c>
      <c r="C691" t="s">
        <v>24</v>
      </c>
      <c r="D691" t="s">
        <v>105</v>
      </c>
      <c r="E691">
        <v>0</v>
      </c>
      <c r="F691">
        <v>0</v>
      </c>
      <c r="G691">
        <v>0</v>
      </c>
      <c r="H691">
        <v>1</v>
      </c>
    </row>
    <row r="692" spans="1:8" x14ac:dyDescent="0.3">
      <c r="A692" t="s">
        <v>63</v>
      </c>
      <c r="B692" t="s">
        <v>64</v>
      </c>
      <c r="C692" t="s">
        <v>24</v>
      </c>
      <c r="D692" t="s">
        <v>107</v>
      </c>
      <c r="E692">
        <v>0</v>
      </c>
      <c r="F692">
        <v>0</v>
      </c>
      <c r="G692">
        <v>0</v>
      </c>
      <c r="H692">
        <v>1</v>
      </c>
    </row>
    <row r="693" spans="1:8" x14ac:dyDescent="0.3">
      <c r="A693" t="s">
        <v>63</v>
      </c>
      <c r="B693" t="s">
        <v>64</v>
      </c>
      <c r="C693" t="s">
        <v>24</v>
      </c>
      <c r="D693" t="s">
        <v>109</v>
      </c>
      <c r="E693">
        <v>0</v>
      </c>
      <c r="F693">
        <v>0</v>
      </c>
      <c r="G693">
        <v>0</v>
      </c>
      <c r="H693">
        <v>1</v>
      </c>
    </row>
    <row r="694" spans="1:8" x14ac:dyDescent="0.3">
      <c r="A694" t="s">
        <v>63</v>
      </c>
      <c r="B694" t="s">
        <v>64</v>
      </c>
      <c r="C694" t="s">
        <v>24</v>
      </c>
      <c r="D694" t="s">
        <v>111</v>
      </c>
      <c r="E694">
        <v>0</v>
      </c>
      <c r="F694">
        <v>0</v>
      </c>
      <c r="G694">
        <v>0</v>
      </c>
      <c r="H694">
        <v>1</v>
      </c>
    </row>
    <row r="695" spans="1:8" x14ac:dyDescent="0.3">
      <c r="A695" t="s">
        <v>63</v>
      </c>
      <c r="B695" t="s">
        <v>64</v>
      </c>
      <c r="C695" t="s">
        <v>25</v>
      </c>
      <c r="D695" t="s">
        <v>77</v>
      </c>
      <c r="E695">
        <v>0</v>
      </c>
      <c r="F695">
        <v>0</v>
      </c>
      <c r="G695">
        <v>0</v>
      </c>
      <c r="H695">
        <v>1</v>
      </c>
    </row>
    <row r="696" spans="1:8" x14ac:dyDescent="0.3">
      <c r="A696" t="s">
        <v>63</v>
      </c>
      <c r="B696" t="s">
        <v>64</v>
      </c>
      <c r="C696" t="s">
        <v>25</v>
      </c>
      <c r="D696" t="s">
        <v>79</v>
      </c>
      <c r="E696">
        <v>0</v>
      </c>
      <c r="F696">
        <v>0</v>
      </c>
      <c r="G696">
        <v>0</v>
      </c>
      <c r="H696">
        <v>1</v>
      </c>
    </row>
    <row r="697" spans="1:8" x14ac:dyDescent="0.3">
      <c r="A697" t="s">
        <v>63</v>
      </c>
      <c r="B697" t="s">
        <v>64</v>
      </c>
      <c r="C697" t="s">
        <v>25</v>
      </c>
      <c r="D697" t="s">
        <v>81</v>
      </c>
      <c r="E697">
        <v>1</v>
      </c>
      <c r="F697">
        <v>1</v>
      </c>
      <c r="G697">
        <v>1</v>
      </c>
      <c r="H697">
        <v>1</v>
      </c>
    </row>
    <row r="698" spans="1:8" x14ac:dyDescent="0.3">
      <c r="A698" t="s">
        <v>63</v>
      </c>
      <c r="B698" t="s">
        <v>64</v>
      </c>
      <c r="C698" t="s">
        <v>25</v>
      </c>
      <c r="D698" t="s">
        <v>83</v>
      </c>
      <c r="E698">
        <v>0</v>
      </c>
      <c r="F698">
        <v>0</v>
      </c>
      <c r="G698">
        <v>0</v>
      </c>
      <c r="H698">
        <v>1</v>
      </c>
    </row>
    <row r="699" spans="1:8" x14ac:dyDescent="0.3">
      <c r="A699" t="s">
        <v>63</v>
      </c>
      <c r="B699" t="s">
        <v>64</v>
      </c>
      <c r="C699" t="s">
        <v>25</v>
      </c>
      <c r="D699" t="s">
        <v>85</v>
      </c>
      <c r="E699">
        <v>0</v>
      </c>
      <c r="F699">
        <v>0</v>
      </c>
      <c r="G699">
        <v>0</v>
      </c>
      <c r="H699">
        <v>1</v>
      </c>
    </row>
    <row r="700" spans="1:8" x14ac:dyDescent="0.3">
      <c r="A700" t="s">
        <v>63</v>
      </c>
      <c r="B700" t="s">
        <v>64</v>
      </c>
      <c r="C700" t="s">
        <v>25</v>
      </c>
      <c r="D700" t="s">
        <v>87</v>
      </c>
      <c r="E700">
        <v>0</v>
      </c>
      <c r="F700">
        <v>0</v>
      </c>
      <c r="G700">
        <v>0</v>
      </c>
      <c r="H700">
        <v>1</v>
      </c>
    </row>
    <row r="701" spans="1:8" x14ac:dyDescent="0.3">
      <c r="A701" t="s">
        <v>63</v>
      </c>
      <c r="B701" t="s">
        <v>64</v>
      </c>
      <c r="C701" t="s">
        <v>25</v>
      </c>
      <c r="D701" t="s">
        <v>89</v>
      </c>
      <c r="E701">
        <v>0</v>
      </c>
      <c r="F701">
        <v>0</v>
      </c>
      <c r="G701">
        <v>0</v>
      </c>
      <c r="H701">
        <v>1</v>
      </c>
    </row>
    <row r="702" spans="1:8" x14ac:dyDescent="0.3">
      <c r="A702" t="s">
        <v>63</v>
      </c>
      <c r="B702" t="s">
        <v>64</v>
      </c>
      <c r="C702" t="s">
        <v>25</v>
      </c>
      <c r="D702" t="s">
        <v>91</v>
      </c>
      <c r="E702">
        <v>0</v>
      </c>
      <c r="F702">
        <v>0</v>
      </c>
      <c r="G702">
        <v>0</v>
      </c>
      <c r="H702">
        <v>1</v>
      </c>
    </row>
    <row r="703" spans="1:8" x14ac:dyDescent="0.3">
      <c r="A703" t="s">
        <v>63</v>
      </c>
      <c r="B703" t="s">
        <v>64</v>
      </c>
      <c r="C703" t="s">
        <v>25</v>
      </c>
      <c r="D703" t="s">
        <v>93</v>
      </c>
      <c r="E703">
        <v>0</v>
      </c>
      <c r="F703">
        <v>0</v>
      </c>
      <c r="G703">
        <v>0</v>
      </c>
      <c r="H703">
        <v>1</v>
      </c>
    </row>
    <row r="704" spans="1:8" x14ac:dyDescent="0.3">
      <c r="A704" t="s">
        <v>63</v>
      </c>
      <c r="B704" t="s">
        <v>64</v>
      </c>
      <c r="C704" t="s">
        <v>25</v>
      </c>
      <c r="D704" t="s">
        <v>95</v>
      </c>
      <c r="E704">
        <v>0</v>
      </c>
      <c r="F704">
        <v>0</v>
      </c>
      <c r="G704">
        <v>0</v>
      </c>
      <c r="H704">
        <v>1</v>
      </c>
    </row>
    <row r="705" spans="1:8" x14ac:dyDescent="0.3">
      <c r="A705" t="s">
        <v>63</v>
      </c>
      <c r="B705" t="s">
        <v>64</v>
      </c>
      <c r="C705" t="s">
        <v>25</v>
      </c>
      <c r="D705" t="s">
        <v>97</v>
      </c>
      <c r="E705">
        <v>0</v>
      </c>
      <c r="F705">
        <v>0</v>
      </c>
      <c r="G705">
        <v>0</v>
      </c>
      <c r="H705">
        <v>1</v>
      </c>
    </row>
    <row r="706" spans="1:8" x14ac:dyDescent="0.3">
      <c r="A706" t="s">
        <v>63</v>
      </c>
      <c r="B706" t="s">
        <v>64</v>
      </c>
      <c r="C706" t="s">
        <v>25</v>
      </c>
      <c r="D706" t="s">
        <v>99</v>
      </c>
      <c r="E706">
        <v>0</v>
      </c>
      <c r="F706">
        <v>0</v>
      </c>
      <c r="G706">
        <v>0</v>
      </c>
      <c r="H706">
        <v>1</v>
      </c>
    </row>
    <row r="707" spans="1:8" x14ac:dyDescent="0.3">
      <c r="A707" t="s">
        <v>63</v>
      </c>
      <c r="B707" t="s">
        <v>64</v>
      </c>
      <c r="C707" t="s">
        <v>25</v>
      </c>
      <c r="D707" t="s">
        <v>101</v>
      </c>
      <c r="E707">
        <v>0</v>
      </c>
      <c r="F707">
        <v>0</v>
      </c>
      <c r="G707">
        <v>0</v>
      </c>
      <c r="H707">
        <v>1</v>
      </c>
    </row>
    <row r="708" spans="1:8" x14ac:dyDescent="0.3">
      <c r="A708" t="s">
        <v>63</v>
      </c>
      <c r="B708" t="s">
        <v>64</v>
      </c>
      <c r="C708" t="s">
        <v>25</v>
      </c>
      <c r="D708" t="s">
        <v>103</v>
      </c>
      <c r="E708">
        <v>0</v>
      </c>
      <c r="F708">
        <v>0</v>
      </c>
      <c r="G708">
        <v>0</v>
      </c>
      <c r="H708">
        <v>1</v>
      </c>
    </row>
    <row r="709" spans="1:8" x14ac:dyDescent="0.3">
      <c r="A709" t="s">
        <v>63</v>
      </c>
      <c r="B709" t="s">
        <v>64</v>
      </c>
      <c r="C709" t="s">
        <v>25</v>
      </c>
      <c r="D709" t="s">
        <v>105</v>
      </c>
      <c r="E709">
        <v>0</v>
      </c>
      <c r="F709">
        <v>0</v>
      </c>
      <c r="G709">
        <v>0</v>
      </c>
      <c r="H709">
        <v>1</v>
      </c>
    </row>
    <row r="710" spans="1:8" x14ac:dyDescent="0.3">
      <c r="A710" t="s">
        <v>63</v>
      </c>
      <c r="B710" t="s">
        <v>64</v>
      </c>
      <c r="C710" t="s">
        <v>25</v>
      </c>
      <c r="D710" t="s">
        <v>107</v>
      </c>
      <c r="E710">
        <v>0</v>
      </c>
      <c r="F710">
        <v>0</v>
      </c>
      <c r="G710">
        <v>0</v>
      </c>
      <c r="H710">
        <v>1</v>
      </c>
    </row>
    <row r="711" spans="1:8" x14ac:dyDescent="0.3">
      <c r="A711" t="s">
        <v>63</v>
      </c>
      <c r="B711" t="s">
        <v>64</v>
      </c>
      <c r="C711" t="s">
        <v>25</v>
      </c>
      <c r="D711" t="s">
        <v>111</v>
      </c>
      <c r="E711">
        <v>0</v>
      </c>
      <c r="F711">
        <v>0</v>
      </c>
      <c r="G711">
        <v>0</v>
      </c>
      <c r="H711">
        <v>1</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0B6AAC-18ED-4409-AC6C-5C8C6DDBDAE6}">
  <dimension ref="A1:D5"/>
  <sheetViews>
    <sheetView workbookViewId="0">
      <selection activeCell="D1" sqref="D1"/>
    </sheetView>
  </sheetViews>
  <sheetFormatPr defaultRowHeight="14.4" x14ac:dyDescent="0.3"/>
  <cols>
    <col min="1" max="1" width="7.6640625" bestFit="1" customWidth="1"/>
    <col min="2" max="2" width="11.44140625" bestFit="1" customWidth="1"/>
    <col min="3" max="3" width="10.33203125" bestFit="1" customWidth="1"/>
    <col min="4" max="4" width="12" bestFit="1" customWidth="1"/>
  </cols>
  <sheetData>
    <row r="1" spans="1:4" x14ac:dyDescent="0.3">
      <c r="A1" s="4" t="s">
        <v>4</v>
      </c>
      <c r="B1" s="4" t="s">
        <v>474</v>
      </c>
      <c r="C1" s="4" t="s">
        <v>118</v>
      </c>
      <c r="D1" s="4" t="s">
        <v>475</v>
      </c>
    </row>
    <row r="2" spans="1:4" x14ac:dyDescent="0.3">
      <c r="A2" t="s">
        <v>21</v>
      </c>
      <c r="B2">
        <v>180</v>
      </c>
      <c r="C2">
        <v>180</v>
      </c>
      <c r="D2">
        <v>1</v>
      </c>
    </row>
    <row r="3" spans="1:4" x14ac:dyDescent="0.3">
      <c r="A3" t="s">
        <v>23</v>
      </c>
      <c r="B3">
        <v>171</v>
      </c>
      <c r="C3">
        <v>180</v>
      </c>
      <c r="D3">
        <v>0.95</v>
      </c>
    </row>
    <row r="4" spans="1:4" x14ac:dyDescent="0.3">
      <c r="A4" t="s">
        <v>24</v>
      </c>
      <c r="B4">
        <v>173</v>
      </c>
      <c r="C4">
        <v>180</v>
      </c>
      <c r="D4">
        <v>0.96111111111111114</v>
      </c>
    </row>
    <row r="5" spans="1:4" x14ac:dyDescent="0.3">
      <c r="A5" t="s">
        <v>25</v>
      </c>
      <c r="B5">
        <v>166</v>
      </c>
      <c r="C5">
        <v>170</v>
      </c>
      <c r="D5">
        <v>0.97647058823529409</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E9A195-957F-4A51-BF95-C938702FE2C6}">
  <dimension ref="A1:E72"/>
  <sheetViews>
    <sheetView topLeftCell="A19" workbookViewId="0">
      <selection activeCell="N39" sqref="N39"/>
    </sheetView>
  </sheetViews>
  <sheetFormatPr defaultRowHeight="14.4" x14ac:dyDescent="0.3"/>
  <cols>
    <col min="1" max="1" width="7.6640625" bestFit="1" customWidth="1"/>
    <col min="2" max="2" width="11" bestFit="1" customWidth="1"/>
    <col min="3" max="3" width="11.44140625" bestFit="1" customWidth="1"/>
    <col min="4" max="4" width="10.33203125" bestFit="1" customWidth="1"/>
    <col min="5" max="5" width="11.88671875" bestFit="1" customWidth="1"/>
  </cols>
  <sheetData>
    <row r="1" spans="1:5" x14ac:dyDescent="0.3">
      <c r="A1" s="4" t="s">
        <v>4</v>
      </c>
      <c r="B1" s="4" t="s">
        <v>73</v>
      </c>
      <c r="C1" s="4" t="s">
        <v>474</v>
      </c>
      <c r="D1" s="4" t="s">
        <v>118</v>
      </c>
      <c r="E1" s="4" t="s">
        <v>475</v>
      </c>
    </row>
    <row r="2" spans="1:5" x14ac:dyDescent="0.3">
      <c r="A2" t="s">
        <v>21</v>
      </c>
      <c r="B2" t="s">
        <v>77</v>
      </c>
      <c r="C2">
        <v>10</v>
      </c>
      <c r="D2">
        <v>10</v>
      </c>
      <c r="E2">
        <v>1</v>
      </c>
    </row>
    <row r="3" spans="1:5" x14ac:dyDescent="0.3">
      <c r="A3" t="s">
        <v>21</v>
      </c>
      <c r="B3" t="s">
        <v>79</v>
      </c>
      <c r="C3">
        <v>10</v>
      </c>
      <c r="D3">
        <v>10</v>
      </c>
      <c r="E3">
        <v>1</v>
      </c>
    </row>
    <row r="4" spans="1:5" x14ac:dyDescent="0.3">
      <c r="A4" t="s">
        <v>21</v>
      </c>
      <c r="B4" t="s">
        <v>81</v>
      </c>
      <c r="C4">
        <v>10</v>
      </c>
      <c r="D4">
        <v>10</v>
      </c>
      <c r="E4">
        <v>1</v>
      </c>
    </row>
    <row r="5" spans="1:5" x14ac:dyDescent="0.3">
      <c r="A5" t="s">
        <v>21</v>
      </c>
      <c r="B5" t="s">
        <v>83</v>
      </c>
      <c r="C5">
        <v>10</v>
      </c>
      <c r="D5">
        <v>10</v>
      </c>
      <c r="E5">
        <v>1</v>
      </c>
    </row>
    <row r="6" spans="1:5" x14ac:dyDescent="0.3">
      <c r="A6" t="s">
        <v>21</v>
      </c>
      <c r="B6" t="s">
        <v>85</v>
      </c>
      <c r="C6">
        <v>10</v>
      </c>
      <c r="D6">
        <v>10</v>
      </c>
      <c r="E6">
        <v>1</v>
      </c>
    </row>
    <row r="7" spans="1:5" x14ac:dyDescent="0.3">
      <c r="A7" t="s">
        <v>21</v>
      </c>
      <c r="B7" t="s">
        <v>87</v>
      </c>
      <c r="C7">
        <v>10</v>
      </c>
      <c r="D7">
        <v>10</v>
      </c>
      <c r="E7">
        <v>1</v>
      </c>
    </row>
    <row r="8" spans="1:5" x14ac:dyDescent="0.3">
      <c r="A8" t="s">
        <v>21</v>
      </c>
      <c r="B8" t="s">
        <v>89</v>
      </c>
      <c r="C8">
        <v>10</v>
      </c>
      <c r="D8">
        <v>10</v>
      </c>
      <c r="E8">
        <v>1</v>
      </c>
    </row>
    <row r="9" spans="1:5" x14ac:dyDescent="0.3">
      <c r="A9" t="s">
        <v>21</v>
      </c>
      <c r="B9" t="s">
        <v>91</v>
      </c>
      <c r="C9">
        <v>10</v>
      </c>
      <c r="D9">
        <v>10</v>
      </c>
      <c r="E9">
        <v>1</v>
      </c>
    </row>
    <row r="10" spans="1:5" x14ac:dyDescent="0.3">
      <c r="A10" t="s">
        <v>21</v>
      </c>
      <c r="B10" t="s">
        <v>93</v>
      </c>
      <c r="C10">
        <v>10</v>
      </c>
      <c r="D10">
        <v>10</v>
      </c>
      <c r="E10">
        <v>1</v>
      </c>
    </row>
    <row r="11" spans="1:5" x14ac:dyDescent="0.3">
      <c r="A11" t="s">
        <v>21</v>
      </c>
      <c r="B11" t="s">
        <v>95</v>
      </c>
      <c r="C11">
        <v>10</v>
      </c>
      <c r="D11">
        <v>10</v>
      </c>
      <c r="E11">
        <v>1</v>
      </c>
    </row>
    <row r="12" spans="1:5" x14ac:dyDescent="0.3">
      <c r="A12" t="s">
        <v>21</v>
      </c>
      <c r="B12" t="s">
        <v>97</v>
      </c>
      <c r="C12">
        <v>10</v>
      </c>
      <c r="D12">
        <v>10</v>
      </c>
      <c r="E12">
        <v>1</v>
      </c>
    </row>
    <row r="13" spans="1:5" x14ac:dyDescent="0.3">
      <c r="A13" t="s">
        <v>21</v>
      </c>
      <c r="B13" t="s">
        <v>99</v>
      </c>
      <c r="C13">
        <v>10</v>
      </c>
      <c r="D13">
        <v>10</v>
      </c>
      <c r="E13">
        <v>1</v>
      </c>
    </row>
    <row r="14" spans="1:5" x14ac:dyDescent="0.3">
      <c r="A14" t="s">
        <v>21</v>
      </c>
      <c r="B14" t="s">
        <v>101</v>
      </c>
      <c r="C14">
        <v>10</v>
      </c>
      <c r="D14">
        <v>10</v>
      </c>
      <c r="E14">
        <v>1</v>
      </c>
    </row>
    <row r="15" spans="1:5" x14ac:dyDescent="0.3">
      <c r="A15" t="s">
        <v>21</v>
      </c>
      <c r="B15" t="s">
        <v>103</v>
      </c>
      <c r="C15">
        <v>10</v>
      </c>
      <c r="D15">
        <v>10</v>
      </c>
      <c r="E15">
        <v>1</v>
      </c>
    </row>
    <row r="16" spans="1:5" x14ac:dyDescent="0.3">
      <c r="A16" t="s">
        <v>21</v>
      </c>
      <c r="B16" t="s">
        <v>105</v>
      </c>
      <c r="C16">
        <v>10</v>
      </c>
      <c r="D16">
        <v>10</v>
      </c>
      <c r="E16">
        <v>1</v>
      </c>
    </row>
    <row r="17" spans="1:5" x14ac:dyDescent="0.3">
      <c r="A17" t="s">
        <v>21</v>
      </c>
      <c r="B17" t="s">
        <v>107</v>
      </c>
      <c r="C17">
        <v>10</v>
      </c>
      <c r="D17">
        <v>10</v>
      </c>
      <c r="E17">
        <v>1</v>
      </c>
    </row>
    <row r="18" spans="1:5" x14ac:dyDescent="0.3">
      <c r="A18" t="s">
        <v>21</v>
      </c>
      <c r="B18" t="s">
        <v>109</v>
      </c>
      <c r="C18">
        <v>10</v>
      </c>
      <c r="D18">
        <v>10</v>
      </c>
      <c r="E18">
        <v>1</v>
      </c>
    </row>
    <row r="19" spans="1:5" x14ac:dyDescent="0.3">
      <c r="A19" t="s">
        <v>21</v>
      </c>
      <c r="B19" t="s">
        <v>111</v>
      </c>
      <c r="C19">
        <v>10</v>
      </c>
      <c r="D19">
        <v>10</v>
      </c>
      <c r="E19">
        <v>1</v>
      </c>
    </row>
    <row r="20" spans="1:5" x14ac:dyDescent="0.3">
      <c r="A20" t="s">
        <v>23</v>
      </c>
      <c r="B20" t="s">
        <v>77</v>
      </c>
      <c r="C20">
        <v>9</v>
      </c>
      <c r="D20">
        <v>10</v>
      </c>
      <c r="E20">
        <v>0.9</v>
      </c>
    </row>
    <row r="21" spans="1:5" x14ac:dyDescent="0.3">
      <c r="A21" t="s">
        <v>23</v>
      </c>
      <c r="B21" t="s">
        <v>79</v>
      </c>
      <c r="C21">
        <v>10</v>
      </c>
      <c r="D21">
        <v>10</v>
      </c>
      <c r="E21">
        <v>1</v>
      </c>
    </row>
    <row r="22" spans="1:5" x14ac:dyDescent="0.3">
      <c r="A22" t="s">
        <v>23</v>
      </c>
      <c r="B22" t="s">
        <v>81</v>
      </c>
      <c r="C22">
        <v>9</v>
      </c>
      <c r="D22">
        <v>10</v>
      </c>
      <c r="E22">
        <v>0.9</v>
      </c>
    </row>
    <row r="23" spans="1:5" x14ac:dyDescent="0.3">
      <c r="A23" t="s">
        <v>23</v>
      </c>
      <c r="B23" t="s">
        <v>83</v>
      </c>
      <c r="C23">
        <v>8</v>
      </c>
      <c r="D23">
        <v>10</v>
      </c>
      <c r="E23">
        <v>0.8</v>
      </c>
    </row>
    <row r="24" spans="1:5" x14ac:dyDescent="0.3">
      <c r="A24" t="s">
        <v>23</v>
      </c>
      <c r="B24" t="s">
        <v>85</v>
      </c>
      <c r="C24">
        <v>10</v>
      </c>
      <c r="D24">
        <v>10</v>
      </c>
      <c r="E24">
        <v>1</v>
      </c>
    </row>
    <row r="25" spans="1:5" x14ac:dyDescent="0.3">
      <c r="A25" t="s">
        <v>23</v>
      </c>
      <c r="B25" t="s">
        <v>87</v>
      </c>
      <c r="C25">
        <v>10</v>
      </c>
      <c r="D25">
        <v>10</v>
      </c>
      <c r="E25">
        <v>1</v>
      </c>
    </row>
    <row r="26" spans="1:5" x14ac:dyDescent="0.3">
      <c r="A26" t="s">
        <v>23</v>
      </c>
      <c r="B26" t="s">
        <v>89</v>
      </c>
      <c r="C26">
        <v>10</v>
      </c>
      <c r="D26">
        <v>10</v>
      </c>
      <c r="E26">
        <v>1</v>
      </c>
    </row>
    <row r="27" spans="1:5" x14ac:dyDescent="0.3">
      <c r="A27" t="s">
        <v>23</v>
      </c>
      <c r="B27" t="s">
        <v>91</v>
      </c>
      <c r="C27">
        <v>10</v>
      </c>
      <c r="D27">
        <v>10</v>
      </c>
      <c r="E27">
        <v>1</v>
      </c>
    </row>
    <row r="28" spans="1:5" x14ac:dyDescent="0.3">
      <c r="A28" t="s">
        <v>23</v>
      </c>
      <c r="B28" t="s">
        <v>93</v>
      </c>
      <c r="C28">
        <v>10</v>
      </c>
      <c r="D28">
        <v>10</v>
      </c>
      <c r="E28">
        <v>1</v>
      </c>
    </row>
    <row r="29" spans="1:5" x14ac:dyDescent="0.3">
      <c r="A29" t="s">
        <v>23</v>
      </c>
      <c r="B29" t="s">
        <v>95</v>
      </c>
      <c r="C29">
        <v>9</v>
      </c>
      <c r="D29">
        <v>10</v>
      </c>
      <c r="E29">
        <v>0.9</v>
      </c>
    </row>
    <row r="30" spans="1:5" x14ac:dyDescent="0.3">
      <c r="A30" t="s">
        <v>23</v>
      </c>
      <c r="B30" t="s">
        <v>97</v>
      </c>
      <c r="C30">
        <v>10</v>
      </c>
      <c r="D30">
        <v>10</v>
      </c>
      <c r="E30">
        <v>1</v>
      </c>
    </row>
    <row r="31" spans="1:5" x14ac:dyDescent="0.3">
      <c r="A31" t="s">
        <v>23</v>
      </c>
      <c r="B31" t="s">
        <v>99</v>
      </c>
      <c r="C31">
        <v>9</v>
      </c>
      <c r="D31">
        <v>10</v>
      </c>
      <c r="E31">
        <v>0.9</v>
      </c>
    </row>
    <row r="32" spans="1:5" x14ac:dyDescent="0.3">
      <c r="A32" t="s">
        <v>23</v>
      </c>
      <c r="B32" t="s">
        <v>101</v>
      </c>
      <c r="C32">
        <v>9</v>
      </c>
      <c r="D32">
        <v>10</v>
      </c>
      <c r="E32">
        <v>0.9</v>
      </c>
    </row>
    <row r="33" spans="1:5" x14ac:dyDescent="0.3">
      <c r="A33" t="s">
        <v>23</v>
      </c>
      <c r="B33" t="s">
        <v>103</v>
      </c>
      <c r="C33">
        <v>10</v>
      </c>
      <c r="D33">
        <v>10</v>
      </c>
      <c r="E33">
        <v>1</v>
      </c>
    </row>
    <row r="34" spans="1:5" x14ac:dyDescent="0.3">
      <c r="A34" t="s">
        <v>23</v>
      </c>
      <c r="B34" t="s">
        <v>105</v>
      </c>
      <c r="C34">
        <v>10</v>
      </c>
      <c r="D34">
        <v>10</v>
      </c>
      <c r="E34">
        <v>1</v>
      </c>
    </row>
    <row r="35" spans="1:5" x14ac:dyDescent="0.3">
      <c r="A35" t="s">
        <v>23</v>
      </c>
      <c r="B35" t="s">
        <v>107</v>
      </c>
      <c r="C35">
        <v>8</v>
      </c>
      <c r="D35">
        <v>10</v>
      </c>
      <c r="E35">
        <v>0.8</v>
      </c>
    </row>
    <row r="36" spans="1:5" x14ac:dyDescent="0.3">
      <c r="A36" t="s">
        <v>23</v>
      </c>
      <c r="B36" t="s">
        <v>109</v>
      </c>
      <c r="C36">
        <v>10</v>
      </c>
      <c r="D36">
        <v>10</v>
      </c>
      <c r="E36">
        <v>1</v>
      </c>
    </row>
    <row r="37" spans="1:5" x14ac:dyDescent="0.3">
      <c r="A37" t="s">
        <v>23</v>
      </c>
      <c r="B37" t="s">
        <v>111</v>
      </c>
      <c r="C37">
        <v>10</v>
      </c>
      <c r="D37">
        <v>10</v>
      </c>
      <c r="E37">
        <v>1</v>
      </c>
    </row>
    <row r="38" spans="1:5" x14ac:dyDescent="0.3">
      <c r="A38" t="s">
        <v>24</v>
      </c>
      <c r="B38" t="s">
        <v>77</v>
      </c>
      <c r="C38">
        <v>9</v>
      </c>
      <c r="D38">
        <v>10</v>
      </c>
      <c r="E38">
        <v>0.9</v>
      </c>
    </row>
    <row r="39" spans="1:5" x14ac:dyDescent="0.3">
      <c r="A39" t="s">
        <v>24</v>
      </c>
      <c r="B39" t="s">
        <v>79</v>
      </c>
      <c r="C39">
        <v>10</v>
      </c>
      <c r="D39">
        <v>10</v>
      </c>
      <c r="E39">
        <v>1</v>
      </c>
    </row>
    <row r="40" spans="1:5" x14ac:dyDescent="0.3">
      <c r="A40" t="s">
        <v>24</v>
      </c>
      <c r="B40" t="s">
        <v>81</v>
      </c>
      <c r="C40">
        <v>10</v>
      </c>
      <c r="D40">
        <v>10</v>
      </c>
      <c r="E40">
        <v>1</v>
      </c>
    </row>
    <row r="41" spans="1:5" x14ac:dyDescent="0.3">
      <c r="A41" t="s">
        <v>24</v>
      </c>
      <c r="B41" t="s">
        <v>83</v>
      </c>
      <c r="C41">
        <v>10</v>
      </c>
      <c r="D41">
        <v>10</v>
      </c>
      <c r="E41">
        <v>1</v>
      </c>
    </row>
    <row r="42" spans="1:5" x14ac:dyDescent="0.3">
      <c r="A42" t="s">
        <v>24</v>
      </c>
      <c r="B42" t="s">
        <v>85</v>
      </c>
      <c r="C42">
        <v>9</v>
      </c>
      <c r="D42">
        <v>10</v>
      </c>
      <c r="E42">
        <v>0.9</v>
      </c>
    </row>
    <row r="43" spans="1:5" x14ac:dyDescent="0.3">
      <c r="A43" t="s">
        <v>24</v>
      </c>
      <c r="B43" t="s">
        <v>87</v>
      </c>
      <c r="C43">
        <v>10</v>
      </c>
      <c r="D43">
        <v>10</v>
      </c>
      <c r="E43">
        <v>1</v>
      </c>
    </row>
    <row r="44" spans="1:5" x14ac:dyDescent="0.3">
      <c r="A44" t="s">
        <v>24</v>
      </c>
      <c r="B44" t="s">
        <v>89</v>
      </c>
      <c r="C44">
        <v>10</v>
      </c>
      <c r="D44">
        <v>10</v>
      </c>
      <c r="E44">
        <v>1</v>
      </c>
    </row>
    <row r="45" spans="1:5" x14ac:dyDescent="0.3">
      <c r="A45" t="s">
        <v>24</v>
      </c>
      <c r="B45" t="s">
        <v>91</v>
      </c>
      <c r="C45">
        <v>10</v>
      </c>
      <c r="D45">
        <v>10</v>
      </c>
      <c r="E45">
        <v>1</v>
      </c>
    </row>
    <row r="46" spans="1:5" x14ac:dyDescent="0.3">
      <c r="A46" t="s">
        <v>24</v>
      </c>
      <c r="B46" t="s">
        <v>93</v>
      </c>
      <c r="C46">
        <v>10</v>
      </c>
      <c r="D46">
        <v>10</v>
      </c>
      <c r="E46">
        <v>1</v>
      </c>
    </row>
    <row r="47" spans="1:5" x14ac:dyDescent="0.3">
      <c r="A47" t="s">
        <v>24</v>
      </c>
      <c r="B47" t="s">
        <v>95</v>
      </c>
      <c r="C47">
        <v>10</v>
      </c>
      <c r="D47">
        <v>10</v>
      </c>
      <c r="E47">
        <v>1</v>
      </c>
    </row>
    <row r="48" spans="1:5" x14ac:dyDescent="0.3">
      <c r="A48" t="s">
        <v>24</v>
      </c>
      <c r="B48" t="s">
        <v>97</v>
      </c>
      <c r="C48">
        <v>9</v>
      </c>
      <c r="D48">
        <v>10</v>
      </c>
      <c r="E48">
        <v>0.9</v>
      </c>
    </row>
    <row r="49" spans="1:5" x14ac:dyDescent="0.3">
      <c r="A49" t="s">
        <v>24</v>
      </c>
      <c r="B49" t="s">
        <v>99</v>
      </c>
      <c r="C49">
        <v>8</v>
      </c>
      <c r="D49">
        <v>10</v>
      </c>
      <c r="E49">
        <v>0.8</v>
      </c>
    </row>
    <row r="50" spans="1:5" x14ac:dyDescent="0.3">
      <c r="A50" t="s">
        <v>24</v>
      </c>
      <c r="B50" t="s">
        <v>101</v>
      </c>
      <c r="C50">
        <v>10</v>
      </c>
      <c r="D50">
        <v>10</v>
      </c>
      <c r="E50">
        <v>1</v>
      </c>
    </row>
    <row r="51" spans="1:5" x14ac:dyDescent="0.3">
      <c r="A51" t="s">
        <v>24</v>
      </c>
      <c r="B51" t="s">
        <v>103</v>
      </c>
      <c r="C51">
        <v>10</v>
      </c>
      <c r="D51">
        <v>10</v>
      </c>
      <c r="E51">
        <v>1</v>
      </c>
    </row>
    <row r="52" spans="1:5" x14ac:dyDescent="0.3">
      <c r="A52" t="s">
        <v>24</v>
      </c>
      <c r="B52" t="s">
        <v>105</v>
      </c>
      <c r="C52">
        <v>10</v>
      </c>
      <c r="D52">
        <v>10</v>
      </c>
      <c r="E52">
        <v>1</v>
      </c>
    </row>
    <row r="53" spans="1:5" x14ac:dyDescent="0.3">
      <c r="A53" t="s">
        <v>24</v>
      </c>
      <c r="B53" t="s">
        <v>107</v>
      </c>
      <c r="C53">
        <v>10</v>
      </c>
      <c r="D53">
        <v>10</v>
      </c>
      <c r="E53">
        <v>1</v>
      </c>
    </row>
    <row r="54" spans="1:5" x14ac:dyDescent="0.3">
      <c r="A54" t="s">
        <v>24</v>
      </c>
      <c r="B54" t="s">
        <v>109</v>
      </c>
      <c r="C54">
        <v>8</v>
      </c>
      <c r="D54">
        <v>10</v>
      </c>
      <c r="E54">
        <v>0.8</v>
      </c>
    </row>
    <row r="55" spans="1:5" x14ac:dyDescent="0.3">
      <c r="A55" t="s">
        <v>24</v>
      </c>
      <c r="B55" t="s">
        <v>111</v>
      </c>
      <c r="C55">
        <v>10</v>
      </c>
      <c r="D55">
        <v>10</v>
      </c>
      <c r="E55">
        <v>1</v>
      </c>
    </row>
    <row r="56" spans="1:5" x14ac:dyDescent="0.3">
      <c r="A56" t="s">
        <v>25</v>
      </c>
      <c r="B56" t="s">
        <v>77</v>
      </c>
      <c r="C56">
        <v>10</v>
      </c>
      <c r="D56">
        <v>10</v>
      </c>
      <c r="E56">
        <v>1</v>
      </c>
    </row>
    <row r="57" spans="1:5" x14ac:dyDescent="0.3">
      <c r="A57" t="s">
        <v>25</v>
      </c>
      <c r="B57" t="s">
        <v>79</v>
      </c>
      <c r="C57">
        <v>10</v>
      </c>
      <c r="D57">
        <v>10</v>
      </c>
      <c r="E57">
        <v>1</v>
      </c>
    </row>
    <row r="58" spans="1:5" x14ac:dyDescent="0.3">
      <c r="A58" t="s">
        <v>25</v>
      </c>
      <c r="B58" t="s">
        <v>81</v>
      </c>
      <c r="C58">
        <v>7</v>
      </c>
      <c r="D58">
        <v>10</v>
      </c>
      <c r="E58">
        <v>0.7</v>
      </c>
    </row>
    <row r="59" spans="1:5" x14ac:dyDescent="0.3">
      <c r="A59" t="s">
        <v>25</v>
      </c>
      <c r="B59" t="s">
        <v>83</v>
      </c>
      <c r="C59">
        <v>10</v>
      </c>
      <c r="D59">
        <v>10</v>
      </c>
      <c r="E59">
        <v>1</v>
      </c>
    </row>
    <row r="60" spans="1:5" x14ac:dyDescent="0.3">
      <c r="A60" t="s">
        <v>25</v>
      </c>
      <c r="B60" t="s">
        <v>85</v>
      </c>
      <c r="C60">
        <v>10</v>
      </c>
      <c r="D60">
        <v>10</v>
      </c>
      <c r="E60">
        <v>1</v>
      </c>
    </row>
    <row r="61" spans="1:5" x14ac:dyDescent="0.3">
      <c r="A61" t="s">
        <v>25</v>
      </c>
      <c r="B61" t="s">
        <v>87</v>
      </c>
      <c r="C61">
        <v>10</v>
      </c>
      <c r="D61">
        <v>10</v>
      </c>
      <c r="E61">
        <v>1</v>
      </c>
    </row>
    <row r="62" spans="1:5" x14ac:dyDescent="0.3">
      <c r="A62" t="s">
        <v>25</v>
      </c>
      <c r="B62" t="s">
        <v>89</v>
      </c>
      <c r="C62">
        <v>10</v>
      </c>
      <c r="D62">
        <v>10</v>
      </c>
      <c r="E62">
        <v>1</v>
      </c>
    </row>
    <row r="63" spans="1:5" x14ac:dyDescent="0.3">
      <c r="A63" t="s">
        <v>25</v>
      </c>
      <c r="B63" t="s">
        <v>91</v>
      </c>
      <c r="C63">
        <v>10</v>
      </c>
      <c r="D63">
        <v>10</v>
      </c>
      <c r="E63">
        <v>1</v>
      </c>
    </row>
    <row r="64" spans="1:5" x14ac:dyDescent="0.3">
      <c r="A64" t="s">
        <v>25</v>
      </c>
      <c r="B64" t="s">
        <v>93</v>
      </c>
      <c r="C64">
        <v>10</v>
      </c>
      <c r="D64">
        <v>10</v>
      </c>
      <c r="E64">
        <v>1</v>
      </c>
    </row>
    <row r="65" spans="1:5" x14ac:dyDescent="0.3">
      <c r="A65" t="s">
        <v>25</v>
      </c>
      <c r="B65" t="s">
        <v>95</v>
      </c>
      <c r="C65">
        <v>10</v>
      </c>
      <c r="D65">
        <v>10</v>
      </c>
      <c r="E65">
        <v>1</v>
      </c>
    </row>
    <row r="66" spans="1:5" x14ac:dyDescent="0.3">
      <c r="A66" t="s">
        <v>25</v>
      </c>
      <c r="B66" t="s">
        <v>97</v>
      </c>
      <c r="C66">
        <v>10</v>
      </c>
      <c r="D66">
        <v>10</v>
      </c>
      <c r="E66">
        <v>1</v>
      </c>
    </row>
    <row r="67" spans="1:5" x14ac:dyDescent="0.3">
      <c r="A67" t="s">
        <v>25</v>
      </c>
      <c r="B67" t="s">
        <v>99</v>
      </c>
      <c r="C67">
        <v>9</v>
      </c>
      <c r="D67">
        <v>10</v>
      </c>
      <c r="E67">
        <v>0.9</v>
      </c>
    </row>
    <row r="68" spans="1:5" x14ac:dyDescent="0.3">
      <c r="A68" t="s">
        <v>25</v>
      </c>
      <c r="B68" t="s">
        <v>101</v>
      </c>
      <c r="C68">
        <v>10</v>
      </c>
      <c r="D68">
        <v>10</v>
      </c>
      <c r="E68">
        <v>1</v>
      </c>
    </row>
    <row r="69" spans="1:5" x14ac:dyDescent="0.3">
      <c r="A69" t="s">
        <v>25</v>
      </c>
      <c r="B69" t="s">
        <v>103</v>
      </c>
      <c r="C69">
        <v>10</v>
      </c>
      <c r="D69">
        <v>10</v>
      </c>
      <c r="E69">
        <v>1</v>
      </c>
    </row>
    <row r="70" spans="1:5" x14ac:dyDescent="0.3">
      <c r="A70" t="s">
        <v>25</v>
      </c>
      <c r="B70" t="s">
        <v>105</v>
      </c>
      <c r="C70">
        <v>10</v>
      </c>
      <c r="D70">
        <v>10</v>
      </c>
      <c r="E70">
        <v>1</v>
      </c>
    </row>
    <row r="71" spans="1:5" x14ac:dyDescent="0.3">
      <c r="A71" t="s">
        <v>25</v>
      </c>
      <c r="B71" t="s">
        <v>107</v>
      </c>
      <c r="C71">
        <v>10</v>
      </c>
      <c r="D71">
        <v>10</v>
      </c>
      <c r="E71">
        <v>1</v>
      </c>
    </row>
    <row r="72" spans="1:5" x14ac:dyDescent="0.3">
      <c r="A72" t="s">
        <v>25</v>
      </c>
      <c r="B72" t="s">
        <v>111</v>
      </c>
      <c r="C72">
        <v>10</v>
      </c>
      <c r="D72">
        <v>10</v>
      </c>
      <c r="E72">
        <v>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31</vt:i4>
      </vt:variant>
      <vt:variant>
        <vt:lpstr>Named Ranges</vt:lpstr>
      </vt:variant>
      <vt:variant>
        <vt:i4>5</vt:i4>
      </vt:variant>
    </vt:vector>
  </HeadingPairs>
  <TitlesOfParts>
    <vt:vector size="36" baseType="lpstr">
      <vt:lpstr>site_model_risk</vt:lpstr>
      <vt:lpstr>Table 22</vt:lpstr>
      <vt:lpstr>Table 23</vt:lpstr>
      <vt:lpstr>Table 24</vt:lpstr>
      <vt:lpstr>Table 25</vt:lpstr>
      <vt:lpstr>Table 2546</vt:lpstr>
      <vt:lpstr>risk_score_divergence</vt:lpstr>
      <vt:lpstr>pairwise_agreement</vt:lpstr>
      <vt:lpstr>indicator_model</vt:lpstr>
      <vt:lpstr>processing_stats</vt:lpstr>
      <vt:lpstr>disagreement</vt:lpstr>
      <vt:lpstr>fleiss_kappa</vt:lpstr>
      <vt:lpstr>hallucination_by_model</vt:lpstr>
      <vt:lpstr>Table 26</vt:lpstr>
      <vt:lpstr>Table 27</vt:lpstr>
      <vt:lpstr>Table 29</vt:lpstr>
      <vt:lpstr>Table 28l30</vt:lpstr>
      <vt:lpstr>Table 31</vt:lpstr>
      <vt:lpstr>Table 32</vt:lpstr>
      <vt:lpstr>Table 33</vt:lpstr>
      <vt:lpstr>hallucination_by_indicator</vt:lpstr>
      <vt:lpstr>human_alignment_by_model</vt:lpstr>
      <vt:lpstr>Table 34</vt:lpstr>
      <vt:lpstr>Data</vt:lpstr>
      <vt:lpstr>helper_counts</vt:lpstr>
      <vt:lpstr>human_alignment_by_indicator</vt:lpstr>
      <vt:lpstr>trustworthiness</vt:lpstr>
      <vt:lpstr>validation_notes</vt:lpstr>
      <vt:lpstr>stability_detail</vt:lpstr>
      <vt:lpstr>stability_by_model</vt:lpstr>
      <vt:lpstr>stability_by_indicator</vt:lpstr>
      <vt:lpstr>'Table 22'!_Toc231161166</vt:lpstr>
      <vt:lpstr>'Table 24'!_Toc231161169</vt:lpstr>
      <vt:lpstr>'Table 25'!_Toc231161170</vt:lpstr>
      <vt:lpstr>'Table 31'!_Toc231161172</vt:lpstr>
      <vt:lpstr>'Table 34'!_Toc231161175</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Aigerim Kairatova</cp:lastModifiedBy>
  <dcterms:created xsi:type="dcterms:W3CDTF">2026-05-30T19:50:45Z</dcterms:created>
  <dcterms:modified xsi:type="dcterms:W3CDTF">2026-06-21T13:55:27Z</dcterms:modified>
</cp:coreProperties>
</file>